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d66cd0c484c9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3cb7f41de0294b15"/>
    <sheet name="Tracker" sheetId="2" r:id="R8f3b28a3a8964708"/>
    <sheet name="Online Database" sheetId="3" r:id="R59e31bd444c74480" state="veryHidden"/>
    <sheet name="Manual Database" sheetId="4" r:id="R56826b5917484c53" state="veryHidden"/>
    <sheet name="Hack Database" sheetId="5" r:id="R2904681a44ac4b03" state="veryHidden"/>
    <sheet name="Lists" sheetId="6" r:id="Ra95c4d62d9b5418e" state="veryHidden"/>
    <sheet name="Settings" sheetId="7" r:id="R87e98363399c4782" state="veryHidden"/>
    <sheet name="Read Me" sheetId="8" r:id="R120df4e50cb24787" state="veryHidden"/>
  </sheets>
  <definedNames>
    <definedName name="HackList">'Lists'!$A$2:INDEX('Lists'!$A:$A,COUNTA('Lists'!$A:$A))</definedName>
    <definedName name="DifficultyList">'Lists'!$C$2:$C$9</definedName>
    <definedName name="TypeList">'Lists'!$D$2:$D$7</definedName>
  </definedNames>
  <calcPr calcMode="auto" fullCalcOnLoad="1" forceFullCalc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"/>
    <x:numFmt numFmtId="202" formatCode="mmm d, yyyy"/>
    <x:numFmt numFmtId="203" formatCode="0.0%"/>
    <x:numFmt numFmtId="204" formatCode="0.0"/>
    <x:numFmt numFmtId="205" formatCode="@"/>
  </x:numFmts>
  <x:fonts count="20">
    <x:font>
      <x:sz val="11"/>
      <x:name val="Carlito"/>
    </x:font>
    <x:font>
      <x:b/>
      <x:sz val="10"/>
      <x:color rgb="FFFFFFFF"/>
      <x:name val="Carlito"/>
    </x:font>
    <x:font>
      <x:sz val="10"/>
      <x:color rgb="FF25364A"/>
      <x:name val="Carlito"/>
    </x:font>
    <x:font>
      <x:b/>
      <x:sz val="10"/>
      <x:color rgb="FF14213D"/>
      <x:name val="Carlito"/>
    </x:font>
    <x:font>
      <x:b/>
      <x:sz val="10"/>
      <x:color rgb="FF0563C1"/>
      <x:name val="Carlito"/>
    </x:font>
    <x:font>
      <x:b/>
      <x:sz val="24"/>
      <x:color rgb="FFFFFFFF"/>
      <x:name val="Carlito"/>
    </x:font>
    <x:font>
      <x:i/>
      <x:sz val="11"/>
      <x:color rgb="FF526273"/>
      <x:name val="Carlito"/>
    </x:font>
    <x:font>
      <x:b/>
      <x:sz val="18"/>
      <x:color rgb="FF14213D"/>
      <x:name val="Carlito"/>
    </x:font>
    <x:font>
      <x:b/>
      <x:sz val="18"/>
      <x:color rgb="FF1F4E78"/>
      <x:name val="Carlito"/>
    </x:font>
    <x:font>
      <x:b/>
      <x:sz val="18"/>
      <x:color rgb="FF375623"/>
      <x:name val="Carlito"/>
    </x:font>
    <x:font>
      <x:b/>
      <x:sz val="18"/>
      <x:color rgb="FF5F497A"/>
      <x:name val="Carlito"/>
    </x:font>
    <x:font>
      <x:b/>
      <x:sz val="18"/>
      <x:color rgb="FF7F6000"/>
      <x:name val="Carlito"/>
    </x:font>
    <x:font>
      <x:b/>
      <x:sz val="18"/>
      <x:color rgb="FF9C3D10"/>
      <x:name val="Carlito"/>
    </x:font>
    <x:font>
      <x:b/>
      <x:sz val="18"/>
      <x:color rgb="FF25364A"/>
      <x:name val="Carlito"/>
    </x:font>
    <x:font>
      <x:sz val="11"/>
      <x:color rgb="FF25364A"/>
      <x:name val="Carlito"/>
    </x:font>
    <x:font>
      <x:b/>
      <x:sz val="18"/>
      <x:color rgb="FFFFFFFF"/>
      <x:name val="Carlito"/>
    </x:font>
    <x:font>
      <x:b/>
      <x:sz val="13"/>
      <x:color rgb="FFFFFFFF"/>
      <x:name val="Carlito"/>
    </x:font>
    <x:font>
      <x:b/>
      <x:sz val="15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AF7"/>
      </x:patternFill>
    </x:fill>
    <x:fill>
      <x:patternFill patternType="solid">
        <x:fgColor rgb="FFFFF4D6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14213D"/>
      </x:patternFill>
    </x:fill>
    <x:fill>
      <x:patternFill patternType="solid">
        <x:fgColor rgb="FFEAF3F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47D92"/>
      </x:patternFill>
    </x:fill>
  </x:fills>
  <x:borders count="56">
    <x:border/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A6A6A6"/>
      </x:left>
      <x:top style="thin">
        <x:color rgb="FFA6A6A6"/>
      </x:top>
      <x:bottom style="medium">
        <x:color rgb="FF000000"/>
      </x:bottom>
    </x:border>
    <x:border>
      <x:right style="thin">
        <x:color rgb="FFA6A6A6"/>
      </x:right>
      <x:top style="thin">
        <x:color rgb="FFA6A6A6"/>
      </x:top>
      <x:bottom style="medium">
        <x:color rgb="FF000000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medium">
        <x:color rgb="FF000000"/>
      </x:bottom>
    </x:border>
    <x:border>
      <x:right style="thin">
        <x:color rgb="FFA6A6A6"/>
      </x:right>
      <x:top style="thin">
        <x:color rgb="FFA6A6A6"/>
      </x:top>
      <x:bottom style="medium">
        <x:color rgb="FF000000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3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201" fontId="1" fillId="2" borderId="3" xfId="0" applyNumberFormat="1" applyFont="1" applyFill="1" applyBorder="1" applyAlignment="1">
      <x:alignment horizontal="center" vertical="center" wrapText="1"/>
    </x:xf>
    <x:xf numFmtId="201" fontId="1" fillId="2" borderId="6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2" fillId="0" borderId="0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23" xfId="0" applyNumberFormat="1" applyFont="1" applyFill="1" applyBorder="1"/>
    <x:xf numFmtId="0" fontId="2" fillId="0" borderId="13" xfId="0" applyNumberFormat="1" applyFont="1" applyFill="1" applyBorder="1"/>
    <x:xf numFmtId="0" fontId="2" fillId="0" borderId="20" xfId="0" applyNumberFormat="1" applyFont="1" applyFill="1" applyBorder="1" applyAlignment="1">
      <x:alignment vertical="center"/>
    </x:xf>
    <x:xf numFmtId="0" fontId="2" fillId="0" borderId="21" xfId="0" applyNumberFormat="1" applyFont="1" applyFill="1" applyBorder="1" applyAlignment="1">
      <x:alignment vertical="center"/>
    </x:xf>
    <x:xf numFmtId="0" fontId="2" fillId="0" borderId="22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6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27" xfId="0" applyNumberFormat="1" applyFont="1" applyFill="1" applyBorder="1"/>
    <x:xf numFmtId="0" fontId="2" fillId="0" borderId="19" xfId="0" applyNumberFormat="1" applyFont="1" applyFill="1" applyBorder="1"/>
    <x:xf numFmtId="0" fontId="2" fillId="0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19" xfId="0" applyNumberFormat="1" applyFont="1" applyFill="1" applyBorder="1" applyAlignment="1">
      <x:alignment vertical="center"/>
    </x:xf>
    <x:xf numFmtId="0" fontId="2" fillId="3" borderId="20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3" fillId="3" borderId="20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3" fillId="3" borderId="28" xfId="0" applyNumberFormat="1" applyFont="1" applyFill="1" applyBorder="1" applyAlignment="1">
      <x:alignment vertical="center"/>
    </x:xf>
    <x:xf numFmtId="0" fontId="3" fillId="3" borderId="29" xfId="0" applyNumberFormat="1" applyFont="1" applyFill="1" applyBorder="1" applyAlignment="1">
      <x:alignment vertical="center"/>
    </x:xf>
    <x:xf numFmtId="0" fontId="3" fillId="3" borderId="30" xfId="0" applyNumberFormat="1" applyFont="1" applyFill="1" applyBorder="1" applyAlignment="1">
      <x:alignment vertical="center"/>
    </x:xf>
    <x:xf numFmtId="0" fontId="3" fillId="3" borderId="28" xfId="0" applyNumberFormat="1" applyFont="1" applyFill="1" applyBorder="1" applyAlignment="1">
      <x:alignment horizontal="center" vertical="center"/>
    </x:xf>
    <x:xf numFmtId="0" fontId="3" fillId="3" borderId="29" xfId="0" applyNumberFormat="1" applyFont="1" applyFill="1" applyBorder="1" applyAlignment="1">
      <x:alignment horizontal="center" vertical="center"/>
    </x:xf>
    <x:xf numFmtId="0" fontId="3" fillId="3" borderId="30" xfId="0" applyNumberFormat="1" applyFont="1" applyFill="1" applyBorder="1" applyAlignment="1">
      <x:alignment horizontal="center" vertical="center"/>
    </x:xf>
    <x:xf numFmtId="0" fontId="2" fillId="3" borderId="24" xfId="0" applyNumberFormat="1" applyFont="1" applyFill="1" applyBorder="1" applyAlignment="1">
      <x:alignment vertical="center"/>
    </x:xf>
    <x:xf numFmtId="0" fontId="2" fillId="3" borderId="16" xfId="0" applyNumberFormat="1" applyFont="1" applyFill="1" applyBorder="1" applyAlignment="1">
      <x:alignment vertical="center"/>
    </x:xf>
    <x:xf numFmtId="0" fontId="2" fillId="3" borderId="18" xfId="0" applyNumberFormat="1" applyFont="1" applyFill="1" applyBorder="1" applyAlignment="1">
      <x:alignment vertical="center"/>
    </x:xf>
    <x:xf numFmtId="0" fontId="3" fillId="3" borderId="24" xfId="0" applyNumberFormat="1" applyFont="1" applyFill="1" applyBorder="1" applyAlignment="1">
      <x:alignment vertical="center"/>
    </x:xf>
    <x:xf numFmtId="0" fontId="3" fillId="3" borderId="16" xfId="0" applyNumberFormat="1" applyFont="1" applyFill="1" applyBorder="1" applyAlignment="1">
      <x:alignment vertical="center"/>
    </x:xf>
    <x:xf numFmtId="0" fontId="3" fillId="3" borderId="18" xfId="0" applyNumberFormat="1" applyFont="1" applyFill="1" applyBorder="1" applyAlignment="1">
      <x:alignment vertical="center"/>
    </x:xf>
    <x:xf numFmtId="0" fontId="3" fillId="3" borderId="31" xfId="0" applyNumberFormat="1" applyFont="1" applyFill="1" applyBorder="1" applyAlignment="1">
      <x:alignment vertical="center"/>
    </x:xf>
    <x:xf numFmtId="0" fontId="3" fillId="3" borderId="32" xfId="0" applyNumberFormat="1" applyFont="1" applyFill="1" applyBorder="1" applyAlignment="1">
      <x:alignment vertical="center"/>
    </x:xf>
    <x:xf numFmtId="0" fontId="3" fillId="3" borderId="33" xfId="0" applyNumberFormat="1" applyFont="1" applyFill="1" applyBorder="1" applyAlignment="1">
      <x:alignment vertical="center"/>
    </x:xf>
    <x:xf numFmtId="0" fontId="3" fillId="3" borderId="31" xfId="0" applyNumberFormat="1" applyFont="1" applyFill="1" applyBorder="1" applyAlignment="1">
      <x:alignment horizontal="center" vertical="center"/>
    </x:xf>
    <x:xf numFmtId="0" fontId="3" fillId="3" borderId="32" xfId="0" applyNumberFormat="1" applyFont="1" applyFill="1" applyBorder="1" applyAlignment="1">
      <x:alignment horizontal="center" vertical="center"/>
    </x:xf>
    <x:xf numFmtId="0" fontId="3" fillId="3" borderId="33" xfId="0" applyNumberFormat="1" applyFont="1" applyFill="1" applyBorder="1" applyAlignment="1">
      <x:alignment horizontal="center" vertical="center"/>
    </x:xf>
    <x:xf numFmtId="0" fontId="2" fillId="4" borderId="2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23" xfId="0" applyNumberFormat="1" applyFont="1" applyFill="1" applyBorder="1" applyAlignment="1">
      <x:alignment vertical="center"/>
    </x:xf>
    <x:xf numFmtId="0" fontId="2" fillId="4" borderId="25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27" xfId="0" applyNumberFormat="1" applyFont="1" applyFill="1" applyBorder="1" applyAlignment="1">
      <x:alignment vertical="center"/>
    </x:xf>
    <x:xf numFmtId="0" fontId="2" fillId="5" borderId="2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23" xfId="0" applyNumberFormat="1" applyFont="1" applyFill="1" applyBorder="1" applyAlignment="1">
      <x:alignment vertical="center"/>
    </x:xf>
    <x:xf numFmtId="0" fontId="2" fillId="5" borderId="25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5" borderId="27" xfId="0" applyNumberFormat="1" applyFont="1" applyFill="1" applyBorder="1" applyAlignment="1">
      <x:alignment vertical="center"/>
    </x:xf>
    <x:xf numFmtId="0" fontId="2" fillId="6" borderId="22" xfId="0" applyNumberFormat="1" applyFont="1" applyFill="1" applyBorder="1" applyAlignment="1">
      <x:alignment vertical="center"/>
    </x:xf>
    <x:xf numFmtId="0" fontId="2" fillId="6" borderId="11" xfId="0" applyNumberFormat="1" applyFont="1" applyFill="1" applyBorder="1" applyAlignment="1">
      <x:alignment vertical="center"/>
    </x:xf>
    <x:xf numFmtId="0" fontId="2" fillId="6" borderId="13" xfId="0" applyNumberFormat="1" applyFont="1" applyFill="1" applyBorder="1" applyAlignment="1">
      <x:alignment vertical="center"/>
    </x:xf>
    <x:xf numFmtId="0" fontId="2" fillId="6" borderId="26" xfId="0" applyNumberFormat="1" applyFont="1" applyFill="1" applyBorder="1" applyAlignment="1">
      <x:alignment vertical="center"/>
    </x:xf>
    <x:xf numFmtId="0" fontId="2" fillId="6" borderId="17" xfId="0" applyNumberFormat="1" applyFont="1" applyFill="1" applyBorder="1" applyAlignment="1">
      <x:alignment vertical="center"/>
    </x:xf>
    <x:xf numFmtId="0" fontId="2" fillId="6" borderId="19" xfId="0" applyNumberFormat="1" applyFont="1" applyFill="1" applyBorder="1" applyAlignment="1">
      <x:alignment vertical="center"/>
    </x:xf>
    <x:xf numFmtId="0" fontId="2" fillId="5" borderId="2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23" xfId="0" applyNumberFormat="1" applyFont="1" applyFill="1" applyBorder="1" applyAlignment="1">
      <x:alignment horizontal="center" vertical="center"/>
    </x:xf>
    <x:xf numFmtId="0" fontId="2" fillId="5" borderId="25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27" xfId="0" applyNumberFormat="1" applyFont="1" applyFill="1" applyBorder="1" applyAlignment="1">
      <x:alignment horizontal="center" vertical="center"/>
    </x:xf>
    <x:xf numFmtId="0" fontId="2" fillId="4" borderId="2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23" xfId="0" applyNumberFormat="1" applyFont="1" applyFill="1" applyBorder="1" applyAlignment="1">
      <x:alignment horizontal="center" vertical="center"/>
    </x:xf>
    <x:xf numFmtId="0" fontId="2" fillId="4" borderId="25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7" xfId="0" applyNumberFormat="1" applyFont="1" applyFill="1" applyBorder="1" applyAlignment="1">
      <x:alignment horizontal="center" vertical="center"/>
    </x:xf>
    <x:xf numFmtId="202" fontId="2" fillId="4" borderId="21" xfId="0" applyNumberFormat="1" applyFont="1" applyFill="1" applyBorder="1" applyAlignment="1">
      <x:alignment horizontal="center" vertical="center"/>
    </x:xf>
    <x:xf numFmtId="202" fontId="2" fillId="4" borderId="0" xfId="0" applyNumberFormat="1" applyFont="1" applyFill="1" applyBorder="1" applyAlignment="1">
      <x:alignment horizontal="center" vertical="center"/>
    </x:xf>
    <x:xf numFmtId="202" fontId="2" fillId="4" borderId="23" xfId="0" applyNumberFormat="1" applyFont="1" applyFill="1" applyBorder="1" applyAlignment="1">
      <x:alignment horizontal="center" vertical="center"/>
    </x:xf>
    <x:xf numFmtId="202" fontId="2" fillId="4" borderId="25" xfId="0" applyNumberFormat="1" applyFont="1" applyFill="1" applyBorder="1" applyAlignment="1">
      <x:alignment horizontal="center" vertical="center"/>
    </x:xf>
    <x:xf numFmtId="202" fontId="2" fillId="4" borderId="1" xfId="0" applyNumberFormat="1" applyFont="1" applyFill="1" applyBorder="1" applyAlignment="1">
      <x:alignment horizontal="center" vertical="center"/>
    </x:xf>
    <x:xf numFmtId="202" fontId="2" fillId="4" borderId="27" xfId="0" applyNumberFormat="1" applyFont="1" applyFill="1" applyBorder="1" applyAlignment="1">
      <x:alignment horizontal="center" vertical="center"/>
    </x:xf>
    <x:xf numFmtId="201" fontId="2" fillId="4" borderId="21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201" fontId="2" fillId="4" borderId="23" xfId="0" applyNumberFormat="1" applyFont="1" applyFill="1" applyBorder="1" applyAlignment="1">
      <x:alignment horizontal="center" vertical="center"/>
    </x:xf>
    <x:xf numFmtId="201" fontId="2" fillId="4" borderId="25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201" fontId="2" fillId="4" borderId="27" xfId="0" applyNumberFormat="1" applyFont="1" applyFill="1" applyBorder="1" applyAlignment="1">
      <x:alignment horizontal="center" vertical="center"/>
    </x:xf>
    <x:xf numFmtId="0" fontId="2" fillId="6" borderId="22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17" xfId="0" applyNumberFormat="1" applyFont="1" applyFill="1" applyBorder="1" applyAlignment="1">
      <x:alignment vertical="center" wrapText="1"/>
    </x:xf>
    <x:xf numFmtId="0" fontId="2" fillId="6" borderId="19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23" xfId="0" applyNumberFormat="1" applyFont="1" applyFill="1" applyBorder="1" applyAlignment="1">
      <x:alignment horizontal="center" vertic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4" xfId="0" applyNumberFormat="1" applyFont="1" applyFill="1" applyBorder="1"/>
    <x:xf numFmtId="0" fontId="7" fillId="9" borderId="35" xfId="0" applyNumberFormat="1" applyFont="1" applyFill="1" applyBorder="1"/>
    <x:xf numFmtId="0" fontId="7" fillId="9" borderId="36" xfId="0" applyNumberFormat="1" applyFont="1" applyFill="1" applyBorder="1"/>
    <x:xf numFmtId="0" fontId="7" fillId="9" borderId="37" xfId="0" applyNumberFormat="1" applyFont="1" applyFill="1" applyBorder="1"/>
    <x:xf numFmtId="0" fontId="7" fillId="9" borderId="38" xfId="0" applyNumberFormat="1" applyFont="1" applyFill="1" applyBorder="1"/>
    <x:xf numFmtId="0" fontId="7" fillId="9" borderId="39" xfId="0" applyNumberFormat="1" applyFont="1" applyFill="1" applyBorder="1"/>
    <x:xf numFmtId="0" fontId="7" fillId="9" borderId="40" xfId="0" applyNumberFormat="1" applyFont="1" applyFill="1" applyBorder="1"/>
    <x:xf numFmtId="0" fontId="7" fillId="9" borderId="41" xfId="0" applyNumberFormat="1" applyFont="1" applyFill="1" applyBorder="1"/>
    <x:xf numFmtId="201" fontId="7" fillId="9" borderId="34" xfId="0" applyNumberFormat="1" applyFont="1" applyFill="1" applyBorder="1"/>
    <x:xf numFmtId="201" fontId="7" fillId="9" borderId="35" xfId="0" applyNumberFormat="1" applyFont="1" applyFill="1" applyBorder="1"/>
    <x:xf numFmtId="201" fontId="7" fillId="9" borderId="36" xfId="0" applyNumberFormat="1" applyFont="1" applyFill="1" applyBorder="1"/>
    <x:xf numFmtId="201" fontId="7" fillId="9" borderId="37" xfId="0" applyNumberFormat="1" applyFont="1" applyFill="1" applyBorder="1"/>
    <x:xf numFmtId="201" fontId="7" fillId="9" borderId="0" xfId="0" applyNumberFormat="1" applyFont="1" applyFill="1" applyBorder="1"/>
    <x:xf numFmtId="201" fontId="7" fillId="9" borderId="38" xfId="0" applyNumberFormat="1" applyFont="1" applyFill="1" applyBorder="1"/>
    <x:xf numFmtId="201" fontId="7" fillId="9" borderId="39" xfId="0" applyNumberFormat="1" applyFont="1" applyFill="1" applyBorder="1"/>
    <x:xf numFmtId="201" fontId="7" fillId="9" borderId="40" xfId="0" applyNumberFormat="1" applyFont="1" applyFill="1" applyBorder="1"/>
    <x:xf numFmtId="201" fontId="7" fillId="9" borderId="41" xfId="0" applyNumberFormat="1" applyFont="1" applyFill="1" applyBorder="1"/>
    <x:xf numFmtId="201" fontId="7" fillId="9" borderId="34" xfId="0" applyNumberFormat="1" applyFont="1" applyFill="1" applyBorder="1" applyAlignment="1">
      <x:alignment wrapText="1"/>
    </x:xf>
    <x:xf numFmtId="201" fontId="7" fillId="9" borderId="35" xfId="0" applyNumberFormat="1" applyFont="1" applyFill="1" applyBorder="1" applyAlignment="1">
      <x:alignment wrapText="1"/>
    </x:xf>
    <x:xf numFmtId="201" fontId="7" fillId="9" borderId="36" xfId="0" applyNumberFormat="1" applyFont="1" applyFill="1" applyBorder="1" applyAlignment="1">
      <x:alignment wrapText="1"/>
    </x:xf>
    <x:xf numFmtId="201" fontId="7" fillId="9" borderId="37" xfId="0" applyNumberFormat="1" applyFont="1" applyFill="1" applyBorder="1" applyAlignment="1">
      <x:alignment wrapText="1"/>
    </x:xf>
    <x:xf numFmtId="201" fontId="7" fillId="9" borderId="0" xfId="0" applyNumberFormat="1" applyFont="1" applyFill="1" applyBorder="1" applyAlignment="1">
      <x:alignment wrapText="1"/>
    </x:xf>
    <x:xf numFmtId="201" fontId="7" fillId="9" borderId="38" xfId="0" applyNumberFormat="1" applyFont="1" applyFill="1" applyBorder="1" applyAlignment="1">
      <x:alignment wrapText="1"/>
    </x:xf>
    <x:xf numFmtId="201" fontId="7" fillId="9" borderId="39" xfId="0" applyNumberFormat="1" applyFont="1" applyFill="1" applyBorder="1" applyAlignment="1">
      <x:alignment wrapText="1"/>
    </x:xf>
    <x:xf numFmtId="201" fontId="7" fillId="9" borderId="40" xfId="0" applyNumberFormat="1" applyFont="1" applyFill="1" applyBorder="1" applyAlignment="1">
      <x:alignment wrapText="1"/>
    </x:xf>
    <x:xf numFmtId="201" fontId="7" fillId="9" borderId="41" xfId="0" applyNumberFormat="1" applyFont="1" applyFill="1" applyBorder="1" applyAlignment="1">
      <x:alignment wrapText="1"/>
    </x:xf>
    <x:xf numFmtId="201" fontId="7" fillId="9" borderId="34" xfId="0" applyNumberFormat="1" applyFont="1" applyFill="1" applyBorder="1" applyAlignment="1">
      <x:alignment horizontal="center" wrapText="1"/>
    </x:xf>
    <x:xf numFmtId="201" fontId="7" fillId="9" borderId="35" xfId="0" applyNumberFormat="1" applyFont="1" applyFill="1" applyBorder="1" applyAlignment="1">
      <x:alignment horizontal="center" wrapText="1"/>
    </x:xf>
    <x:xf numFmtId="201" fontId="7" fillId="9" borderId="36" xfId="0" applyNumberFormat="1" applyFont="1" applyFill="1" applyBorder="1" applyAlignment="1">
      <x:alignment horizontal="center" wrapText="1"/>
    </x:xf>
    <x:xf numFmtId="201" fontId="7" fillId="9" borderId="37" xfId="0" applyNumberFormat="1" applyFont="1" applyFill="1" applyBorder="1" applyAlignment="1">
      <x:alignment horizontal="center" wrapText="1"/>
    </x:xf>
    <x:xf numFmtId="201" fontId="7" fillId="9" borderId="0" xfId="0" applyNumberFormat="1" applyFont="1" applyFill="1" applyBorder="1" applyAlignment="1">
      <x:alignment horizontal="center" wrapText="1"/>
    </x:xf>
    <x:xf numFmtId="201" fontId="7" fillId="9" borderId="38" xfId="0" applyNumberFormat="1" applyFont="1" applyFill="1" applyBorder="1" applyAlignment="1">
      <x:alignment horizontal="center" wrapText="1"/>
    </x:xf>
    <x:xf numFmtId="201" fontId="7" fillId="9" borderId="39" xfId="0" applyNumberFormat="1" applyFont="1" applyFill="1" applyBorder="1" applyAlignment="1">
      <x:alignment horizontal="center" wrapText="1"/>
    </x:xf>
    <x:xf numFmtId="201" fontId="7" fillId="9" borderId="40" xfId="0" applyNumberFormat="1" applyFont="1" applyFill="1" applyBorder="1" applyAlignment="1">
      <x:alignment horizontal="center" wrapText="1"/>
    </x:xf>
    <x:xf numFmtId="201" fontId="7" fillId="9" borderId="41" xfId="0" applyNumberFormat="1" applyFont="1" applyFill="1" applyBorder="1" applyAlignment="1">
      <x:alignment horizontal="center" wrapText="1"/>
    </x:xf>
    <x:xf numFmtId="201" fontId="7" fillId="9" borderId="34" xfId="0" applyNumberFormat="1" applyFont="1" applyFill="1" applyBorder="1" applyAlignment="1">
      <x:alignment horizontal="center" vertical="center" wrapText="1"/>
    </x:xf>
    <x:xf numFmtId="201" fontId="7" fillId="9" borderId="35" xfId="0" applyNumberFormat="1" applyFont="1" applyFill="1" applyBorder="1" applyAlignment="1">
      <x:alignment horizontal="center" vertical="center" wrapText="1"/>
    </x:xf>
    <x:xf numFmtId="201" fontId="7" fillId="9" borderId="36" xfId="0" applyNumberFormat="1" applyFont="1" applyFill="1" applyBorder="1" applyAlignment="1">
      <x:alignment horizontal="center" vertical="center" wrapText="1"/>
    </x:xf>
    <x:xf numFmtId="201" fontId="7" fillId="9" borderId="37" xfId="0" applyNumberFormat="1" applyFont="1" applyFill="1" applyBorder="1" applyAlignment="1">
      <x:alignment horizontal="center" vertical="center" wrapText="1"/>
    </x:xf>
    <x:xf numFmtId="201" fontId="7" fillId="9" borderId="0" xfId="0" applyNumberFormat="1" applyFont="1" applyFill="1" applyBorder="1" applyAlignment="1">
      <x:alignment horizontal="center" vertical="center" wrapText="1"/>
    </x:xf>
    <x:xf numFmtId="201" fontId="7" fillId="9" borderId="38" xfId="0" applyNumberFormat="1" applyFont="1" applyFill="1" applyBorder="1" applyAlignment="1">
      <x:alignment horizontal="center" vertical="center" wrapText="1"/>
    </x:xf>
    <x:xf numFmtId="201" fontId="7" fillId="9" borderId="39" xfId="0" applyNumberFormat="1" applyFont="1" applyFill="1" applyBorder="1" applyAlignment="1">
      <x:alignment horizontal="center" vertical="center" wrapText="1"/>
    </x:xf>
    <x:xf numFmtId="201" fontId="7" fillId="9" borderId="40" xfId="0" applyNumberFormat="1" applyFont="1" applyFill="1" applyBorder="1" applyAlignment="1">
      <x:alignment horizontal="center" vertical="center" wrapText="1"/>
    </x:xf>
    <x:xf numFmtId="201" fontId="7" fillId="9" borderId="4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42" xfId="0" applyNumberFormat="1" applyFont="1" applyFill="1" applyBorder="1"/>
    <x:xf numFmtId="0" fontId="7" fillId="9" borderId="43" xfId="0" applyNumberFormat="1" applyFont="1" applyFill="1" applyBorder="1"/>
    <x:xf numFmtId="0" fontId="7" fillId="9" borderId="44" xfId="0" applyNumberFormat="1" applyFont="1" applyFill="1" applyBorder="1"/>
    <x:xf numFmtId="0" fontId="7" fillId="9" borderId="45" xfId="0" applyNumberFormat="1" applyFont="1" applyFill="1" applyBorder="1"/>
    <x:xf numFmtId="0" fontId="7" fillId="9" borderId="46" xfId="0" applyNumberFormat="1" applyFont="1" applyFill="1" applyBorder="1"/>
    <x:xf numFmtId="0" fontId="7" fillId="9" borderId="47" xfId="0" applyNumberFormat="1" applyFont="1" applyFill="1" applyBorder="1"/>
    <x:xf numFmtId="0" fontId="7" fillId="9" borderId="48" xfId="0" applyNumberFormat="1" applyFont="1" applyFill="1" applyBorder="1"/>
    <x:xf numFmtId="0" fontId="7" fillId="9" borderId="49" xfId="0" applyNumberFormat="1" applyFont="1" applyFill="1" applyBorder="1"/>
    <x:xf numFmtId="201" fontId="7" fillId="9" borderId="42" xfId="0" applyNumberFormat="1" applyFont="1" applyFill="1" applyBorder="1"/>
    <x:xf numFmtId="201" fontId="7" fillId="9" borderId="43" xfId="0" applyNumberFormat="1" applyFont="1" applyFill="1" applyBorder="1"/>
    <x:xf numFmtId="201" fontId="7" fillId="9" borderId="44" xfId="0" applyNumberFormat="1" applyFont="1" applyFill="1" applyBorder="1"/>
    <x:xf numFmtId="201" fontId="7" fillId="9" borderId="45" xfId="0" applyNumberFormat="1" applyFont="1" applyFill="1" applyBorder="1"/>
    <x:xf numFmtId="201" fontId="7" fillId="9" borderId="1" xfId="0" applyNumberFormat="1" applyFont="1" applyFill="1" applyBorder="1"/>
    <x:xf numFmtId="201" fontId="7" fillId="9" borderId="46" xfId="0" applyNumberFormat="1" applyFont="1" applyFill="1" applyBorder="1"/>
    <x:xf numFmtId="201" fontId="7" fillId="9" borderId="47" xfId="0" applyNumberFormat="1" applyFont="1" applyFill="1" applyBorder="1"/>
    <x:xf numFmtId="201" fontId="7" fillId="9" borderId="48" xfId="0" applyNumberFormat="1" applyFont="1" applyFill="1" applyBorder="1"/>
    <x:xf numFmtId="201" fontId="7" fillId="9" borderId="49" xfId="0" applyNumberFormat="1" applyFont="1" applyFill="1" applyBorder="1"/>
    <x:xf numFmtId="201" fontId="7" fillId="9" borderId="42" xfId="0" applyNumberFormat="1" applyFont="1" applyFill="1" applyBorder="1" applyAlignment="1">
      <x:alignment wrapText="1"/>
    </x:xf>
    <x:xf numFmtId="201" fontId="7" fillId="9" borderId="43" xfId="0" applyNumberFormat="1" applyFont="1" applyFill="1" applyBorder="1" applyAlignment="1">
      <x:alignment wrapText="1"/>
    </x:xf>
    <x:xf numFmtId="201" fontId="7" fillId="9" borderId="44" xfId="0" applyNumberFormat="1" applyFont="1" applyFill="1" applyBorder="1" applyAlignment="1">
      <x:alignment wrapText="1"/>
    </x:xf>
    <x:xf numFmtId="201" fontId="7" fillId="9" borderId="45" xfId="0" applyNumberFormat="1" applyFont="1" applyFill="1" applyBorder="1" applyAlignment="1">
      <x:alignment wrapText="1"/>
    </x:xf>
    <x:xf numFmtId="201" fontId="7" fillId="9" borderId="1" xfId="0" applyNumberFormat="1" applyFont="1" applyFill="1" applyBorder="1" applyAlignment="1">
      <x:alignment wrapText="1"/>
    </x:xf>
    <x:xf numFmtId="201" fontId="7" fillId="9" borderId="46" xfId="0" applyNumberFormat="1" applyFont="1" applyFill="1" applyBorder="1" applyAlignment="1">
      <x:alignment wrapText="1"/>
    </x:xf>
    <x:xf numFmtId="201" fontId="7" fillId="9" borderId="47" xfId="0" applyNumberFormat="1" applyFont="1" applyFill="1" applyBorder="1" applyAlignment="1">
      <x:alignment wrapText="1"/>
    </x:xf>
    <x:xf numFmtId="201" fontId="7" fillId="9" borderId="48" xfId="0" applyNumberFormat="1" applyFont="1" applyFill="1" applyBorder="1" applyAlignment="1">
      <x:alignment wrapText="1"/>
    </x:xf>
    <x:xf numFmtId="201" fontId="7" fillId="9" borderId="49" xfId="0" applyNumberFormat="1" applyFont="1" applyFill="1" applyBorder="1" applyAlignment="1">
      <x:alignment wrapText="1"/>
    </x:xf>
    <x:xf numFmtId="201" fontId="7" fillId="9" borderId="42" xfId="0" applyNumberFormat="1" applyFont="1" applyFill="1" applyBorder="1" applyAlignment="1">
      <x:alignment horizontal="center" wrapText="1"/>
    </x:xf>
    <x:xf numFmtId="201" fontId="7" fillId="9" borderId="43" xfId="0" applyNumberFormat="1" applyFont="1" applyFill="1" applyBorder="1" applyAlignment="1">
      <x:alignment horizontal="center" wrapText="1"/>
    </x:xf>
    <x:xf numFmtId="201" fontId="7" fillId="9" borderId="44" xfId="0" applyNumberFormat="1" applyFont="1" applyFill="1" applyBorder="1" applyAlignment="1">
      <x:alignment horizontal="center" wrapText="1"/>
    </x:xf>
    <x:xf numFmtId="201" fontId="7" fillId="9" borderId="45" xfId="0" applyNumberFormat="1" applyFont="1" applyFill="1" applyBorder="1" applyAlignment="1">
      <x:alignment horizontal="center" wrapText="1"/>
    </x:xf>
    <x:xf numFmtId="201" fontId="7" fillId="9" borderId="1" xfId="0" applyNumberFormat="1" applyFont="1" applyFill="1" applyBorder="1" applyAlignment="1">
      <x:alignment horizontal="center" wrapText="1"/>
    </x:xf>
    <x:xf numFmtId="201" fontId="7" fillId="9" borderId="46" xfId="0" applyNumberFormat="1" applyFont="1" applyFill="1" applyBorder="1" applyAlignment="1">
      <x:alignment horizontal="center" wrapText="1"/>
    </x:xf>
    <x:xf numFmtId="201" fontId="7" fillId="9" borderId="47" xfId="0" applyNumberFormat="1" applyFont="1" applyFill="1" applyBorder="1" applyAlignment="1">
      <x:alignment horizontal="center" wrapText="1"/>
    </x:xf>
    <x:xf numFmtId="201" fontId="7" fillId="9" borderId="48" xfId="0" applyNumberFormat="1" applyFont="1" applyFill="1" applyBorder="1" applyAlignment="1">
      <x:alignment horizontal="center" wrapText="1"/>
    </x:xf>
    <x:xf numFmtId="201" fontId="7" fillId="9" borderId="49" xfId="0" applyNumberFormat="1" applyFont="1" applyFill="1" applyBorder="1" applyAlignment="1">
      <x:alignment horizontal="center" wrapText="1"/>
    </x:xf>
    <x:xf numFmtId="201" fontId="7" fillId="9" borderId="42" xfId="0" applyNumberFormat="1" applyFont="1" applyFill="1" applyBorder="1" applyAlignment="1">
      <x:alignment horizontal="center" vertical="center" wrapText="1"/>
    </x:xf>
    <x:xf numFmtId="201" fontId="7" fillId="9" borderId="43" xfId="0" applyNumberFormat="1" applyFont="1" applyFill="1" applyBorder="1" applyAlignment="1">
      <x:alignment horizontal="center" vertical="center" wrapText="1"/>
    </x:xf>
    <x:xf numFmtId="201" fontId="7" fillId="9" borderId="44" xfId="0" applyNumberFormat="1" applyFont="1" applyFill="1" applyBorder="1" applyAlignment="1">
      <x:alignment horizontal="center" vertical="center" wrapText="1"/>
    </x:xf>
    <x:xf numFmtId="201" fontId="7" fillId="9" borderId="45" xfId="0" applyNumberFormat="1" applyFont="1" applyFill="1" applyBorder="1" applyAlignment="1">
      <x:alignment horizontal="center" vertical="center" wrapText="1"/>
    </x:xf>
    <x:xf numFmtId="201" fontId="7" fillId="9" borderId="1" xfId="0" applyNumberFormat="1" applyFont="1" applyFill="1" applyBorder="1" applyAlignment="1">
      <x:alignment horizontal="center" vertical="center" wrapText="1"/>
    </x:xf>
    <x:xf numFmtId="201" fontId="7" fillId="9" borderId="46" xfId="0" applyNumberFormat="1" applyFont="1" applyFill="1" applyBorder="1" applyAlignment="1">
      <x:alignment horizontal="center" vertical="center" wrapText="1"/>
    </x:xf>
    <x:xf numFmtId="201" fontId="7" fillId="9" borderId="47" xfId="0" applyNumberFormat="1" applyFont="1" applyFill="1" applyBorder="1" applyAlignment="1">
      <x:alignment horizontal="center" vertical="center" wrapText="1"/>
    </x:xf>
    <x:xf numFmtId="201" fontId="7" fillId="9" borderId="48" xfId="0" applyNumberFormat="1" applyFont="1" applyFill="1" applyBorder="1" applyAlignment="1">
      <x:alignment horizontal="center" vertical="center" wrapText="1"/>
    </x:xf>
    <x:xf numFmtId="201" fontId="7" fillId="9" borderId="49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34" xfId="0" applyNumberFormat="1" applyFont="1" applyFill="1" applyBorder="1"/>
    <x:xf numFmtId="0" fontId="8" fillId="10" borderId="35" xfId="0" applyNumberFormat="1" applyFont="1" applyFill="1" applyBorder="1"/>
    <x:xf numFmtId="0" fontId="8" fillId="10" borderId="36" xfId="0" applyNumberFormat="1" applyFont="1" applyFill="1" applyBorder="1"/>
    <x:xf numFmtId="0" fontId="8" fillId="10" borderId="37" xfId="0" applyNumberFormat="1" applyFont="1" applyFill="1" applyBorder="1"/>
    <x:xf numFmtId="0" fontId="8" fillId="10" borderId="38" xfId="0" applyNumberFormat="1" applyFont="1" applyFill="1" applyBorder="1"/>
    <x:xf numFmtId="0" fontId="8" fillId="10" borderId="39" xfId="0" applyNumberFormat="1" applyFont="1" applyFill="1" applyBorder="1"/>
    <x:xf numFmtId="0" fontId="8" fillId="10" borderId="40" xfId="0" applyNumberFormat="1" applyFont="1" applyFill="1" applyBorder="1"/>
    <x:xf numFmtId="0" fontId="8" fillId="10" borderId="41" xfId="0" applyNumberFormat="1" applyFont="1" applyFill="1" applyBorder="1"/>
    <x:xf numFmtId="201" fontId="8" fillId="10" borderId="34" xfId="0" applyNumberFormat="1" applyFont="1" applyFill="1" applyBorder="1"/>
    <x:xf numFmtId="201" fontId="8" fillId="10" borderId="35" xfId="0" applyNumberFormat="1" applyFont="1" applyFill="1" applyBorder="1"/>
    <x:xf numFmtId="201" fontId="8" fillId="10" borderId="36" xfId="0" applyNumberFormat="1" applyFont="1" applyFill="1" applyBorder="1"/>
    <x:xf numFmtId="201" fontId="8" fillId="10" borderId="37" xfId="0" applyNumberFormat="1" applyFont="1" applyFill="1" applyBorder="1"/>
    <x:xf numFmtId="201" fontId="8" fillId="10" borderId="0" xfId="0" applyNumberFormat="1" applyFont="1" applyFill="1" applyBorder="1"/>
    <x:xf numFmtId="201" fontId="8" fillId="10" borderId="38" xfId="0" applyNumberFormat="1" applyFont="1" applyFill="1" applyBorder="1"/>
    <x:xf numFmtId="201" fontId="8" fillId="10" borderId="39" xfId="0" applyNumberFormat="1" applyFont="1" applyFill="1" applyBorder="1"/>
    <x:xf numFmtId="201" fontId="8" fillId="10" borderId="40" xfId="0" applyNumberFormat="1" applyFont="1" applyFill="1" applyBorder="1"/>
    <x:xf numFmtId="201" fontId="8" fillId="10" borderId="41" xfId="0" applyNumberFormat="1" applyFont="1" applyFill="1" applyBorder="1"/>
    <x:xf numFmtId="201" fontId="8" fillId="10" borderId="34" xfId="0" applyNumberFormat="1" applyFont="1" applyFill="1" applyBorder="1" applyAlignment="1">
      <x:alignment wrapText="1"/>
    </x:xf>
    <x:xf numFmtId="201" fontId="8" fillId="10" borderId="35" xfId="0" applyNumberFormat="1" applyFont="1" applyFill="1" applyBorder="1" applyAlignment="1">
      <x:alignment wrapText="1"/>
    </x:xf>
    <x:xf numFmtId="201" fontId="8" fillId="10" borderId="36" xfId="0" applyNumberFormat="1" applyFont="1" applyFill="1" applyBorder="1" applyAlignment="1">
      <x:alignment wrapText="1"/>
    </x:xf>
    <x:xf numFmtId="201" fontId="8" fillId="10" borderId="37" xfId="0" applyNumberFormat="1" applyFont="1" applyFill="1" applyBorder="1" applyAlignment="1">
      <x:alignment wrapText="1"/>
    </x:xf>
    <x:xf numFmtId="201" fontId="8" fillId="10" borderId="0" xfId="0" applyNumberFormat="1" applyFont="1" applyFill="1" applyBorder="1" applyAlignment="1">
      <x:alignment wrapText="1"/>
    </x:xf>
    <x:xf numFmtId="201" fontId="8" fillId="10" borderId="38" xfId="0" applyNumberFormat="1" applyFont="1" applyFill="1" applyBorder="1" applyAlignment="1">
      <x:alignment wrapText="1"/>
    </x:xf>
    <x:xf numFmtId="201" fontId="8" fillId="10" borderId="39" xfId="0" applyNumberFormat="1" applyFont="1" applyFill="1" applyBorder="1" applyAlignment="1">
      <x:alignment wrapText="1"/>
    </x:xf>
    <x:xf numFmtId="201" fontId="8" fillId="10" borderId="40" xfId="0" applyNumberFormat="1" applyFont="1" applyFill="1" applyBorder="1" applyAlignment="1">
      <x:alignment wrapText="1"/>
    </x:xf>
    <x:xf numFmtId="201" fontId="8" fillId="10" borderId="41" xfId="0" applyNumberFormat="1" applyFont="1" applyFill="1" applyBorder="1" applyAlignment="1">
      <x:alignment wrapText="1"/>
    </x:xf>
    <x:xf numFmtId="201" fontId="8" fillId="10" borderId="34" xfId="0" applyNumberFormat="1" applyFont="1" applyFill="1" applyBorder="1" applyAlignment="1">
      <x:alignment horizontal="center" wrapText="1"/>
    </x:xf>
    <x:xf numFmtId="201" fontId="8" fillId="10" borderId="35" xfId="0" applyNumberFormat="1" applyFont="1" applyFill="1" applyBorder="1" applyAlignment="1">
      <x:alignment horizontal="center" wrapText="1"/>
    </x:xf>
    <x:xf numFmtId="201" fontId="8" fillId="10" borderId="36" xfId="0" applyNumberFormat="1" applyFont="1" applyFill="1" applyBorder="1" applyAlignment="1">
      <x:alignment horizontal="center" wrapText="1"/>
    </x:xf>
    <x:xf numFmtId="201" fontId="8" fillId="10" borderId="37" xfId="0" applyNumberFormat="1" applyFont="1" applyFill="1" applyBorder="1" applyAlignment="1">
      <x:alignment horizontal="center" wrapText="1"/>
    </x:xf>
    <x:xf numFmtId="201" fontId="8" fillId="10" borderId="0" xfId="0" applyNumberFormat="1" applyFont="1" applyFill="1" applyBorder="1" applyAlignment="1">
      <x:alignment horizontal="center" wrapText="1"/>
    </x:xf>
    <x:xf numFmtId="201" fontId="8" fillId="10" borderId="38" xfId="0" applyNumberFormat="1" applyFont="1" applyFill="1" applyBorder="1" applyAlignment="1">
      <x:alignment horizontal="center" wrapText="1"/>
    </x:xf>
    <x:xf numFmtId="201" fontId="8" fillId="10" borderId="39" xfId="0" applyNumberFormat="1" applyFont="1" applyFill="1" applyBorder="1" applyAlignment="1">
      <x:alignment horizontal="center" wrapText="1"/>
    </x:xf>
    <x:xf numFmtId="201" fontId="8" fillId="10" borderId="40" xfId="0" applyNumberFormat="1" applyFont="1" applyFill="1" applyBorder="1" applyAlignment="1">
      <x:alignment horizontal="center" wrapText="1"/>
    </x:xf>
    <x:xf numFmtId="201" fontId="8" fillId="10" borderId="41" xfId="0" applyNumberFormat="1" applyFont="1" applyFill="1" applyBorder="1" applyAlignment="1">
      <x:alignment horizontal="center" wrapText="1"/>
    </x:xf>
    <x:xf numFmtId="201" fontId="8" fillId="10" borderId="34" xfId="0" applyNumberFormat="1" applyFont="1" applyFill="1" applyBorder="1" applyAlignment="1">
      <x:alignment horizontal="center" vertical="center" wrapText="1"/>
    </x:xf>
    <x:xf numFmtId="201" fontId="8" fillId="10" borderId="35" xfId="0" applyNumberFormat="1" applyFont="1" applyFill="1" applyBorder="1" applyAlignment="1">
      <x:alignment horizontal="center" vertical="center" wrapText="1"/>
    </x:xf>
    <x:xf numFmtId="201" fontId="8" fillId="10" borderId="36" xfId="0" applyNumberFormat="1" applyFont="1" applyFill="1" applyBorder="1" applyAlignment="1">
      <x:alignment horizontal="center" vertical="center" wrapText="1"/>
    </x:xf>
    <x:xf numFmtId="201" fontId="8" fillId="10" borderId="37" xfId="0" applyNumberFormat="1" applyFont="1" applyFill="1" applyBorder="1" applyAlignment="1">
      <x:alignment horizontal="center" vertical="center" wrapText="1"/>
    </x:xf>
    <x:xf numFmtId="201" fontId="8" fillId="10" borderId="0" xfId="0" applyNumberFormat="1" applyFont="1" applyFill="1" applyBorder="1" applyAlignment="1">
      <x:alignment horizontal="center" vertical="center" wrapText="1"/>
    </x:xf>
    <x:xf numFmtId="201" fontId="8" fillId="10" borderId="38" xfId="0" applyNumberFormat="1" applyFont="1" applyFill="1" applyBorder="1" applyAlignment="1">
      <x:alignment horizontal="center" vertical="center" wrapText="1"/>
    </x:xf>
    <x:xf numFmtId="201" fontId="8" fillId="10" borderId="39" xfId="0" applyNumberFormat="1" applyFont="1" applyFill="1" applyBorder="1" applyAlignment="1">
      <x:alignment horizontal="center" vertical="center" wrapText="1"/>
    </x:xf>
    <x:xf numFmtId="201" fontId="8" fillId="10" borderId="40" xfId="0" applyNumberFormat="1" applyFont="1" applyFill="1" applyBorder="1" applyAlignment="1">
      <x:alignment horizontal="center" vertical="center" wrapText="1"/>
    </x:xf>
    <x:xf numFmtId="201" fontId="8" fillId="10" borderId="41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42" xfId="0" applyNumberFormat="1" applyFont="1" applyFill="1" applyBorder="1"/>
    <x:xf numFmtId="0" fontId="8" fillId="10" borderId="43" xfId="0" applyNumberFormat="1" applyFont="1" applyFill="1" applyBorder="1"/>
    <x:xf numFmtId="0" fontId="8" fillId="10" borderId="44" xfId="0" applyNumberFormat="1" applyFont="1" applyFill="1" applyBorder="1"/>
    <x:xf numFmtId="0" fontId="8" fillId="10" borderId="45" xfId="0" applyNumberFormat="1" applyFont="1" applyFill="1" applyBorder="1"/>
    <x:xf numFmtId="0" fontId="8" fillId="10" borderId="46" xfId="0" applyNumberFormat="1" applyFont="1" applyFill="1" applyBorder="1"/>
    <x:xf numFmtId="0" fontId="8" fillId="10" borderId="47" xfId="0" applyNumberFormat="1" applyFont="1" applyFill="1" applyBorder="1"/>
    <x:xf numFmtId="0" fontId="8" fillId="10" borderId="48" xfId="0" applyNumberFormat="1" applyFont="1" applyFill="1" applyBorder="1"/>
    <x:xf numFmtId="0" fontId="8" fillId="10" borderId="49" xfId="0" applyNumberFormat="1" applyFont="1" applyFill="1" applyBorder="1"/>
    <x:xf numFmtId="201" fontId="8" fillId="10" borderId="42" xfId="0" applyNumberFormat="1" applyFont="1" applyFill="1" applyBorder="1"/>
    <x:xf numFmtId="201" fontId="8" fillId="10" borderId="43" xfId="0" applyNumberFormat="1" applyFont="1" applyFill="1" applyBorder="1"/>
    <x:xf numFmtId="201" fontId="8" fillId="10" borderId="44" xfId="0" applyNumberFormat="1" applyFont="1" applyFill="1" applyBorder="1"/>
    <x:xf numFmtId="201" fontId="8" fillId="10" borderId="45" xfId="0" applyNumberFormat="1" applyFont="1" applyFill="1" applyBorder="1"/>
    <x:xf numFmtId="201" fontId="8" fillId="10" borderId="1" xfId="0" applyNumberFormat="1" applyFont="1" applyFill="1" applyBorder="1"/>
    <x:xf numFmtId="201" fontId="8" fillId="10" borderId="46" xfId="0" applyNumberFormat="1" applyFont="1" applyFill="1" applyBorder="1"/>
    <x:xf numFmtId="201" fontId="8" fillId="10" borderId="47" xfId="0" applyNumberFormat="1" applyFont="1" applyFill="1" applyBorder="1"/>
    <x:xf numFmtId="201" fontId="8" fillId="10" borderId="48" xfId="0" applyNumberFormat="1" applyFont="1" applyFill="1" applyBorder="1"/>
    <x:xf numFmtId="201" fontId="8" fillId="10" borderId="49" xfId="0" applyNumberFormat="1" applyFont="1" applyFill="1" applyBorder="1"/>
    <x:xf numFmtId="201" fontId="8" fillId="10" borderId="42" xfId="0" applyNumberFormat="1" applyFont="1" applyFill="1" applyBorder="1" applyAlignment="1">
      <x:alignment wrapText="1"/>
    </x:xf>
    <x:xf numFmtId="201" fontId="8" fillId="10" borderId="43" xfId="0" applyNumberFormat="1" applyFont="1" applyFill="1" applyBorder="1" applyAlignment="1">
      <x:alignment wrapText="1"/>
    </x:xf>
    <x:xf numFmtId="201" fontId="8" fillId="10" borderId="44" xfId="0" applyNumberFormat="1" applyFont="1" applyFill="1" applyBorder="1" applyAlignment="1">
      <x:alignment wrapText="1"/>
    </x:xf>
    <x:xf numFmtId="201" fontId="8" fillId="10" borderId="45" xfId="0" applyNumberFormat="1" applyFont="1" applyFill="1" applyBorder="1" applyAlignment="1">
      <x:alignment wrapText="1"/>
    </x:xf>
    <x:xf numFmtId="201" fontId="8" fillId="10" borderId="1" xfId="0" applyNumberFormat="1" applyFont="1" applyFill="1" applyBorder="1" applyAlignment="1">
      <x:alignment wrapText="1"/>
    </x:xf>
    <x:xf numFmtId="201" fontId="8" fillId="10" borderId="46" xfId="0" applyNumberFormat="1" applyFont="1" applyFill="1" applyBorder="1" applyAlignment="1">
      <x:alignment wrapText="1"/>
    </x:xf>
    <x:xf numFmtId="201" fontId="8" fillId="10" borderId="47" xfId="0" applyNumberFormat="1" applyFont="1" applyFill="1" applyBorder="1" applyAlignment="1">
      <x:alignment wrapText="1"/>
    </x:xf>
    <x:xf numFmtId="201" fontId="8" fillId="10" borderId="48" xfId="0" applyNumberFormat="1" applyFont="1" applyFill="1" applyBorder="1" applyAlignment="1">
      <x:alignment wrapText="1"/>
    </x:xf>
    <x:xf numFmtId="201" fontId="8" fillId="10" borderId="49" xfId="0" applyNumberFormat="1" applyFont="1" applyFill="1" applyBorder="1" applyAlignment="1">
      <x:alignment wrapText="1"/>
    </x:xf>
    <x:xf numFmtId="201" fontId="8" fillId="10" borderId="42" xfId="0" applyNumberFormat="1" applyFont="1" applyFill="1" applyBorder="1" applyAlignment="1">
      <x:alignment horizontal="center" wrapText="1"/>
    </x:xf>
    <x:xf numFmtId="201" fontId="8" fillId="10" borderId="43" xfId="0" applyNumberFormat="1" applyFont="1" applyFill="1" applyBorder="1" applyAlignment="1">
      <x:alignment horizontal="center" wrapText="1"/>
    </x:xf>
    <x:xf numFmtId="201" fontId="8" fillId="10" borderId="44" xfId="0" applyNumberFormat="1" applyFont="1" applyFill="1" applyBorder="1" applyAlignment="1">
      <x:alignment horizontal="center" wrapText="1"/>
    </x:xf>
    <x:xf numFmtId="201" fontId="8" fillId="10" borderId="45" xfId="0" applyNumberFormat="1" applyFont="1" applyFill="1" applyBorder="1" applyAlignment="1">
      <x:alignment horizontal="center" wrapText="1"/>
    </x:xf>
    <x:xf numFmtId="201" fontId="8" fillId="10" borderId="1" xfId="0" applyNumberFormat="1" applyFont="1" applyFill="1" applyBorder="1" applyAlignment="1">
      <x:alignment horizontal="center" wrapText="1"/>
    </x:xf>
    <x:xf numFmtId="201" fontId="8" fillId="10" borderId="46" xfId="0" applyNumberFormat="1" applyFont="1" applyFill="1" applyBorder="1" applyAlignment="1">
      <x:alignment horizontal="center" wrapText="1"/>
    </x:xf>
    <x:xf numFmtId="201" fontId="8" fillId="10" borderId="47" xfId="0" applyNumberFormat="1" applyFont="1" applyFill="1" applyBorder="1" applyAlignment="1">
      <x:alignment horizontal="center" wrapText="1"/>
    </x:xf>
    <x:xf numFmtId="201" fontId="8" fillId="10" borderId="48" xfId="0" applyNumberFormat="1" applyFont="1" applyFill="1" applyBorder="1" applyAlignment="1">
      <x:alignment horizontal="center" wrapText="1"/>
    </x:xf>
    <x:xf numFmtId="201" fontId="8" fillId="10" borderId="49" xfId="0" applyNumberFormat="1" applyFont="1" applyFill="1" applyBorder="1" applyAlignment="1">
      <x:alignment horizontal="center" wrapText="1"/>
    </x:xf>
    <x:xf numFmtId="201" fontId="8" fillId="10" borderId="42" xfId="0" applyNumberFormat="1" applyFont="1" applyFill="1" applyBorder="1" applyAlignment="1">
      <x:alignment horizontal="center" vertical="center" wrapText="1"/>
    </x:xf>
    <x:xf numFmtId="201" fontId="8" fillId="10" borderId="43" xfId="0" applyNumberFormat="1" applyFont="1" applyFill="1" applyBorder="1" applyAlignment="1">
      <x:alignment horizontal="center" vertical="center" wrapText="1"/>
    </x:xf>
    <x:xf numFmtId="201" fontId="8" fillId="10" borderId="44" xfId="0" applyNumberFormat="1" applyFont="1" applyFill="1" applyBorder="1" applyAlignment="1">
      <x:alignment horizontal="center" vertical="center" wrapText="1"/>
    </x:xf>
    <x:xf numFmtId="201" fontId="8" fillId="10" borderId="45" xfId="0" applyNumberFormat="1" applyFont="1" applyFill="1" applyBorder="1" applyAlignment="1">
      <x:alignment horizontal="center" vertical="center" wrapText="1"/>
    </x:xf>
    <x:xf numFmtId="201" fontId="8" fillId="10" borderId="1" xfId="0" applyNumberFormat="1" applyFont="1" applyFill="1" applyBorder="1" applyAlignment="1">
      <x:alignment horizontal="center" vertical="center" wrapText="1"/>
    </x:xf>
    <x:xf numFmtId="201" fontId="8" fillId="10" borderId="46" xfId="0" applyNumberFormat="1" applyFont="1" applyFill="1" applyBorder="1" applyAlignment="1">
      <x:alignment horizontal="center" vertical="center" wrapText="1"/>
    </x:xf>
    <x:xf numFmtId="201" fontId="8" fillId="10" borderId="47" xfId="0" applyNumberFormat="1" applyFont="1" applyFill="1" applyBorder="1" applyAlignment="1">
      <x:alignment horizontal="center" vertical="center" wrapText="1"/>
    </x:xf>
    <x:xf numFmtId="201" fontId="8" fillId="10" borderId="48" xfId="0" applyNumberFormat="1" applyFont="1" applyFill="1" applyBorder="1" applyAlignment="1">
      <x:alignment horizontal="center" vertical="center" wrapText="1"/>
    </x:xf>
    <x:xf numFmtId="201" fontId="8" fillId="10" borderId="49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34" xfId="0" applyNumberFormat="1" applyFont="1" applyFill="1" applyBorder="1"/>
    <x:xf numFmtId="0" fontId="9" fillId="11" borderId="35" xfId="0" applyNumberFormat="1" applyFont="1" applyFill="1" applyBorder="1"/>
    <x:xf numFmtId="0" fontId="9" fillId="11" borderId="36" xfId="0" applyNumberFormat="1" applyFont="1" applyFill="1" applyBorder="1"/>
    <x:xf numFmtId="0" fontId="9" fillId="11" borderId="37" xfId="0" applyNumberFormat="1" applyFont="1" applyFill="1" applyBorder="1"/>
    <x:xf numFmtId="0" fontId="9" fillId="11" borderId="38" xfId="0" applyNumberFormat="1" applyFont="1" applyFill="1" applyBorder="1"/>
    <x:xf numFmtId="0" fontId="9" fillId="11" borderId="39" xfId="0" applyNumberFormat="1" applyFont="1" applyFill="1" applyBorder="1"/>
    <x:xf numFmtId="0" fontId="9" fillId="11" borderId="40" xfId="0" applyNumberFormat="1" applyFont="1" applyFill="1" applyBorder="1"/>
    <x:xf numFmtId="0" fontId="9" fillId="11" borderId="41" xfId="0" applyNumberFormat="1" applyFont="1" applyFill="1" applyBorder="1"/>
    <x:xf numFmtId="201" fontId="9" fillId="11" borderId="34" xfId="0" applyNumberFormat="1" applyFont="1" applyFill="1" applyBorder="1"/>
    <x:xf numFmtId="201" fontId="9" fillId="11" borderId="35" xfId="0" applyNumberFormat="1" applyFont="1" applyFill="1" applyBorder="1"/>
    <x:xf numFmtId="201" fontId="9" fillId="11" borderId="36" xfId="0" applyNumberFormat="1" applyFont="1" applyFill="1" applyBorder="1"/>
    <x:xf numFmtId="201" fontId="9" fillId="11" borderId="37" xfId="0" applyNumberFormat="1" applyFont="1" applyFill="1" applyBorder="1"/>
    <x:xf numFmtId="201" fontId="9" fillId="11" borderId="0" xfId="0" applyNumberFormat="1" applyFont="1" applyFill="1" applyBorder="1"/>
    <x:xf numFmtId="201" fontId="9" fillId="11" borderId="38" xfId="0" applyNumberFormat="1" applyFont="1" applyFill="1" applyBorder="1"/>
    <x:xf numFmtId="201" fontId="9" fillId="11" borderId="39" xfId="0" applyNumberFormat="1" applyFont="1" applyFill="1" applyBorder="1"/>
    <x:xf numFmtId="201" fontId="9" fillId="11" borderId="40" xfId="0" applyNumberFormat="1" applyFont="1" applyFill="1" applyBorder="1"/>
    <x:xf numFmtId="201" fontId="9" fillId="11" borderId="41" xfId="0" applyNumberFormat="1" applyFont="1" applyFill="1" applyBorder="1"/>
    <x:xf numFmtId="201" fontId="9" fillId="11" borderId="34" xfId="0" applyNumberFormat="1" applyFont="1" applyFill="1" applyBorder="1" applyAlignment="1">
      <x:alignment wrapText="1"/>
    </x:xf>
    <x:xf numFmtId="201" fontId="9" fillId="11" borderId="35" xfId="0" applyNumberFormat="1" applyFont="1" applyFill="1" applyBorder="1" applyAlignment="1">
      <x:alignment wrapText="1"/>
    </x:xf>
    <x:xf numFmtId="201" fontId="9" fillId="11" borderId="36" xfId="0" applyNumberFormat="1" applyFont="1" applyFill="1" applyBorder="1" applyAlignment="1">
      <x:alignment wrapText="1"/>
    </x:xf>
    <x:xf numFmtId="201" fontId="9" fillId="11" borderId="37" xfId="0" applyNumberFormat="1" applyFont="1" applyFill="1" applyBorder="1" applyAlignment="1">
      <x:alignment wrapText="1"/>
    </x:xf>
    <x:xf numFmtId="201" fontId="9" fillId="11" borderId="0" xfId="0" applyNumberFormat="1" applyFont="1" applyFill="1" applyBorder="1" applyAlignment="1">
      <x:alignment wrapText="1"/>
    </x:xf>
    <x:xf numFmtId="201" fontId="9" fillId="11" borderId="38" xfId="0" applyNumberFormat="1" applyFont="1" applyFill="1" applyBorder="1" applyAlignment="1">
      <x:alignment wrapText="1"/>
    </x:xf>
    <x:xf numFmtId="201" fontId="9" fillId="11" borderId="39" xfId="0" applyNumberFormat="1" applyFont="1" applyFill="1" applyBorder="1" applyAlignment="1">
      <x:alignment wrapText="1"/>
    </x:xf>
    <x:xf numFmtId="201" fontId="9" fillId="11" borderId="40" xfId="0" applyNumberFormat="1" applyFont="1" applyFill="1" applyBorder="1" applyAlignment="1">
      <x:alignment wrapText="1"/>
    </x:xf>
    <x:xf numFmtId="201" fontId="9" fillId="11" borderId="41" xfId="0" applyNumberFormat="1" applyFont="1" applyFill="1" applyBorder="1" applyAlignment="1">
      <x:alignment wrapText="1"/>
    </x:xf>
    <x:xf numFmtId="201" fontId="9" fillId="11" borderId="34" xfId="0" applyNumberFormat="1" applyFont="1" applyFill="1" applyBorder="1" applyAlignment="1">
      <x:alignment horizontal="center" wrapText="1"/>
    </x:xf>
    <x:xf numFmtId="201" fontId="9" fillId="11" borderId="35" xfId="0" applyNumberFormat="1" applyFont="1" applyFill="1" applyBorder="1" applyAlignment="1">
      <x:alignment horizontal="center" wrapText="1"/>
    </x:xf>
    <x:xf numFmtId="201" fontId="9" fillId="11" borderId="36" xfId="0" applyNumberFormat="1" applyFont="1" applyFill="1" applyBorder="1" applyAlignment="1">
      <x:alignment horizontal="center" wrapText="1"/>
    </x:xf>
    <x:xf numFmtId="201" fontId="9" fillId="11" borderId="37" xfId="0" applyNumberFormat="1" applyFont="1" applyFill="1" applyBorder="1" applyAlignment="1">
      <x:alignment horizontal="center" wrapText="1"/>
    </x:xf>
    <x:xf numFmtId="201" fontId="9" fillId="11" borderId="0" xfId="0" applyNumberFormat="1" applyFont="1" applyFill="1" applyBorder="1" applyAlignment="1">
      <x:alignment horizontal="center" wrapText="1"/>
    </x:xf>
    <x:xf numFmtId="201" fontId="9" fillId="11" borderId="38" xfId="0" applyNumberFormat="1" applyFont="1" applyFill="1" applyBorder="1" applyAlignment="1">
      <x:alignment horizontal="center" wrapText="1"/>
    </x:xf>
    <x:xf numFmtId="201" fontId="9" fillId="11" borderId="39" xfId="0" applyNumberFormat="1" applyFont="1" applyFill="1" applyBorder="1" applyAlignment="1">
      <x:alignment horizontal="center" wrapText="1"/>
    </x:xf>
    <x:xf numFmtId="201" fontId="9" fillId="11" borderId="40" xfId="0" applyNumberFormat="1" applyFont="1" applyFill="1" applyBorder="1" applyAlignment="1">
      <x:alignment horizontal="center" wrapText="1"/>
    </x:xf>
    <x:xf numFmtId="201" fontId="9" fillId="11" borderId="41" xfId="0" applyNumberFormat="1" applyFont="1" applyFill="1" applyBorder="1" applyAlignment="1">
      <x:alignment horizontal="center" wrapText="1"/>
    </x:xf>
    <x:xf numFmtId="201" fontId="9" fillId="11" borderId="34" xfId="0" applyNumberFormat="1" applyFont="1" applyFill="1" applyBorder="1" applyAlignment="1">
      <x:alignment horizontal="center" vertical="center" wrapText="1"/>
    </x:xf>
    <x:xf numFmtId="201" fontId="9" fillId="11" borderId="35" xfId="0" applyNumberFormat="1" applyFont="1" applyFill="1" applyBorder="1" applyAlignment="1">
      <x:alignment horizontal="center" vertical="center" wrapText="1"/>
    </x:xf>
    <x:xf numFmtId="201" fontId="9" fillId="11" borderId="36" xfId="0" applyNumberFormat="1" applyFont="1" applyFill="1" applyBorder="1" applyAlignment="1">
      <x:alignment horizontal="center" vertical="center" wrapText="1"/>
    </x:xf>
    <x:xf numFmtId="201" fontId="9" fillId="11" borderId="37" xfId="0" applyNumberFormat="1" applyFont="1" applyFill="1" applyBorder="1" applyAlignment="1">
      <x:alignment horizontal="center" vertical="center" wrapText="1"/>
    </x:xf>
    <x:xf numFmtId="201" fontId="9" fillId="11" borderId="0" xfId="0" applyNumberFormat="1" applyFont="1" applyFill="1" applyBorder="1" applyAlignment="1">
      <x:alignment horizontal="center" vertical="center" wrapText="1"/>
    </x:xf>
    <x:xf numFmtId="201" fontId="9" fillId="11" borderId="38" xfId="0" applyNumberFormat="1" applyFont="1" applyFill="1" applyBorder="1" applyAlignment="1">
      <x:alignment horizontal="center" vertical="center" wrapText="1"/>
    </x:xf>
    <x:xf numFmtId="201" fontId="9" fillId="11" borderId="39" xfId="0" applyNumberFormat="1" applyFont="1" applyFill="1" applyBorder="1" applyAlignment="1">
      <x:alignment horizontal="center" vertical="center" wrapText="1"/>
    </x:xf>
    <x:xf numFmtId="201" fontId="9" fillId="11" borderId="40" xfId="0" applyNumberFormat="1" applyFont="1" applyFill="1" applyBorder="1" applyAlignment="1">
      <x:alignment horizontal="center" vertical="center" wrapText="1"/>
    </x:xf>
    <x:xf numFmtId="201" fontId="9" fillId="11" borderId="41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9" fillId="11" borderId="1" xfId="0" applyNumberFormat="1" applyFont="1" applyFill="1" applyBorder="1"/>
    <x:xf numFmtId="0" fontId="9" fillId="11" borderId="42" xfId="0" applyNumberFormat="1" applyFont="1" applyFill="1" applyBorder="1"/>
    <x:xf numFmtId="0" fontId="9" fillId="11" borderId="43" xfId="0" applyNumberFormat="1" applyFont="1" applyFill="1" applyBorder="1"/>
    <x:xf numFmtId="0" fontId="9" fillId="11" borderId="44" xfId="0" applyNumberFormat="1" applyFont="1" applyFill="1" applyBorder="1"/>
    <x:xf numFmtId="0" fontId="9" fillId="11" borderId="45" xfId="0" applyNumberFormat="1" applyFont="1" applyFill="1" applyBorder="1"/>
    <x:xf numFmtId="0" fontId="9" fillId="11" borderId="46" xfId="0" applyNumberFormat="1" applyFont="1" applyFill="1" applyBorder="1"/>
    <x:xf numFmtId="0" fontId="9" fillId="11" borderId="47" xfId="0" applyNumberFormat="1" applyFont="1" applyFill="1" applyBorder="1"/>
    <x:xf numFmtId="0" fontId="9" fillId="11" borderId="48" xfId="0" applyNumberFormat="1" applyFont="1" applyFill="1" applyBorder="1"/>
    <x:xf numFmtId="0" fontId="9" fillId="11" borderId="49" xfId="0" applyNumberFormat="1" applyFont="1" applyFill="1" applyBorder="1"/>
    <x:xf numFmtId="201" fontId="9" fillId="11" borderId="42" xfId="0" applyNumberFormat="1" applyFont="1" applyFill="1" applyBorder="1"/>
    <x:xf numFmtId="201" fontId="9" fillId="11" borderId="43" xfId="0" applyNumberFormat="1" applyFont="1" applyFill="1" applyBorder="1"/>
    <x:xf numFmtId="201" fontId="9" fillId="11" borderId="44" xfId="0" applyNumberFormat="1" applyFont="1" applyFill="1" applyBorder="1"/>
    <x:xf numFmtId="201" fontId="9" fillId="11" borderId="45" xfId="0" applyNumberFormat="1" applyFont="1" applyFill="1" applyBorder="1"/>
    <x:xf numFmtId="201" fontId="9" fillId="11" borderId="1" xfId="0" applyNumberFormat="1" applyFont="1" applyFill="1" applyBorder="1"/>
    <x:xf numFmtId="201" fontId="9" fillId="11" borderId="46" xfId="0" applyNumberFormat="1" applyFont="1" applyFill="1" applyBorder="1"/>
    <x:xf numFmtId="201" fontId="9" fillId="11" borderId="47" xfId="0" applyNumberFormat="1" applyFont="1" applyFill="1" applyBorder="1"/>
    <x:xf numFmtId="201" fontId="9" fillId="11" borderId="48" xfId="0" applyNumberFormat="1" applyFont="1" applyFill="1" applyBorder="1"/>
    <x:xf numFmtId="201" fontId="9" fillId="11" borderId="49" xfId="0" applyNumberFormat="1" applyFont="1" applyFill="1" applyBorder="1"/>
    <x:xf numFmtId="201" fontId="9" fillId="11" borderId="42" xfId="0" applyNumberFormat="1" applyFont="1" applyFill="1" applyBorder="1" applyAlignment="1">
      <x:alignment wrapText="1"/>
    </x:xf>
    <x:xf numFmtId="201" fontId="9" fillId="11" borderId="43" xfId="0" applyNumberFormat="1" applyFont="1" applyFill="1" applyBorder="1" applyAlignment="1">
      <x:alignment wrapText="1"/>
    </x:xf>
    <x:xf numFmtId="201" fontId="9" fillId="11" borderId="44" xfId="0" applyNumberFormat="1" applyFont="1" applyFill="1" applyBorder="1" applyAlignment="1">
      <x:alignment wrapText="1"/>
    </x:xf>
    <x:xf numFmtId="201" fontId="9" fillId="11" borderId="45" xfId="0" applyNumberFormat="1" applyFont="1" applyFill="1" applyBorder="1" applyAlignment="1">
      <x:alignment wrapText="1"/>
    </x:xf>
    <x:xf numFmtId="201" fontId="9" fillId="11" borderId="1" xfId="0" applyNumberFormat="1" applyFont="1" applyFill="1" applyBorder="1" applyAlignment="1">
      <x:alignment wrapText="1"/>
    </x:xf>
    <x:xf numFmtId="201" fontId="9" fillId="11" borderId="46" xfId="0" applyNumberFormat="1" applyFont="1" applyFill="1" applyBorder="1" applyAlignment="1">
      <x:alignment wrapText="1"/>
    </x:xf>
    <x:xf numFmtId="201" fontId="9" fillId="11" borderId="47" xfId="0" applyNumberFormat="1" applyFont="1" applyFill="1" applyBorder="1" applyAlignment="1">
      <x:alignment wrapText="1"/>
    </x:xf>
    <x:xf numFmtId="201" fontId="9" fillId="11" borderId="48" xfId="0" applyNumberFormat="1" applyFont="1" applyFill="1" applyBorder="1" applyAlignment="1">
      <x:alignment wrapText="1"/>
    </x:xf>
    <x:xf numFmtId="201" fontId="9" fillId="11" borderId="49" xfId="0" applyNumberFormat="1" applyFont="1" applyFill="1" applyBorder="1" applyAlignment="1">
      <x:alignment wrapText="1"/>
    </x:xf>
    <x:xf numFmtId="201" fontId="9" fillId="11" borderId="42" xfId="0" applyNumberFormat="1" applyFont="1" applyFill="1" applyBorder="1" applyAlignment="1">
      <x:alignment horizontal="center" wrapText="1"/>
    </x:xf>
    <x:xf numFmtId="201" fontId="9" fillId="11" borderId="43" xfId="0" applyNumberFormat="1" applyFont="1" applyFill="1" applyBorder="1" applyAlignment="1">
      <x:alignment horizontal="center" wrapText="1"/>
    </x:xf>
    <x:xf numFmtId="201" fontId="9" fillId="11" borderId="44" xfId="0" applyNumberFormat="1" applyFont="1" applyFill="1" applyBorder="1" applyAlignment="1">
      <x:alignment horizontal="center" wrapText="1"/>
    </x:xf>
    <x:xf numFmtId="201" fontId="9" fillId="11" borderId="45" xfId="0" applyNumberFormat="1" applyFont="1" applyFill="1" applyBorder="1" applyAlignment="1">
      <x:alignment horizontal="center" wrapText="1"/>
    </x:xf>
    <x:xf numFmtId="201" fontId="9" fillId="11" borderId="1" xfId="0" applyNumberFormat="1" applyFont="1" applyFill="1" applyBorder="1" applyAlignment="1">
      <x:alignment horizontal="center" wrapText="1"/>
    </x:xf>
    <x:xf numFmtId="201" fontId="9" fillId="11" borderId="46" xfId="0" applyNumberFormat="1" applyFont="1" applyFill="1" applyBorder="1" applyAlignment="1">
      <x:alignment horizontal="center" wrapText="1"/>
    </x:xf>
    <x:xf numFmtId="201" fontId="9" fillId="11" borderId="47" xfId="0" applyNumberFormat="1" applyFont="1" applyFill="1" applyBorder="1" applyAlignment="1">
      <x:alignment horizontal="center" wrapText="1"/>
    </x:xf>
    <x:xf numFmtId="201" fontId="9" fillId="11" borderId="48" xfId="0" applyNumberFormat="1" applyFont="1" applyFill="1" applyBorder="1" applyAlignment="1">
      <x:alignment horizontal="center" wrapText="1"/>
    </x:xf>
    <x:xf numFmtId="201" fontId="9" fillId="11" borderId="49" xfId="0" applyNumberFormat="1" applyFont="1" applyFill="1" applyBorder="1" applyAlignment="1">
      <x:alignment horizontal="center" wrapText="1"/>
    </x:xf>
    <x:xf numFmtId="201" fontId="9" fillId="11" borderId="42" xfId="0" applyNumberFormat="1" applyFont="1" applyFill="1" applyBorder="1" applyAlignment="1">
      <x:alignment horizontal="center" vertical="center" wrapText="1"/>
    </x:xf>
    <x:xf numFmtId="201" fontId="9" fillId="11" borderId="43" xfId="0" applyNumberFormat="1" applyFont="1" applyFill="1" applyBorder="1" applyAlignment="1">
      <x:alignment horizontal="center" vertical="center" wrapText="1"/>
    </x:xf>
    <x:xf numFmtId="201" fontId="9" fillId="11" borderId="44" xfId="0" applyNumberFormat="1" applyFont="1" applyFill="1" applyBorder="1" applyAlignment="1">
      <x:alignment horizontal="center" vertical="center" wrapText="1"/>
    </x:xf>
    <x:xf numFmtId="201" fontId="9" fillId="11" borderId="45" xfId="0" applyNumberFormat="1" applyFont="1" applyFill="1" applyBorder="1" applyAlignment="1">
      <x:alignment horizontal="center" vertical="center" wrapText="1"/>
    </x:xf>
    <x:xf numFmtId="201" fontId="9" fillId="11" borderId="1" xfId="0" applyNumberFormat="1" applyFont="1" applyFill="1" applyBorder="1" applyAlignment="1">
      <x:alignment horizontal="center" vertical="center" wrapText="1"/>
    </x:xf>
    <x:xf numFmtId="201" fontId="9" fillId="11" borderId="46" xfId="0" applyNumberFormat="1" applyFont="1" applyFill="1" applyBorder="1" applyAlignment="1">
      <x:alignment horizontal="center" vertical="center" wrapText="1"/>
    </x:xf>
    <x:xf numFmtId="201" fontId="9" fillId="11" borderId="47" xfId="0" applyNumberFormat="1" applyFont="1" applyFill="1" applyBorder="1" applyAlignment="1">
      <x:alignment horizontal="center" vertical="center" wrapText="1"/>
    </x:xf>
    <x:xf numFmtId="201" fontId="9" fillId="11" borderId="48" xfId="0" applyNumberFormat="1" applyFont="1" applyFill="1" applyBorder="1" applyAlignment="1">
      <x:alignment horizontal="center" vertical="center" wrapText="1"/>
    </x:xf>
    <x:xf numFmtId="201" fontId="9" fillId="11" borderId="49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34" xfId="0" applyNumberFormat="1" applyFont="1" applyFill="1" applyBorder="1"/>
    <x:xf numFmtId="0" fontId="10" fillId="12" borderId="35" xfId="0" applyNumberFormat="1" applyFont="1" applyFill="1" applyBorder="1"/>
    <x:xf numFmtId="0" fontId="10" fillId="12" borderId="36" xfId="0" applyNumberFormat="1" applyFont="1" applyFill="1" applyBorder="1"/>
    <x:xf numFmtId="0" fontId="10" fillId="12" borderId="37" xfId="0" applyNumberFormat="1" applyFont="1" applyFill="1" applyBorder="1"/>
    <x:xf numFmtId="0" fontId="10" fillId="12" borderId="38" xfId="0" applyNumberFormat="1" applyFont="1" applyFill="1" applyBorder="1"/>
    <x:xf numFmtId="0" fontId="10" fillId="12" borderId="39" xfId="0" applyNumberFormat="1" applyFont="1" applyFill="1" applyBorder="1"/>
    <x:xf numFmtId="0" fontId="10" fillId="12" borderId="40" xfId="0" applyNumberFormat="1" applyFont="1" applyFill="1" applyBorder="1"/>
    <x:xf numFmtId="0" fontId="10" fillId="12" borderId="41" xfId="0" applyNumberFormat="1" applyFont="1" applyFill="1" applyBorder="1"/>
    <x:xf numFmtId="203" fontId="10" fillId="12" borderId="34" xfId="0" applyNumberFormat="1" applyFont="1" applyFill="1" applyBorder="1"/>
    <x:xf numFmtId="203" fontId="10" fillId="12" borderId="35" xfId="0" applyNumberFormat="1" applyFont="1" applyFill="1" applyBorder="1"/>
    <x:xf numFmtId="203" fontId="10" fillId="12" borderId="36" xfId="0" applyNumberFormat="1" applyFont="1" applyFill="1" applyBorder="1"/>
    <x:xf numFmtId="203" fontId="10" fillId="12" borderId="37" xfId="0" applyNumberFormat="1" applyFont="1" applyFill="1" applyBorder="1"/>
    <x:xf numFmtId="203" fontId="10" fillId="12" borderId="0" xfId="0" applyNumberFormat="1" applyFont="1" applyFill="1" applyBorder="1"/>
    <x:xf numFmtId="203" fontId="10" fillId="12" borderId="38" xfId="0" applyNumberFormat="1" applyFont="1" applyFill="1" applyBorder="1"/>
    <x:xf numFmtId="203" fontId="10" fillId="12" borderId="39" xfId="0" applyNumberFormat="1" applyFont="1" applyFill="1" applyBorder="1"/>
    <x:xf numFmtId="203" fontId="10" fillId="12" borderId="40" xfId="0" applyNumberFormat="1" applyFont="1" applyFill="1" applyBorder="1"/>
    <x:xf numFmtId="203" fontId="10" fillId="12" borderId="41" xfId="0" applyNumberFormat="1" applyFont="1" applyFill="1" applyBorder="1"/>
    <x:xf numFmtId="203" fontId="10" fillId="12" borderId="34" xfId="0" applyNumberFormat="1" applyFont="1" applyFill="1" applyBorder="1" applyAlignment="1">
      <x:alignment wrapText="1"/>
    </x:xf>
    <x:xf numFmtId="203" fontId="10" fillId="12" borderId="35" xfId="0" applyNumberFormat="1" applyFont="1" applyFill="1" applyBorder="1" applyAlignment="1">
      <x:alignment wrapText="1"/>
    </x:xf>
    <x:xf numFmtId="203" fontId="10" fillId="12" borderId="36" xfId="0" applyNumberFormat="1" applyFont="1" applyFill="1" applyBorder="1" applyAlignment="1">
      <x:alignment wrapText="1"/>
    </x:xf>
    <x:xf numFmtId="203" fontId="10" fillId="12" borderId="37" xfId="0" applyNumberFormat="1" applyFont="1" applyFill="1" applyBorder="1" applyAlignment="1">
      <x:alignment wrapText="1"/>
    </x:xf>
    <x:xf numFmtId="203" fontId="10" fillId="12" borderId="0" xfId="0" applyNumberFormat="1" applyFont="1" applyFill="1" applyBorder="1" applyAlignment="1">
      <x:alignment wrapText="1"/>
    </x:xf>
    <x:xf numFmtId="203" fontId="10" fillId="12" borderId="38" xfId="0" applyNumberFormat="1" applyFont="1" applyFill="1" applyBorder="1" applyAlignment="1">
      <x:alignment wrapText="1"/>
    </x:xf>
    <x:xf numFmtId="203" fontId="10" fillId="12" borderId="39" xfId="0" applyNumberFormat="1" applyFont="1" applyFill="1" applyBorder="1" applyAlignment="1">
      <x:alignment wrapText="1"/>
    </x:xf>
    <x:xf numFmtId="203" fontId="10" fillId="12" borderId="40" xfId="0" applyNumberFormat="1" applyFont="1" applyFill="1" applyBorder="1" applyAlignment="1">
      <x:alignment wrapText="1"/>
    </x:xf>
    <x:xf numFmtId="203" fontId="10" fillId="12" borderId="41" xfId="0" applyNumberFormat="1" applyFont="1" applyFill="1" applyBorder="1" applyAlignment="1">
      <x:alignment wrapText="1"/>
    </x:xf>
    <x:xf numFmtId="203" fontId="10" fillId="12" borderId="34" xfId="0" applyNumberFormat="1" applyFont="1" applyFill="1" applyBorder="1" applyAlignment="1">
      <x:alignment horizontal="center" wrapText="1"/>
    </x:xf>
    <x:xf numFmtId="203" fontId="10" fillId="12" borderId="35" xfId="0" applyNumberFormat="1" applyFont="1" applyFill="1" applyBorder="1" applyAlignment="1">
      <x:alignment horizontal="center" wrapText="1"/>
    </x:xf>
    <x:xf numFmtId="203" fontId="10" fillId="12" borderId="36" xfId="0" applyNumberFormat="1" applyFont="1" applyFill="1" applyBorder="1" applyAlignment="1">
      <x:alignment horizontal="center" wrapText="1"/>
    </x:xf>
    <x:xf numFmtId="203" fontId="10" fillId="12" borderId="37" xfId="0" applyNumberFormat="1" applyFont="1" applyFill="1" applyBorder="1" applyAlignment="1">
      <x:alignment horizontal="center" wrapText="1"/>
    </x:xf>
    <x:xf numFmtId="203" fontId="10" fillId="12" borderId="0" xfId="0" applyNumberFormat="1" applyFont="1" applyFill="1" applyBorder="1" applyAlignment="1">
      <x:alignment horizontal="center" wrapText="1"/>
    </x:xf>
    <x:xf numFmtId="203" fontId="10" fillId="12" borderId="38" xfId="0" applyNumberFormat="1" applyFont="1" applyFill="1" applyBorder="1" applyAlignment="1">
      <x:alignment horizontal="center" wrapText="1"/>
    </x:xf>
    <x:xf numFmtId="203" fontId="10" fillId="12" borderId="39" xfId="0" applyNumberFormat="1" applyFont="1" applyFill="1" applyBorder="1" applyAlignment="1">
      <x:alignment horizontal="center" wrapText="1"/>
    </x:xf>
    <x:xf numFmtId="203" fontId="10" fillId="12" borderId="40" xfId="0" applyNumberFormat="1" applyFont="1" applyFill="1" applyBorder="1" applyAlignment="1">
      <x:alignment horizontal="center" wrapText="1"/>
    </x:xf>
    <x:xf numFmtId="203" fontId="10" fillId="12" borderId="41" xfId="0" applyNumberFormat="1" applyFont="1" applyFill="1" applyBorder="1" applyAlignment="1">
      <x:alignment horizontal="center" wrapText="1"/>
    </x:xf>
    <x:xf numFmtId="203" fontId="10" fillId="12" borderId="34" xfId="0" applyNumberFormat="1" applyFont="1" applyFill="1" applyBorder="1" applyAlignment="1">
      <x:alignment horizontal="center" vertical="center" wrapText="1"/>
    </x:xf>
    <x:xf numFmtId="203" fontId="10" fillId="12" borderId="35" xfId="0" applyNumberFormat="1" applyFont="1" applyFill="1" applyBorder="1" applyAlignment="1">
      <x:alignment horizontal="center" vertical="center" wrapText="1"/>
    </x:xf>
    <x:xf numFmtId="203" fontId="10" fillId="12" borderId="36" xfId="0" applyNumberFormat="1" applyFont="1" applyFill="1" applyBorder="1" applyAlignment="1">
      <x:alignment horizontal="center" vertical="center" wrapText="1"/>
    </x:xf>
    <x:xf numFmtId="203" fontId="10" fillId="12" borderId="37" xfId="0" applyNumberFormat="1" applyFont="1" applyFill="1" applyBorder="1" applyAlignment="1">
      <x:alignment horizontal="center" vertical="center" wrapText="1"/>
    </x:xf>
    <x:xf numFmtId="203" fontId="10" fillId="12" borderId="0" xfId="0" applyNumberFormat="1" applyFont="1" applyFill="1" applyBorder="1" applyAlignment="1">
      <x:alignment horizontal="center" vertical="center" wrapText="1"/>
    </x:xf>
    <x:xf numFmtId="203" fontId="10" fillId="12" borderId="38" xfId="0" applyNumberFormat="1" applyFont="1" applyFill="1" applyBorder="1" applyAlignment="1">
      <x:alignment horizontal="center" vertical="center" wrapText="1"/>
    </x:xf>
    <x:xf numFmtId="203" fontId="10" fillId="12" borderId="39" xfId="0" applyNumberFormat="1" applyFont="1" applyFill="1" applyBorder="1" applyAlignment="1">
      <x:alignment horizontal="center" vertical="center" wrapText="1"/>
    </x:xf>
    <x:xf numFmtId="203" fontId="10" fillId="12" borderId="40" xfId="0" applyNumberFormat="1" applyFont="1" applyFill="1" applyBorder="1" applyAlignment="1">
      <x:alignment horizontal="center" vertical="center" wrapText="1"/>
    </x:xf>
    <x:xf numFmtId="203" fontId="10" fillId="12" borderId="41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10" fillId="12" borderId="1" xfId="0" applyNumberFormat="1" applyFont="1" applyFill="1" applyBorder="1"/>
    <x:xf numFmtId="0" fontId="10" fillId="12" borderId="42" xfId="0" applyNumberFormat="1" applyFont="1" applyFill="1" applyBorder="1"/>
    <x:xf numFmtId="0" fontId="10" fillId="12" borderId="43" xfId="0" applyNumberFormat="1" applyFont="1" applyFill="1" applyBorder="1"/>
    <x:xf numFmtId="0" fontId="10" fillId="12" borderId="44" xfId="0" applyNumberFormat="1" applyFont="1" applyFill="1" applyBorder="1"/>
    <x:xf numFmtId="0" fontId="10" fillId="12" borderId="45" xfId="0" applyNumberFormat="1" applyFont="1" applyFill="1" applyBorder="1"/>
    <x:xf numFmtId="0" fontId="10" fillId="12" borderId="46" xfId="0" applyNumberFormat="1" applyFont="1" applyFill="1" applyBorder="1"/>
    <x:xf numFmtId="0" fontId="10" fillId="12" borderId="47" xfId="0" applyNumberFormat="1" applyFont="1" applyFill="1" applyBorder="1"/>
    <x:xf numFmtId="0" fontId="10" fillId="12" borderId="48" xfId="0" applyNumberFormat="1" applyFont="1" applyFill="1" applyBorder="1"/>
    <x:xf numFmtId="0" fontId="10" fillId="12" borderId="49" xfId="0" applyNumberFormat="1" applyFont="1" applyFill="1" applyBorder="1"/>
    <x:xf numFmtId="203" fontId="10" fillId="12" borderId="42" xfId="0" applyNumberFormat="1" applyFont="1" applyFill="1" applyBorder="1"/>
    <x:xf numFmtId="203" fontId="10" fillId="12" borderId="43" xfId="0" applyNumberFormat="1" applyFont="1" applyFill="1" applyBorder="1"/>
    <x:xf numFmtId="203" fontId="10" fillId="12" borderId="44" xfId="0" applyNumberFormat="1" applyFont="1" applyFill="1" applyBorder="1"/>
    <x:xf numFmtId="203" fontId="10" fillId="12" borderId="45" xfId="0" applyNumberFormat="1" applyFont="1" applyFill="1" applyBorder="1"/>
    <x:xf numFmtId="203" fontId="10" fillId="12" borderId="1" xfId="0" applyNumberFormat="1" applyFont="1" applyFill="1" applyBorder="1"/>
    <x:xf numFmtId="203" fontId="10" fillId="12" borderId="46" xfId="0" applyNumberFormat="1" applyFont="1" applyFill="1" applyBorder="1"/>
    <x:xf numFmtId="203" fontId="10" fillId="12" borderId="47" xfId="0" applyNumberFormat="1" applyFont="1" applyFill="1" applyBorder="1"/>
    <x:xf numFmtId="203" fontId="10" fillId="12" borderId="48" xfId="0" applyNumberFormat="1" applyFont="1" applyFill="1" applyBorder="1"/>
    <x:xf numFmtId="203" fontId="10" fillId="12" borderId="49" xfId="0" applyNumberFormat="1" applyFont="1" applyFill="1" applyBorder="1"/>
    <x:xf numFmtId="203" fontId="10" fillId="12" borderId="42" xfId="0" applyNumberFormat="1" applyFont="1" applyFill="1" applyBorder="1" applyAlignment="1">
      <x:alignment wrapText="1"/>
    </x:xf>
    <x:xf numFmtId="203" fontId="10" fillId="12" borderId="43" xfId="0" applyNumberFormat="1" applyFont="1" applyFill="1" applyBorder="1" applyAlignment="1">
      <x:alignment wrapText="1"/>
    </x:xf>
    <x:xf numFmtId="203" fontId="10" fillId="12" borderId="44" xfId="0" applyNumberFormat="1" applyFont="1" applyFill="1" applyBorder="1" applyAlignment="1">
      <x:alignment wrapText="1"/>
    </x:xf>
    <x:xf numFmtId="203" fontId="10" fillId="12" borderId="45" xfId="0" applyNumberFormat="1" applyFont="1" applyFill="1" applyBorder="1" applyAlignment="1">
      <x:alignment wrapText="1"/>
    </x:xf>
    <x:xf numFmtId="203" fontId="10" fillId="12" borderId="1" xfId="0" applyNumberFormat="1" applyFont="1" applyFill="1" applyBorder="1" applyAlignment="1">
      <x:alignment wrapText="1"/>
    </x:xf>
    <x:xf numFmtId="203" fontId="10" fillId="12" borderId="46" xfId="0" applyNumberFormat="1" applyFont="1" applyFill="1" applyBorder="1" applyAlignment="1">
      <x:alignment wrapText="1"/>
    </x:xf>
    <x:xf numFmtId="203" fontId="10" fillId="12" borderId="47" xfId="0" applyNumberFormat="1" applyFont="1" applyFill="1" applyBorder="1" applyAlignment="1">
      <x:alignment wrapText="1"/>
    </x:xf>
    <x:xf numFmtId="203" fontId="10" fillId="12" borderId="48" xfId="0" applyNumberFormat="1" applyFont="1" applyFill="1" applyBorder="1" applyAlignment="1">
      <x:alignment wrapText="1"/>
    </x:xf>
    <x:xf numFmtId="203" fontId="10" fillId="12" borderId="49" xfId="0" applyNumberFormat="1" applyFont="1" applyFill="1" applyBorder="1" applyAlignment="1">
      <x:alignment wrapText="1"/>
    </x:xf>
    <x:xf numFmtId="203" fontId="10" fillId="12" borderId="42" xfId="0" applyNumberFormat="1" applyFont="1" applyFill="1" applyBorder="1" applyAlignment="1">
      <x:alignment horizontal="center" wrapText="1"/>
    </x:xf>
    <x:xf numFmtId="203" fontId="10" fillId="12" borderId="43" xfId="0" applyNumberFormat="1" applyFont="1" applyFill="1" applyBorder="1" applyAlignment="1">
      <x:alignment horizontal="center" wrapText="1"/>
    </x:xf>
    <x:xf numFmtId="203" fontId="10" fillId="12" borderId="44" xfId="0" applyNumberFormat="1" applyFont="1" applyFill="1" applyBorder="1" applyAlignment="1">
      <x:alignment horizontal="center" wrapText="1"/>
    </x:xf>
    <x:xf numFmtId="203" fontId="10" fillId="12" borderId="45" xfId="0" applyNumberFormat="1" applyFont="1" applyFill="1" applyBorder="1" applyAlignment="1">
      <x:alignment horizontal="center" wrapText="1"/>
    </x:xf>
    <x:xf numFmtId="203" fontId="10" fillId="12" borderId="1" xfId="0" applyNumberFormat="1" applyFont="1" applyFill="1" applyBorder="1" applyAlignment="1">
      <x:alignment horizontal="center" wrapText="1"/>
    </x:xf>
    <x:xf numFmtId="203" fontId="10" fillId="12" borderId="46" xfId="0" applyNumberFormat="1" applyFont="1" applyFill="1" applyBorder="1" applyAlignment="1">
      <x:alignment horizontal="center" wrapText="1"/>
    </x:xf>
    <x:xf numFmtId="203" fontId="10" fillId="12" borderId="47" xfId="0" applyNumberFormat="1" applyFont="1" applyFill="1" applyBorder="1" applyAlignment="1">
      <x:alignment horizontal="center" wrapText="1"/>
    </x:xf>
    <x:xf numFmtId="203" fontId="10" fillId="12" borderId="48" xfId="0" applyNumberFormat="1" applyFont="1" applyFill="1" applyBorder="1" applyAlignment="1">
      <x:alignment horizontal="center" wrapText="1"/>
    </x:xf>
    <x:xf numFmtId="203" fontId="10" fillId="12" borderId="49" xfId="0" applyNumberFormat="1" applyFont="1" applyFill="1" applyBorder="1" applyAlignment="1">
      <x:alignment horizontal="center" wrapText="1"/>
    </x:xf>
    <x:xf numFmtId="203" fontId="10" fillId="12" borderId="42" xfId="0" applyNumberFormat="1" applyFont="1" applyFill="1" applyBorder="1" applyAlignment="1">
      <x:alignment horizontal="center" vertical="center" wrapText="1"/>
    </x:xf>
    <x:xf numFmtId="203" fontId="10" fillId="12" borderId="43" xfId="0" applyNumberFormat="1" applyFont="1" applyFill="1" applyBorder="1" applyAlignment="1">
      <x:alignment horizontal="center" vertical="center" wrapText="1"/>
    </x:xf>
    <x:xf numFmtId="203" fontId="10" fillId="12" borderId="44" xfId="0" applyNumberFormat="1" applyFont="1" applyFill="1" applyBorder="1" applyAlignment="1">
      <x:alignment horizontal="center" vertical="center" wrapText="1"/>
    </x:xf>
    <x:xf numFmtId="203" fontId="10" fillId="12" borderId="45" xfId="0" applyNumberFormat="1" applyFont="1" applyFill="1" applyBorder="1" applyAlignment="1">
      <x:alignment horizontal="center" vertical="center" wrapText="1"/>
    </x:xf>
    <x:xf numFmtId="203" fontId="10" fillId="12" borderId="1" xfId="0" applyNumberFormat="1" applyFont="1" applyFill="1" applyBorder="1" applyAlignment="1">
      <x:alignment horizontal="center" vertical="center" wrapText="1"/>
    </x:xf>
    <x:xf numFmtId="203" fontId="10" fillId="12" borderId="46" xfId="0" applyNumberFormat="1" applyFont="1" applyFill="1" applyBorder="1" applyAlignment="1">
      <x:alignment horizontal="center" vertical="center" wrapText="1"/>
    </x:xf>
    <x:xf numFmtId="203" fontId="10" fillId="12" borderId="47" xfId="0" applyNumberFormat="1" applyFont="1" applyFill="1" applyBorder="1" applyAlignment="1">
      <x:alignment horizontal="center" vertical="center" wrapText="1"/>
    </x:xf>
    <x:xf numFmtId="203" fontId="10" fillId="12" borderId="48" xfId="0" applyNumberFormat="1" applyFont="1" applyFill="1" applyBorder="1" applyAlignment="1">
      <x:alignment horizontal="center" vertical="center" wrapText="1"/>
    </x:xf>
    <x:xf numFmtId="203" fontId="10" fillId="12" borderId="49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34" xfId="0" applyNumberFormat="1" applyFont="1" applyFill="1" applyBorder="1"/>
    <x:xf numFmtId="0" fontId="11" fillId="13" borderId="35" xfId="0" applyNumberFormat="1" applyFont="1" applyFill="1" applyBorder="1"/>
    <x:xf numFmtId="0" fontId="11" fillId="13" borderId="36" xfId="0" applyNumberFormat="1" applyFont="1" applyFill="1" applyBorder="1"/>
    <x:xf numFmtId="0" fontId="11" fillId="13" borderId="37" xfId="0" applyNumberFormat="1" applyFont="1" applyFill="1" applyBorder="1"/>
    <x:xf numFmtId="0" fontId="11" fillId="13" borderId="38" xfId="0" applyNumberFormat="1" applyFont="1" applyFill="1" applyBorder="1"/>
    <x:xf numFmtId="0" fontId="11" fillId="13" borderId="39" xfId="0" applyNumberFormat="1" applyFont="1" applyFill="1" applyBorder="1"/>
    <x:xf numFmtId="0" fontId="11" fillId="13" borderId="40" xfId="0" applyNumberFormat="1" applyFont="1" applyFill="1" applyBorder="1"/>
    <x:xf numFmtId="0" fontId="11" fillId="13" borderId="41" xfId="0" applyNumberFormat="1" applyFont="1" applyFill="1" applyBorder="1"/>
    <x:xf numFmtId="201" fontId="11" fillId="13" borderId="34" xfId="0" applyNumberFormat="1" applyFont="1" applyFill="1" applyBorder="1"/>
    <x:xf numFmtId="201" fontId="11" fillId="13" borderId="35" xfId="0" applyNumberFormat="1" applyFont="1" applyFill="1" applyBorder="1"/>
    <x:xf numFmtId="201" fontId="11" fillId="13" borderId="36" xfId="0" applyNumberFormat="1" applyFont="1" applyFill="1" applyBorder="1"/>
    <x:xf numFmtId="201" fontId="11" fillId="13" borderId="37" xfId="0" applyNumberFormat="1" applyFont="1" applyFill="1" applyBorder="1"/>
    <x:xf numFmtId="201" fontId="11" fillId="13" borderId="0" xfId="0" applyNumberFormat="1" applyFont="1" applyFill="1" applyBorder="1"/>
    <x:xf numFmtId="201" fontId="11" fillId="13" borderId="38" xfId="0" applyNumberFormat="1" applyFont="1" applyFill="1" applyBorder="1"/>
    <x:xf numFmtId="201" fontId="11" fillId="13" borderId="39" xfId="0" applyNumberFormat="1" applyFont="1" applyFill="1" applyBorder="1"/>
    <x:xf numFmtId="201" fontId="11" fillId="13" borderId="40" xfId="0" applyNumberFormat="1" applyFont="1" applyFill="1" applyBorder="1"/>
    <x:xf numFmtId="201" fontId="11" fillId="13" borderId="41" xfId="0" applyNumberFormat="1" applyFont="1" applyFill="1" applyBorder="1"/>
    <x:xf numFmtId="201" fontId="11" fillId="13" borderId="34" xfId="0" applyNumberFormat="1" applyFont="1" applyFill="1" applyBorder="1" applyAlignment="1">
      <x:alignment wrapText="1"/>
    </x:xf>
    <x:xf numFmtId="201" fontId="11" fillId="13" borderId="35" xfId="0" applyNumberFormat="1" applyFont="1" applyFill="1" applyBorder="1" applyAlignment="1">
      <x:alignment wrapText="1"/>
    </x:xf>
    <x:xf numFmtId="201" fontId="11" fillId="13" borderId="36" xfId="0" applyNumberFormat="1" applyFont="1" applyFill="1" applyBorder="1" applyAlignment="1">
      <x:alignment wrapText="1"/>
    </x:xf>
    <x:xf numFmtId="201" fontId="11" fillId="13" borderId="37" xfId="0" applyNumberFormat="1" applyFont="1" applyFill="1" applyBorder="1" applyAlignment="1">
      <x:alignment wrapText="1"/>
    </x:xf>
    <x:xf numFmtId="201" fontId="11" fillId="13" borderId="0" xfId="0" applyNumberFormat="1" applyFont="1" applyFill="1" applyBorder="1" applyAlignment="1">
      <x:alignment wrapText="1"/>
    </x:xf>
    <x:xf numFmtId="201" fontId="11" fillId="13" borderId="38" xfId="0" applyNumberFormat="1" applyFont="1" applyFill="1" applyBorder="1" applyAlignment="1">
      <x:alignment wrapText="1"/>
    </x:xf>
    <x:xf numFmtId="201" fontId="11" fillId="13" borderId="39" xfId="0" applyNumberFormat="1" applyFont="1" applyFill="1" applyBorder="1" applyAlignment="1">
      <x:alignment wrapText="1"/>
    </x:xf>
    <x:xf numFmtId="201" fontId="11" fillId="13" borderId="40" xfId="0" applyNumberFormat="1" applyFont="1" applyFill="1" applyBorder="1" applyAlignment="1">
      <x:alignment wrapText="1"/>
    </x:xf>
    <x:xf numFmtId="201" fontId="11" fillId="13" borderId="41" xfId="0" applyNumberFormat="1" applyFont="1" applyFill="1" applyBorder="1" applyAlignment="1">
      <x:alignment wrapText="1"/>
    </x:xf>
    <x:xf numFmtId="201" fontId="11" fillId="13" borderId="34" xfId="0" applyNumberFormat="1" applyFont="1" applyFill="1" applyBorder="1" applyAlignment="1">
      <x:alignment horizontal="center" wrapText="1"/>
    </x:xf>
    <x:xf numFmtId="201" fontId="11" fillId="13" borderId="35" xfId="0" applyNumberFormat="1" applyFont="1" applyFill="1" applyBorder="1" applyAlignment="1">
      <x:alignment horizontal="center" wrapText="1"/>
    </x:xf>
    <x:xf numFmtId="201" fontId="11" fillId="13" borderId="36" xfId="0" applyNumberFormat="1" applyFont="1" applyFill="1" applyBorder="1" applyAlignment="1">
      <x:alignment horizontal="center" wrapText="1"/>
    </x:xf>
    <x:xf numFmtId="201" fontId="11" fillId="13" borderId="37" xfId="0" applyNumberFormat="1" applyFont="1" applyFill="1" applyBorder="1" applyAlignment="1">
      <x:alignment horizontal="center" wrapText="1"/>
    </x:xf>
    <x:xf numFmtId="201" fontId="11" fillId="13" borderId="0" xfId="0" applyNumberFormat="1" applyFont="1" applyFill="1" applyBorder="1" applyAlignment="1">
      <x:alignment horizontal="center" wrapText="1"/>
    </x:xf>
    <x:xf numFmtId="201" fontId="11" fillId="13" borderId="38" xfId="0" applyNumberFormat="1" applyFont="1" applyFill="1" applyBorder="1" applyAlignment="1">
      <x:alignment horizontal="center" wrapText="1"/>
    </x:xf>
    <x:xf numFmtId="201" fontId="11" fillId="13" borderId="39" xfId="0" applyNumberFormat="1" applyFont="1" applyFill="1" applyBorder="1" applyAlignment="1">
      <x:alignment horizontal="center" wrapText="1"/>
    </x:xf>
    <x:xf numFmtId="201" fontId="11" fillId="13" borderId="40" xfId="0" applyNumberFormat="1" applyFont="1" applyFill="1" applyBorder="1" applyAlignment="1">
      <x:alignment horizontal="center" wrapText="1"/>
    </x:xf>
    <x:xf numFmtId="201" fontId="11" fillId="13" borderId="41" xfId="0" applyNumberFormat="1" applyFont="1" applyFill="1" applyBorder="1" applyAlignment="1">
      <x:alignment horizontal="center" wrapText="1"/>
    </x:xf>
    <x:xf numFmtId="201" fontId="11" fillId="13" borderId="34" xfId="0" applyNumberFormat="1" applyFont="1" applyFill="1" applyBorder="1" applyAlignment="1">
      <x:alignment horizontal="center" vertical="center" wrapText="1"/>
    </x:xf>
    <x:xf numFmtId="201" fontId="11" fillId="13" borderId="35" xfId="0" applyNumberFormat="1" applyFont="1" applyFill="1" applyBorder="1" applyAlignment="1">
      <x:alignment horizontal="center" vertical="center" wrapText="1"/>
    </x:xf>
    <x:xf numFmtId="201" fontId="11" fillId="13" borderId="36" xfId="0" applyNumberFormat="1" applyFont="1" applyFill="1" applyBorder="1" applyAlignment="1">
      <x:alignment horizontal="center" vertical="center" wrapText="1"/>
    </x:xf>
    <x:xf numFmtId="201" fontId="11" fillId="13" borderId="37" xfId="0" applyNumberFormat="1" applyFont="1" applyFill="1" applyBorder="1" applyAlignment="1">
      <x:alignment horizontal="center" vertical="center" wrapText="1"/>
    </x:xf>
    <x:xf numFmtId="201" fontId="11" fillId="13" borderId="0" xfId="0" applyNumberFormat="1" applyFont="1" applyFill="1" applyBorder="1" applyAlignment="1">
      <x:alignment horizontal="center" vertical="center" wrapText="1"/>
    </x:xf>
    <x:xf numFmtId="201" fontId="11" fillId="13" borderId="38" xfId="0" applyNumberFormat="1" applyFont="1" applyFill="1" applyBorder="1" applyAlignment="1">
      <x:alignment horizontal="center" vertical="center" wrapText="1"/>
    </x:xf>
    <x:xf numFmtId="201" fontId="11" fillId="13" borderId="39" xfId="0" applyNumberFormat="1" applyFont="1" applyFill="1" applyBorder="1" applyAlignment="1">
      <x:alignment horizontal="center" vertical="center" wrapText="1"/>
    </x:xf>
    <x:xf numFmtId="201" fontId="11" fillId="13" borderId="40" xfId="0" applyNumberFormat="1" applyFont="1" applyFill="1" applyBorder="1" applyAlignment="1">
      <x:alignment horizontal="center" vertical="center" wrapText="1"/>
    </x:xf>
    <x:xf numFmtId="201" fontId="11" fillId="13" borderId="41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42" xfId="0" applyNumberFormat="1" applyFont="1" applyFill="1" applyBorder="1"/>
    <x:xf numFmtId="0" fontId="11" fillId="13" borderId="43" xfId="0" applyNumberFormat="1" applyFont="1" applyFill="1" applyBorder="1"/>
    <x:xf numFmtId="0" fontId="11" fillId="13" borderId="44" xfId="0" applyNumberFormat="1" applyFont="1" applyFill="1" applyBorder="1"/>
    <x:xf numFmtId="0" fontId="11" fillId="13" borderId="45" xfId="0" applyNumberFormat="1" applyFont="1" applyFill="1" applyBorder="1"/>
    <x:xf numFmtId="0" fontId="11" fillId="13" borderId="46" xfId="0" applyNumberFormat="1" applyFont="1" applyFill="1" applyBorder="1"/>
    <x:xf numFmtId="0" fontId="11" fillId="13" borderId="47" xfId="0" applyNumberFormat="1" applyFont="1" applyFill="1" applyBorder="1"/>
    <x:xf numFmtId="0" fontId="11" fillId="13" borderId="48" xfId="0" applyNumberFormat="1" applyFont="1" applyFill="1" applyBorder="1"/>
    <x:xf numFmtId="0" fontId="11" fillId="13" borderId="49" xfId="0" applyNumberFormat="1" applyFont="1" applyFill="1" applyBorder="1"/>
    <x:xf numFmtId="201" fontId="11" fillId="13" borderId="42" xfId="0" applyNumberFormat="1" applyFont="1" applyFill="1" applyBorder="1"/>
    <x:xf numFmtId="201" fontId="11" fillId="13" borderId="43" xfId="0" applyNumberFormat="1" applyFont="1" applyFill="1" applyBorder="1"/>
    <x:xf numFmtId="201" fontId="11" fillId="13" borderId="44" xfId="0" applyNumberFormat="1" applyFont="1" applyFill="1" applyBorder="1"/>
    <x:xf numFmtId="201" fontId="11" fillId="13" borderId="45" xfId="0" applyNumberFormat="1" applyFont="1" applyFill="1" applyBorder="1"/>
    <x:xf numFmtId="201" fontId="11" fillId="13" borderId="1" xfId="0" applyNumberFormat="1" applyFont="1" applyFill="1" applyBorder="1"/>
    <x:xf numFmtId="201" fontId="11" fillId="13" borderId="46" xfId="0" applyNumberFormat="1" applyFont="1" applyFill="1" applyBorder="1"/>
    <x:xf numFmtId="201" fontId="11" fillId="13" borderId="47" xfId="0" applyNumberFormat="1" applyFont="1" applyFill="1" applyBorder="1"/>
    <x:xf numFmtId="201" fontId="11" fillId="13" borderId="48" xfId="0" applyNumberFormat="1" applyFont="1" applyFill="1" applyBorder="1"/>
    <x:xf numFmtId="201" fontId="11" fillId="13" borderId="49" xfId="0" applyNumberFormat="1" applyFont="1" applyFill="1" applyBorder="1"/>
    <x:xf numFmtId="201" fontId="11" fillId="13" borderId="42" xfId="0" applyNumberFormat="1" applyFont="1" applyFill="1" applyBorder="1" applyAlignment="1">
      <x:alignment wrapText="1"/>
    </x:xf>
    <x:xf numFmtId="201" fontId="11" fillId="13" borderId="43" xfId="0" applyNumberFormat="1" applyFont="1" applyFill="1" applyBorder="1" applyAlignment="1">
      <x:alignment wrapText="1"/>
    </x:xf>
    <x:xf numFmtId="201" fontId="11" fillId="13" borderId="44" xfId="0" applyNumberFormat="1" applyFont="1" applyFill="1" applyBorder="1" applyAlignment="1">
      <x:alignment wrapText="1"/>
    </x:xf>
    <x:xf numFmtId="201" fontId="11" fillId="13" borderId="45" xfId="0" applyNumberFormat="1" applyFont="1" applyFill="1" applyBorder="1" applyAlignment="1">
      <x:alignment wrapText="1"/>
    </x:xf>
    <x:xf numFmtId="201" fontId="11" fillId="13" borderId="1" xfId="0" applyNumberFormat="1" applyFont="1" applyFill="1" applyBorder="1" applyAlignment="1">
      <x:alignment wrapText="1"/>
    </x:xf>
    <x:xf numFmtId="201" fontId="11" fillId="13" borderId="46" xfId="0" applyNumberFormat="1" applyFont="1" applyFill="1" applyBorder="1" applyAlignment="1">
      <x:alignment wrapText="1"/>
    </x:xf>
    <x:xf numFmtId="201" fontId="11" fillId="13" borderId="47" xfId="0" applyNumberFormat="1" applyFont="1" applyFill="1" applyBorder="1" applyAlignment="1">
      <x:alignment wrapText="1"/>
    </x:xf>
    <x:xf numFmtId="201" fontId="11" fillId="13" borderId="48" xfId="0" applyNumberFormat="1" applyFont="1" applyFill="1" applyBorder="1" applyAlignment="1">
      <x:alignment wrapText="1"/>
    </x:xf>
    <x:xf numFmtId="201" fontId="11" fillId="13" borderId="49" xfId="0" applyNumberFormat="1" applyFont="1" applyFill="1" applyBorder="1" applyAlignment="1">
      <x:alignment wrapText="1"/>
    </x:xf>
    <x:xf numFmtId="201" fontId="11" fillId="13" borderId="42" xfId="0" applyNumberFormat="1" applyFont="1" applyFill="1" applyBorder="1" applyAlignment="1">
      <x:alignment horizontal="center" wrapText="1"/>
    </x:xf>
    <x:xf numFmtId="201" fontId="11" fillId="13" borderId="43" xfId="0" applyNumberFormat="1" applyFont="1" applyFill="1" applyBorder="1" applyAlignment="1">
      <x:alignment horizontal="center" wrapText="1"/>
    </x:xf>
    <x:xf numFmtId="201" fontId="11" fillId="13" borderId="44" xfId="0" applyNumberFormat="1" applyFont="1" applyFill="1" applyBorder="1" applyAlignment="1">
      <x:alignment horizontal="center" wrapText="1"/>
    </x:xf>
    <x:xf numFmtId="201" fontId="11" fillId="13" borderId="45" xfId="0" applyNumberFormat="1" applyFont="1" applyFill="1" applyBorder="1" applyAlignment="1">
      <x:alignment horizontal="center" wrapText="1"/>
    </x:xf>
    <x:xf numFmtId="201" fontId="11" fillId="13" borderId="1" xfId="0" applyNumberFormat="1" applyFont="1" applyFill="1" applyBorder="1" applyAlignment="1">
      <x:alignment horizontal="center" wrapText="1"/>
    </x:xf>
    <x:xf numFmtId="201" fontId="11" fillId="13" borderId="46" xfId="0" applyNumberFormat="1" applyFont="1" applyFill="1" applyBorder="1" applyAlignment="1">
      <x:alignment horizontal="center" wrapText="1"/>
    </x:xf>
    <x:xf numFmtId="201" fontId="11" fillId="13" borderId="47" xfId="0" applyNumberFormat="1" applyFont="1" applyFill="1" applyBorder="1" applyAlignment="1">
      <x:alignment horizontal="center" wrapText="1"/>
    </x:xf>
    <x:xf numFmtId="201" fontId="11" fillId="13" borderId="48" xfId="0" applyNumberFormat="1" applyFont="1" applyFill="1" applyBorder="1" applyAlignment="1">
      <x:alignment horizontal="center" wrapText="1"/>
    </x:xf>
    <x:xf numFmtId="201" fontId="11" fillId="13" borderId="49" xfId="0" applyNumberFormat="1" applyFont="1" applyFill="1" applyBorder="1" applyAlignment="1">
      <x:alignment horizontal="center" wrapText="1"/>
    </x:xf>
    <x:xf numFmtId="201" fontId="11" fillId="13" borderId="42" xfId="0" applyNumberFormat="1" applyFont="1" applyFill="1" applyBorder="1" applyAlignment="1">
      <x:alignment horizontal="center" vertical="center" wrapText="1"/>
    </x:xf>
    <x:xf numFmtId="201" fontId="11" fillId="13" borderId="43" xfId="0" applyNumberFormat="1" applyFont="1" applyFill="1" applyBorder="1" applyAlignment="1">
      <x:alignment horizontal="center" vertical="center" wrapText="1"/>
    </x:xf>
    <x:xf numFmtId="201" fontId="11" fillId="13" borderId="44" xfId="0" applyNumberFormat="1" applyFont="1" applyFill="1" applyBorder="1" applyAlignment="1">
      <x:alignment horizontal="center" vertical="center" wrapText="1"/>
    </x:xf>
    <x:xf numFmtId="201" fontId="11" fillId="13" borderId="45" xfId="0" applyNumberFormat="1" applyFont="1" applyFill="1" applyBorder="1" applyAlignment="1">
      <x:alignment horizontal="center" vertical="center" wrapText="1"/>
    </x:xf>
    <x:xf numFmtId="201" fontId="11" fillId="13" borderId="1" xfId="0" applyNumberFormat="1" applyFont="1" applyFill="1" applyBorder="1" applyAlignment="1">
      <x:alignment horizontal="center" vertical="center" wrapText="1"/>
    </x:xf>
    <x:xf numFmtId="201" fontId="11" fillId="13" borderId="46" xfId="0" applyNumberFormat="1" applyFont="1" applyFill="1" applyBorder="1" applyAlignment="1">
      <x:alignment horizontal="center" vertical="center" wrapText="1"/>
    </x:xf>
    <x:xf numFmtId="201" fontId="11" fillId="13" borderId="47" xfId="0" applyNumberFormat="1" applyFont="1" applyFill="1" applyBorder="1" applyAlignment="1">
      <x:alignment horizontal="center" vertical="center" wrapText="1"/>
    </x:xf>
    <x:xf numFmtId="201" fontId="11" fillId="13" borderId="48" xfId="0" applyNumberFormat="1" applyFont="1" applyFill="1" applyBorder="1" applyAlignment="1">
      <x:alignment horizontal="center" vertical="center" wrapText="1"/>
    </x:xf>
    <x:xf numFmtId="201" fontId="11" fillId="13" borderId="49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34" xfId="0" applyNumberFormat="1" applyFont="1" applyFill="1" applyBorder="1"/>
    <x:xf numFmtId="0" fontId="12" fillId="14" borderId="35" xfId="0" applyNumberFormat="1" applyFont="1" applyFill="1" applyBorder="1"/>
    <x:xf numFmtId="0" fontId="12" fillId="14" borderId="36" xfId="0" applyNumberFormat="1" applyFont="1" applyFill="1" applyBorder="1"/>
    <x:xf numFmtId="0" fontId="12" fillId="14" borderId="37" xfId="0" applyNumberFormat="1" applyFont="1" applyFill="1" applyBorder="1"/>
    <x:xf numFmtId="0" fontId="12" fillId="14" borderId="38" xfId="0" applyNumberFormat="1" applyFont="1" applyFill="1" applyBorder="1"/>
    <x:xf numFmtId="0" fontId="12" fillId="14" borderId="39" xfId="0" applyNumberFormat="1" applyFont="1" applyFill="1" applyBorder="1"/>
    <x:xf numFmtId="0" fontId="12" fillId="14" borderId="40" xfId="0" applyNumberFormat="1" applyFont="1" applyFill="1" applyBorder="1"/>
    <x:xf numFmtId="0" fontId="12" fillId="14" borderId="41" xfId="0" applyNumberFormat="1" applyFont="1" applyFill="1" applyBorder="1"/>
    <x:xf numFmtId="204" fontId="12" fillId="14" borderId="34" xfId="0" applyNumberFormat="1" applyFont="1" applyFill="1" applyBorder="1"/>
    <x:xf numFmtId="204" fontId="12" fillId="14" borderId="35" xfId="0" applyNumberFormat="1" applyFont="1" applyFill="1" applyBorder="1"/>
    <x:xf numFmtId="204" fontId="12" fillId="14" borderId="36" xfId="0" applyNumberFormat="1" applyFont="1" applyFill="1" applyBorder="1"/>
    <x:xf numFmtId="204" fontId="12" fillId="14" borderId="37" xfId="0" applyNumberFormat="1" applyFont="1" applyFill="1" applyBorder="1"/>
    <x:xf numFmtId="204" fontId="12" fillId="14" borderId="0" xfId="0" applyNumberFormat="1" applyFont="1" applyFill="1" applyBorder="1"/>
    <x:xf numFmtId="204" fontId="12" fillId="14" borderId="38" xfId="0" applyNumberFormat="1" applyFont="1" applyFill="1" applyBorder="1"/>
    <x:xf numFmtId="204" fontId="12" fillId="14" borderId="39" xfId="0" applyNumberFormat="1" applyFont="1" applyFill="1" applyBorder="1"/>
    <x:xf numFmtId="204" fontId="12" fillId="14" borderId="40" xfId="0" applyNumberFormat="1" applyFont="1" applyFill="1" applyBorder="1"/>
    <x:xf numFmtId="204" fontId="12" fillId="14" borderId="41" xfId="0" applyNumberFormat="1" applyFont="1" applyFill="1" applyBorder="1"/>
    <x:xf numFmtId="204" fontId="12" fillId="14" borderId="34" xfId="0" applyNumberFormat="1" applyFont="1" applyFill="1" applyBorder="1" applyAlignment="1">
      <x:alignment wrapText="1"/>
    </x:xf>
    <x:xf numFmtId="204" fontId="12" fillId="14" borderId="35" xfId="0" applyNumberFormat="1" applyFont="1" applyFill="1" applyBorder="1" applyAlignment="1">
      <x:alignment wrapText="1"/>
    </x:xf>
    <x:xf numFmtId="204" fontId="12" fillId="14" borderId="36" xfId="0" applyNumberFormat="1" applyFont="1" applyFill="1" applyBorder="1" applyAlignment="1">
      <x:alignment wrapText="1"/>
    </x:xf>
    <x:xf numFmtId="204" fontId="12" fillId="14" borderId="37" xfId="0" applyNumberFormat="1" applyFont="1" applyFill="1" applyBorder="1" applyAlignment="1">
      <x:alignment wrapText="1"/>
    </x:xf>
    <x:xf numFmtId="204" fontId="12" fillId="14" borderId="0" xfId="0" applyNumberFormat="1" applyFont="1" applyFill="1" applyBorder="1" applyAlignment="1">
      <x:alignment wrapText="1"/>
    </x:xf>
    <x:xf numFmtId="204" fontId="12" fillId="14" borderId="38" xfId="0" applyNumberFormat="1" applyFont="1" applyFill="1" applyBorder="1" applyAlignment="1">
      <x:alignment wrapText="1"/>
    </x:xf>
    <x:xf numFmtId="204" fontId="12" fillId="14" borderId="39" xfId="0" applyNumberFormat="1" applyFont="1" applyFill="1" applyBorder="1" applyAlignment="1">
      <x:alignment wrapText="1"/>
    </x:xf>
    <x:xf numFmtId="204" fontId="12" fillId="14" borderId="40" xfId="0" applyNumberFormat="1" applyFont="1" applyFill="1" applyBorder="1" applyAlignment="1">
      <x:alignment wrapText="1"/>
    </x:xf>
    <x:xf numFmtId="204" fontId="12" fillId="14" borderId="41" xfId="0" applyNumberFormat="1" applyFont="1" applyFill="1" applyBorder="1" applyAlignment="1">
      <x:alignment wrapText="1"/>
    </x:xf>
    <x:xf numFmtId="204" fontId="12" fillId="14" borderId="34" xfId="0" applyNumberFormat="1" applyFont="1" applyFill="1" applyBorder="1" applyAlignment="1">
      <x:alignment horizontal="center" wrapText="1"/>
    </x:xf>
    <x:xf numFmtId="204" fontId="12" fillId="14" borderId="35" xfId="0" applyNumberFormat="1" applyFont="1" applyFill="1" applyBorder="1" applyAlignment="1">
      <x:alignment horizontal="center" wrapText="1"/>
    </x:xf>
    <x:xf numFmtId="204" fontId="12" fillId="14" borderId="36" xfId="0" applyNumberFormat="1" applyFont="1" applyFill="1" applyBorder="1" applyAlignment="1">
      <x:alignment horizontal="center" wrapText="1"/>
    </x:xf>
    <x:xf numFmtId="204" fontId="12" fillId="14" borderId="37" xfId="0" applyNumberFormat="1" applyFont="1" applyFill="1" applyBorder="1" applyAlignment="1">
      <x:alignment horizontal="center" wrapText="1"/>
    </x:xf>
    <x:xf numFmtId="204" fontId="12" fillId="14" borderId="0" xfId="0" applyNumberFormat="1" applyFont="1" applyFill="1" applyBorder="1" applyAlignment="1">
      <x:alignment horizontal="center" wrapText="1"/>
    </x:xf>
    <x:xf numFmtId="204" fontId="12" fillId="14" borderId="38" xfId="0" applyNumberFormat="1" applyFont="1" applyFill="1" applyBorder="1" applyAlignment="1">
      <x:alignment horizontal="center" wrapText="1"/>
    </x:xf>
    <x:xf numFmtId="204" fontId="12" fillId="14" borderId="39" xfId="0" applyNumberFormat="1" applyFont="1" applyFill="1" applyBorder="1" applyAlignment="1">
      <x:alignment horizontal="center" wrapText="1"/>
    </x:xf>
    <x:xf numFmtId="204" fontId="12" fillId="14" borderId="40" xfId="0" applyNumberFormat="1" applyFont="1" applyFill="1" applyBorder="1" applyAlignment="1">
      <x:alignment horizontal="center" wrapText="1"/>
    </x:xf>
    <x:xf numFmtId="204" fontId="12" fillId="14" borderId="41" xfId="0" applyNumberFormat="1" applyFont="1" applyFill="1" applyBorder="1" applyAlignment="1">
      <x:alignment horizontal="center" wrapText="1"/>
    </x:xf>
    <x:xf numFmtId="204" fontId="12" fillId="14" borderId="34" xfId="0" applyNumberFormat="1" applyFont="1" applyFill="1" applyBorder="1" applyAlignment="1">
      <x:alignment horizontal="center" vertical="center" wrapText="1"/>
    </x:xf>
    <x:xf numFmtId="204" fontId="12" fillId="14" borderId="35" xfId="0" applyNumberFormat="1" applyFont="1" applyFill="1" applyBorder="1" applyAlignment="1">
      <x:alignment horizontal="center" vertical="center" wrapText="1"/>
    </x:xf>
    <x:xf numFmtId="204" fontId="12" fillId="14" borderId="36" xfId="0" applyNumberFormat="1" applyFont="1" applyFill="1" applyBorder="1" applyAlignment="1">
      <x:alignment horizontal="center" vertical="center" wrapText="1"/>
    </x:xf>
    <x:xf numFmtId="204" fontId="12" fillId="14" borderId="37" xfId="0" applyNumberFormat="1" applyFont="1" applyFill="1" applyBorder="1" applyAlignment="1">
      <x:alignment horizontal="center" vertical="center" wrapText="1"/>
    </x:xf>
    <x:xf numFmtId="204" fontId="12" fillId="14" borderId="0" xfId="0" applyNumberFormat="1" applyFont="1" applyFill="1" applyBorder="1" applyAlignment="1">
      <x:alignment horizontal="center" vertical="center" wrapText="1"/>
    </x:xf>
    <x:xf numFmtId="204" fontId="12" fillId="14" borderId="38" xfId="0" applyNumberFormat="1" applyFont="1" applyFill="1" applyBorder="1" applyAlignment="1">
      <x:alignment horizontal="center" vertical="center" wrapText="1"/>
    </x:xf>
    <x:xf numFmtId="204" fontId="12" fillId="14" borderId="39" xfId="0" applyNumberFormat="1" applyFont="1" applyFill="1" applyBorder="1" applyAlignment="1">
      <x:alignment horizontal="center" vertical="center" wrapText="1"/>
    </x:xf>
    <x:xf numFmtId="204" fontId="12" fillId="14" borderId="40" xfId="0" applyNumberFormat="1" applyFont="1" applyFill="1" applyBorder="1" applyAlignment="1">
      <x:alignment horizontal="center" vertical="center" wrapText="1"/>
    </x:xf>
    <x:xf numFmtId="204" fontId="12" fillId="14" borderId="41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12" fillId="14" borderId="1" xfId="0" applyNumberFormat="1" applyFont="1" applyFill="1" applyBorder="1"/>
    <x:xf numFmtId="0" fontId="12" fillId="14" borderId="42" xfId="0" applyNumberFormat="1" applyFont="1" applyFill="1" applyBorder="1"/>
    <x:xf numFmtId="0" fontId="12" fillId="14" borderId="43" xfId="0" applyNumberFormat="1" applyFont="1" applyFill="1" applyBorder="1"/>
    <x:xf numFmtId="0" fontId="12" fillId="14" borderId="44" xfId="0" applyNumberFormat="1" applyFont="1" applyFill="1" applyBorder="1"/>
    <x:xf numFmtId="0" fontId="12" fillId="14" borderId="45" xfId="0" applyNumberFormat="1" applyFont="1" applyFill="1" applyBorder="1"/>
    <x:xf numFmtId="0" fontId="12" fillId="14" borderId="46" xfId="0" applyNumberFormat="1" applyFont="1" applyFill="1" applyBorder="1"/>
    <x:xf numFmtId="0" fontId="12" fillId="14" borderId="47" xfId="0" applyNumberFormat="1" applyFont="1" applyFill="1" applyBorder="1"/>
    <x:xf numFmtId="0" fontId="12" fillId="14" borderId="48" xfId="0" applyNumberFormat="1" applyFont="1" applyFill="1" applyBorder="1"/>
    <x:xf numFmtId="0" fontId="12" fillId="14" borderId="49" xfId="0" applyNumberFormat="1" applyFont="1" applyFill="1" applyBorder="1"/>
    <x:xf numFmtId="204" fontId="12" fillId="14" borderId="42" xfId="0" applyNumberFormat="1" applyFont="1" applyFill="1" applyBorder="1"/>
    <x:xf numFmtId="204" fontId="12" fillId="14" borderId="43" xfId="0" applyNumberFormat="1" applyFont="1" applyFill="1" applyBorder="1"/>
    <x:xf numFmtId="204" fontId="12" fillId="14" borderId="44" xfId="0" applyNumberFormat="1" applyFont="1" applyFill="1" applyBorder="1"/>
    <x:xf numFmtId="204" fontId="12" fillId="14" borderId="45" xfId="0" applyNumberFormat="1" applyFont="1" applyFill="1" applyBorder="1"/>
    <x:xf numFmtId="204" fontId="12" fillId="14" borderId="1" xfId="0" applyNumberFormat="1" applyFont="1" applyFill="1" applyBorder="1"/>
    <x:xf numFmtId="204" fontId="12" fillId="14" borderId="46" xfId="0" applyNumberFormat="1" applyFont="1" applyFill="1" applyBorder="1"/>
    <x:xf numFmtId="204" fontId="12" fillId="14" borderId="47" xfId="0" applyNumberFormat="1" applyFont="1" applyFill="1" applyBorder="1"/>
    <x:xf numFmtId="204" fontId="12" fillId="14" borderId="48" xfId="0" applyNumberFormat="1" applyFont="1" applyFill="1" applyBorder="1"/>
    <x:xf numFmtId="204" fontId="12" fillId="14" borderId="49" xfId="0" applyNumberFormat="1" applyFont="1" applyFill="1" applyBorder="1"/>
    <x:xf numFmtId="204" fontId="12" fillId="14" borderId="42" xfId="0" applyNumberFormat="1" applyFont="1" applyFill="1" applyBorder="1" applyAlignment="1">
      <x:alignment wrapText="1"/>
    </x:xf>
    <x:xf numFmtId="204" fontId="12" fillId="14" borderId="43" xfId="0" applyNumberFormat="1" applyFont="1" applyFill="1" applyBorder="1" applyAlignment="1">
      <x:alignment wrapText="1"/>
    </x:xf>
    <x:xf numFmtId="204" fontId="12" fillId="14" borderId="44" xfId="0" applyNumberFormat="1" applyFont="1" applyFill="1" applyBorder="1" applyAlignment="1">
      <x:alignment wrapText="1"/>
    </x:xf>
    <x:xf numFmtId="204" fontId="12" fillId="14" borderId="45" xfId="0" applyNumberFormat="1" applyFont="1" applyFill="1" applyBorder="1" applyAlignment="1">
      <x:alignment wrapText="1"/>
    </x:xf>
    <x:xf numFmtId="204" fontId="12" fillId="14" borderId="1" xfId="0" applyNumberFormat="1" applyFont="1" applyFill="1" applyBorder="1" applyAlignment="1">
      <x:alignment wrapText="1"/>
    </x:xf>
    <x:xf numFmtId="204" fontId="12" fillId="14" borderId="46" xfId="0" applyNumberFormat="1" applyFont="1" applyFill="1" applyBorder="1" applyAlignment="1">
      <x:alignment wrapText="1"/>
    </x:xf>
    <x:xf numFmtId="204" fontId="12" fillId="14" borderId="47" xfId="0" applyNumberFormat="1" applyFont="1" applyFill="1" applyBorder="1" applyAlignment="1">
      <x:alignment wrapText="1"/>
    </x:xf>
    <x:xf numFmtId="204" fontId="12" fillId="14" borderId="48" xfId="0" applyNumberFormat="1" applyFont="1" applyFill="1" applyBorder="1" applyAlignment="1">
      <x:alignment wrapText="1"/>
    </x:xf>
    <x:xf numFmtId="204" fontId="12" fillId="14" borderId="49" xfId="0" applyNumberFormat="1" applyFont="1" applyFill="1" applyBorder="1" applyAlignment="1">
      <x:alignment wrapText="1"/>
    </x:xf>
    <x:xf numFmtId="204" fontId="12" fillId="14" borderId="42" xfId="0" applyNumberFormat="1" applyFont="1" applyFill="1" applyBorder="1" applyAlignment="1">
      <x:alignment horizontal="center" wrapText="1"/>
    </x:xf>
    <x:xf numFmtId="204" fontId="12" fillId="14" borderId="43" xfId="0" applyNumberFormat="1" applyFont="1" applyFill="1" applyBorder="1" applyAlignment="1">
      <x:alignment horizontal="center" wrapText="1"/>
    </x:xf>
    <x:xf numFmtId="204" fontId="12" fillId="14" borderId="44" xfId="0" applyNumberFormat="1" applyFont="1" applyFill="1" applyBorder="1" applyAlignment="1">
      <x:alignment horizontal="center" wrapText="1"/>
    </x:xf>
    <x:xf numFmtId="204" fontId="12" fillId="14" borderId="45" xfId="0" applyNumberFormat="1" applyFont="1" applyFill="1" applyBorder="1" applyAlignment="1">
      <x:alignment horizontal="center" wrapText="1"/>
    </x:xf>
    <x:xf numFmtId="204" fontId="12" fillId="14" borderId="1" xfId="0" applyNumberFormat="1" applyFont="1" applyFill="1" applyBorder="1" applyAlignment="1">
      <x:alignment horizontal="center" wrapText="1"/>
    </x:xf>
    <x:xf numFmtId="204" fontId="12" fillId="14" borderId="46" xfId="0" applyNumberFormat="1" applyFont="1" applyFill="1" applyBorder="1" applyAlignment="1">
      <x:alignment horizontal="center" wrapText="1"/>
    </x:xf>
    <x:xf numFmtId="204" fontId="12" fillId="14" borderId="47" xfId="0" applyNumberFormat="1" applyFont="1" applyFill="1" applyBorder="1" applyAlignment="1">
      <x:alignment horizontal="center" wrapText="1"/>
    </x:xf>
    <x:xf numFmtId="204" fontId="12" fillId="14" borderId="48" xfId="0" applyNumberFormat="1" applyFont="1" applyFill="1" applyBorder="1" applyAlignment="1">
      <x:alignment horizontal="center" wrapText="1"/>
    </x:xf>
    <x:xf numFmtId="204" fontId="12" fillId="14" borderId="49" xfId="0" applyNumberFormat="1" applyFont="1" applyFill="1" applyBorder="1" applyAlignment="1">
      <x:alignment horizontal="center" wrapText="1"/>
    </x:xf>
    <x:xf numFmtId="204" fontId="12" fillId="14" borderId="42" xfId="0" applyNumberFormat="1" applyFont="1" applyFill="1" applyBorder="1" applyAlignment="1">
      <x:alignment horizontal="center" vertical="center" wrapText="1"/>
    </x:xf>
    <x:xf numFmtId="204" fontId="12" fillId="14" borderId="43" xfId="0" applyNumberFormat="1" applyFont="1" applyFill="1" applyBorder="1" applyAlignment="1">
      <x:alignment horizontal="center" vertical="center" wrapText="1"/>
    </x:xf>
    <x:xf numFmtId="204" fontId="12" fillId="14" borderId="44" xfId="0" applyNumberFormat="1" applyFont="1" applyFill="1" applyBorder="1" applyAlignment="1">
      <x:alignment horizontal="center" vertical="center" wrapText="1"/>
    </x:xf>
    <x:xf numFmtId="204" fontId="12" fillId="14" borderId="45" xfId="0" applyNumberFormat="1" applyFont="1" applyFill="1" applyBorder="1" applyAlignment="1">
      <x:alignment horizontal="center" vertical="center" wrapText="1"/>
    </x:xf>
    <x:xf numFmtId="204" fontId="12" fillId="14" borderId="1" xfId="0" applyNumberFormat="1" applyFont="1" applyFill="1" applyBorder="1" applyAlignment="1">
      <x:alignment horizontal="center" vertical="center" wrapText="1"/>
    </x:xf>
    <x:xf numFmtId="204" fontId="12" fillId="14" borderId="46" xfId="0" applyNumberFormat="1" applyFont="1" applyFill="1" applyBorder="1" applyAlignment="1">
      <x:alignment horizontal="center" vertical="center" wrapText="1"/>
    </x:xf>
    <x:xf numFmtId="204" fontId="12" fillId="14" borderId="47" xfId="0" applyNumberFormat="1" applyFont="1" applyFill="1" applyBorder="1" applyAlignment="1">
      <x:alignment horizontal="center" vertical="center" wrapText="1"/>
    </x:xf>
    <x:xf numFmtId="204" fontId="12" fillId="14" borderId="48" xfId="0" applyNumberFormat="1" applyFont="1" applyFill="1" applyBorder="1" applyAlignment="1">
      <x:alignment horizontal="center" vertical="center" wrapText="1"/>
    </x:xf>
    <x:xf numFmtId="204" fontId="12" fillId="14" borderId="49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/>
    <x:xf numFmtId="0" fontId="7" fillId="8" borderId="34" xfId="0" applyNumberFormat="1" applyFont="1" applyFill="1" applyBorder="1"/>
    <x:xf numFmtId="0" fontId="7" fillId="8" borderId="35" xfId="0" applyNumberFormat="1" applyFont="1" applyFill="1" applyBorder="1"/>
    <x:xf numFmtId="0" fontId="7" fillId="8" borderId="36" xfId="0" applyNumberFormat="1" applyFont="1" applyFill="1" applyBorder="1"/>
    <x:xf numFmtId="0" fontId="7" fillId="8" borderId="37" xfId="0" applyNumberFormat="1" applyFont="1" applyFill="1" applyBorder="1"/>
    <x:xf numFmtId="0" fontId="7" fillId="8" borderId="38" xfId="0" applyNumberFormat="1" applyFont="1" applyFill="1" applyBorder="1"/>
    <x:xf numFmtId="0" fontId="7" fillId="8" borderId="39" xfId="0" applyNumberFormat="1" applyFont="1" applyFill="1" applyBorder="1"/>
    <x:xf numFmtId="0" fontId="7" fillId="8" borderId="40" xfId="0" applyNumberFormat="1" applyFont="1" applyFill="1" applyBorder="1"/>
    <x:xf numFmtId="0" fontId="7" fillId="8" borderId="41" xfId="0" applyNumberFormat="1" applyFont="1" applyFill="1" applyBorder="1"/>
    <x:xf numFmtId="205" fontId="7" fillId="8" borderId="34" xfId="0" applyNumberFormat="1" applyFont="1" applyFill="1" applyBorder="1"/>
    <x:xf numFmtId="205" fontId="7" fillId="8" borderId="35" xfId="0" applyNumberFormat="1" applyFont="1" applyFill="1" applyBorder="1"/>
    <x:xf numFmtId="205" fontId="7" fillId="8" borderId="36" xfId="0" applyNumberFormat="1" applyFont="1" applyFill="1" applyBorder="1"/>
    <x:xf numFmtId="205" fontId="7" fillId="8" borderId="37" xfId="0" applyNumberFormat="1" applyFont="1" applyFill="1" applyBorder="1"/>
    <x:xf numFmtId="205" fontId="7" fillId="8" borderId="0" xfId="0" applyNumberFormat="1" applyFont="1" applyFill="1" applyBorder="1"/>
    <x:xf numFmtId="205" fontId="7" fillId="8" borderId="38" xfId="0" applyNumberFormat="1" applyFont="1" applyFill="1" applyBorder="1"/>
    <x:xf numFmtId="205" fontId="7" fillId="8" borderId="39" xfId="0" applyNumberFormat="1" applyFont="1" applyFill="1" applyBorder="1"/>
    <x:xf numFmtId="205" fontId="7" fillId="8" borderId="40" xfId="0" applyNumberFormat="1" applyFont="1" applyFill="1" applyBorder="1"/>
    <x:xf numFmtId="205" fontId="7" fillId="8" borderId="41" xfId="0" applyNumberFormat="1" applyFont="1" applyFill="1" applyBorder="1"/>
    <x:xf numFmtId="205" fontId="7" fillId="8" borderId="34" xfId="0" applyNumberFormat="1" applyFont="1" applyFill="1" applyBorder="1" applyAlignment="1">
      <x:alignment wrapText="1"/>
    </x:xf>
    <x:xf numFmtId="205" fontId="7" fillId="8" borderId="35" xfId="0" applyNumberFormat="1" applyFont="1" applyFill="1" applyBorder="1" applyAlignment="1">
      <x:alignment wrapText="1"/>
    </x:xf>
    <x:xf numFmtId="205" fontId="7" fillId="8" borderId="36" xfId="0" applyNumberFormat="1" applyFont="1" applyFill="1" applyBorder="1" applyAlignment="1">
      <x:alignment wrapText="1"/>
    </x:xf>
    <x:xf numFmtId="205" fontId="7" fillId="8" borderId="37" xfId="0" applyNumberFormat="1" applyFont="1" applyFill="1" applyBorder="1" applyAlignment="1">
      <x:alignment wrapText="1"/>
    </x:xf>
    <x:xf numFmtId="205" fontId="7" fillId="8" borderId="0" xfId="0" applyNumberFormat="1" applyFont="1" applyFill="1" applyBorder="1" applyAlignment="1">
      <x:alignment wrapText="1"/>
    </x:xf>
    <x:xf numFmtId="205" fontId="7" fillId="8" borderId="38" xfId="0" applyNumberFormat="1" applyFont="1" applyFill="1" applyBorder="1" applyAlignment="1">
      <x:alignment wrapText="1"/>
    </x:xf>
    <x:xf numFmtId="205" fontId="7" fillId="8" borderId="39" xfId="0" applyNumberFormat="1" applyFont="1" applyFill="1" applyBorder="1" applyAlignment="1">
      <x:alignment wrapText="1"/>
    </x:xf>
    <x:xf numFmtId="205" fontId="7" fillId="8" borderId="40" xfId="0" applyNumberFormat="1" applyFont="1" applyFill="1" applyBorder="1" applyAlignment="1">
      <x:alignment wrapText="1"/>
    </x:xf>
    <x:xf numFmtId="205" fontId="7" fillId="8" borderId="41" xfId="0" applyNumberFormat="1" applyFont="1" applyFill="1" applyBorder="1" applyAlignment="1">
      <x:alignment wrapText="1"/>
    </x:xf>
    <x:xf numFmtId="205" fontId="7" fillId="8" borderId="34" xfId="0" applyNumberFormat="1" applyFont="1" applyFill="1" applyBorder="1" applyAlignment="1">
      <x:alignment horizontal="center" wrapText="1"/>
    </x:xf>
    <x:xf numFmtId="205" fontId="7" fillId="8" borderId="35" xfId="0" applyNumberFormat="1" applyFont="1" applyFill="1" applyBorder="1" applyAlignment="1">
      <x:alignment horizontal="center" wrapText="1"/>
    </x:xf>
    <x:xf numFmtId="205" fontId="7" fillId="8" borderId="36" xfId="0" applyNumberFormat="1" applyFont="1" applyFill="1" applyBorder="1" applyAlignment="1">
      <x:alignment horizontal="center" wrapText="1"/>
    </x:xf>
    <x:xf numFmtId="205" fontId="7" fillId="8" borderId="37" xfId="0" applyNumberFormat="1" applyFont="1" applyFill="1" applyBorder="1" applyAlignment="1">
      <x:alignment horizontal="center" wrapText="1"/>
    </x:xf>
    <x:xf numFmtId="205" fontId="7" fillId="8" borderId="0" xfId="0" applyNumberFormat="1" applyFont="1" applyFill="1" applyBorder="1" applyAlignment="1">
      <x:alignment horizontal="center" wrapText="1"/>
    </x:xf>
    <x:xf numFmtId="205" fontId="7" fillId="8" borderId="38" xfId="0" applyNumberFormat="1" applyFont="1" applyFill="1" applyBorder="1" applyAlignment="1">
      <x:alignment horizontal="center" wrapText="1"/>
    </x:xf>
    <x:xf numFmtId="205" fontId="7" fillId="8" borderId="39" xfId="0" applyNumberFormat="1" applyFont="1" applyFill="1" applyBorder="1" applyAlignment="1">
      <x:alignment horizontal="center" wrapText="1"/>
    </x:xf>
    <x:xf numFmtId="205" fontId="7" fillId="8" borderId="40" xfId="0" applyNumberFormat="1" applyFont="1" applyFill="1" applyBorder="1" applyAlignment="1">
      <x:alignment horizontal="center" wrapText="1"/>
    </x:xf>
    <x:xf numFmtId="205" fontId="7" fillId="8" borderId="41" xfId="0" applyNumberFormat="1" applyFont="1" applyFill="1" applyBorder="1" applyAlignment="1">
      <x:alignment horizontal="center" wrapText="1"/>
    </x:xf>
    <x:xf numFmtId="205" fontId="7" fillId="8" borderId="34" xfId="0" applyNumberFormat="1" applyFont="1" applyFill="1" applyBorder="1" applyAlignment="1">
      <x:alignment horizontal="center" vertical="center" wrapText="1"/>
    </x:xf>
    <x:xf numFmtId="205" fontId="7" fillId="8" borderId="35" xfId="0" applyNumberFormat="1" applyFont="1" applyFill="1" applyBorder="1" applyAlignment="1">
      <x:alignment horizontal="center" vertical="center" wrapText="1"/>
    </x:xf>
    <x:xf numFmtId="205" fontId="7" fillId="8" borderId="36" xfId="0" applyNumberFormat="1" applyFont="1" applyFill="1" applyBorder="1" applyAlignment="1">
      <x:alignment horizontal="center" vertical="center" wrapText="1"/>
    </x:xf>
    <x:xf numFmtId="205" fontId="7" fillId="8" borderId="37" xfId="0" applyNumberFormat="1" applyFont="1" applyFill="1" applyBorder="1" applyAlignment="1">
      <x:alignment horizontal="center" vertical="center" wrapText="1"/>
    </x:xf>
    <x:xf numFmtId="205" fontId="7" fillId="8" borderId="0" xfId="0" applyNumberFormat="1" applyFont="1" applyFill="1" applyBorder="1" applyAlignment="1">
      <x:alignment horizontal="center" vertical="center" wrapText="1"/>
    </x:xf>
    <x:xf numFmtId="205" fontId="7" fillId="8" borderId="38" xfId="0" applyNumberFormat="1" applyFont="1" applyFill="1" applyBorder="1" applyAlignment="1">
      <x:alignment horizontal="center" vertical="center" wrapText="1"/>
    </x:xf>
    <x:xf numFmtId="205" fontId="7" fillId="8" borderId="39" xfId="0" applyNumberFormat="1" applyFont="1" applyFill="1" applyBorder="1" applyAlignment="1">
      <x:alignment horizontal="center" vertical="center" wrapText="1"/>
    </x:xf>
    <x:xf numFmtId="205" fontId="7" fillId="8" borderId="40" xfId="0" applyNumberFormat="1" applyFont="1" applyFill="1" applyBorder="1" applyAlignment="1">
      <x:alignment horizontal="center" vertical="center" wrapText="1"/>
    </x:xf>
    <x:xf numFmtId="205" fontId="7" fillId="8" borderId="4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/>
    <x:xf numFmtId="0" fontId="7" fillId="8" borderId="42" xfId="0" applyNumberFormat="1" applyFont="1" applyFill="1" applyBorder="1"/>
    <x:xf numFmtId="0" fontId="7" fillId="8" borderId="43" xfId="0" applyNumberFormat="1" applyFont="1" applyFill="1" applyBorder="1"/>
    <x:xf numFmtId="0" fontId="7" fillId="8" borderId="44" xfId="0" applyNumberFormat="1" applyFont="1" applyFill="1" applyBorder="1"/>
    <x:xf numFmtId="0" fontId="7" fillId="8" borderId="45" xfId="0" applyNumberFormat="1" applyFont="1" applyFill="1" applyBorder="1"/>
    <x:xf numFmtId="0" fontId="7" fillId="8" borderId="46" xfId="0" applyNumberFormat="1" applyFont="1" applyFill="1" applyBorder="1"/>
    <x:xf numFmtId="0" fontId="7" fillId="8" borderId="47" xfId="0" applyNumberFormat="1" applyFont="1" applyFill="1" applyBorder="1"/>
    <x:xf numFmtId="0" fontId="7" fillId="8" borderId="48" xfId="0" applyNumberFormat="1" applyFont="1" applyFill="1" applyBorder="1"/>
    <x:xf numFmtId="0" fontId="7" fillId="8" borderId="49" xfId="0" applyNumberFormat="1" applyFont="1" applyFill="1" applyBorder="1"/>
    <x:xf numFmtId="205" fontId="7" fillId="8" borderId="42" xfId="0" applyNumberFormat="1" applyFont="1" applyFill="1" applyBorder="1"/>
    <x:xf numFmtId="205" fontId="7" fillId="8" borderId="43" xfId="0" applyNumberFormat="1" applyFont="1" applyFill="1" applyBorder="1"/>
    <x:xf numFmtId="205" fontId="7" fillId="8" borderId="44" xfId="0" applyNumberFormat="1" applyFont="1" applyFill="1" applyBorder="1"/>
    <x:xf numFmtId="205" fontId="7" fillId="8" borderId="45" xfId="0" applyNumberFormat="1" applyFont="1" applyFill="1" applyBorder="1"/>
    <x:xf numFmtId="205" fontId="7" fillId="8" borderId="1" xfId="0" applyNumberFormat="1" applyFont="1" applyFill="1" applyBorder="1"/>
    <x:xf numFmtId="205" fontId="7" fillId="8" borderId="46" xfId="0" applyNumberFormat="1" applyFont="1" applyFill="1" applyBorder="1"/>
    <x:xf numFmtId="205" fontId="7" fillId="8" borderId="47" xfId="0" applyNumberFormat="1" applyFont="1" applyFill="1" applyBorder="1"/>
    <x:xf numFmtId="205" fontId="7" fillId="8" borderId="48" xfId="0" applyNumberFormat="1" applyFont="1" applyFill="1" applyBorder="1"/>
    <x:xf numFmtId="205" fontId="7" fillId="8" borderId="49" xfId="0" applyNumberFormat="1" applyFont="1" applyFill="1" applyBorder="1"/>
    <x:xf numFmtId="205" fontId="7" fillId="8" borderId="42" xfId="0" applyNumberFormat="1" applyFont="1" applyFill="1" applyBorder="1" applyAlignment="1">
      <x:alignment wrapText="1"/>
    </x:xf>
    <x:xf numFmtId="205" fontId="7" fillId="8" borderId="43" xfId="0" applyNumberFormat="1" applyFont="1" applyFill="1" applyBorder="1" applyAlignment="1">
      <x:alignment wrapText="1"/>
    </x:xf>
    <x:xf numFmtId="205" fontId="7" fillId="8" borderId="44" xfId="0" applyNumberFormat="1" applyFont="1" applyFill="1" applyBorder="1" applyAlignment="1">
      <x:alignment wrapText="1"/>
    </x:xf>
    <x:xf numFmtId="205" fontId="7" fillId="8" borderId="45" xfId="0" applyNumberFormat="1" applyFont="1" applyFill="1" applyBorder="1" applyAlignment="1">
      <x:alignment wrapText="1"/>
    </x:xf>
    <x:xf numFmtId="205" fontId="7" fillId="8" borderId="1" xfId="0" applyNumberFormat="1" applyFont="1" applyFill="1" applyBorder="1" applyAlignment="1">
      <x:alignment wrapText="1"/>
    </x:xf>
    <x:xf numFmtId="205" fontId="7" fillId="8" borderId="46" xfId="0" applyNumberFormat="1" applyFont="1" applyFill="1" applyBorder="1" applyAlignment="1">
      <x:alignment wrapText="1"/>
    </x:xf>
    <x:xf numFmtId="205" fontId="7" fillId="8" borderId="47" xfId="0" applyNumberFormat="1" applyFont="1" applyFill="1" applyBorder="1" applyAlignment="1">
      <x:alignment wrapText="1"/>
    </x:xf>
    <x:xf numFmtId="205" fontId="7" fillId="8" borderId="48" xfId="0" applyNumberFormat="1" applyFont="1" applyFill="1" applyBorder="1" applyAlignment="1">
      <x:alignment wrapText="1"/>
    </x:xf>
    <x:xf numFmtId="205" fontId="7" fillId="8" borderId="49" xfId="0" applyNumberFormat="1" applyFont="1" applyFill="1" applyBorder="1" applyAlignment="1">
      <x:alignment wrapText="1"/>
    </x:xf>
    <x:xf numFmtId="205" fontId="7" fillId="8" borderId="42" xfId="0" applyNumberFormat="1" applyFont="1" applyFill="1" applyBorder="1" applyAlignment="1">
      <x:alignment horizontal="center" wrapText="1"/>
    </x:xf>
    <x:xf numFmtId="205" fontId="7" fillId="8" borderId="43" xfId="0" applyNumberFormat="1" applyFont="1" applyFill="1" applyBorder="1" applyAlignment="1">
      <x:alignment horizontal="center" wrapText="1"/>
    </x:xf>
    <x:xf numFmtId="205" fontId="7" fillId="8" borderId="44" xfId="0" applyNumberFormat="1" applyFont="1" applyFill="1" applyBorder="1" applyAlignment="1">
      <x:alignment horizontal="center" wrapText="1"/>
    </x:xf>
    <x:xf numFmtId="205" fontId="7" fillId="8" borderId="45" xfId="0" applyNumberFormat="1" applyFont="1" applyFill="1" applyBorder="1" applyAlignment="1">
      <x:alignment horizontal="center" wrapText="1"/>
    </x:xf>
    <x:xf numFmtId="205" fontId="7" fillId="8" borderId="1" xfId="0" applyNumberFormat="1" applyFont="1" applyFill="1" applyBorder="1" applyAlignment="1">
      <x:alignment horizontal="center" wrapText="1"/>
    </x:xf>
    <x:xf numFmtId="205" fontId="7" fillId="8" borderId="46" xfId="0" applyNumberFormat="1" applyFont="1" applyFill="1" applyBorder="1" applyAlignment="1">
      <x:alignment horizontal="center" wrapText="1"/>
    </x:xf>
    <x:xf numFmtId="205" fontId="7" fillId="8" borderId="47" xfId="0" applyNumberFormat="1" applyFont="1" applyFill="1" applyBorder="1" applyAlignment="1">
      <x:alignment horizontal="center" wrapText="1"/>
    </x:xf>
    <x:xf numFmtId="205" fontId="7" fillId="8" borderId="48" xfId="0" applyNumberFormat="1" applyFont="1" applyFill="1" applyBorder="1" applyAlignment="1">
      <x:alignment horizontal="center" wrapText="1"/>
    </x:xf>
    <x:xf numFmtId="205" fontId="7" fillId="8" borderId="49" xfId="0" applyNumberFormat="1" applyFont="1" applyFill="1" applyBorder="1" applyAlignment="1">
      <x:alignment horizontal="center" wrapText="1"/>
    </x:xf>
    <x:xf numFmtId="205" fontId="7" fillId="8" borderId="42" xfId="0" applyNumberFormat="1" applyFont="1" applyFill="1" applyBorder="1" applyAlignment="1">
      <x:alignment horizontal="center" vertical="center" wrapText="1"/>
    </x:xf>
    <x:xf numFmtId="205" fontId="7" fillId="8" borderId="43" xfId="0" applyNumberFormat="1" applyFont="1" applyFill="1" applyBorder="1" applyAlignment="1">
      <x:alignment horizontal="center" vertical="center" wrapText="1"/>
    </x:xf>
    <x:xf numFmtId="205" fontId="7" fillId="8" borderId="44" xfId="0" applyNumberFormat="1" applyFont="1" applyFill="1" applyBorder="1" applyAlignment="1">
      <x:alignment horizontal="center" vertical="center" wrapText="1"/>
    </x:xf>
    <x:xf numFmtId="205" fontId="7" fillId="8" borderId="45" xfId="0" applyNumberFormat="1" applyFont="1" applyFill="1" applyBorder="1" applyAlignment="1">
      <x:alignment horizontal="center" vertical="center" wrapText="1"/>
    </x:xf>
    <x:xf numFmtId="205" fontId="7" fillId="8" borderId="1" xfId="0" applyNumberFormat="1" applyFont="1" applyFill="1" applyBorder="1" applyAlignment="1">
      <x:alignment horizontal="center" vertical="center" wrapText="1"/>
    </x:xf>
    <x:xf numFmtId="205" fontId="7" fillId="8" borderId="46" xfId="0" applyNumberFormat="1" applyFont="1" applyFill="1" applyBorder="1" applyAlignment="1">
      <x:alignment horizontal="center" vertical="center" wrapText="1"/>
    </x:xf>
    <x:xf numFmtId="205" fontId="7" fillId="8" borderId="47" xfId="0" applyNumberFormat="1" applyFont="1" applyFill="1" applyBorder="1" applyAlignment="1">
      <x:alignment horizontal="center" vertical="center" wrapText="1"/>
    </x:xf>
    <x:xf numFmtId="205" fontId="7" fillId="8" borderId="48" xfId="0" applyNumberFormat="1" applyFont="1" applyFill="1" applyBorder="1" applyAlignment="1">
      <x:alignment horizontal="center" vertical="center" wrapText="1"/>
    </x:xf>
    <x:xf numFmtId="205" fontId="7" fillId="8" borderId="4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34" xfId="0" applyNumberFormat="1" applyFont="1" applyFill="1" applyBorder="1"/>
    <x:xf numFmtId="0" fontId="13" fillId="5" borderId="35" xfId="0" applyNumberFormat="1" applyFont="1" applyFill="1" applyBorder="1"/>
    <x:xf numFmtId="0" fontId="13" fillId="5" borderId="36" xfId="0" applyNumberFormat="1" applyFont="1" applyFill="1" applyBorder="1"/>
    <x:xf numFmtId="0" fontId="13" fillId="5" borderId="37" xfId="0" applyNumberFormat="1" applyFont="1" applyFill="1" applyBorder="1"/>
    <x:xf numFmtId="0" fontId="13" fillId="5" borderId="38" xfId="0" applyNumberFormat="1" applyFont="1" applyFill="1" applyBorder="1"/>
    <x:xf numFmtId="0" fontId="13" fillId="5" borderId="39" xfId="0" applyNumberFormat="1" applyFont="1" applyFill="1" applyBorder="1"/>
    <x:xf numFmtId="0" fontId="13" fillId="5" borderId="40" xfId="0" applyNumberFormat="1" applyFont="1" applyFill="1" applyBorder="1"/>
    <x:xf numFmtId="0" fontId="13" fillId="5" borderId="41" xfId="0" applyNumberFormat="1" applyFont="1" applyFill="1" applyBorder="1"/>
    <x:xf numFmtId="205" fontId="13" fillId="5" borderId="34" xfId="0" applyNumberFormat="1" applyFont="1" applyFill="1" applyBorder="1"/>
    <x:xf numFmtId="205" fontId="13" fillId="5" borderId="35" xfId="0" applyNumberFormat="1" applyFont="1" applyFill="1" applyBorder="1"/>
    <x:xf numFmtId="205" fontId="13" fillId="5" borderId="36" xfId="0" applyNumberFormat="1" applyFont="1" applyFill="1" applyBorder="1"/>
    <x:xf numFmtId="205" fontId="13" fillId="5" borderId="37" xfId="0" applyNumberFormat="1" applyFont="1" applyFill="1" applyBorder="1"/>
    <x:xf numFmtId="205" fontId="13" fillId="5" borderId="0" xfId="0" applyNumberFormat="1" applyFont="1" applyFill="1" applyBorder="1"/>
    <x:xf numFmtId="205" fontId="13" fillId="5" borderId="38" xfId="0" applyNumberFormat="1" applyFont="1" applyFill="1" applyBorder="1"/>
    <x:xf numFmtId="205" fontId="13" fillId="5" borderId="39" xfId="0" applyNumberFormat="1" applyFont="1" applyFill="1" applyBorder="1"/>
    <x:xf numFmtId="205" fontId="13" fillId="5" borderId="40" xfId="0" applyNumberFormat="1" applyFont="1" applyFill="1" applyBorder="1"/>
    <x:xf numFmtId="205" fontId="13" fillId="5" borderId="41" xfId="0" applyNumberFormat="1" applyFont="1" applyFill="1" applyBorder="1"/>
    <x:xf numFmtId="205" fontId="13" fillId="5" borderId="34" xfId="0" applyNumberFormat="1" applyFont="1" applyFill="1" applyBorder="1" applyAlignment="1">
      <x:alignment wrapText="1"/>
    </x:xf>
    <x:xf numFmtId="205" fontId="13" fillId="5" borderId="35" xfId="0" applyNumberFormat="1" applyFont="1" applyFill="1" applyBorder="1" applyAlignment="1">
      <x:alignment wrapText="1"/>
    </x:xf>
    <x:xf numFmtId="205" fontId="13" fillId="5" borderId="36" xfId="0" applyNumberFormat="1" applyFont="1" applyFill="1" applyBorder="1" applyAlignment="1">
      <x:alignment wrapText="1"/>
    </x:xf>
    <x:xf numFmtId="205" fontId="13" fillId="5" borderId="37" xfId="0" applyNumberFormat="1" applyFont="1" applyFill="1" applyBorder="1" applyAlignment="1">
      <x:alignment wrapText="1"/>
    </x:xf>
    <x:xf numFmtId="205" fontId="13" fillId="5" borderId="0" xfId="0" applyNumberFormat="1" applyFont="1" applyFill="1" applyBorder="1" applyAlignment="1">
      <x:alignment wrapText="1"/>
    </x:xf>
    <x:xf numFmtId="205" fontId="13" fillId="5" borderId="38" xfId="0" applyNumberFormat="1" applyFont="1" applyFill="1" applyBorder="1" applyAlignment="1">
      <x:alignment wrapText="1"/>
    </x:xf>
    <x:xf numFmtId="205" fontId="13" fillId="5" borderId="39" xfId="0" applyNumberFormat="1" applyFont="1" applyFill="1" applyBorder="1" applyAlignment="1">
      <x:alignment wrapText="1"/>
    </x:xf>
    <x:xf numFmtId="205" fontId="13" fillId="5" borderId="40" xfId="0" applyNumberFormat="1" applyFont="1" applyFill="1" applyBorder="1" applyAlignment="1">
      <x:alignment wrapText="1"/>
    </x:xf>
    <x:xf numFmtId="205" fontId="13" fillId="5" borderId="41" xfId="0" applyNumberFormat="1" applyFont="1" applyFill="1" applyBorder="1" applyAlignment="1">
      <x:alignment wrapText="1"/>
    </x:xf>
    <x:xf numFmtId="205" fontId="13" fillId="5" borderId="34" xfId="0" applyNumberFormat="1" applyFont="1" applyFill="1" applyBorder="1" applyAlignment="1">
      <x:alignment horizontal="center" wrapText="1"/>
    </x:xf>
    <x:xf numFmtId="205" fontId="13" fillId="5" borderId="35" xfId="0" applyNumberFormat="1" applyFont="1" applyFill="1" applyBorder="1" applyAlignment="1">
      <x:alignment horizontal="center" wrapText="1"/>
    </x:xf>
    <x:xf numFmtId="205" fontId="13" fillId="5" borderId="36" xfId="0" applyNumberFormat="1" applyFont="1" applyFill="1" applyBorder="1" applyAlignment="1">
      <x:alignment horizontal="center" wrapText="1"/>
    </x:xf>
    <x:xf numFmtId="205" fontId="13" fillId="5" borderId="37" xfId="0" applyNumberFormat="1" applyFont="1" applyFill="1" applyBorder="1" applyAlignment="1">
      <x:alignment horizontal="center" wrapText="1"/>
    </x:xf>
    <x:xf numFmtId="205" fontId="13" fillId="5" borderId="0" xfId="0" applyNumberFormat="1" applyFont="1" applyFill="1" applyBorder="1" applyAlignment="1">
      <x:alignment horizontal="center" wrapText="1"/>
    </x:xf>
    <x:xf numFmtId="205" fontId="13" fillId="5" borderId="38" xfId="0" applyNumberFormat="1" applyFont="1" applyFill="1" applyBorder="1" applyAlignment="1">
      <x:alignment horizontal="center" wrapText="1"/>
    </x:xf>
    <x:xf numFmtId="205" fontId="13" fillId="5" borderId="39" xfId="0" applyNumberFormat="1" applyFont="1" applyFill="1" applyBorder="1" applyAlignment="1">
      <x:alignment horizontal="center" wrapText="1"/>
    </x:xf>
    <x:xf numFmtId="205" fontId="13" fillId="5" borderId="40" xfId="0" applyNumberFormat="1" applyFont="1" applyFill="1" applyBorder="1" applyAlignment="1">
      <x:alignment horizontal="center" wrapText="1"/>
    </x:xf>
    <x:xf numFmtId="205" fontId="13" fillId="5" borderId="41" xfId="0" applyNumberFormat="1" applyFont="1" applyFill="1" applyBorder="1" applyAlignment="1">
      <x:alignment horizontal="center" wrapText="1"/>
    </x:xf>
    <x:xf numFmtId="205" fontId="13" fillId="5" borderId="34" xfId="0" applyNumberFormat="1" applyFont="1" applyFill="1" applyBorder="1" applyAlignment="1">
      <x:alignment horizontal="center" vertical="center" wrapText="1"/>
    </x:xf>
    <x:xf numFmtId="205" fontId="13" fillId="5" borderId="35" xfId="0" applyNumberFormat="1" applyFont="1" applyFill="1" applyBorder="1" applyAlignment="1">
      <x:alignment horizontal="center" vertical="center" wrapText="1"/>
    </x:xf>
    <x:xf numFmtId="205" fontId="13" fillId="5" borderId="36" xfId="0" applyNumberFormat="1" applyFont="1" applyFill="1" applyBorder="1" applyAlignment="1">
      <x:alignment horizontal="center" vertical="center" wrapText="1"/>
    </x:xf>
    <x:xf numFmtId="205" fontId="13" fillId="5" borderId="37" xfId="0" applyNumberFormat="1" applyFont="1" applyFill="1" applyBorder="1" applyAlignment="1">
      <x:alignment horizontal="center" vertical="center" wrapText="1"/>
    </x:xf>
    <x:xf numFmtId="205" fontId="13" fillId="5" borderId="0" xfId="0" applyNumberFormat="1" applyFont="1" applyFill="1" applyBorder="1" applyAlignment="1">
      <x:alignment horizontal="center" vertical="center" wrapText="1"/>
    </x:xf>
    <x:xf numFmtId="205" fontId="13" fillId="5" borderId="38" xfId="0" applyNumberFormat="1" applyFont="1" applyFill="1" applyBorder="1" applyAlignment="1">
      <x:alignment horizontal="center" vertical="center" wrapText="1"/>
    </x:xf>
    <x:xf numFmtId="205" fontId="13" fillId="5" borderId="39" xfId="0" applyNumberFormat="1" applyFont="1" applyFill="1" applyBorder="1" applyAlignment="1">
      <x:alignment horizontal="center" vertical="center" wrapText="1"/>
    </x:xf>
    <x:xf numFmtId="205" fontId="13" fillId="5" borderId="40" xfId="0" applyNumberFormat="1" applyFont="1" applyFill="1" applyBorder="1" applyAlignment="1">
      <x:alignment horizontal="center" vertical="center" wrapText="1"/>
    </x:xf>
    <x:xf numFmtId="205" fontId="13" fillId="5" borderId="4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3" fillId="5" borderId="1" xfId="0" applyNumberFormat="1" applyFont="1" applyFill="1" applyBorder="1"/>
    <x:xf numFmtId="0" fontId="13" fillId="5" borderId="42" xfId="0" applyNumberFormat="1" applyFont="1" applyFill="1" applyBorder="1"/>
    <x:xf numFmtId="0" fontId="13" fillId="5" borderId="43" xfId="0" applyNumberFormat="1" applyFont="1" applyFill="1" applyBorder="1"/>
    <x:xf numFmtId="0" fontId="13" fillId="5" borderId="44" xfId="0" applyNumberFormat="1" applyFont="1" applyFill="1" applyBorder="1"/>
    <x:xf numFmtId="0" fontId="13" fillId="5" borderId="45" xfId="0" applyNumberFormat="1" applyFont="1" applyFill="1" applyBorder="1"/>
    <x:xf numFmtId="0" fontId="13" fillId="5" borderId="46" xfId="0" applyNumberFormat="1" applyFont="1" applyFill="1" applyBorder="1"/>
    <x:xf numFmtId="0" fontId="13" fillId="5" borderId="47" xfId="0" applyNumberFormat="1" applyFont="1" applyFill="1" applyBorder="1"/>
    <x:xf numFmtId="0" fontId="13" fillId="5" borderId="48" xfId="0" applyNumberFormat="1" applyFont="1" applyFill="1" applyBorder="1"/>
    <x:xf numFmtId="0" fontId="13" fillId="5" borderId="49" xfId="0" applyNumberFormat="1" applyFont="1" applyFill="1" applyBorder="1"/>
    <x:xf numFmtId="205" fontId="13" fillId="5" borderId="42" xfId="0" applyNumberFormat="1" applyFont="1" applyFill="1" applyBorder="1"/>
    <x:xf numFmtId="205" fontId="13" fillId="5" borderId="43" xfId="0" applyNumberFormat="1" applyFont="1" applyFill="1" applyBorder="1"/>
    <x:xf numFmtId="205" fontId="13" fillId="5" borderId="44" xfId="0" applyNumberFormat="1" applyFont="1" applyFill="1" applyBorder="1"/>
    <x:xf numFmtId="205" fontId="13" fillId="5" borderId="45" xfId="0" applyNumberFormat="1" applyFont="1" applyFill="1" applyBorder="1"/>
    <x:xf numFmtId="205" fontId="13" fillId="5" borderId="1" xfId="0" applyNumberFormat="1" applyFont="1" applyFill="1" applyBorder="1"/>
    <x:xf numFmtId="205" fontId="13" fillId="5" borderId="46" xfId="0" applyNumberFormat="1" applyFont="1" applyFill="1" applyBorder="1"/>
    <x:xf numFmtId="205" fontId="13" fillId="5" borderId="47" xfId="0" applyNumberFormat="1" applyFont="1" applyFill="1" applyBorder="1"/>
    <x:xf numFmtId="205" fontId="13" fillId="5" borderId="48" xfId="0" applyNumberFormat="1" applyFont="1" applyFill="1" applyBorder="1"/>
    <x:xf numFmtId="205" fontId="13" fillId="5" borderId="49" xfId="0" applyNumberFormat="1" applyFont="1" applyFill="1" applyBorder="1"/>
    <x:xf numFmtId="205" fontId="13" fillId="5" borderId="42" xfId="0" applyNumberFormat="1" applyFont="1" applyFill="1" applyBorder="1" applyAlignment="1">
      <x:alignment wrapText="1"/>
    </x:xf>
    <x:xf numFmtId="205" fontId="13" fillId="5" borderId="43" xfId="0" applyNumberFormat="1" applyFont="1" applyFill="1" applyBorder="1" applyAlignment="1">
      <x:alignment wrapText="1"/>
    </x:xf>
    <x:xf numFmtId="205" fontId="13" fillId="5" borderId="44" xfId="0" applyNumberFormat="1" applyFont="1" applyFill="1" applyBorder="1" applyAlignment="1">
      <x:alignment wrapText="1"/>
    </x:xf>
    <x:xf numFmtId="205" fontId="13" fillId="5" borderId="45" xfId="0" applyNumberFormat="1" applyFont="1" applyFill="1" applyBorder="1" applyAlignment="1">
      <x:alignment wrapText="1"/>
    </x:xf>
    <x:xf numFmtId="205" fontId="13" fillId="5" borderId="1" xfId="0" applyNumberFormat="1" applyFont="1" applyFill="1" applyBorder="1" applyAlignment="1">
      <x:alignment wrapText="1"/>
    </x:xf>
    <x:xf numFmtId="205" fontId="13" fillId="5" borderId="46" xfId="0" applyNumberFormat="1" applyFont="1" applyFill="1" applyBorder="1" applyAlignment="1">
      <x:alignment wrapText="1"/>
    </x:xf>
    <x:xf numFmtId="205" fontId="13" fillId="5" borderId="47" xfId="0" applyNumberFormat="1" applyFont="1" applyFill="1" applyBorder="1" applyAlignment="1">
      <x:alignment wrapText="1"/>
    </x:xf>
    <x:xf numFmtId="205" fontId="13" fillId="5" borderId="48" xfId="0" applyNumberFormat="1" applyFont="1" applyFill="1" applyBorder="1" applyAlignment="1">
      <x:alignment wrapText="1"/>
    </x:xf>
    <x:xf numFmtId="205" fontId="13" fillId="5" borderId="49" xfId="0" applyNumberFormat="1" applyFont="1" applyFill="1" applyBorder="1" applyAlignment="1">
      <x:alignment wrapText="1"/>
    </x:xf>
    <x:xf numFmtId="205" fontId="13" fillId="5" borderId="42" xfId="0" applyNumberFormat="1" applyFont="1" applyFill="1" applyBorder="1" applyAlignment="1">
      <x:alignment horizontal="center" wrapText="1"/>
    </x:xf>
    <x:xf numFmtId="205" fontId="13" fillId="5" borderId="43" xfId="0" applyNumberFormat="1" applyFont="1" applyFill="1" applyBorder="1" applyAlignment="1">
      <x:alignment horizontal="center" wrapText="1"/>
    </x:xf>
    <x:xf numFmtId="205" fontId="13" fillId="5" borderId="44" xfId="0" applyNumberFormat="1" applyFont="1" applyFill="1" applyBorder="1" applyAlignment="1">
      <x:alignment horizontal="center" wrapText="1"/>
    </x:xf>
    <x:xf numFmtId="205" fontId="13" fillId="5" borderId="45" xfId="0" applyNumberFormat="1" applyFont="1" applyFill="1" applyBorder="1" applyAlignment="1">
      <x:alignment horizontal="center" wrapText="1"/>
    </x:xf>
    <x:xf numFmtId="205" fontId="13" fillId="5" borderId="1" xfId="0" applyNumberFormat="1" applyFont="1" applyFill="1" applyBorder="1" applyAlignment="1">
      <x:alignment horizontal="center" wrapText="1"/>
    </x:xf>
    <x:xf numFmtId="205" fontId="13" fillId="5" borderId="46" xfId="0" applyNumberFormat="1" applyFont="1" applyFill="1" applyBorder="1" applyAlignment="1">
      <x:alignment horizontal="center" wrapText="1"/>
    </x:xf>
    <x:xf numFmtId="205" fontId="13" fillId="5" borderId="47" xfId="0" applyNumberFormat="1" applyFont="1" applyFill="1" applyBorder="1" applyAlignment="1">
      <x:alignment horizontal="center" wrapText="1"/>
    </x:xf>
    <x:xf numFmtId="205" fontId="13" fillId="5" borderId="48" xfId="0" applyNumberFormat="1" applyFont="1" applyFill="1" applyBorder="1" applyAlignment="1">
      <x:alignment horizontal="center" wrapText="1"/>
    </x:xf>
    <x:xf numFmtId="205" fontId="13" fillId="5" borderId="49" xfId="0" applyNumberFormat="1" applyFont="1" applyFill="1" applyBorder="1" applyAlignment="1">
      <x:alignment horizontal="center" wrapText="1"/>
    </x:xf>
    <x:xf numFmtId="205" fontId="13" fillId="5" borderId="42" xfId="0" applyNumberFormat="1" applyFont="1" applyFill="1" applyBorder="1" applyAlignment="1">
      <x:alignment horizontal="center" vertical="center" wrapText="1"/>
    </x:xf>
    <x:xf numFmtId="205" fontId="13" fillId="5" borderId="43" xfId="0" applyNumberFormat="1" applyFont="1" applyFill="1" applyBorder="1" applyAlignment="1">
      <x:alignment horizontal="center" vertical="center" wrapText="1"/>
    </x:xf>
    <x:xf numFmtId="205" fontId="13" fillId="5" borderId="44" xfId="0" applyNumberFormat="1" applyFont="1" applyFill="1" applyBorder="1" applyAlignment="1">
      <x:alignment horizontal="center" vertical="center" wrapText="1"/>
    </x:xf>
    <x:xf numFmtId="205" fontId="13" fillId="5" borderId="45" xfId="0" applyNumberFormat="1" applyFont="1" applyFill="1" applyBorder="1" applyAlignment="1">
      <x:alignment horizontal="center" vertical="center" wrapText="1"/>
    </x:xf>
    <x:xf numFmtId="205" fontId="13" fillId="5" borderId="1" xfId="0" applyNumberFormat="1" applyFont="1" applyFill="1" applyBorder="1" applyAlignment="1">
      <x:alignment horizontal="center" vertical="center" wrapText="1"/>
    </x:xf>
    <x:xf numFmtId="205" fontId="13" fillId="5" borderId="46" xfId="0" applyNumberFormat="1" applyFont="1" applyFill="1" applyBorder="1" applyAlignment="1">
      <x:alignment horizontal="center" vertical="center" wrapText="1"/>
    </x:xf>
    <x:xf numFmtId="205" fontId="13" fillId="5" borderId="47" xfId="0" applyNumberFormat="1" applyFont="1" applyFill="1" applyBorder="1" applyAlignment="1">
      <x:alignment horizontal="center" vertical="center" wrapText="1"/>
    </x:xf>
    <x:xf numFmtId="205" fontId="13" fillId="5" borderId="48" xfId="0" applyNumberFormat="1" applyFont="1" applyFill="1" applyBorder="1" applyAlignment="1">
      <x:alignment horizontal="center" vertical="center" wrapText="1"/>
    </x:xf>
    <x:xf numFmtId="205" fontId="13" fillId="5" borderId="49" xfId="0" applyNumberFormat="1" applyFont="1" applyFill="1" applyBorder="1" applyAlignment="1">
      <x:alignment horizontal="center" vertical="center" wrapText="1"/>
    </x:xf>
    <x:xf numFmtId="0" fontId="14" fillId="8" borderId="0" xfId="0" applyNumberFormat="1" applyFont="1" applyFill="1" applyBorder="1"/>
    <x:xf numFmtId="0" fontId="14" fillId="8" borderId="34" xfId="0" applyNumberFormat="1" applyFont="1" applyFill="1" applyBorder="1"/>
    <x:xf numFmtId="0" fontId="14" fillId="8" borderId="35" xfId="0" applyNumberFormat="1" applyFont="1" applyFill="1" applyBorder="1"/>
    <x:xf numFmtId="0" fontId="14" fillId="8" borderId="36" xfId="0" applyNumberFormat="1" applyFont="1" applyFill="1" applyBorder="1"/>
    <x:xf numFmtId="0" fontId="14" fillId="8" borderId="37" xfId="0" applyNumberFormat="1" applyFont="1" applyFill="1" applyBorder="1"/>
    <x:xf numFmtId="0" fontId="14" fillId="8" borderId="38" xfId="0" applyNumberFormat="1" applyFont="1" applyFill="1" applyBorder="1"/>
    <x:xf numFmtId="0" fontId="14" fillId="8" borderId="39" xfId="0" applyNumberFormat="1" applyFont="1" applyFill="1" applyBorder="1"/>
    <x:xf numFmtId="0" fontId="14" fillId="8" borderId="40" xfId="0" applyNumberFormat="1" applyFont="1" applyFill="1" applyBorder="1"/>
    <x:xf numFmtId="0" fontId="14" fillId="8" borderId="41" xfId="0" applyNumberFormat="1" applyFont="1" applyFill="1" applyBorder="1"/>
    <x:xf numFmtId="0" fontId="14" fillId="8" borderId="34" xfId="0" applyNumberFormat="1" applyFont="1" applyFill="1" applyBorder="1" applyAlignment="1">
      <x:alignment wrapText="1"/>
    </x:xf>
    <x:xf numFmtId="0" fontId="14" fillId="8" borderId="35" xfId="0" applyNumberFormat="1" applyFont="1" applyFill="1" applyBorder="1" applyAlignment="1">
      <x:alignment wrapText="1"/>
    </x:xf>
    <x:xf numFmtId="0" fontId="14" fillId="8" borderId="36" xfId="0" applyNumberFormat="1" applyFont="1" applyFill="1" applyBorder="1" applyAlignment="1">
      <x:alignment wrapText="1"/>
    </x:xf>
    <x:xf numFmtId="0" fontId="14" fillId="8" borderId="37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wrapText="1"/>
    </x:xf>
    <x:xf numFmtId="0" fontId="14" fillId="8" borderId="38" xfId="0" applyNumberFormat="1" applyFont="1" applyFill="1" applyBorder="1" applyAlignment="1">
      <x:alignment wrapText="1"/>
    </x:xf>
    <x:xf numFmtId="0" fontId="14" fillId="8" borderId="39" xfId="0" applyNumberFormat="1" applyFont="1" applyFill="1" applyBorder="1" applyAlignment="1">
      <x:alignment wrapText="1"/>
    </x:xf>
    <x:xf numFmtId="0" fontId="14" fillId="8" borderId="40" xfId="0" applyNumberFormat="1" applyFont="1" applyFill="1" applyBorder="1" applyAlignment="1">
      <x:alignment wrapText="1"/>
    </x:xf>
    <x:xf numFmtId="0" fontId="14" fillId="8" borderId="41" xfId="0" applyNumberFormat="1" applyFont="1" applyFill="1" applyBorder="1" applyAlignment="1">
      <x:alignment wrapText="1"/>
    </x:xf>
    <x:xf numFmtId="0" fontId="14" fillId="8" borderId="34" xfId="0" applyNumberFormat="1" applyFont="1" applyFill="1" applyBorder="1" applyAlignment="1">
      <x:alignment horizontal="left" wrapText="1"/>
    </x:xf>
    <x:xf numFmtId="0" fontId="14" fillId="8" borderId="35" xfId="0" applyNumberFormat="1" applyFont="1" applyFill="1" applyBorder="1" applyAlignment="1">
      <x:alignment horizontal="left" wrapText="1"/>
    </x:xf>
    <x:xf numFmtId="0" fontId="14" fillId="8" borderId="36" xfId="0" applyNumberFormat="1" applyFont="1" applyFill="1" applyBorder="1" applyAlignment="1">
      <x:alignment horizontal="left" wrapText="1"/>
    </x:xf>
    <x:xf numFmtId="0" fontId="14" fillId="8" borderId="37" xfId="0" applyNumberFormat="1" applyFont="1" applyFill="1" applyBorder="1" applyAlignment="1">
      <x:alignment horizontal="left" wrapText="1"/>
    </x:xf>
    <x:xf numFmtId="0" fontId="14" fillId="8" borderId="0" xfId="0" applyNumberFormat="1" applyFont="1" applyFill="1" applyBorder="1" applyAlignment="1">
      <x:alignment horizontal="left" wrapText="1"/>
    </x:xf>
    <x:xf numFmtId="0" fontId="14" fillId="8" borderId="38" xfId="0" applyNumberFormat="1" applyFont="1" applyFill="1" applyBorder="1" applyAlignment="1">
      <x:alignment horizontal="left" wrapText="1"/>
    </x:xf>
    <x:xf numFmtId="0" fontId="14" fillId="8" borderId="39" xfId="0" applyNumberFormat="1" applyFont="1" applyFill="1" applyBorder="1" applyAlignment="1">
      <x:alignment horizontal="left" wrapText="1"/>
    </x:xf>
    <x:xf numFmtId="0" fontId="14" fillId="8" borderId="40" xfId="0" applyNumberFormat="1" applyFont="1" applyFill="1" applyBorder="1" applyAlignment="1">
      <x:alignment horizontal="left" wrapText="1"/>
    </x:xf>
    <x:xf numFmtId="0" fontId="14" fillId="8" borderId="41" xfId="0" applyNumberFormat="1" applyFont="1" applyFill="1" applyBorder="1" applyAlignment="1">
      <x:alignment horizontal="left" wrapText="1"/>
    </x:xf>
    <x:xf numFmtId="0" fontId="14" fillId="8" borderId="34" xfId="0" applyNumberFormat="1" applyFont="1" applyFill="1" applyBorder="1" applyAlignment="1">
      <x:alignment horizontal="left" vertical="center" wrapText="1"/>
    </x:xf>
    <x:xf numFmtId="0" fontId="14" fillId="8" borderId="35" xfId="0" applyNumberFormat="1" applyFont="1" applyFill="1" applyBorder="1" applyAlignment="1">
      <x:alignment horizontal="left" vertical="center" wrapText="1"/>
    </x:xf>
    <x:xf numFmtId="0" fontId="14" fillId="8" borderId="36" xfId="0" applyNumberFormat="1" applyFont="1" applyFill="1" applyBorder="1" applyAlignment="1">
      <x:alignment horizontal="left" vertical="center" wrapText="1"/>
    </x:xf>
    <x:xf numFmtId="0" fontId="14" fillId="8" borderId="37" xfId="0" applyNumberFormat="1" applyFont="1" applyFill="1" applyBorder="1" applyAlignment="1">
      <x:alignment horizontal="left" vertical="center" wrapText="1"/>
    </x:xf>
    <x:xf numFmtId="0" fontId="14" fillId="8" borderId="0" xfId="0" applyNumberFormat="1" applyFont="1" applyFill="1" applyBorder="1" applyAlignment="1">
      <x:alignment horizontal="left" vertical="center" wrapText="1"/>
    </x:xf>
    <x:xf numFmtId="0" fontId="14" fillId="8" borderId="38" xfId="0" applyNumberFormat="1" applyFont="1" applyFill="1" applyBorder="1" applyAlignment="1">
      <x:alignment horizontal="left" vertical="center" wrapText="1"/>
    </x:xf>
    <x:xf numFmtId="0" fontId="14" fillId="8" borderId="39" xfId="0" applyNumberFormat="1" applyFont="1" applyFill="1" applyBorder="1" applyAlignment="1">
      <x:alignment horizontal="left" vertical="center" wrapText="1"/>
    </x:xf>
    <x:xf numFmtId="0" fontId="14" fillId="8" borderId="40" xfId="0" applyNumberFormat="1" applyFont="1" applyFill="1" applyBorder="1" applyAlignment="1">
      <x:alignment horizontal="left" vertical="center" wrapText="1"/>
    </x:xf>
    <x:xf numFmtId="0" fontId="14" fillId="8" borderId="41" xfId="0" applyNumberFormat="1" applyFont="1" applyFill="1" applyBorder="1" applyAlignment="1">
      <x:alignment horizontal="left" vertical="center" wrapText="1"/>
    </x:xf>
    <x:xf numFmtId="0" fontId="14" fillId="8" borderId="1" xfId="0" applyNumberFormat="1" applyFont="1" applyFill="1" applyBorder="1"/>
    <x:xf numFmtId="0" fontId="14" fillId="8" borderId="42" xfId="0" applyNumberFormat="1" applyFont="1" applyFill="1" applyBorder="1"/>
    <x:xf numFmtId="0" fontId="14" fillId="8" borderId="43" xfId="0" applyNumberFormat="1" applyFont="1" applyFill="1" applyBorder="1"/>
    <x:xf numFmtId="0" fontId="14" fillId="8" borderId="44" xfId="0" applyNumberFormat="1" applyFont="1" applyFill="1" applyBorder="1"/>
    <x:xf numFmtId="0" fontId="14" fillId="8" borderId="45" xfId="0" applyNumberFormat="1" applyFont="1" applyFill="1" applyBorder="1"/>
    <x:xf numFmtId="0" fontId="14" fillId="8" borderId="46" xfId="0" applyNumberFormat="1" applyFont="1" applyFill="1" applyBorder="1"/>
    <x:xf numFmtId="0" fontId="14" fillId="8" borderId="47" xfId="0" applyNumberFormat="1" applyFont="1" applyFill="1" applyBorder="1"/>
    <x:xf numFmtId="0" fontId="14" fillId="8" borderId="48" xfId="0" applyNumberFormat="1" applyFont="1" applyFill="1" applyBorder="1"/>
    <x:xf numFmtId="0" fontId="14" fillId="8" borderId="49" xfId="0" applyNumberFormat="1" applyFont="1" applyFill="1" applyBorder="1"/>
    <x:xf numFmtId="0" fontId="14" fillId="8" borderId="42" xfId="0" applyNumberFormat="1" applyFont="1" applyFill="1" applyBorder="1" applyAlignment="1">
      <x:alignment wrapText="1"/>
    </x:xf>
    <x:xf numFmtId="0" fontId="14" fillId="8" borderId="43" xfId="0" applyNumberFormat="1" applyFont="1" applyFill="1" applyBorder="1" applyAlignment="1">
      <x:alignment wrapText="1"/>
    </x:xf>
    <x:xf numFmtId="0" fontId="14" fillId="8" borderId="44" xfId="0" applyNumberFormat="1" applyFont="1" applyFill="1" applyBorder="1" applyAlignment="1">
      <x:alignment wrapText="1"/>
    </x:xf>
    <x:xf numFmtId="0" fontId="14" fillId="8" borderId="45" xfId="0" applyNumberFormat="1" applyFont="1" applyFill="1" applyBorder="1" applyAlignment="1">
      <x:alignment wrapText="1"/>
    </x:xf>
    <x:xf numFmtId="0" fontId="14" fillId="8" borderId="1" xfId="0" applyNumberFormat="1" applyFont="1" applyFill="1" applyBorder="1" applyAlignment="1">
      <x:alignment wrapText="1"/>
    </x:xf>
    <x:xf numFmtId="0" fontId="14" fillId="8" borderId="46" xfId="0" applyNumberFormat="1" applyFont="1" applyFill="1" applyBorder="1" applyAlignment="1">
      <x:alignment wrapText="1"/>
    </x:xf>
    <x:xf numFmtId="0" fontId="14" fillId="8" borderId="47" xfId="0" applyNumberFormat="1" applyFont="1" applyFill="1" applyBorder="1" applyAlignment="1">
      <x:alignment wrapText="1"/>
    </x:xf>
    <x:xf numFmtId="0" fontId="14" fillId="8" borderId="48" xfId="0" applyNumberFormat="1" applyFont="1" applyFill="1" applyBorder="1" applyAlignment="1">
      <x:alignment wrapText="1"/>
    </x:xf>
    <x:xf numFmtId="0" fontId="14" fillId="8" borderId="49" xfId="0" applyNumberFormat="1" applyFont="1" applyFill="1" applyBorder="1" applyAlignment="1">
      <x:alignment wrapText="1"/>
    </x:xf>
    <x:xf numFmtId="0" fontId="14" fillId="8" borderId="42" xfId="0" applyNumberFormat="1" applyFont="1" applyFill="1" applyBorder="1" applyAlignment="1">
      <x:alignment horizontal="left" wrapText="1"/>
    </x:xf>
    <x:xf numFmtId="0" fontId="14" fillId="8" borderId="43" xfId="0" applyNumberFormat="1" applyFont="1" applyFill="1" applyBorder="1" applyAlignment="1">
      <x:alignment horizontal="left" wrapText="1"/>
    </x:xf>
    <x:xf numFmtId="0" fontId="14" fillId="8" borderId="44" xfId="0" applyNumberFormat="1" applyFont="1" applyFill="1" applyBorder="1" applyAlignment="1">
      <x:alignment horizontal="left" wrapText="1"/>
    </x:xf>
    <x:xf numFmtId="0" fontId="14" fillId="8" borderId="45" xfId="0" applyNumberFormat="1" applyFont="1" applyFill="1" applyBorder="1" applyAlignment="1">
      <x:alignment horizontal="left" wrapText="1"/>
    </x:xf>
    <x:xf numFmtId="0" fontId="14" fillId="8" borderId="1" xfId="0" applyNumberFormat="1" applyFont="1" applyFill="1" applyBorder="1" applyAlignment="1">
      <x:alignment horizontal="left" wrapText="1"/>
    </x:xf>
    <x:xf numFmtId="0" fontId="14" fillId="8" borderId="46" xfId="0" applyNumberFormat="1" applyFont="1" applyFill="1" applyBorder="1" applyAlignment="1">
      <x:alignment horizontal="left" wrapText="1"/>
    </x:xf>
    <x:xf numFmtId="0" fontId="14" fillId="8" borderId="47" xfId="0" applyNumberFormat="1" applyFont="1" applyFill="1" applyBorder="1" applyAlignment="1">
      <x:alignment horizontal="left" wrapText="1"/>
    </x:xf>
    <x:xf numFmtId="0" fontId="14" fillId="8" borderId="48" xfId="0" applyNumberFormat="1" applyFont="1" applyFill="1" applyBorder="1" applyAlignment="1">
      <x:alignment horizontal="left" wrapText="1"/>
    </x:xf>
    <x:xf numFmtId="0" fontId="14" fillId="8" borderId="49" xfId="0" applyNumberFormat="1" applyFont="1" applyFill="1" applyBorder="1" applyAlignment="1">
      <x:alignment horizontal="left" wrapText="1"/>
    </x:xf>
    <x:xf numFmtId="0" fontId="14" fillId="8" borderId="42" xfId="0" applyNumberFormat="1" applyFont="1" applyFill="1" applyBorder="1" applyAlignment="1">
      <x:alignment horizontal="left" vertical="center" wrapText="1"/>
    </x:xf>
    <x:xf numFmtId="0" fontId="14" fillId="8" borderId="43" xfId="0" applyNumberFormat="1" applyFont="1" applyFill="1" applyBorder="1" applyAlignment="1">
      <x:alignment horizontal="left" vertical="center" wrapText="1"/>
    </x:xf>
    <x:xf numFmtId="0" fontId="14" fillId="8" borderId="44" xfId="0" applyNumberFormat="1" applyFont="1" applyFill="1" applyBorder="1" applyAlignment="1">
      <x:alignment horizontal="left" vertical="center" wrapText="1"/>
    </x:xf>
    <x:xf numFmtId="0" fontId="14" fillId="8" borderId="45" xfId="0" applyNumberFormat="1" applyFont="1" applyFill="1" applyBorder="1" applyAlignment="1">
      <x:alignment horizontal="left" vertical="center" wrapText="1"/>
    </x:xf>
    <x:xf numFmtId="0" fontId="14" fillId="8" borderId="1" xfId="0" applyNumberFormat="1" applyFont="1" applyFill="1" applyBorder="1" applyAlignment="1">
      <x:alignment horizontal="left" vertical="center" wrapText="1"/>
    </x:xf>
    <x:xf numFmtId="0" fontId="14" fillId="8" borderId="46" xfId="0" applyNumberFormat="1" applyFont="1" applyFill="1" applyBorder="1" applyAlignment="1">
      <x:alignment horizontal="left" vertical="center" wrapText="1"/>
    </x:xf>
    <x:xf numFmtId="0" fontId="14" fillId="8" borderId="47" xfId="0" applyNumberFormat="1" applyFont="1" applyFill="1" applyBorder="1" applyAlignment="1">
      <x:alignment horizontal="left" vertical="center" wrapText="1"/>
    </x:xf>
    <x:xf numFmtId="0" fontId="14" fillId="8" borderId="48" xfId="0" applyNumberFormat="1" applyFont="1" applyFill="1" applyBorder="1" applyAlignment="1">
      <x:alignment horizontal="left" vertical="center" wrapText="1"/>
    </x:xf>
    <x:xf numFmtId="0" fontId="14" fillId="8" borderId="49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34" xfId="0" applyNumberFormat="1" applyFont="1" applyFill="1" applyBorder="1"/>
    <x:xf numFmtId="0" fontId="15" fillId="15" borderId="35" xfId="0" applyNumberFormat="1" applyFont="1" applyFill="1" applyBorder="1"/>
    <x:xf numFmtId="0" fontId="15" fillId="15" borderId="36" xfId="0" applyNumberFormat="1" applyFont="1" applyFill="1" applyBorder="1"/>
    <x:xf numFmtId="0" fontId="15" fillId="15" borderId="37" xfId="0" applyNumberFormat="1" applyFont="1" applyFill="1" applyBorder="1"/>
    <x:xf numFmtId="0" fontId="15" fillId="15" borderId="38" xfId="0" applyNumberFormat="1" applyFont="1" applyFill="1" applyBorder="1"/>
    <x:xf numFmtId="0" fontId="15" fillId="15" borderId="39" xfId="0" applyNumberFormat="1" applyFont="1" applyFill="1" applyBorder="1"/>
    <x:xf numFmtId="0" fontId="15" fillId="15" borderId="40" xfId="0" applyNumberFormat="1" applyFont="1" applyFill="1" applyBorder="1"/>
    <x:xf numFmtId="0" fontId="15" fillId="15" borderId="41" xfId="0" applyNumberFormat="1" applyFont="1" applyFill="1" applyBorder="1"/>
    <x:xf numFmtId="0" fontId="15" fillId="15" borderId="34" xfId="0" applyNumberFormat="1" applyFont="1" applyFill="1" applyBorder="1" applyAlignment="1">
      <x:alignment horizontal="center"/>
    </x:xf>
    <x:xf numFmtId="0" fontId="15" fillId="15" borderId="35" xfId="0" applyNumberFormat="1" applyFont="1" applyFill="1" applyBorder="1" applyAlignment="1">
      <x:alignment horizontal="center"/>
    </x:xf>
    <x:xf numFmtId="0" fontId="15" fillId="15" borderId="36" xfId="0" applyNumberFormat="1" applyFont="1" applyFill="1" applyBorder="1" applyAlignment="1">
      <x:alignment horizontal="center"/>
    </x:xf>
    <x:xf numFmtId="0" fontId="15" fillId="15" borderId="37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/>
    </x:xf>
    <x:xf numFmtId="0" fontId="15" fillId="15" borderId="38" xfId="0" applyNumberFormat="1" applyFont="1" applyFill="1" applyBorder="1" applyAlignment="1">
      <x:alignment horizontal="center"/>
    </x:xf>
    <x:xf numFmtId="0" fontId="15" fillId="15" borderId="39" xfId="0" applyNumberFormat="1" applyFont="1" applyFill="1" applyBorder="1" applyAlignment="1">
      <x:alignment horizontal="center"/>
    </x:xf>
    <x:xf numFmtId="0" fontId="15" fillId="15" borderId="40" xfId="0" applyNumberFormat="1" applyFont="1" applyFill="1" applyBorder="1" applyAlignment="1">
      <x:alignment horizontal="center"/>
    </x:xf>
    <x:xf numFmtId="0" fontId="15" fillId="15" borderId="41" xfId="0" applyNumberFormat="1" applyFont="1" applyFill="1" applyBorder="1" applyAlignment="1">
      <x:alignment horizontal="center"/>
    </x:xf>
    <x:xf numFmtId="0" fontId="15" fillId="15" borderId="34" xfId="0" applyNumberFormat="1" applyFont="1" applyFill="1" applyBorder="1" applyAlignment="1">
      <x:alignment horizontal="center" vertical="center"/>
    </x:xf>
    <x:xf numFmtId="0" fontId="15" fillId="15" borderId="35" xfId="0" applyNumberFormat="1" applyFont="1" applyFill="1" applyBorder="1" applyAlignment="1">
      <x:alignment horizontal="center" vertical="center"/>
    </x:xf>
    <x:xf numFmtId="0" fontId="15" fillId="15" borderId="36" xfId="0" applyNumberFormat="1" applyFont="1" applyFill="1" applyBorder="1" applyAlignment="1">
      <x:alignment horizontal="center" vertical="center"/>
    </x:xf>
    <x:xf numFmtId="0" fontId="15" fillId="15" borderId="37" xfId="0" applyNumberFormat="1" applyFont="1" applyFill="1" applyBorder="1" applyAlignment="1">
      <x:alignment horizontal="center" vertic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5" fillId="15" borderId="38" xfId="0" applyNumberFormat="1" applyFont="1" applyFill="1" applyBorder="1" applyAlignment="1">
      <x:alignment horizontal="center" vertical="center"/>
    </x:xf>
    <x:xf numFmtId="0" fontId="15" fillId="15" borderId="39" xfId="0" applyNumberFormat="1" applyFont="1" applyFill="1" applyBorder="1" applyAlignment="1">
      <x:alignment horizontal="center" vertical="center"/>
    </x:xf>
    <x:xf numFmtId="0" fontId="15" fillId="15" borderId="40" xfId="0" applyNumberFormat="1" applyFont="1" applyFill="1" applyBorder="1" applyAlignment="1">
      <x:alignment horizontal="center" vertical="center"/>
    </x:xf>
    <x:xf numFmtId="0" fontId="15" fillId="15" borderId="41" xfId="0" applyNumberFormat="1" applyFont="1" applyFill="1" applyBorder="1" applyAlignment="1">
      <x:alignment horizontal="center" vertical="center"/>
    </x:xf>
    <x:xf numFmtId="0" fontId="0" fillId="15" borderId="1" xfId="0" applyNumberFormat="1" applyFont="1" applyFill="1" applyBorder="1"/>
    <x:xf numFmtId="0" fontId="15" fillId="15" borderId="1" xfId="0" applyNumberFormat="1" applyFont="1" applyFill="1" applyBorder="1"/>
    <x:xf numFmtId="0" fontId="15" fillId="15" borderId="42" xfId="0" applyNumberFormat="1" applyFont="1" applyFill="1" applyBorder="1"/>
    <x:xf numFmtId="0" fontId="15" fillId="15" borderId="43" xfId="0" applyNumberFormat="1" applyFont="1" applyFill="1" applyBorder="1"/>
    <x:xf numFmtId="0" fontId="15" fillId="15" borderId="44" xfId="0" applyNumberFormat="1" applyFont="1" applyFill="1" applyBorder="1"/>
    <x:xf numFmtId="0" fontId="15" fillId="15" borderId="45" xfId="0" applyNumberFormat="1" applyFont="1" applyFill="1" applyBorder="1"/>
    <x:xf numFmtId="0" fontId="15" fillId="15" borderId="46" xfId="0" applyNumberFormat="1" applyFont="1" applyFill="1" applyBorder="1"/>
    <x:xf numFmtId="0" fontId="15" fillId="15" borderId="47" xfId="0" applyNumberFormat="1" applyFont="1" applyFill="1" applyBorder="1"/>
    <x:xf numFmtId="0" fontId="15" fillId="15" borderId="48" xfId="0" applyNumberFormat="1" applyFont="1" applyFill="1" applyBorder="1"/>
    <x:xf numFmtId="0" fontId="15" fillId="15" borderId="49" xfId="0" applyNumberFormat="1" applyFont="1" applyFill="1" applyBorder="1"/>
    <x:xf numFmtId="0" fontId="15" fillId="15" borderId="42" xfId="0" applyNumberFormat="1" applyFont="1" applyFill="1" applyBorder="1" applyAlignment="1">
      <x:alignment horizontal="center"/>
    </x:xf>
    <x:xf numFmtId="0" fontId="15" fillId="15" borderId="43" xfId="0" applyNumberFormat="1" applyFont="1" applyFill="1" applyBorder="1" applyAlignment="1">
      <x:alignment horizontal="center"/>
    </x:xf>
    <x:xf numFmtId="0" fontId="15" fillId="15" borderId="44" xfId="0" applyNumberFormat="1" applyFont="1" applyFill="1" applyBorder="1" applyAlignment="1">
      <x:alignment horizontal="center"/>
    </x:xf>
    <x:xf numFmtId="0" fontId="15" fillId="15" borderId="45" xfId="0" applyNumberFormat="1" applyFont="1" applyFill="1" applyBorder="1" applyAlignment="1">
      <x:alignment horizontal="center"/>
    </x:xf>
    <x:xf numFmtId="0" fontId="15" fillId="15" borderId="1" xfId="0" applyNumberFormat="1" applyFont="1" applyFill="1" applyBorder="1" applyAlignment="1">
      <x:alignment horizontal="center"/>
    </x:xf>
    <x:xf numFmtId="0" fontId="15" fillId="15" borderId="46" xfId="0" applyNumberFormat="1" applyFont="1" applyFill="1" applyBorder="1" applyAlignment="1">
      <x:alignment horizontal="center"/>
    </x:xf>
    <x:xf numFmtId="0" fontId="15" fillId="15" borderId="47" xfId="0" applyNumberFormat="1" applyFont="1" applyFill="1" applyBorder="1" applyAlignment="1">
      <x:alignment horizontal="center"/>
    </x:xf>
    <x:xf numFmtId="0" fontId="15" fillId="15" borderId="48" xfId="0" applyNumberFormat="1" applyFont="1" applyFill="1" applyBorder="1" applyAlignment="1">
      <x:alignment horizontal="center"/>
    </x:xf>
    <x:xf numFmtId="0" fontId="15" fillId="15" borderId="49" xfId="0" applyNumberFormat="1" applyFont="1" applyFill="1" applyBorder="1" applyAlignment="1">
      <x:alignment horizontal="center"/>
    </x:xf>
    <x:xf numFmtId="0" fontId="15" fillId="15" borderId="42" xfId="0" applyNumberFormat="1" applyFont="1" applyFill="1" applyBorder="1" applyAlignment="1">
      <x:alignment horizontal="center" vertical="center"/>
    </x:xf>
    <x:xf numFmtId="0" fontId="15" fillId="15" borderId="43" xfId="0" applyNumberFormat="1" applyFont="1" applyFill="1" applyBorder="1" applyAlignment="1">
      <x:alignment horizontal="center" vertical="center"/>
    </x:xf>
    <x:xf numFmtId="0" fontId="15" fillId="15" borderId="44" xfId="0" applyNumberFormat="1" applyFont="1" applyFill="1" applyBorder="1" applyAlignment="1">
      <x:alignment horizontal="center" vertical="center"/>
    </x:xf>
    <x:xf numFmtId="0" fontId="15" fillId="15" borderId="45" xfId="0" applyNumberFormat="1" applyFont="1" applyFill="1" applyBorder="1" applyAlignment="1">
      <x:alignment horizontal="center" vertical="center"/>
    </x:xf>
    <x:xf numFmtId="0" fontId="15" fillId="15" borderId="1" xfId="0" applyNumberFormat="1" applyFont="1" applyFill="1" applyBorder="1" applyAlignment="1">
      <x:alignment horizontal="center" vertical="center"/>
    </x:xf>
    <x:xf numFmtId="0" fontId="15" fillId="15" borderId="46" xfId="0" applyNumberFormat="1" applyFont="1" applyFill="1" applyBorder="1" applyAlignment="1">
      <x:alignment horizontal="center" vertical="center"/>
    </x:xf>
    <x:xf numFmtId="0" fontId="15" fillId="15" borderId="47" xfId="0" applyNumberFormat="1" applyFont="1" applyFill="1" applyBorder="1" applyAlignment="1">
      <x:alignment horizontal="center" vertical="center"/>
    </x:xf>
    <x:xf numFmtId="0" fontId="15" fillId="15" borderId="48" xfId="0" applyNumberFormat="1" applyFont="1" applyFill="1" applyBorder="1" applyAlignment="1">
      <x:alignment horizontal="center" vertical="center"/>
    </x:xf>
    <x:xf numFmtId="0" fontId="15" fillId="15" borderId="49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1" xfId="0" applyNumberFormat="1" applyFont="1" applyFill="1" applyBorder="1"/>
    <x:xf numFmtId="0" fontId="16" fillId="2" borderId="5" xfId="0" applyNumberFormat="1" applyFont="1" applyFill="1" applyBorder="1"/>
    <x:xf numFmtId="0" fontId="16" fillId="2" borderId="6" xfId="0" applyNumberFormat="1" applyFont="1" applyFill="1" applyBorder="1"/>
    <x:xf numFmtId="0" fontId="16" fillId="2" borderId="7" xfId="0" applyNumberFormat="1" applyFont="1" applyFill="1" applyBorder="1"/>
    <x:xf numFmtId="0" fontId="16" fillId="2" borderId="5" xfId="0" applyNumberFormat="1" applyFont="1" applyFill="1" applyBorder="1" applyAlignment="1">
      <x:alignment horizontal="center"/>
    </x:xf>
    <x:xf numFmtId="0" fontId="16" fillId="2" borderId="6" xfId="0" applyNumberFormat="1" applyFont="1" applyFill="1" applyBorder="1" applyAlignment="1">
      <x:alignment horizontal="center"/>
    </x:xf>
    <x:xf numFmtId="0" fontId="16" fillId="2" borderId="7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 vertical="center"/>
    </x:xf>
    <x:xf numFmtId="0" fontId="16" fillId="2" borderId="6" xfId="0" applyNumberFormat="1" applyFont="1" applyFill="1" applyBorder="1" applyAlignment="1">
      <x:alignment horizontal="center" vertical="center"/>
    </x:xf>
    <x:xf numFmtId="0" fontId="16" fillId="2" borderId="7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/>
    <x:xf numFmtId="0" fontId="3" fillId="8" borderId="50" xfId="0" applyNumberFormat="1" applyFont="1" applyFill="1" applyBorder="1"/>
    <x:xf numFmtId="0" fontId="3" fillId="8" borderId="51" xfId="0" applyNumberFormat="1" applyFont="1" applyFill="1" applyBorder="1"/>
    <x:xf numFmtId="0" fontId="3" fillId="8" borderId="50" xfId="0" applyNumberFormat="1" applyFont="1" applyFill="1" applyBorder="1" applyAlignment="1">
      <x:alignment vertical="center"/>
    </x:xf>
    <x:xf numFmtId="0" fontId="3" fillId="8" borderId="51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/>
    <x:xf numFmtId="0" fontId="3" fillId="8" borderId="52" xfId="0" applyNumberFormat="1" applyFont="1" applyFill="1" applyBorder="1"/>
    <x:xf numFmtId="0" fontId="3" fillId="8" borderId="53" xfId="0" applyNumberFormat="1" applyFont="1" applyFill="1" applyBorder="1"/>
    <x:xf numFmtId="0" fontId="3" fillId="8" borderId="52" xfId="0" applyNumberFormat="1" applyFont="1" applyFill="1" applyBorder="1" applyAlignment="1">
      <x:alignment vertical="center"/>
    </x:xf>
    <x:xf numFmtId="0" fontId="3" fillId="8" borderId="5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50" xfId="0" applyNumberFormat="1" applyFont="1" applyFill="1" applyBorder="1"/>
    <x:xf numFmtId="0" fontId="2" fillId="4" borderId="54" xfId="0" applyNumberFormat="1" applyFont="1" applyFill="1" applyBorder="1"/>
    <x:xf numFmtId="0" fontId="2" fillId="4" borderId="51" xfId="0" applyNumberFormat="1" applyFont="1" applyFill="1" applyBorder="1"/>
    <x:xf numFmtId="0" fontId="2" fillId="4" borderId="50" xfId="0" applyNumberFormat="1" applyFont="1" applyFill="1" applyBorder="1" applyAlignment="1">
      <x:alignment wrapText="1"/>
    </x:xf>
    <x:xf numFmtId="0" fontId="2" fillId="4" borderId="54" xfId="0" applyNumberFormat="1" applyFont="1" applyFill="1" applyBorder="1" applyAlignment="1">
      <x:alignment wrapText="1"/>
    </x:xf>
    <x:xf numFmtId="0" fontId="2" fillId="4" borderId="51" xfId="0" applyNumberFormat="1" applyFont="1" applyFill="1" applyBorder="1" applyAlignment="1">
      <x:alignment wrapText="1"/>
    </x:xf>
    <x:xf numFmtId="0" fontId="2" fillId="4" borderId="50" xfId="0" applyNumberFormat="1" applyFont="1" applyFill="1" applyBorder="1" applyAlignment="1">
      <x:alignment vertical="center" wrapText="1"/>
    </x:xf>
    <x:xf numFmtId="0" fontId="2" fillId="4" borderId="54" xfId="0" applyNumberFormat="1" applyFont="1" applyFill="1" applyBorder="1" applyAlignment="1">
      <x:alignment vertical="center" wrapText="1"/>
    </x:xf>
    <x:xf numFmtId="0" fontId="2" fillId="4" borderId="5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52" xfId="0" applyNumberFormat="1" applyFont="1" applyFill="1" applyBorder="1"/>
    <x:xf numFmtId="0" fontId="2" fillId="4" borderId="55" xfId="0" applyNumberFormat="1" applyFont="1" applyFill="1" applyBorder="1"/>
    <x:xf numFmtId="0" fontId="2" fillId="4" borderId="53" xfId="0" applyNumberFormat="1" applyFont="1" applyFill="1" applyBorder="1"/>
    <x:xf numFmtId="0" fontId="2" fillId="4" borderId="52" xfId="0" applyNumberFormat="1" applyFont="1" applyFill="1" applyBorder="1" applyAlignment="1">
      <x:alignment wrapText="1"/>
    </x:xf>
    <x:xf numFmtId="0" fontId="2" fillId="4" borderId="55" xfId="0" applyNumberFormat="1" applyFont="1" applyFill="1" applyBorder="1" applyAlignment="1">
      <x:alignment wrapText="1"/>
    </x:xf>
    <x:xf numFmtId="0" fontId="2" fillId="4" borderId="53" xfId="0" applyNumberFormat="1" applyFont="1" applyFill="1" applyBorder="1" applyAlignment="1">
      <x:alignment wrapText="1"/>
    </x:xf>
    <x:xf numFmtId="0" fontId="2" fillId="4" borderId="52" xfId="0" applyNumberFormat="1" applyFont="1" applyFill="1" applyBorder="1" applyAlignment="1">
      <x:alignment vertical="center" wrapText="1"/>
    </x:xf>
    <x:xf numFmtId="0" fontId="2" fillId="4" borderId="55" xfId="0" applyNumberFormat="1" applyFont="1" applyFill="1" applyBorder="1" applyAlignment="1">
      <x:alignment vertical="center" wrapText="1"/>
    </x:xf>
    <x:xf numFmtId="0" fontId="2" fillId="4" borderId="53" xfId="0" applyNumberFormat="1" applyFont="1" applyFill="1" applyBorder="1" applyAlignment="1">
      <x:alignment vertical="center" wrapText="1"/>
    </x:xf>
    <x:xf numFmtId="202" fontId="2" fillId="4" borderId="50" xfId="0" applyNumberFormat="1" applyFont="1" applyFill="1" applyBorder="1" applyAlignment="1">
      <x:alignment vertical="center" wrapText="1"/>
    </x:xf>
    <x:xf numFmtId="202" fontId="2" fillId="4" borderId="51" xfId="0" applyNumberFormat="1" applyFont="1" applyFill="1" applyBorder="1" applyAlignment="1">
      <x:alignment vertical="center" wrapText="1"/>
    </x:xf>
    <x:xf numFmtId="202" fontId="2" fillId="4" borderId="52" xfId="0" applyNumberFormat="1" applyFont="1" applyFill="1" applyBorder="1" applyAlignment="1">
      <x:alignment vertical="center" wrapText="1"/>
    </x:xf>
    <x:xf numFmtId="202" fontId="2" fillId="4" borderId="53" xfId="0" applyNumberFormat="1" applyFont="1" applyFill="1" applyBorder="1" applyAlignment="1">
      <x:alignment vertical="center" wrapText="1"/>
    </x:xf>
    <x:xf numFmtId="0" fontId="17" fillId="15" borderId="0" xfId="0" applyNumberFormat="1" applyFont="1" applyFill="1" applyBorder="1"/>
    <x:xf numFmtId="0" fontId="17" fillId="15" borderId="34" xfId="0" applyNumberFormat="1" applyFont="1" applyFill="1" applyBorder="1"/>
    <x:xf numFmtId="0" fontId="17" fillId="15" borderId="35" xfId="0" applyNumberFormat="1" applyFont="1" applyFill="1" applyBorder="1"/>
    <x:xf numFmtId="0" fontId="17" fillId="15" borderId="36" xfId="0" applyNumberFormat="1" applyFont="1" applyFill="1" applyBorder="1"/>
    <x:xf numFmtId="0" fontId="17" fillId="15" borderId="37" xfId="0" applyNumberFormat="1" applyFont="1" applyFill="1" applyBorder="1"/>
    <x:xf numFmtId="0" fontId="17" fillId="15" borderId="38" xfId="0" applyNumberFormat="1" applyFont="1" applyFill="1" applyBorder="1"/>
    <x:xf numFmtId="0" fontId="17" fillId="15" borderId="39" xfId="0" applyNumberFormat="1" applyFont="1" applyFill="1" applyBorder="1"/>
    <x:xf numFmtId="0" fontId="17" fillId="15" borderId="40" xfId="0" applyNumberFormat="1" applyFont="1" applyFill="1" applyBorder="1"/>
    <x:xf numFmtId="0" fontId="17" fillId="15" borderId="41" xfId="0" applyNumberFormat="1" applyFont="1" applyFill="1" applyBorder="1"/>
    <x:xf numFmtId="0" fontId="17" fillId="15" borderId="34" xfId="0" applyNumberFormat="1" applyFont="1" applyFill="1" applyBorder="1" applyAlignment="1">
      <x:alignment horizontal="center"/>
    </x:xf>
    <x:xf numFmtId="0" fontId="17" fillId="15" borderId="35" xfId="0" applyNumberFormat="1" applyFont="1" applyFill="1" applyBorder="1" applyAlignment="1">
      <x:alignment horizontal="center"/>
    </x:xf>
    <x:xf numFmtId="0" fontId="17" fillId="15" borderId="36" xfId="0" applyNumberFormat="1" applyFont="1" applyFill="1" applyBorder="1" applyAlignment="1">
      <x:alignment horizontal="center"/>
    </x:xf>
    <x:xf numFmtId="0" fontId="17" fillId="15" borderId="37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/>
    </x:xf>
    <x:xf numFmtId="0" fontId="17" fillId="15" borderId="38" xfId="0" applyNumberFormat="1" applyFont="1" applyFill="1" applyBorder="1" applyAlignment="1">
      <x:alignment horizontal="center"/>
    </x:xf>
    <x:xf numFmtId="0" fontId="17" fillId="15" borderId="39" xfId="0" applyNumberFormat="1" applyFont="1" applyFill="1" applyBorder="1" applyAlignment="1">
      <x:alignment horizontal="center"/>
    </x:xf>
    <x:xf numFmtId="0" fontId="17" fillId="15" borderId="40" xfId="0" applyNumberFormat="1" applyFont="1" applyFill="1" applyBorder="1" applyAlignment="1">
      <x:alignment horizontal="center"/>
    </x:xf>
    <x:xf numFmtId="0" fontId="17" fillId="15" borderId="41" xfId="0" applyNumberFormat="1" applyFont="1" applyFill="1" applyBorder="1" applyAlignment="1">
      <x:alignment horizontal="center"/>
    </x:xf>
    <x:xf numFmtId="0" fontId="17" fillId="15" borderId="34" xfId="0" applyNumberFormat="1" applyFont="1" applyFill="1" applyBorder="1" applyAlignment="1">
      <x:alignment horizontal="center" vertical="center"/>
    </x:xf>
    <x:xf numFmtId="0" fontId="17" fillId="15" borderId="35" xfId="0" applyNumberFormat="1" applyFont="1" applyFill="1" applyBorder="1" applyAlignment="1">
      <x:alignment horizontal="center" vertical="center"/>
    </x:xf>
    <x:xf numFmtId="0" fontId="17" fillId="15" borderId="36" xfId="0" applyNumberFormat="1" applyFont="1" applyFill="1" applyBorder="1" applyAlignment="1">
      <x:alignment horizontal="center" vertical="center"/>
    </x:xf>
    <x:xf numFmtId="0" fontId="17" fillId="15" borderId="37" xfId="0" applyNumberFormat="1" applyFont="1" applyFill="1" applyBorder="1" applyAlignment="1">
      <x:alignment horizontal="center" vertic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17" fillId="15" borderId="38" xfId="0" applyNumberFormat="1" applyFont="1" applyFill="1" applyBorder="1" applyAlignment="1">
      <x:alignment horizontal="center" vertical="center"/>
    </x:xf>
    <x:xf numFmtId="0" fontId="17" fillId="15" borderId="39" xfId="0" applyNumberFormat="1" applyFont="1" applyFill="1" applyBorder="1" applyAlignment="1">
      <x:alignment horizontal="center" vertical="center"/>
    </x:xf>
    <x:xf numFmtId="0" fontId="17" fillId="15" borderId="40" xfId="0" applyNumberFormat="1" applyFont="1" applyFill="1" applyBorder="1" applyAlignment="1">
      <x:alignment horizontal="center" vertical="center"/>
    </x:xf>
    <x:xf numFmtId="0" fontId="17" fillId="15" borderId="41" xfId="0" applyNumberFormat="1" applyFont="1" applyFill="1" applyBorder="1" applyAlignment="1">
      <x:alignment horizontal="center" vertical="center"/>
    </x:xf>
    <x:xf numFmtId="0" fontId="17" fillId="15" borderId="1" xfId="0" applyNumberFormat="1" applyFont="1" applyFill="1" applyBorder="1"/>
    <x:xf numFmtId="0" fontId="17" fillId="15" borderId="42" xfId="0" applyNumberFormat="1" applyFont="1" applyFill="1" applyBorder="1"/>
    <x:xf numFmtId="0" fontId="17" fillId="15" borderId="43" xfId="0" applyNumberFormat="1" applyFont="1" applyFill="1" applyBorder="1"/>
    <x:xf numFmtId="0" fontId="17" fillId="15" borderId="44" xfId="0" applyNumberFormat="1" applyFont="1" applyFill="1" applyBorder="1"/>
    <x:xf numFmtId="0" fontId="17" fillId="15" borderId="45" xfId="0" applyNumberFormat="1" applyFont="1" applyFill="1" applyBorder="1"/>
    <x:xf numFmtId="0" fontId="17" fillId="15" borderId="46" xfId="0" applyNumberFormat="1" applyFont="1" applyFill="1" applyBorder="1"/>
    <x:xf numFmtId="0" fontId="17" fillId="15" borderId="47" xfId="0" applyNumberFormat="1" applyFont="1" applyFill="1" applyBorder="1"/>
    <x:xf numFmtId="0" fontId="17" fillId="15" borderId="48" xfId="0" applyNumberFormat="1" applyFont="1" applyFill="1" applyBorder="1"/>
    <x:xf numFmtId="0" fontId="17" fillId="15" borderId="49" xfId="0" applyNumberFormat="1" applyFont="1" applyFill="1" applyBorder="1"/>
    <x:xf numFmtId="0" fontId="17" fillId="15" borderId="42" xfId="0" applyNumberFormat="1" applyFont="1" applyFill="1" applyBorder="1" applyAlignment="1">
      <x:alignment horizontal="center"/>
    </x:xf>
    <x:xf numFmtId="0" fontId="17" fillId="15" borderId="43" xfId="0" applyNumberFormat="1" applyFont="1" applyFill="1" applyBorder="1" applyAlignment="1">
      <x:alignment horizontal="center"/>
    </x:xf>
    <x:xf numFmtId="0" fontId="17" fillId="15" borderId="44" xfId="0" applyNumberFormat="1" applyFont="1" applyFill="1" applyBorder="1" applyAlignment="1">
      <x:alignment horizontal="center"/>
    </x:xf>
    <x:xf numFmtId="0" fontId="17" fillId="15" borderId="45" xfId="0" applyNumberFormat="1" applyFont="1" applyFill="1" applyBorder="1" applyAlignment="1">
      <x:alignment horizontal="center"/>
    </x:xf>
    <x:xf numFmtId="0" fontId="17" fillId="15" borderId="1" xfId="0" applyNumberFormat="1" applyFont="1" applyFill="1" applyBorder="1" applyAlignment="1">
      <x:alignment horizontal="center"/>
    </x:xf>
    <x:xf numFmtId="0" fontId="17" fillId="15" borderId="46" xfId="0" applyNumberFormat="1" applyFont="1" applyFill="1" applyBorder="1" applyAlignment="1">
      <x:alignment horizontal="center"/>
    </x:xf>
    <x:xf numFmtId="0" fontId="17" fillId="15" borderId="47" xfId="0" applyNumberFormat="1" applyFont="1" applyFill="1" applyBorder="1" applyAlignment="1">
      <x:alignment horizontal="center"/>
    </x:xf>
    <x:xf numFmtId="0" fontId="17" fillId="15" borderId="48" xfId="0" applyNumberFormat="1" applyFont="1" applyFill="1" applyBorder="1" applyAlignment="1">
      <x:alignment horizontal="center"/>
    </x:xf>
    <x:xf numFmtId="0" fontId="17" fillId="15" borderId="49" xfId="0" applyNumberFormat="1" applyFont="1" applyFill="1" applyBorder="1" applyAlignment="1">
      <x:alignment horizontal="center"/>
    </x:xf>
    <x:xf numFmtId="0" fontId="17" fillId="15" borderId="42" xfId="0" applyNumberFormat="1" applyFont="1" applyFill="1" applyBorder="1" applyAlignment="1">
      <x:alignment horizontal="center" vertical="center"/>
    </x:xf>
    <x:xf numFmtId="0" fontId="17" fillId="15" borderId="43" xfId="0" applyNumberFormat="1" applyFont="1" applyFill="1" applyBorder="1" applyAlignment="1">
      <x:alignment horizontal="center" vertical="center"/>
    </x:xf>
    <x:xf numFmtId="0" fontId="17" fillId="15" borderId="44" xfId="0" applyNumberFormat="1" applyFont="1" applyFill="1" applyBorder="1" applyAlignment="1">
      <x:alignment horizontal="center" vertical="center"/>
    </x:xf>
    <x:xf numFmtId="0" fontId="17" fillId="15" borderId="45" xfId="0" applyNumberFormat="1" applyFont="1" applyFill="1" applyBorder="1" applyAlignment="1">
      <x:alignment horizontal="center" vertical="center"/>
    </x:xf>
    <x:xf numFmtId="0" fontId="17" fillId="15" borderId="1" xfId="0" applyNumberFormat="1" applyFont="1" applyFill="1" applyBorder="1" applyAlignment="1">
      <x:alignment horizontal="center" vertical="center"/>
    </x:xf>
    <x:xf numFmtId="0" fontId="17" fillId="15" borderId="46" xfId="0" applyNumberFormat="1" applyFont="1" applyFill="1" applyBorder="1" applyAlignment="1">
      <x:alignment horizontal="center" vertical="center"/>
    </x:xf>
    <x:xf numFmtId="0" fontId="17" fillId="15" borderId="47" xfId="0" applyNumberFormat="1" applyFont="1" applyFill="1" applyBorder="1" applyAlignment="1">
      <x:alignment horizontal="center" vertical="center"/>
    </x:xf>
    <x:xf numFmtId="0" fontId="17" fillId="15" borderId="48" xfId="0" applyNumberFormat="1" applyFont="1" applyFill="1" applyBorder="1" applyAlignment="1">
      <x:alignment horizontal="center" vertical="center"/>
    </x:xf>
    <x:xf numFmtId="0" fontId="17" fillId="15" borderId="49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/>
    <x:xf numFmtId="0" fontId="2" fillId="5" borderId="34" xfId="0" applyNumberFormat="1" applyFont="1" applyFill="1" applyBorder="1"/>
    <x:xf numFmtId="0" fontId="2" fillId="5" borderId="35" xfId="0" applyNumberFormat="1" applyFont="1" applyFill="1" applyBorder="1"/>
    <x:xf numFmtId="0" fontId="2" fillId="5" borderId="36" xfId="0" applyNumberFormat="1" applyFont="1" applyFill="1" applyBorder="1"/>
    <x:xf numFmtId="0" fontId="2" fillId="5" borderId="37" xfId="0" applyNumberFormat="1" applyFont="1" applyFill="1" applyBorder="1"/>
    <x:xf numFmtId="0" fontId="2" fillId="5" borderId="38" xfId="0" applyNumberFormat="1" applyFont="1" applyFill="1" applyBorder="1"/>
    <x:xf numFmtId="0" fontId="2" fillId="5" borderId="39" xfId="0" applyNumberFormat="1" applyFont="1" applyFill="1" applyBorder="1"/>
    <x:xf numFmtId="0" fontId="2" fillId="5" borderId="40" xfId="0" applyNumberFormat="1" applyFont="1" applyFill="1" applyBorder="1"/>
    <x:xf numFmtId="0" fontId="2" fillId="5" borderId="41" xfId="0" applyNumberFormat="1" applyFont="1" applyFill="1" applyBorder="1"/>
    <x:xf numFmtId="0" fontId="2" fillId="5" borderId="34" xfId="0" applyNumberFormat="1" applyFont="1" applyFill="1" applyBorder="1" applyAlignment="1">
      <x:alignment wrapText="1"/>
    </x:xf>
    <x:xf numFmtId="0" fontId="2" fillId="5" borderId="35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3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2" fillId="5" borderId="41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horizontal="center" wrapText="1"/>
    </x:xf>
    <x:xf numFmtId="0" fontId="2" fillId="5" borderId="35" xfId="0" applyNumberFormat="1" applyFont="1" applyFill="1" applyBorder="1" applyAlignment="1">
      <x:alignment horizontal="center" wrapText="1"/>
    </x:xf>
    <x:xf numFmtId="0" fontId="2" fillId="5" borderId="36" xfId="0" applyNumberFormat="1" applyFont="1" applyFill="1" applyBorder="1" applyAlignment="1">
      <x:alignment horizontal="center" wrapText="1"/>
    </x:xf>
    <x:xf numFmtId="0" fontId="2" fillId="5" borderId="37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38" xfId="0" applyNumberFormat="1" applyFont="1" applyFill="1" applyBorder="1" applyAlignment="1">
      <x:alignment horizontal="center" wrapText="1"/>
    </x:xf>
    <x:xf numFmtId="0" fontId="2" fillId="5" borderId="39" xfId="0" applyNumberFormat="1" applyFont="1" applyFill="1" applyBorder="1" applyAlignment="1">
      <x:alignment horizontal="center" wrapText="1"/>
    </x:xf>
    <x:xf numFmtId="0" fontId="2" fillId="5" borderId="40" xfId="0" applyNumberFormat="1" applyFont="1" applyFill="1" applyBorder="1" applyAlignment="1">
      <x:alignment horizontal="center" wrapText="1"/>
    </x:xf>
    <x:xf numFmtId="0" fontId="2" fillId="5" borderId="41" xfId="0" applyNumberFormat="1" applyFont="1" applyFill="1" applyBorder="1" applyAlignment="1">
      <x:alignment horizontal="center" wrapText="1"/>
    </x:xf>
    <x:xf numFmtId="0" fontId="2" fillId="5" borderId="34" xfId="0" applyNumberFormat="1" applyFont="1" applyFill="1" applyBorder="1" applyAlignment="1">
      <x:alignment horizontal="center" vertical="center" wrapText="1"/>
    </x:xf>
    <x:xf numFmtId="0" fontId="2" fillId="5" borderId="35" xfId="0" applyNumberFormat="1" applyFont="1" applyFill="1" applyBorder="1" applyAlignment="1">
      <x:alignment horizontal="center" vertical="center" wrapText="1"/>
    </x:xf>
    <x:xf numFmtId="0" fontId="2" fillId="5" borderId="36" xfId="0" applyNumberFormat="1" applyFont="1" applyFill="1" applyBorder="1" applyAlignment="1">
      <x:alignment horizontal="center" vertical="center" wrapText="1"/>
    </x:xf>
    <x:xf numFmtId="0" fontId="2" fillId="5" borderId="37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38" xfId="0" applyNumberFormat="1" applyFont="1" applyFill="1" applyBorder="1" applyAlignment="1">
      <x:alignment horizontal="center" vertical="center" wrapText="1"/>
    </x:xf>
    <x:xf numFmtId="0" fontId="2" fillId="5" borderId="39" xfId="0" applyNumberFormat="1" applyFont="1" applyFill="1" applyBorder="1" applyAlignment="1">
      <x:alignment horizontal="center" vertical="center" wrapText="1"/>
    </x:xf>
    <x:xf numFmtId="0" fontId="2" fillId="5" borderId="40" xfId="0" applyNumberFormat="1" applyFont="1" applyFill="1" applyBorder="1" applyAlignment="1">
      <x:alignment horizontal="center" vertical="center" wrapText="1"/>
    </x:xf>
    <x:xf numFmtId="0" fontId="2" fillId="5" borderId="4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/>
    <x:xf numFmtId="0" fontId="2" fillId="5" borderId="42" xfId="0" applyNumberFormat="1" applyFont="1" applyFill="1" applyBorder="1"/>
    <x:xf numFmtId="0" fontId="2" fillId="5" borderId="43" xfId="0" applyNumberFormat="1" applyFont="1" applyFill="1" applyBorder="1"/>
    <x:xf numFmtId="0" fontId="2" fillId="5" borderId="44" xfId="0" applyNumberFormat="1" applyFont="1" applyFill="1" applyBorder="1"/>
    <x:xf numFmtId="0" fontId="2" fillId="5" borderId="45" xfId="0" applyNumberFormat="1" applyFont="1" applyFill="1" applyBorder="1"/>
    <x:xf numFmtId="0" fontId="2" fillId="5" borderId="46" xfId="0" applyNumberFormat="1" applyFont="1" applyFill="1" applyBorder="1"/>
    <x:xf numFmtId="0" fontId="2" fillId="5" borderId="47" xfId="0" applyNumberFormat="1" applyFont="1" applyFill="1" applyBorder="1"/>
    <x:xf numFmtId="0" fontId="2" fillId="5" borderId="48" xfId="0" applyNumberFormat="1" applyFont="1" applyFill="1" applyBorder="1"/>
    <x:xf numFmtId="0" fontId="2" fillId="5" borderId="49" xfId="0" applyNumberFormat="1" applyFont="1" applyFill="1" applyBorder="1"/>
    <x:xf numFmtId="0" fontId="2" fillId="5" borderId="42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2" fillId="5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2" fillId="5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horizontal="center" wrapText="1"/>
    </x:xf>
    <x:xf numFmtId="0" fontId="2" fillId="5" borderId="43" xfId="0" applyNumberFormat="1" applyFont="1" applyFill="1" applyBorder="1" applyAlignment="1">
      <x:alignment horizontal="center" wrapText="1"/>
    </x:xf>
    <x:xf numFmtId="0" fontId="2" fillId="5" borderId="44" xfId="0" applyNumberFormat="1" applyFont="1" applyFill="1" applyBorder="1" applyAlignment="1">
      <x:alignment horizontal="center" wrapText="1"/>
    </x:xf>
    <x:xf numFmtId="0" fontId="2" fillId="5" borderId="45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46" xfId="0" applyNumberFormat="1" applyFont="1" applyFill="1" applyBorder="1" applyAlignment="1">
      <x:alignment horizontal="center" wrapText="1"/>
    </x:xf>
    <x:xf numFmtId="0" fontId="2" fillId="5" borderId="47" xfId="0" applyNumberFormat="1" applyFont="1" applyFill="1" applyBorder="1" applyAlignment="1">
      <x:alignment horizontal="center" wrapText="1"/>
    </x:xf>
    <x:xf numFmtId="0" fontId="2" fillId="5" borderId="48" xfId="0" applyNumberFormat="1" applyFont="1" applyFill="1" applyBorder="1" applyAlignment="1">
      <x:alignment horizontal="center" wrapText="1"/>
    </x:xf>
    <x:xf numFmtId="0" fontId="2" fillId="5" borderId="49" xfId="0" applyNumberFormat="1" applyFont="1" applyFill="1" applyBorder="1" applyAlignment="1">
      <x:alignment horizontal="center" wrapText="1"/>
    </x:xf>
    <x:xf numFmtId="0" fontId="2" fillId="5" borderId="42" xfId="0" applyNumberFormat="1" applyFont="1" applyFill="1" applyBorder="1" applyAlignment="1">
      <x:alignment horizontal="center" vertical="center" wrapText="1"/>
    </x:xf>
    <x:xf numFmtId="0" fontId="2" fillId="5" borderId="43" xfId="0" applyNumberFormat="1" applyFont="1" applyFill="1" applyBorder="1" applyAlignment="1">
      <x:alignment horizontal="center" vertical="center" wrapText="1"/>
    </x:xf>
    <x:xf numFmtId="0" fontId="2" fillId="5" borderId="44" xfId="0" applyNumberFormat="1" applyFont="1" applyFill="1" applyBorder="1" applyAlignment="1">
      <x:alignment horizontal="center" vertical="center" wrapText="1"/>
    </x:xf>
    <x:xf numFmtId="0" fontId="2" fillId="5" borderId="45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46" xfId="0" applyNumberFormat="1" applyFont="1" applyFill="1" applyBorder="1" applyAlignment="1">
      <x:alignment horizontal="center" vertical="center" wrapText="1"/>
    </x:xf>
    <x:xf numFmtId="0" fontId="2" fillId="5" borderId="47" xfId="0" applyNumberFormat="1" applyFont="1" applyFill="1" applyBorder="1" applyAlignment="1">
      <x:alignment horizontal="center" vertical="center" wrapText="1"/>
    </x:xf>
    <x:xf numFmtId="0" fontId="2" fillId="5" borderId="48" xfId="0" applyNumberFormat="1" applyFont="1" applyFill="1" applyBorder="1" applyAlignment="1">
      <x:alignment horizontal="center" vertical="center" wrapText="1"/>
    </x:xf>
    <x:xf numFmtId="0" fontId="2" fillId="5" borderId="4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0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/>
    <x:xf numFmtId="0" fontId="18" fillId="7" borderId="0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1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9" fillId="15" borderId="0" xfId="0" applyNumberFormat="1" applyFont="1" applyFill="1" applyBorder="1"/>
    <x:xf numFmtId="0" fontId="19" fillId="15" borderId="28" xfId="0" applyNumberFormat="1" applyFont="1" applyFill="1" applyBorder="1"/>
    <x:xf numFmtId="0" fontId="19" fillId="15" borderId="29" xfId="0" applyNumberFormat="1" applyFont="1" applyFill="1" applyBorder="1"/>
    <x:xf numFmtId="0" fontId="19" fillId="15" borderId="30" xfId="0" applyNumberFormat="1" applyFont="1" applyFill="1" applyBorder="1"/>
    <x:xf numFmtId="0" fontId="19" fillId="15" borderId="28" xfId="0" applyNumberFormat="1" applyFont="1" applyFill="1" applyBorder="1" applyAlignment="1">
      <x:alignment horizontal="center"/>
    </x:xf>
    <x:xf numFmtId="0" fontId="19" fillId="15" borderId="29" xfId="0" applyNumberFormat="1" applyFont="1" applyFill="1" applyBorder="1" applyAlignment="1">
      <x:alignment horizontal="center"/>
    </x:xf>
    <x:xf numFmtId="0" fontId="19" fillId="15" borderId="30" xfId="0" applyNumberFormat="1" applyFont="1" applyFill="1" applyBorder="1" applyAlignment="1">
      <x:alignment horizontal="center"/>
    </x:xf>
    <x:xf numFmtId="0" fontId="19" fillId="15" borderId="28" xfId="0" applyNumberFormat="1" applyFont="1" applyFill="1" applyBorder="1" applyAlignment="1">
      <x:alignment horizontal="center" vertical="center"/>
    </x:xf>
    <x:xf numFmtId="0" fontId="19" fillId="15" borderId="29" xfId="0" applyNumberFormat="1" applyFont="1" applyFill="1" applyBorder="1" applyAlignment="1">
      <x:alignment horizontal="center" vertical="center"/>
    </x:xf>
    <x:xf numFmtId="0" fontId="19" fillId="15" borderId="30" xfId="0" applyNumberFormat="1" applyFont="1" applyFill="1" applyBorder="1" applyAlignment="1">
      <x:alignment horizontal="center" vertical="center"/>
    </x:xf>
    <x:xf numFmtId="0" fontId="19" fillId="15" borderId="1" xfId="0" applyNumberFormat="1" applyFont="1" applyFill="1" applyBorder="1"/>
    <x:xf numFmtId="0" fontId="19" fillId="15" borderId="31" xfId="0" applyNumberFormat="1" applyFont="1" applyFill="1" applyBorder="1"/>
    <x:xf numFmtId="0" fontId="19" fillId="15" borderId="32" xfId="0" applyNumberFormat="1" applyFont="1" applyFill="1" applyBorder="1"/>
    <x:xf numFmtId="0" fontId="19" fillId="15" borderId="33" xfId="0" applyNumberFormat="1" applyFont="1" applyFill="1" applyBorder="1"/>
    <x:xf numFmtId="0" fontId="19" fillId="15" borderId="31" xfId="0" applyNumberFormat="1" applyFont="1" applyFill="1" applyBorder="1" applyAlignment="1">
      <x:alignment horizontal="center"/>
    </x:xf>
    <x:xf numFmtId="0" fontId="19" fillId="15" borderId="32" xfId="0" applyNumberFormat="1" applyFont="1" applyFill="1" applyBorder="1" applyAlignment="1">
      <x:alignment horizontal="center"/>
    </x:xf>
    <x:xf numFmtId="0" fontId="19" fillId="15" borderId="33" xfId="0" applyNumberFormat="1" applyFont="1" applyFill="1" applyBorder="1" applyAlignment="1">
      <x:alignment horizontal="center"/>
    </x:xf>
    <x:xf numFmtId="0" fontId="19" fillId="15" borderId="31" xfId="0" applyNumberFormat="1" applyFont="1" applyFill="1" applyBorder="1" applyAlignment="1">
      <x:alignment horizontal="center" vertical="center"/>
    </x:xf>
    <x:xf numFmtId="0" fontId="19" fillId="15" borderId="32" xfId="0" applyNumberFormat="1" applyFont="1" applyFill="1" applyBorder="1" applyAlignment="1">
      <x:alignment horizontal="center" vertical="center"/>
    </x:xf>
    <x:xf numFmtId="0" fontId="19" fillId="15" borderId="3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4" fillId="6" borderId="0" xfId="0" applyNumberFormat="1" applyFont="1" applyFill="1" applyBorder="1"/>
    <x:xf numFmtId="0" fontId="14" fillId="6" borderId="20" xfId="0" applyNumberFormat="1" applyFont="1" applyFill="1" applyBorder="1"/>
    <x:xf numFmtId="0" fontId="14" fillId="6" borderId="21" xfId="0" applyNumberFormat="1" applyFont="1" applyFill="1" applyBorder="1"/>
    <x:xf numFmtId="0" fontId="14" fillId="6" borderId="22" xfId="0" applyNumberFormat="1" applyFont="1" applyFill="1" applyBorder="1"/>
    <x:xf numFmtId="0" fontId="14" fillId="6" borderId="10" xfId="0" applyNumberFormat="1" applyFont="1" applyFill="1" applyBorder="1"/>
    <x:xf numFmtId="0" fontId="14" fillId="6" borderId="11" xfId="0" applyNumberFormat="1" applyFont="1" applyFill="1" applyBorder="1"/>
    <x:xf numFmtId="0" fontId="14" fillId="6" borderId="12" xfId="0" applyNumberFormat="1" applyFont="1" applyFill="1" applyBorder="1"/>
    <x:xf numFmtId="0" fontId="14" fillId="6" borderId="23" xfId="0" applyNumberFormat="1" applyFont="1" applyFill="1" applyBorder="1"/>
    <x:xf numFmtId="0" fontId="14" fillId="6" borderId="13" xfId="0" applyNumberFormat="1" applyFont="1" applyFill="1" applyBorder="1"/>
    <x:xf numFmtId="0" fontId="14" fillId="6" borderId="20" xfId="0" applyNumberFormat="1" applyFont="1" applyFill="1" applyBorder="1" applyAlignment="1">
      <x:alignment wrapText="1"/>
    </x:xf>
    <x:xf numFmtId="0" fontId="14" fillId="6" borderId="21" xfId="0" applyNumberFormat="1" applyFont="1" applyFill="1" applyBorder="1" applyAlignment="1">
      <x:alignment wrapText="1"/>
    </x:xf>
    <x:xf numFmtId="0" fontId="14" fillId="6" borderId="22" xfId="0" applyNumberFormat="1" applyFont="1" applyFill="1" applyBorder="1" applyAlignment="1">
      <x:alignment wrapText="1"/>
    </x:xf>
    <x:xf numFmtId="0" fontId="14" fillId="6" borderId="10" xfId="0" applyNumberFormat="1" applyFont="1" applyFill="1" applyBorder="1" applyAlignment="1">
      <x:alignment wrapText="1"/>
    </x:xf>
    <x:xf numFmtId="0" fontId="14" fillId="6" borderId="0" xfId="0" applyNumberFormat="1" applyFont="1" applyFill="1" applyBorder="1" applyAlignment="1">
      <x:alignment wrapText="1"/>
    </x:xf>
    <x:xf numFmtId="0" fontId="14" fillId="6" borderId="11" xfId="0" applyNumberFormat="1" applyFont="1" applyFill="1" applyBorder="1" applyAlignment="1">
      <x:alignment wrapText="1"/>
    </x:xf>
    <x:xf numFmtId="0" fontId="14" fillId="6" borderId="12" xfId="0" applyNumberFormat="1" applyFont="1" applyFill="1" applyBorder="1" applyAlignment="1">
      <x:alignment wrapText="1"/>
    </x:xf>
    <x:xf numFmtId="0" fontId="14" fillId="6" borderId="23" xfId="0" applyNumberFormat="1" applyFont="1" applyFill="1" applyBorder="1" applyAlignment="1">
      <x:alignment wrapText="1"/>
    </x:xf>
    <x:xf numFmtId="0" fontId="14" fillId="6" borderId="13" xfId="0" applyNumberFormat="1" applyFont="1" applyFill="1" applyBorder="1" applyAlignment="1">
      <x:alignment wrapText="1"/>
    </x:xf>
    <x:xf numFmtId="0" fontId="14" fillId="6" borderId="20" xfId="0" applyNumberFormat="1" applyFont="1" applyFill="1" applyBorder="1" applyAlignment="1">
      <x:alignment vertical="center" wrapText="1"/>
    </x:xf>
    <x:xf numFmtId="0" fontId="14" fillId="6" borderId="21" xfId="0" applyNumberFormat="1" applyFont="1" applyFill="1" applyBorder="1" applyAlignment="1">
      <x:alignment vertical="center" wrapText="1"/>
    </x:xf>
    <x:xf numFmtId="0" fontId="14" fillId="6" borderId="22" xfId="0" applyNumberFormat="1" applyFont="1" applyFill="1" applyBorder="1" applyAlignment="1">
      <x:alignment vertical="center" wrapText="1"/>
    </x:xf>
    <x:xf numFmtId="0" fontId="14" fillId="6" borderId="1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4" fillId="6" borderId="11" xfId="0" applyNumberFormat="1" applyFont="1" applyFill="1" applyBorder="1" applyAlignment="1">
      <x:alignment vertical="center" wrapText="1"/>
    </x:xf>
    <x:xf numFmtId="0" fontId="14" fillId="6" borderId="12" xfId="0" applyNumberFormat="1" applyFont="1" applyFill="1" applyBorder="1" applyAlignment="1">
      <x:alignment vertical="center" wrapText="1"/>
    </x:xf>
    <x:xf numFmtId="0" fontId="14" fillId="6" borderId="23" xfId="0" applyNumberFormat="1" applyFont="1" applyFill="1" applyBorder="1" applyAlignment="1">
      <x:alignment vertical="center" wrapText="1"/>
    </x:xf>
    <x:xf numFmtId="0" fontId="14" fillId="6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4">
    <x:dxf>
      <x:font>
        <x:b/>
        <x:color rgb="FF2E5D2E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376237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3D10"/>
      </x:font>
      <x:fill>
        <x:patternFill patternType="solid">
          <x:bgColor rgb="FFFCE4D6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40fdfb1404ca9" /><Relationship Type="http://schemas.openxmlformats.org/officeDocument/2006/relationships/theme" Target="/xl/theme/theme1.xml" Id="Rbdff35231fbd453d" /><Relationship Type="http://schemas.openxmlformats.org/officeDocument/2006/relationships/sharedStrings" Target="/xl/sharedStrings.xml" Id="Rc885ec09f96c4b8b" /><Relationship Type="http://schemas.openxmlformats.org/officeDocument/2006/relationships/worksheet" Target="/xl/worksheets/sheet1.xml" Id="R3cb7f41de0294b15" /><Relationship Type="http://schemas.openxmlformats.org/officeDocument/2006/relationships/worksheet" Target="/xl/worksheets/sheet2.xml" Id="R8f3b28a3a8964708" /><Relationship Type="http://schemas.openxmlformats.org/officeDocument/2006/relationships/worksheet" Target="/xl/worksheets/sheet3.xml" Id="R59e31bd444c74480" /><Relationship Type="http://schemas.openxmlformats.org/officeDocument/2006/relationships/worksheet" Target="/xl/worksheets/sheet4.xml" Id="R56826b5917484c53" /><Relationship Type="http://schemas.openxmlformats.org/officeDocument/2006/relationships/worksheet" Target="/xl/worksheets/sheet5.xml" Id="R2904681a44ac4b03" /><Relationship Type="http://schemas.openxmlformats.org/officeDocument/2006/relationships/worksheet" Target="/xl/worksheets/sheet6.xml" Id="Ra95c4d62d9b5418e" /><Relationship Type="http://schemas.openxmlformats.org/officeDocument/2006/relationships/worksheet" Target="/xl/worksheets/sheet7.xml" Id="R87e98363399c4782" /><Relationship Type="http://schemas.openxmlformats.org/officeDocument/2006/relationships/worksheet" Target="/xl/worksheets/sheet8.xml" Id="R120df4e50cb247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5a5d441cd34d58" /><Relationship Type="http://schemas.openxmlformats.org/officeDocument/2006/relationships/chart" Target="/xl/drawings/charts/chart2.xml" Id="R4d514496b53843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Progress by Difficulty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Tracked</c:v>
          </c:tx>
          <c:cat>
            <c:strRef>
              <c:f>'Dashboard'!$A$33:$A$40</c:f>
              <c:strCache>
                <c:ptCount val="0"/>
              </c:strCache>
            </c:strRef>
          </c:cat>
          <c:val>
            <c:numRef>
              <c:f>'Dashboard'!$B$33:$B$40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'Dashboard'!$A$33:$A$40</c:f>
              <c:strCache>
                <c:ptCount val="0"/>
              </c:strCache>
            </c:strRef>
          </c:cat>
          <c:val>
            <c:numRef>
              <c:f>'Dashboard'!$C$33:$C$40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Tracker Status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'Dashboard'!$E$33:$E$36</c:f>
              <c:strCache>
                <c:ptCount val="0"/>
              </c:strCache>
            </c:strRef>
          </c:cat>
          <c:val>
            <c:numRef>
              <c:f>'Dashboard'!$F$33:$F$36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31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5a5d441cd34d58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514496b538432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8b9df732db439a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4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</cols>
  <sheetData>
    <row r="1">
      <c r="A1" s="163" t="str">
        <v>SMW ROM Hack Tracker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>
      <c r="A3" s="171" t="str">
        <v>Community Edition • Download once, refresh the catalog whenever you choose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</row>
    <row r="4">
      <c r="A4" s="271" t="str">
        <v>Official Hacks</v>
      </c>
      <c r="B4" s="272"/>
      <c r="C4" s="273"/>
      <c r="D4" s="271" t="str">
        <v>Tracked Hacks</v>
      </c>
      <c r="E4" s="272"/>
      <c r="F4" s="273"/>
      <c r="G4" s="271" t="str">
        <v>100% Complete</v>
      </c>
      <c r="H4" s="272"/>
      <c r="I4" s="273"/>
      <c r="J4" s="271" t="str">
        <v>Completion Rate</v>
      </c>
      <c r="K4" s="272"/>
      <c r="L4" s="273"/>
    </row>
    <row r="5">
      <c r="A5" s="213" t="n">
        <f>Settings!$B$5</f>
        <v>2746</v>
      </c>
      <c r="B5" s="214"/>
      <c r="C5" s="215"/>
      <c r="D5" s="317" t="n">
        <f>COUNTIF(Tracker!$B$2:$B$501,"&lt;&gt;")</f>
        <v>0</v>
      </c>
      <c r="E5" s="318"/>
      <c r="F5" s="319"/>
      <c r="G5" s="409" t="n">
        <f>COUNTIF(Tracker!$J$2:$J$501,"Yes")</f>
        <v>0</v>
      </c>
      <c r="H5" s="410"/>
      <c r="I5" s="411"/>
      <c r="J5" s="501" t="n">
        <f>IFERROR(COUNTIF(Tracker!$J$2:$J$501,"Yes")/COUNTIF(Tracker!$B$2:$B$501,"&lt;&gt;"),0)</f>
        <v>0</v>
      </c>
      <c r="K5" s="502"/>
      <c r="L5" s="503"/>
    </row>
    <row r="6">
      <c r="A6" s="216"/>
      <c r="B6" s="217"/>
      <c r="C6" s="218"/>
      <c r="D6" s="320"/>
      <c r="E6" s="321"/>
      <c r="F6" s="322"/>
      <c r="G6" s="412"/>
      <c r="H6" s="413"/>
      <c r="I6" s="414"/>
      <c r="J6" s="504"/>
      <c r="K6" s="505"/>
      <c r="L6" s="506"/>
    </row>
    <row r="7">
      <c r="A7" s="219"/>
      <c r="B7" s="220"/>
      <c r="C7" s="221"/>
      <c r="D7" s="323"/>
      <c r="E7" s="324"/>
      <c r="F7" s="325"/>
      <c r="G7" s="415"/>
      <c r="H7" s="416"/>
      <c r="I7" s="417"/>
      <c r="J7" s="507"/>
      <c r="K7" s="508"/>
      <c r="L7" s="509"/>
    </row>
    <row r="8">
      <c r="A8" s="271" t="str">
        <v>Completed Exits</v>
      </c>
      <c r="B8" s="272"/>
      <c r="C8" s="273"/>
      <c r="D8" s="271" t="str">
        <v>Average Rating</v>
      </c>
      <c r="E8" s="272"/>
      <c r="F8" s="273"/>
      <c r="G8" s="271" t="str">
        <v>Catalog Version</v>
      </c>
      <c r="H8" s="272"/>
      <c r="I8" s="273"/>
      <c r="J8" s="271" t="str">
        <v>Last Refresh</v>
      </c>
      <c r="K8" s="272"/>
      <c r="L8" s="273"/>
    </row>
    <row r="9">
      <c r="A9" s="593" t="n">
        <f>SUMIFS(Tracker!$E$2:$E$501,Tracker!$J$2:$J$501,"Yes")</f>
        <v>0</v>
      </c>
      <c r="B9" s="594"/>
      <c r="C9" s="595"/>
      <c r="D9" s="685" t="n">
        <f>IFERROR(SUM(Tracker!$L$2:$L$501)/COUNT(Tracker!$L$2:$L$501),0)</f>
        <v>0</v>
      </c>
      <c r="E9" s="686"/>
      <c r="F9" s="687"/>
      <c r="G9" s="776" t="str">
        <f>Settings!$B$6</f>
        <v>2026.07.26</v>
      </c>
      <c r="H9" s="777"/>
      <c r="I9" s="778"/>
      <c r="J9" s="867" t="str">
        <f>Settings!$B$7</f>
        <v>Initial embedded catalog</v>
      </c>
      <c r="K9" s="868"/>
      <c r="L9" s="869"/>
    </row>
    <row r="10">
      <c r="A10" s="596"/>
      <c r="B10" s="597"/>
      <c r="C10" s="598"/>
      <c r="D10" s="688"/>
      <c r="E10" s="689"/>
      <c r="F10" s="690"/>
      <c r="G10" s="779"/>
      <c r="H10" s="780"/>
      <c r="I10" s="781"/>
      <c r="J10" s="870"/>
      <c r="K10" s="871"/>
      <c r="L10" s="872"/>
    </row>
    <row r="11">
      <c r="A11" s="599"/>
      <c r="B11" s="600"/>
      <c r="C11" s="601"/>
      <c r="D11" s="691"/>
      <c r="E11" s="692"/>
      <c r="F11" s="693"/>
      <c r="G11" s="782"/>
      <c r="H11" s="783"/>
      <c r="I11" s="784"/>
      <c r="J11" s="873"/>
      <c r="K11" s="874"/>
      <c r="L11" s="875"/>
    </row>
    <row r="13">
      <c r="A13" s="949" t="str">
        <v>Refresh the shared SMWCentral catalog without changing your tracker progress, ratings, dates, notes, or manually added hacks.</v>
      </c>
      <c r="B13" s="950"/>
      <c r="C13" s="950"/>
      <c r="D13" s="950"/>
      <c r="E13" s="950"/>
      <c r="F13" s="951"/>
      <c r="G13" s="1013" t="str">
        <v>REFRESH HACKS</v>
      </c>
      <c r="H13" s="1014"/>
      <c r="I13" s="1014"/>
      <c r="J13" s="1014"/>
      <c r="K13" s="1014"/>
      <c r="L13" s="1015"/>
    </row>
    <row r="14">
      <c r="A14" s="952"/>
      <c r="B14" s="953"/>
      <c r="C14" s="953"/>
      <c r="D14" s="953"/>
      <c r="E14" s="953"/>
      <c r="F14" s="954"/>
      <c r="G14" s="1016"/>
      <c r="H14" s="1017"/>
      <c r="I14" s="1017"/>
      <c r="J14" s="1017"/>
      <c r="K14" s="1017"/>
      <c r="L14" s="1018"/>
    </row>
    <row r="15">
      <c r="A15" s="952"/>
      <c r="B15" s="953"/>
      <c r="C15" s="953"/>
      <c r="D15" s="953"/>
      <c r="E15" s="953"/>
      <c r="F15" s="954"/>
      <c r="G15" s="1016"/>
      <c r="H15" s="1017"/>
      <c r="I15" s="1017"/>
      <c r="J15" s="1017"/>
      <c r="K15" s="1017"/>
      <c r="L15" s="1018"/>
    </row>
    <row r="16">
      <c r="A16" s="952"/>
      <c r="B16" s="953"/>
      <c r="C16" s="953"/>
      <c r="D16" s="953"/>
      <c r="E16" s="953"/>
      <c r="F16" s="954"/>
      <c r="G16" s="1016"/>
      <c r="H16" s="1017"/>
      <c r="I16" s="1017"/>
      <c r="J16" s="1017"/>
      <c r="K16" s="1017"/>
      <c r="L16" s="1018"/>
    </row>
    <row r="17">
      <c r="A17" s="955"/>
      <c r="B17" s="956"/>
      <c r="C17" s="956"/>
      <c r="D17" s="956"/>
      <c r="E17" s="956"/>
      <c r="F17" s="957"/>
      <c r="G17" s="1019"/>
      <c r="H17" s="1020"/>
      <c r="I17" s="1020"/>
      <c r="J17" s="1020"/>
      <c r="K17" s="1020"/>
      <c r="L17" s="1021"/>
    </row>
    <row r="20">
      <c r="A20" s="1057" t="str">
        <v>Add a Custom Hack</v>
      </c>
      <c r="B20" s="1058"/>
      <c r="C20" s="1058"/>
      <c r="D20" s="1058"/>
      <c r="E20" s="1058"/>
      <c r="F20" s="1058"/>
      <c r="G20" s="1058"/>
      <c r="H20" s="1059"/>
      <c r="I20" s="1124" t="str">
        <v>ADD CUSTOM HACK</v>
      </c>
      <c r="J20" s="1125"/>
      <c r="K20" s="1125"/>
      <c r="L20" s="1126"/>
    </row>
    <row r="21">
      <c r="A21" s="1073" t="str">
        <v>Title</v>
      </c>
      <c r="B21" s="1074"/>
      <c r="C21" s="1088"/>
      <c r="D21" s="1089"/>
      <c r="E21" s="1089"/>
      <c r="F21" s="1089"/>
      <c r="G21" s="1089"/>
      <c r="H21" s="1090"/>
      <c r="I21" s="1127"/>
      <c r="J21" s="1128"/>
      <c r="K21" s="1128"/>
      <c r="L21" s="1129"/>
    </row>
    <row r="22">
      <c r="A22" s="1073" t="str">
        <v>Created By</v>
      </c>
      <c r="B22" s="1074"/>
      <c r="C22" s="1088"/>
      <c r="D22" s="1089"/>
      <c r="E22" s="1089"/>
      <c r="F22" s="1089"/>
      <c r="G22" s="1089"/>
      <c r="H22" s="1090"/>
      <c r="I22" s="1127"/>
      <c r="J22" s="1128"/>
      <c r="K22" s="1128"/>
      <c r="L22" s="1129"/>
    </row>
    <row r="23">
      <c r="A23" s="1073" t="str">
        <v>Exits</v>
      </c>
      <c r="B23" s="1074"/>
      <c r="C23" s="1088"/>
      <c r="D23" s="1090"/>
      <c r="E23" s="1073" t="str">
        <v>Difficulty</v>
      </c>
      <c r="F23" s="1074"/>
      <c r="G23" s="1088"/>
      <c r="H23" s="1090"/>
      <c r="I23" s="1130"/>
      <c r="J23" s="1131"/>
      <c r="K23" s="1131"/>
      <c r="L23" s="1132"/>
    </row>
    <row r="24">
      <c r="A24" s="1073" t="str">
        <v>Type</v>
      </c>
      <c r="B24" s="1074"/>
      <c r="C24" s="1088"/>
      <c r="D24" s="1089"/>
      <c r="E24" s="1089"/>
      <c r="F24" s="1089"/>
      <c r="G24" s="1089"/>
      <c r="H24" s="1090"/>
      <c r="I24" s="1187" t="str">
        <v>Custom hacks are stored separately and are never removed during catalog refreshes.</v>
      </c>
      <c r="J24" s="1188"/>
      <c r="K24" s="1188"/>
      <c r="L24" s="1189"/>
    </row>
    <row r="25">
      <c r="A25" s="1073" t="str">
        <v>Added Date</v>
      </c>
      <c r="B25" s="1074"/>
      <c r="C25" s="1102"/>
      <c r="D25" s="1103"/>
      <c r="I25" s="1190"/>
      <c r="J25" s="1191"/>
      <c r="K25" s="1191"/>
      <c r="L25" s="1192"/>
    </row>
    <row r="26">
      <c r="A26" s="1073" t="str">
        <v>Page URL</v>
      </c>
      <c r="B26" s="1074"/>
      <c r="C26" s="1088"/>
      <c r="D26" s="1089"/>
      <c r="E26" s="1089"/>
      <c r="F26" s="1089"/>
      <c r="G26" s="1089"/>
      <c r="H26" s="1090"/>
      <c r="I26" s="1190"/>
      <c r="J26" s="1191"/>
      <c r="K26" s="1191"/>
      <c r="L26" s="1192"/>
    </row>
    <row r="27">
      <c r="A27" s="1073" t="str">
        <v>Download URL</v>
      </c>
      <c r="B27" s="1074"/>
      <c r="C27" s="1088"/>
      <c r="D27" s="1089"/>
      <c r="E27" s="1089"/>
      <c r="F27" s="1089"/>
      <c r="G27" s="1089"/>
      <c r="H27" s="1090"/>
      <c r="I27" s="1193"/>
      <c r="J27" s="1194"/>
      <c r="K27" s="1194"/>
      <c r="L27" s="1195"/>
    </row>
    <row r="32">
      <c r="A32" s="13" t="str">
        <v>Difficulty</v>
      </c>
      <c r="B32" s="14" t="str">
        <v>Tracked</v>
      </c>
      <c r="C32" s="15" t="str">
        <v>Completed</v>
      </c>
      <c r="E32" s="13" t="str">
        <v>Status</v>
      </c>
      <c r="F32" s="15" t="str">
        <v>Count</v>
      </c>
    </row>
    <row r="33">
      <c r="A33" s="1232" t="str">
        <v>Newcomer</v>
      </c>
      <c r="B33" s="1241" t="n">
        <f>COUNTIF(Tracker!$F$2:$F$501,A33)</f>
        <v>0</v>
      </c>
      <c r="C33" s="1242" t="n">
        <f>COUNTIFS(Tracker!$F$2:$F$501,A33,Tracker!$J$2:$J$501,"Yes")</f>
        <v>0</v>
      </c>
      <c r="E33" s="1232" t="str">
        <v>Planned</v>
      </c>
      <c r="F33" s="1242" t="n">
        <f>COUNTIF(Tracker!$K$2:$K$501,E33)</f>
        <v>0</v>
      </c>
    </row>
    <row r="34">
      <c r="A34" s="36" t="str">
        <v>Casual</v>
      </c>
      <c r="B34" s="1243" t="n">
        <f>COUNTIF(Tracker!$F$2:$F$501,A34)</f>
        <v>0</v>
      </c>
      <c r="C34" s="1244" t="n">
        <f>COUNTIFS(Tracker!$F$2:$F$501,A34,Tracker!$J$2:$J$501,"Yes")</f>
        <v>0</v>
      </c>
      <c r="E34" s="36" t="str">
        <v>In Progress</v>
      </c>
      <c r="F34" s="1244" t="n">
        <f>COUNTIF(Tracker!$K$2:$K$501,E34)</f>
        <v>0</v>
      </c>
    </row>
    <row r="35">
      <c r="A35" s="36" t="str">
        <v>Intermediate</v>
      </c>
      <c r="B35" s="1243" t="n">
        <f>COUNTIF(Tracker!$F$2:$F$501,A35)</f>
        <v>0</v>
      </c>
      <c r="C35" s="1244" t="n">
        <f>COUNTIFS(Tracker!$F$2:$F$501,A35,Tracker!$J$2:$J$501,"Yes")</f>
        <v>0</v>
      </c>
      <c r="E35" s="36" t="str">
        <v>Finished</v>
      </c>
      <c r="F35" s="1244" t="n">
        <f>COUNTIF(Tracker!$K$2:$K$501,E35)</f>
        <v>0</v>
      </c>
    </row>
    <row r="36">
      <c r="A36" s="36" t="str">
        <v>Advanced</v>
      </c>
      <c r="B36" s="1243" t="n">
        <f>COUNTIF(Tracker!$F$2:$F$501,A36)</f>
        <v>0</v>
      </c>
      <c r="C36" s="1244" t="n">
        <f>COUNTIFS(Tracker!$F$2:$F$501,A36,Tracker!$J$2:$J$501,"Yes")</f>
        <v>0</v>
      </c>
      <c r="E36" s="38" t="str">
        <v>100% Complete</v>
      </c>
      <c r="F36" s="1246" t="n">
        <f>COUNTIF(Tracker!$K$2:$K$501,E36)</f>
        <v>0</v>
      </c>
    </row>
    <row r="37">
      <c r="A37" s="36" t="str">
        <v>Expert</v>
      </c>
      <c r="B37" s="1243" t="n">
        <f>COUNTIF(Tracker!$F$2:$F$501,A37)</f>
        <v>0</v>
      </c>
      <c r="C37" s="1244" t="n">
        <f>COUNTIFS(Tracker!$F$2:$F$501,A37,Tracker!$J$2:$J$501,"Yes")</f>
        <v>0</v>
      </c>
    </row>
    <row r="38">
      <c r="A38" s="36" t="str">
        <v>Master</v>
      </c>
      <c r="B38" s="1243" t="n">
        <f>COUNTIF(Tracker!$F$2:$F$501,A38)</f>
        <v>0</v>
      </c>
      <c r="C38" s="1244" t="n">
        <f>COUNTIFS(Tracker!$F$2:$F$501,A38,Tracker!$J$2:$J$501,"Yes")</f>
        <v>0</v>
      </c>
    </row>
    <row r="39">
      <c r="A39" s="36" t="str">
        <v>Grandmaster</v>
      </c>
      <c r="B39" s="1243" t="n">
        <f>COUNTIF(Tracker!$F$2:$F$501,A39)</f>
        <v>0</v>
      </c>
      <c r="C39" s="1244" t="n">
        <f>COUNTIFS(Tracker!$F$2:$F$501,A39,Tracker!$J$2:$J$501,"Yes")</f>
        <v>0</v>
      </c>
    </row>
    <row r="40">
      <c r="A40" s="38" t="str">
        <v>Unranked</v>
      </c>
      <c r="B40" s="1245" t="n">
        <f>COUNTIF(Tracker!$F$2:$F$501,A40)</f>
        <v>0</v>
      </c>
      <c r="C40" s="1246" t="n">
        <f>COUNTIFS(Tracker!$F$2:$F$501,A40,Tracker!$J$2:$J$501,"Yes")</f>
        <v>0</v>
      </c>
    </row>
  </sheetData>
  <mergeCells>
    <mergeCell ref="A1:L2"/>
    <mergeCell ref="A3:L3"/>
    <mergeCell ref="A5:C7"/>
    <mergeCell ref="A4:C4"/>
    <mergeCell ref="D5:F7"/>
    <mergeCell ref="D4:F4"/>
    <mergeCell ref="G5:I7"/>
    <mergeCell ref="G4:I4"/>
    <mergeCell ref="J5:L7"/>
    <mergeCell ref="J4:L4"/>
    <mergeCell ref="A9:C11"/>
    <mergeCell ref="A8:C8"/>
    <mergeCell ref="D9:F11"/>
    <mergeCell ref="D8:F8"/>
    <mergeCell ref="G9:I11"/>
    <mergeCell ref="G8:I8"/>
    <mergeCell ref="J9:L11"/>
    <mergeCell ref="J8:L8"/>
    <mergeCell ref="A13:F17"/>
    <mergeCell ref="G13:L17"/>
    <mergeCell ref="A20:H20"/>
    <mergeCell ref="A21:B21"/>
    <mergeCell ref="C21:H21"/>
    <mergeCell ref="A22:B22"/>
    <mergeCell ref="C22:H22"/>
    <mergeCell ref="A23:B23"/>
    <mergeCell ref="C23:D23"/>
    <mergeCell ref="E23:F23"/>
    <mergeCell ref="G23:H23"/>
    <mergeCell ref="A24:B24"/>
    <mergeCell ref="C24:H24"/>
    <mergeCell ref="A25:B25"/>
    <mergeCell ref="C25:D25"/>
    <mergeCell ref="A26:B26"/>
    <mergeCell ref="C26:H26"/>
    <mergeCell ref="A27:B27"/>
    <mergeCell ref="C27:H27"/>
    <mergeCell ref="I20:L23"/>
    <mergeCell ref="I24:L27"/>
  </mergeCells>
  <dataValidations count="2">
    <dataValidation operator="between" sqref="C23:D23">
      <formula1>0</formula1>
      <formula2>999</formula2>
    </dataValidation>
    <dataValidation type="list" sqref="G23:H23">
      <formula1>DifficultyList</formula1>
    </dataValidation>
  </dataValidations>
  <pageMargins left="0.7" right="0.7" top="0.75" bottom="0.75" header="0.3" footer="0.3"/>
  <drawing r:id="Red8b9df732db439a"/>
</worksheet>
</file>

<file path=xl/worksheets/sheet2.xml><?xml version="1.0" encoding="utf-8"?>
<worksheet xmlns="http://schemas.openxmlformats.org/spreadsheetml/2006/main" xmlns:ns1="http://schemas.microsoft.com/office/spreadsheetml/2009/9/main" xmlns:ns2="http://schemas.microsoft.com/office/excel/2006/main">
  <sheetFormatPr defaultRowHeight="15"/>
  <cols>
    <col min="1" max="1" width="8" hidden="0" customWidth="1"/>
    <col min="2" max="2" width="36" hidden="0" customWidth="1"/>
    <col min="3" max="3" width="34" hidden="0" customWidth="1"/>
    <col min="4" max="4" width="30" hidden="0" customWidth="1"/>
    <col min="5" max="5" width="9" hidden="0" customWidth="1"/>
    <col min="6" max="6" width="16" hidden="0" customWidth="1"/>
    <col min="7" max="7" width="21" hidden="0" customWidth="1"/>
    <col min="8" max="8" width="15" hidden="0" customWidth="1"/>
    <col min="9" max="9" width="15" hidden="0" customWidth="1"/>
    <col min="10" max="10" width="18" hidden="0" customWidth="1"/>
    <col min="11" max="11" width="18" hidden="0" customWidth="1"/>
    <col min="12" max="12" width="14" hidden="0" customWidth="1"/>
    <col min="13" max="13" width="25" hidden="0" customWidth="1"/>
    <col min="14" max="14" width="17" hidden="0" customWidth="1"/>
    <col min="15" max="15" width="17" hidden="0" customWidth="1"/>
    <col min="16" max="16" width="42" hidden="0" customWidth="1"/>
  </cols>
  <sheetData>
    <row r="1" ht="38" customHeight="1">
      <c r="A1" s="13" t="str">
        <v>Hack #</v>
      </c>
      <c r="B1" s="14" t="str">
        <v>Select ROM Hack</v>
      </c>
      <c r="C1" s="14" t="str">
        <v>ROM Hack Title</v>
      </c>
      <c r="D1" s="14" t="str">
        <v>Created By</v>
      </c>
      <c r="E1" s="14" t="str">
        <v>Exits</v>
      </c>
      <c r="F1" s="14" t="str">
        <v>Difficulty</v>
      </c>
      <c r="G1" s="14" t="str">
        <v>Type</v>
      </c>
      <c r="H1" s="14" t="str">
        <v>Date Started</v>
      </c>
      <c r="I1" s="14" t="str">
        <v>Date Completed</v>
      </c>
      <c r="J1" s="14" t="str">
        <v>100% Completed?</v>
      </c>
      <c r="K1" s="14" t="str">
        <v>Status</v>
      </c>
      <c r="L1" s="14" t="str">
        <v>Rating (1–10)</v>
      </c>
      <c r="M1" s="14" t="str">
        <v>Playtime</v>
      </c>
      <c r="N1" s="14" t="str">
        <v>SMWCentral Page</v>
      </c>
      <c r="O1" s="14" t="str">
        <v>Download Patch</v>
      </c>
      <c r="P1" s="15" t="str">
        <v>Notes</v>
      </c>
    </row>
    <row r="2" ht="23" customHeight="1">
      <c r="A2" s="91" t="str">
        <f>IF(C2="","",COUNTIF($C$2:C2,"&lt;&gt;"))</f>
      </c>
      <c r="B2" s="106"/>
      <c r="C2" s="112" t="str">
        <f>IFERROR(VLOOKUP($B2,'Hack Database'!$A:$J,2,FALSE),"")</f>
      </c>
      <c r="D2" s="112" t="str">
        <f>IFERROR(VLOOKUP($B2,'Hack Database'!$A:$J,3,FALSE),"")</f>
      </c>
      <c r="E2" s="124" t="str">
        <f>IFERROR(VLOOKUP($B2,'Hack Database'!$A:$J,4,FALSE),"")</f>
      </c>
      <c r="F2" s="124" t="str">
        <f>IFERROR(VLOOKUP($B2,'Hack Database'!$A:$J,5,FALSE),"")</f>
      </c>
      <c r="G2" s="112" t="str">
        <f>IFERROR(VLOOKUP($B2,'Hack Database'!$A:$J,6,FALSE),"")</f>
      </c>
      <c r="H2" s="136"/>
      <c r="I2" s="136"/>
      <c r="J2" s="130"/>
      <c r="K2" s="124" t="str">
        <f>IF($B2="","",IF($J2="Yes","100% Complete",IF($H2="","Planned",IF($I2="","In Progress","Finished"))))</f>
      </c>
      <c r="L2" s="142"/>
      <c r="M2" s="130"/>
      <c r="N2" s="154" t="str">
        <f>IFERROR(HYPERLINK(VLOOKUP($B2,'Hack Database'!$A:$J,9,FALSE),"Open Page"),"")</f>
      </c>
      <c r="O2" s="154" t="str">
        <f>IFERROR(HYPERLINK(VLOOKUP($B2,'Hack Database'!$A:$J,10,FALSE),"Download"),"")</f>
      </c>
      <c r="P2" s="148"/>
    </row>
    <row r="3" ht="23" customHeight="1">
      <c r="A3" s="92" t="str">
        <f>IF(C3="","",COUNTIF($C$2:C3,"&lt;&gt;"))</f>
      </c>
      <c r="B3" s="107"/>
      <c r="C3" s="113" t="str">
        <f>IFERROR(VLOOKUP($B3,'Hack Database'!$A:$J,2,FALSE),"")</f>
      </c>
      <c r="D3" s="113" t="str">
        <f>IFERROR(VLOOKUP($B3,'Hack Database'!$A:$J,3,FALSE),"")</f>
      </c>
      <c r="E3" s="125" t="str">
        <f>IFERROR(VLOOKUP($B3,'Hack Database'!$A:$J,4,FALSE),"")</f>
      </c>
      <c r="F3" s="125" t="str">
        <f>IFERROR(VLOOKUP($B3,'Hack Database'!$A:$J,5,FALSE),"")</f>
      </c>
      <c r="G3" s="113" t="str">
        <f>IFERROR(VLOOKUP($B3,'Hack Database'!$A:$J,6,FALSE),"")</f>
      </c>
      <c r="H3" s="137"/>
      <c r="I3" s="137"/>
      <c r="J3" s="131"/>
      <c r="K3" s="125" t="str">
        <f>IF($B3="","",IF($J3="Yes","100% Complete",IF($H3="","Planned",IF($I3="","In Progress","Finished"))))</f>
      </c>
      <c r="L3" s="143"/>
      <c r="M3" s="131"/>
      <c r="N3" s="155" t="str">
        <f>IFERROR(HYPERLINK(VLOOKUP($B3,'Hack Database'!$A:$J,9,FALSE),"Open Page"),"")</f>
      </c>
      <c r="O3" s="155" t="str">
        <f>IFERROR(HYPERLINK(VLOOKUP($B3,'Hack Database'!$A:$J,10,FALSE),"Download"),"")</f>
      </c>
      <c r="P3" s="149"/>
    </row>
    <row r="4" ht="23" customHeight="1">
      <c r="A4" s="92" t="str">
        <f>IF(C4="","",COUNTIF($C$2:C4,"&lt;&gt;"))</f>
      </c>
      <c r="B4" s="107"/>
      <c r="C4" s="113" t="str">
        <f>IFERROR(VLOOKUP($B4,'Hack Database'!$A:$J,2,FALSE),"")</f>
      </c>
      <c r="D4" s="113" t="str">
        <f>IFERROR(VLOOKUP($B4,'Hack Database'!$A:$J,3,FALSE),"")</f>
      </c>
      <c r="E4" s="125" t="str">
        <f>IFERROR(VLOOKUP($B4,'Hack Database'!$A:$J,4,FALSE),"")</f>
      </c>
      <c r="F4" s="125" t="str">
        <f>IFERROR(VLOOKUP($B4,'Hack Database'!$A:$J,5,FALSE),"")</f>
      </c>
      <c r="G4" s="113" t="str">
        <f>IFERROR(VLOOKUP($B4,'Hack Database'!$A:$J,6,FALSE),"")</f>
      </c>
      <c r="H4" s="137"/>
      <c r="I4" s="137"/>
      <c r="J4" s="131"/>
      <c r="K4" s="125" t="str">
        <f>IF($B4="","",IF($J4="Yes","100% Complete",IF($H4="","Planned",IF($I4="","In Progress","Finished"))))</f>
      </c>
      <c r="L4" s="143"/>
      <c r="M4" s="131"/>
      <c r="N4" s="155" t="str">
        <f>IFERROR(HYPERLINK(VLOOKUP($B4,'Hack Database'!$A:$J,9,FALSE),"Open Page"),"")</f>
      </c>
      <c r="O4" s="155" t="str">
        <f>IFERROR(HYPERLINK(VLOOKUP($B4,'Hack Database'!$A:$J,10,FALSE),"Download"),"")</f>
      </c>
      <c r="P4" s="149"/>
    </row>
    <row r="5" ht="23" customHeight="1">
      <c r="A5" s="92" t="str">
        <f>IF(C5="","",COUNTIF($C$2:C5,"&lt;&gt;"))</f>
      </c>
      <c r="B5" s="107"/>
      <c r="C5" s="113" t="str">
        <f>IFERROR(VLOOKUP($B5,'Hack Database'!$A:$J,2,FALSE),"")</f>
      </c>
      <c r="D5" s="113" t="str">
        <f>IFERROR(VLOOKUP($B5,'Hack Database'!$A:$J,3,FALSE),"")</f>
      </c>
      <c r="E5" s="125" t="str">
        <f>IFERROR(VLOOKUP($B5,'Hack Database'!$A:$J,4,FALSE),"")</f>
      </c>
      <c r="F5" s="125" t="str">
        <f>IFERROR(VLOOKUP($B5,'Hack Database'!$A:$J,5,FALSE),"")</f>
      </c>
      <c r="G5" s="113" t="str">
        <f>IFERROR(VLOOKUP($B5,'Hack Database'!$A:$J,6,FALSE),"")</f>
      </c>
      <c r="H5" s="137"/>
      <c r="I5" s="137"/>
      <c r="J5" s="131"/>
      <c r="K5" s="125" t="str">
        <f>IF($B5="","",IF($J5="Yes","100% Complete",IF($H5="","Planned",IF($I5="","In Progress","Finished"))))</f>
      </c>
      <c r="L5" s="143"/>
      <c r="M5" s="131"/>
      <c r="N5" s="155" t="str">
        <f>IFERROR(HYPERLINK(VLOOKUP($B5,'Hack Database'!$A:$J,9,FALSE),"Open Page"),"")</f>
      </c>
      <c r="O5" s="155" t="str">
        <f>IFERROR(HYPERLINK(VLOOKUP($B5,'Hack Database'!$A:$J,10,FALSE),"Download"),"")</f>
      </c>
      <c r="P5" s="149"/>
    </row>
    <row r="6" ht="23" customHeight="1">
      <c r="A6" s="92" t="str">
        <f>IF(C6="","",COUNTIF($C$2:C6,"&lt;&gt;"))</f>
      </c>
      <c r="B6" s="107"/>
      <c r="C6" s="113" t="str">
        <f>IFERROR(VLOOKUP($B6,'Hack Database'!$A:$J,2,FALSE),"")</f>
      </c>
      <c r="D6" s="113" t="str">
        <f>IFERROR(VLOOKUP($B6,'Hack Database'!$A:$J,3,FALSE),"")</f>
      </c>
      <c r="E6" s="125" t="str">
        <f>IFERROR(VLOOKUP($B6,'Hack Database'!$A:$J,4,FALSE),"")</f>
      </c>
      <c r="F6" s="125" t="str">
        <f>IFERROR(VLOOKUP($B6,'Hack Database'!$A:$J,5,FALSE),"")</f>
      </c>
      <c r="G6" s="113" t="str">
        <f>IFERROR(VLOOKUP($B6,'Hack Database'!$A:$J,6,FALSE),"")</f>
      </c>
      <c r="H6" s="137"/>
      <c r="I6" s="137"/>
      <c r="J6" s="131"/>
      <c r="K6" s="125" t="str">
        <f>IF($B6="","",IF($J6="Yes","100% Complete",IF($H6="","Planned",IF($I6="","In Progress","Finished"))))</f>
      </c>
      <c r="L6" s="143"/>
      <c r="M6" s="131"/>
      <c r="N6" s="155" t="str">
        <f>IFERROR(HYPERLINK(VLOOKUP($B6,'Hack Database'!$A:$J,9,FALSE),"Open Page"),"")</f>
      </c>
      <c r="O6" s="155" t="str">
        <f>IFERROR(HYPERLINK(VLOOKUP($B6,'Hack Database'!$A:$J,10,FALSE),"Download"),"")</f>
      </c>
      <c r="P6" s="149"/>
    </row>
    <row r="7" ht="23" customHeight="1">
      <c r="A7" s="92" t="str">
        <f>IF(C7="","",COUNTIF($C$2:C7,"&lt;&gt;"))</f>
      </c>
      <c r="B7" s="107"/>
      <c r="C7" s="113" t="str">
        <f>IFERROR(VLOOKUP($B7,'Hack Database'!$A:$J,2,FALSE),"")</f>
      </c>
      <c r="D7" s="113" t="str">
        <f>IFERROR(VLOOKUP($B7,'Hack Database'!$A:$J,3,FALSE),"")</f>
      </c>
      <c r="E7" s="125" t="str">
        <f>IFERROR(VLOOKUP($B7,'Hack Database'!$A:$J,4,FALSE),"")</f>
      </c>
      <c r="F7" s="125" t="str">
        <f>IFERROR(VLOOKUP($B7,'Hack Database'!$A:$J,5,FALSE),"")</f>
      </c>
      <c r="G7" s="113" t="str">
        <f>IFERROR(VLOOKUP($B7,'Hack Database'!$A:$J,6,FALSE),"")</f>
      </c>
      <c r="H7" s="137"/>
      <c r="I7" s="137"/>
      <c r="J7" s="131"/>
      <c r="K7" s="125" t="str">
        <f>IF($B7="","",IF($J7="Yes","100% Complete",IF($H7="","Planned",IF($I7="","In Progress","Finished"))))</f>
      </c>
      <c r="L7" s="143"/>
      <c r="M7" s="131"/>
      <c r="N7" s="155" t="str">
        <f>IFERROR(HYPERLINK(VLOOKUP($B7,'Hack Database'!$A:$J,9,FALSE),"Open Page"),"")</f>
      </c>
      <c r="O7" s="155" t="str">
        <f>IFERROR(HYPERLINK(VLOOKUP($B7,'Hack Database'!$A:$J,10,FALSE),"Download"),"")</f>
      </c>
      <c r="P7" s="149"/>
    </row>
    <row r="8" ht="23" customHeight="1">
      <c r="A8" s="92" t="str">
        <f>IF(C8="","",COUNTIF($C$2:C8,"&lt;&gt;"))</f>
      </c>
      <c r="B8" s="107"/>
      <c r="C8" s="113" t="str">
        <f>IFERROR(VLOOKUP($B8,'Hack Database'!$A:$J,2,FALSE),"")</f>
      </c>
      <c r="D8" s="113" t="str">
        <f>IFERROR(VLOOKUP($B8,'Hack Database'!$A:$J,3,FALSE),"")</f>
      </c>
      <c r="E8" s="125" t="str">
        <f>IFERROR(VLOOKUP($B8,'Hack Database'!$A:$J,4,FALSE),"")</f>
      </c>
      <c r="F8" s="125" t="str">
        <f>IFERROR(VLOOKUP($B8,'Hack Database'!$A:$J,5,FALSE),"")</f>
      </c>
      <c r="G8" s="113" t="str">
        <f>IFERROR(VLOOKUP($B8,'Hack Database'!$A:$J,6,FALSE),"")</f>
      </c>
      <c r="H8" s="137"/>
      <c r="I8" s="137"/>
      <c r="J8" s="131"/>
      <c r="K8" s="125" t="str">
        <f>IF($B8="","",IF($J8="Yes","100% Complete",IF($H8="","Planned",IF($I8="","In Progress","Finished"))))</f>
      </c>
      <c r="L8" s="143"/>
      <c r="M8" s="131"/>
      <c r="N8" s="155" t="str">
        <f>IFERROR(HYPERLINK(VLOOKUP($B8,'Hack Database'!$A:$J,9,FALSE),"Open Page"),"")</f>
      </c>
      <c r="O8" s="155" t="str">
        <f>IFERROR(HYPERLINK(VLOOKUP($B8,'Hack Database'!$A:$J,10,FALSE),"Download"),"")</f>
      </c>
      <c r="P8" s="149"/>
    </row>
    <row r="9" ht="23" customHeight="1">
      <c r="A9" s="92" t="str">
        <f>IF(C9="","",COUNTIF($C$2:C9,"&lt;&gt;"))</f>
      </c>
      <c r="B9" s="107"/>
      <c r="C9" s="113" t="str">
        <f>IFERROR(VLOOKUP($B9,'Hack Database'!$A:$J,2,FALSE),"")</f>
      </c>
      <c r="D9" s="113" t="str">
        <f>IFERROR(VLOOKUP($B9,'Hack Database'!$A:$J,3,FALSE),"")</f>
      </c>
      <c r="E9" s="125" t="str">
        <f>IFERROR(VLOOKUP($B9,'Hack Database'!$A:$J,4,FALSE),"")</f>
      </c>
      <c r="F9" s="125" t="str">
        <f>IFERROR(VLOOKUP($B9,'Hack Database'!$A:$J,5,FALSE),"")</f>
      </c>
      <c r="G9" s="113" t="str">
        <f>IFERROR(VLOOKUP($B9,'Hack Database'!$A:$J,6,FALSE),"")</f>
      </c>
      <c r="H9" s="137"/>
      <c r="I9" s="137"/>
      <c r="J9" s="131"/>
      <c r="K9" s="125" t="str">
        <f>IF($B9="","",IF($J9="Yes","100% Complete",IF($H9="","Planned",IF($I9="","In Progress","Finished"))))</f>
      </c>
      <c r="L9" s="143"/>
      <c r="M9" s="131"/>
      <c r="N9" s="155" t="str">
        <f>IFERROR(HYPERLINK(VLOOKUP($B9,'Hack Database'!$A:$J,9,FALSE),"Open Page"),"")</f>
      </c>
      <c r="O9" s="155" t="str">
        <f>IFERROR(HYPERLINK(VLOOKUP($B9,'Hack Database'!$A:$J,10,FALSE),"Download"),"")</f>
      </c>
      <c r="P9" s="149"/>
    </row>
    <row r="10" ht="23" customHeight="1">
      <c r="A10" s="92" t="str">
        <f>IF(C10="","",COUNTIF($C$2:C10,"&lt;&gt;"))</f>
      </c>
      <c r="B10" s="107"/>
      <c r="C10" s="113" t="str">
        <f>IFERROR(VLOOKUP($B10,'Hack Database'!$A:$J,2,FALSE),"")</f>
      </c>
      <c r="D10" s="113" t="str">
        <f>IFERROR(VLOOKUP($B10,'Hack Database'!$A:$J,3,FALSE),"")</f>
      </c>
      <c r="E10" s="125" t="str">
        <f>IFERROR(VLOOKUP($B10,'Hack Database'!$A:$J,4,FALSE),"")</f>
      </c>
      <c r="F10" s="125" t="str">
        <f>IFERROR(VLOOKUP($B10,'Hack Database'!$A:$J,5,FALSE),"")</f>
      </c>
      <c r="G10" s="113" t="str">
        <f>IFERROR(VLOOKUP($B10,'Hack Database'!$A:$J,6,FALSE),"")</f>
      </c>
      <c r="H10" s="137"/>
      <c r="I10" s="137"/>
      <c r="J10" s="131"/>
      <c r="K10" s="125" t="str">
        <f>IF($B10="","",IF($J10="Yes","100% Complete",IF($H10="","Planned",IF($I10="","In Progress","Finished"))))</f>
      </c>
      <c r="L10" s="143"/>
      <c r="M10" s="131"/>
      <c r="N10" s="155" t="str">
        <f>IFERROR(HYPERLINK(VLOOKUP($B10,'Hack Database'!$A:$J,9,FALSE),"Open Page"),"")</f>
      </c>
      <c r="O10" s="155" t="str">
        <f>IFERROR(HYPERLINK(VLOOKUP($B10,'Hack Database'!$A:$J,10,FALSE),"Download"),"")</f>
      </c>
      <c r="P10" s="149"/>
    </row>
    <row r="11" ht="23" customHeight="1">
      <c r="A11" s="92" t="str">
        <f>IF(C11="","",COUNTIF($C$2:C11,"&lt;&gt;"))</f>
      </c>
      <c r="B11" s="107"/>
      <c r="C11" s="113" t="str">
        <f>IFERROR(VLOOKUP($B11,'Hack Database'!$A:$J,2,FALSE),"")</f>
      </c>
      <c r="D11" s="113" t="str">
        <f>IFERROR(VLOOKUP($B11,'Hack Database'!$A:$J,3,FALSE),"")</f>
      </c>
      <c r="E11" s="125" t="str">
        <f>IFERROR(VLOOKUP($B11,'Hack Database'!$A:$J,4,FALSE),"")</f>
      </c>
      <c r="F11" s="125" t="str">
        <f>IFERROR(VLOOKUP($B11,'Hack Database'!$A:$J,5,FALSE),"")</f>
      </c>
      <c r="G11" s="113" t="str">
        <f>IFERROR(VLOOKUP($B11,'Hack Database'!$A:$J,6,FALSE),"")</f>
      </c>
      <c r="H11" s="137"/>
      <c r="I11" s="137"/>
      <c r="J11" s="131"/>
      <c r="K11" s="125" t="str">
        <f>IF($B11="","",IF($J11="Yes","100% Complete",IF($H11="","Planned",IF($I11="","In Progress","Finished"))))</f>
      </c>
      <c r="L11" s="143"/>
      <c r="M11" s="131"/>
      <c r="N11" s="155" t="str">
        <f>IFERROR(HYPERLINK(VLOOKUP($B11,'Hack Database'!$A:$J,9,FALSE),"Open Page"),"")</f>
      </c>
      <c r="O11" s="155" t="str">
        <f>IFERROR(HYPERLINK(VLOOKUP($B11,'Hack Database'!$A:$J,10,FALSE),"Download"),"")</f>
      </c>
      <c r="P11" s="149"/>
    </row>
    <row r="12" ht="23" customHeight="1">
      <c r="A12" s="92" t="str">
        <f>IF(C12="","",COUNTIF($C$2:C12,"&lt;&gt;"))</f>
      </c>
      <c r="B12" s="107"/>
      <c r="C12" s="113" t="str">
        <f>IFERROR(VLOOKUP($B12,'Hack Database'!$A:$J,2,FALSE),"")</f>
      </c>
      <c r="D12" s="113" t="str">
        <f>IFERROR(VLOOKUP($B12,'Hack Database'!$A:$J,3,FALSE),"")</f>
      </c>
      <c r="E12" s="125" t="str">
        <f>IFERROR(VLOOKUP($B12,'Hack Database'!$A:$J,4,FALSE),"")</f>
      </c>
      <c r="F12" s="125" t="str">
        <f>IFERROR(VLOOKUP($B12,'Hack Database'!$A:$J,5,FALSE),"")</f>
      </c>
      <c r="G12" s="113" t="str">
        <f>IFERROR(VLOOKUP($B12,'Hack Database'!$A:$J,6,FALSE),"")</f>
      </c>
      <c r="H12" s="137"/>
      <c r="I12" s="137"/>
      <c r="J12" s="131"/>
      <c r="K12" s="125" t="str">
        <f>IF($B12="","",IF($J12="Yes","100% Complete",IF($H12="","Planned",IF($I12="","In Progress","Finished"))))</f>
      </c>
      <c r="L12" s="143"/>
      <c r="M12" s="131"/>
      <c r="N12" s="155" t="str">
        <f>IFERROR(HYPERLINK(VLOOKUP($B12,'Hack Database'!$A:$J,9,FALSE),"Open Page"),"")</f>
      </c>
      <c r="O12" s="155" t="str">
        <f>IFERROR(HYPERLINK(VLOOKUP($B12,'Hack Database'!$A:$J,10,FALSE),"Download"),"")</f>
      </c>
      <c r="P12" s="149"/>
    </row>
    <row r="13" ht="23" customHeight="1">
      <c r="A13" s="92" t="str">
        <f>IF(C13="","",COUNTIF($C$2:C13,"&lt;&gt;"))</f>
      </c>
      <c r="B13" s="107"/>
      <c r="C13" s="113" t="str">
        <f>IFERROR(VLOOKUP($B13,'Hack Database'!$A:$J,2,FALSE),"")</f>
      </c>
      <c r="D13" s="113" t="str">
        <f>IFERROR(VLOOKUP($B13,'Hack Database'!$A:$J,3,FALSE),"")</f>
      </c>
      <c r="E13" s="125" t="str">
        <f>IFERROR(VLOOKUP($B13,'Hack Database'!$A:$J,4,FALSE),"")</f>
      </c>
      <c r="F13" s="125" t="str">
        <f>IFERROR(VLOOKUP($B13,'Hack Database'!$A:$J,5,FALSE),"")</f>
      </c>
      <c r="G13" s="113" t="str">
        <f>IFERROR(VLOOKUP($B13,'Hack Database'!$A:$J,6,FALSE),"")</f>
      </c>
      <c r="H13" s="137"/>
      <c r="I13" s="137"/>
      <c r="J13" s="131"/>
      <c r="K13" s="125" t="str">
        <f>IF($B13="","",IF($J13="Yes","100% Complete",IF($H13="","Planned",IF($I13="","In Progress","Finished"))))</f>
      </c>
      <c r="L13" s="143"/>
      <c r="M13" s="131"/>
      <c r="N13" s="155" t="str">
        <f>IFERROR(HYPERLINK(VLOOKUP($B13,'Hack Database'!$A:$J,9,FALSE),"Open Page"),"")</f>
      </c>
      <c r="O13" s="155" t="str">
        <f>IFERROR(HYPERLINK(VLOOKUP($B13,'Hack Database'!$A:$J,10,FALSE),"Download"),"")</f>
      </c>
      <c r="P13" s="149"/>
    </row>
    <row r="14" ht="23" customHeight="1">
      <c r="A14" s="92" t="str">
        <f>IF(C14="","",COUNTIF($C$2:C14,"&lt;&gt;"))</f>
      </c>
      <c r="B14" s="107"/>
      <c r="C14" s="113" t="str">
        <f>IFERROR(VLOOKUP($B14,'Hack Database'!$A:$J,2,FALSE),"")</f>
      </c>
      <c r="D14" s="113" t="str">
        <f>IFERROR(VLOOKUP($B14,'Hack Database'!$A:$J,3,FALSE),"")</f>
      </c>
      <c r="E14" s="125" t="str">
        <f>IFERROR(VLOOKUP($B14,'Hack Database'!$A:$J,4,FALSE),"")</f>
      </c>
      <c r="F14" s="125" t="str">
        <f>IFERROR(VLOOKUP($B14,'Hack Database'!$A:$J,5,FALSE),"")</f>
      </c>
      <c r="G14" s="113" t="str">
        <f>IFERROR(VLOOKUP($B14,'Hack Database'!$A:$J,6,FALSE),"")</f>
      </c>
      <c r="H14" s="137"/>
      <c r="I14" s="137"/>
      <c r="J14" s="131"/>
      <c r="K14" s="125" t="str">
        <f>IF($B14="","",IF($J14="Yes","100% Complete",IF($H14="","Planned",IF($I14="","In Progress","Finished"))))</f>
      </c>
      <c r="L14" s="143"/>
      <c r="M14" s="131"/>
      <c r="N14" s="155" t="str">
        <f>IFERROR(HYPERLINK(VLOOKUP($B14,'Hack Database'!$A:$J,9,FALSE),"Open Page"),"")</f>
      </c>
      <c r="O14" s="155" t="str">
        <f>IFERROR(HYPERLINK(VLOOKUP($B14,'Hack Database'!$A:$J,10,FALSE),"Download"),"")</f>
      </c>
      <c r="P14" s="149"/>
    </row>
    <row r="15" ht="23" customHeight="1">
      <c r="A15" s="92" t="str">
        <f>IF(C15="","",COUNTIF($C$2:C15,"&lt;&gt;"))</f>
      </c>
      <c r="B15" s="107"/>
      <c r="C15" s="113" t="str">
        <f>IFERROR(VLOOKUP($B15,'Hack Database'!$A:$J,2,FALSE),"")</f>
      </c>
      <c r="D15" s="113" t="str">
        <f>IFERROR(VLOOKUP($B15,'Hack Database'!$A:$J,3,FALSE),"")</f>
      </c>
      <c r="E15" s="125" t="str">
        <f>IFERROR(VLOOKUP($B15,'Hack Database'!$A:$J,4,FALSE),"")</f>
      </c>
      <c r="F15" s="125" t="str">
        <f>IFERROR(VLOOKUP($B15,'Hack Database'!$A:$J,5,FALSE),"")</f>
      </c>
      <c r="G15" s="113" t="str">
        <f>IFERROR(VLOOKUP($B15,'Hack Database'!$A:$J,6,FALSE),"")</f>
      </c>
      <c r="H15" s="137"/>
      <c r="I15" s="137"/>
      <c r="J15" s="131"/>
      <c r="K15" s="125" t="str">
        <f>IF($B15="","",IF($J15="Yes","100% Complete",IF($H15="","Planned",IF($I15="","In Progress","Finished"))))</f>
      </c>
      <c r="L15" s="143"/>
      <c r="M15" s="131"/>
      <c r="N15" s="155" t="str">
        <f>IFERROR(HYPERLINK(VLOOKUP($B15,'Hack Database'!$A:$J,9,FALSE),"Open Page"),"")</f>
      </c>
      <c r="O15" s="155" t="str">
        <f>IFERROR(HYPERLINK(VLOOKUP($B15,'Hack Database'!$A:$J,10,FALSE),"Download"),"")</f>
      </c>
      <c r="P15" s="149"/>
    </row>
    <row r="16" ht="23" customHeight="1">
      <c r="A16" s="92" t="str">
        <f>IF(C16="","",COUNTIF($C$2:C16,"&lt;&gt;"))</f>
      </c>
      <c r="B16" s="107"/>
      <c r="C16" s="113" t="str">
        <f>IFERROR(VLOOKUP($B16,'Hack Database'!$A:$J,2,FALSE),"")</f>
      </c>
      <c r="D16" s="113" t="str">
        <f>IFERROR(VLOOKUP($B16,'Hack Database'!$A:$J,3,FALSE),"")</f>
      </c>
      <c r="E16" s="125" t="str">
        <f>IFERROR(VLOOKUP($B16,'Hack Database'!$A:$J,4,FALSE),"")</f>
      </c>
      <c r="F16" s="125" t="str">
        <f>IFERROR(VLOOKUP($B16,'Hack Database'!$A:$J,5,FALSE),"")</f>
      </c>
      <c r="G16" s="113" t="str">
        <f>IFERROR(VLOOKUP($B16,'Hack Database'!$A:$J,6,FALSE),"")</f>
      </c>
      <c r="H16" s="137"/>
      <c r="I16" s="137"/>
      <c r="J16" s="131"/>
      <c r="K16" s="125" t="str">
        <f>IF($B16="","",IF($J16="Yes","100% Complete",IF($H16="","Planned",IF($I16="","In Progress","Finished"))))</f>
      </c>
      <c r="L16" s="143"/>
      <c r="M16" s="131"/>
      <c r="N16" s="155" t="str">
        <f>IFERROR(HYPERLINK(VLOOKUP($B16,'Hack Database'!$A:$J,9,FALSE),"Open Page"),"")</f>
      </c>
      <c r="O16" s="155" t="str">
        <f>IFERROR(HYPERLINK(VLOOKUP($B16,'Hack Database'!$A:$J,10,FALSE),"Download"),"")</f>
      </c>
      <c r="P16" s="149"/>
    </row>
    <row r="17" ht="23" customHeight="1">
      <c r="A17" s="92" t="str">
        <f>IF(C17="","",COUNTIF($C$2:C17,"&lt;&gt;"))</f>
      </c>
      <c r="B17" s="107"/>
      <c r="C17" s="113" t="str">
        <f>IFERROR(VLOOKUP($B17,'Hack Database'!$A:$J,2,FALSE),"")</f>
      </c>
      <c r="D17" s="113" t="str">
        <f>IFERROR(VLOOKUP($B17,'Hack Database'!$A:$J,3,FALSE),"")</f>
      </c>
      <c r="E17" s="125" t="str">
        <f>IFERROR(VLOOKUP($B17,'Hack Database'!$A:$J,4,FALSE),"")</f>
      </c>
      <c r="F17" s="125" t="str">
        <f>IFERROR(VLOOKUP($B17,'Hack Database'!$A:$J,5,FALSE),"")</f>
      </c>
      <c r="G17" s="113" t="str">
        <f>IFERROR(VLOOKUP($B17,'Hack Database'!$A:$J,6,FALSE),"")</f>
      </c>
      <c r="H17" s="137"/>
      <c r="I17" s="137"/>
      <c r="J17" s="131"/>
      <c r="K17" s="125" t="str">
        <f>IF($B17="","",IF($J17="Yes","100% Complete",IF($H17="","Planned",IF($I17="","In Progress","Finished"))))</f>
      </c>
      <c r="L17" s="143"/>
      <c r="M17" s="131"/>
      <c r="N17" s="155" t="str">
        <f>IFERROR(HYPERLINK(VLOOKUP($B17,'Hack Database'!$A:$J,9,FALSE),"Open Page"),"")</f>
      </c>
      <c r="O17" s="155" t="str">
        <f>IFERROR(HYPERLINK(VLOOKUP($B17,'Hack Database'!$A:$J,10,FALSE),"Download"),"")</f>
      </c>
      <c r="P17" s="149"/>
    </row>
    <row r="18" ht="23" customHeight="1">
      <c r="A18" s="92" t="str">
        <f>IF(C18="","",COUNTIF($C$2:C18,"&lt;&gt;"))</f>
      </c>
      <c r="B18" s="107"/>
      <c r="C18" s="113" t="str">
        <f>IFERROR(VLOOKUP($B18,'Hack Database'!$A:$J,2,FALSE),"")</f>
      </c>
      <c r="D18" s="113" t="str">
        <f>IFERROR(VLOOKUP($B18,'Hack Database'!$A:$J,3,FALSE),"")</f>
      </c>
      <c r="E18" s="125" t="str">
        <f>IFERROR(VLOOKUP($B18,'Hack Database'!$A:$J,4,FALSE),"")</f>
      </c>
      <c r="F18" s="125" t="str">
        <f>IFERROR(VLOOKUP($B18,'Hack Database'!$A:$J,5,FALSE),"")</f>
      </c>
      <c r="G18" s="113" t="str">
        <f>IFERROR(VLOOKUP($B18,'Hack Database'!$A:$J,6,FALSE),"")</f>
      </c>
      <c r="H18" s="137"/>
      <c r="I18" s="137"/>
      <c r="J18" s="131"/>
      <c r="K18" s="125" t="str">
        <f>IF($B18="","",IF($J18="Yes","100% Complete",IF($H18="","Planned",IF($I18="","In Progress","Finished"))))</f>
      </c>
      <c r="L18" s="143"/>
      <c r="M18" s="131"/>
      <c r="N18" s="155" t="str">
        <f>IFERROR(HYPERLINK(VLOOKUP($B18,'Hack Database'!$A:$J,9,FALSE),"Open Page"),"")</f>
      </c>
      <c r="O18" s="155" t="str">
        <f>IFERROR(HYPERLINK(VLOOKUP($B18,'Hack Database'!$A:$J,10,FALSE),"Download"),"")</f>
      </c>
      <c r="P18" s="149"/>
    </row>
    <row r="19" ht="23" customHeight="1">
      <c r="A19" s="92" t="str">
        <f>IF(C19="","",COUNTIF($C$2:C19,"&lt;&gt;"))</f>
      </c>
      <c r="B19" s="107"/>
      <c r="C19" s="113" t="str">
        <f>IFERROR(VLOOKUP($B19,'Hack Database'!$A:$J,2,FALSE),"")</f>
      </c>
      <c r="D19" s="113" t="str">
        <f>IFERROR(VLOOKUP($B19,'Hack Database'!$A:$J,3,FALSE),"")</f>
      </c>
      <c r="E19" s="125" t="str">
        <f>IFERROR(VLOOKUP($B19,'Hack Database'!$A:$J,4,FALSE),"")</f>
      </c>
      <c r="F19" s="125" t="str">
        <f>IFERROR(VLOOKUP($B19,'Hack Database'!$A:$J,5,FALSE),"")</f>
      </c>
      <c r="G19" s="113" t="str">
        <f>IFERROR(VLOOKUP($B19,'Hack Database'!$A:$J,6,FALSE),"")</f>
      </c>
      <c r="H19" s="137"/>
      <c r="I19" s="137"/>
      <c r="J19" s="131"/>
      <c r="K19" s="125" t="str">
        <f>IF($B19="","",IF($J19="Yes","100% Complete",IF($H19="","Planned",IF($I19="","In Progress","Finished"))))</f>
      </c>
      <c r="L19" s="143"/>
      <c r="M19" s="131"/>
      <c r="N19" s="155" t="str">
        <f>IFERROR(HYPERLINK(VLOOKUP($B19,'Hack Database'!$A:$J,9,FALSE),"Open Page"),"")</f>
      </c>
      <c r="O19" s="155" t="str">
        <f>IFERROR(HYPERLINK(VLOOKUP($B19,'Hack Database'!$A:$J,10,FALSE),"Download"),"")</f>
      </c>
      <c r="P19" s="149"/>
    </row>
    <row r="20" ht="23" customHeight="1">
      <c r="A20" s="92" t="str">
        <f>IF(C20="","",COUNTIF($C$2:C20,"&lt;&gt;"))</f>
      </c>
      <c r="B20" s="107"/>
      <c r="C20" s="113" t="str">
        <f>IFERROR(VLOOKUP($B20,'Hack Database'!$A:$J,2,FALSE),"")</f>
      </c>
      <c r="D20" s="113" t="str">
        <f>IFERROR(VLOOKUP($B20,'Hack Database'!$A:$J,3,FALSE),"")</f>
      </c>
      <c r="E20" s="125" t="str">
        <f>IFERROR(VLOOKUP($B20,'Hack Database'!$A:$J,4,FALSE),"")</f>
      </c>
      <c r="F20" s="125" t="str">
        <f>IFERROR(VLOOKUP($B20,'Hack Database'!$A:$J,5,FALSE),"")</f>
      </c>
      <c r="G20" s="113" t="str">
        <f>IFERROR(VLOOKUP($B20,'Hack Database'!$A:$J,6,FALSE),"")</f>
      </c>
      <c r="H20" s="137"/>
      <c r="I20" s="137"/>
      <c r="J20" s="131"/>
      <c r="K20" s="125" t="str">
        <f>IF($B20="","",IF($J20="Yes","100% Complete",IF($H20="","Planned",IF($I20="","In Progress","Finished"))))</f>
      </c>
      <c r="L20" s="143"/>
      <c r="M20" s="131"/>
      <c r="N20" s="155" t="str">
        <f>IFERROR(HYPERLINK(VLOOKUP($B20,'Hack Database'!$A:$J,9,FALSE),"Open Page"),"")</f>
      </c>
      <c r="O20" s="155" t="str">
        <f>IFERROR(HYPERLINK(VLOOKUP($B20,'Hack Database'!$A:$J,10,FALSE),"Download"),"")</f>
      </c>
      <c r="P20" s="149"/>
    </row>
    <row r="21" ht="23" customHeight="1">
      <c r="A21" s="92" t="str">
        <f>IF(C21="","",COUNTIF($C$2:C21,"&lt;&gt;"))</f>
      </c>
      <c r="B21" s="107"/>
      <c r="C21" s="113" t="str">
        <f>IFERROR(VLOOKUP($B21,'Hack Database'!$A:$J,2,FALSE),"")</f>
      </c>
      <c r="D21" s="113" t="str">
        <f>IFERROR(VLOOKUP($B21,'Hack Database'!$A:$J,3,FALSE),"")</f>
      </c>
      <c r="E21" s="125" t="str">
        <f>IFERROR(VLOOKUP($B21,'Hack Database'!$A:$J,4,FALSE),"")</f>
      </c>
      <c r="F21" s="125" t="str">
        <f>IFERROR(VLOOKUP($B21,'Hack Database'!$A:$J,5,FALSE),"")</f>
      </c>
      <c r="G21" s="113" t="str">
        <f>IFERROR(VLOOKUP($B21,'Hack Database'!$A:$J,6,FALSE),"")</f>
      </c>
      <c r="H21" s="137"/>
      <c r="I21" s="137"/>
      <c r="J21" s="131"/>
      <c r="K21" s="125" t="str">
        <f>IF($B21="","",IF($J21="Yes","100% Complete",IF($H21="","Planned",IF($I21="","In Progress","Finished"))))</f>
      </c>
      <c r="L21" s="143"/>
      <c r="M21" s="131"/>
      <c r="N21" s="155" t="str">
        <f>IFERROR(HYPERLINK(VLOOKUP($B21,'Hack Database'!$A:$J,9,FALSE),"Open Page"),"")</f>
      </c>
      <c r="O21" s="155" t="str">
        <f>IFERROR(HYPERLINK(VLOOKUP($B21,'Hack Database'!$A:$J,10,FALSE),"Download"),"")</f>
      </c>
      <c r="P21" s="149"/>
    </row>
    <row r="22" ht="23" customHeight="1">
      <c r="A22" s="92" t="str">
        <f>IF(C22="","",COUNTIF($C$2:C22,"&lt;&gt;"))</f>
      </c>
      <c r="B22" s="107"/>
      <c r="C22" s="113" t="str">
        <f>IFERROR(VLOOKUP($B22,'Hack Database'!$A:$J,2,FALSE),"")</f>
      </c>
      <c r="D22" s="113" t="str">
        <f>IFERROR(VLOOKUP($B22,'Hack Database'!$A:$J,3,FALSE),"")</f>
      </c>
      <c r="E22" s="125" t="str">
        <f>IFERROR(VLOOKUP($B22,'Hack Database'!$A:$J,4,FALSE),"")</f>
      </c>
      <c r="F22" s="125" t="str">
        <f>IFERROR(VLOOKUP($B22,'Hack Database'!$A:$J,5,FALSE),"")</f>
      </c>
      <c r="G22" s="113" t="str">
        <f>IFERROR(VLOOKUP($B22,'Hack Database'!$A:$J,6,FALSE),"")</f>
      </c>
      <c r="H22" s="137"/>
      <c r="I22" s="137"/>
      <c r="J22" s="131"/>
      <c r="K22" s="125" t="str">
        <f>IF($B22="","",IF($J22="Yes","100% Complete",IF($H22="","Planned",IF($I22="","In Progress","Finished"))))</f>
      </c>
      <c r="L22" s="143"/>
      <c r="M22" s="131"/>
      <c r="N22" s="155" t="str">
        <f>IFERROR(HYPERLINK(VLOOKUP($B22,'Hack Database'!$A:$J,9,FALSE),"Open Page"),"")</f>
      </c>
      <c r="O22" s="155" t="str">
        <f>IFERROR(HYPERLINK(VLOOKUP($B22,'Hack Database'!$A:$J,10,FALSE),"Download"),"")</f>
      </c>
      <c r="P22" s="149"/>
    </row>
    <row r="23" ht="23" customHeight="1">
      <c r="A23" s="92" t="str">
        <f>IF(C23="","",COUNTIF($C$2:C23,"&lt;&gt;"))</f>
      </c>
      <c r="B23" s="107"/>
      <c r="C23" s="113" t="str">
        <f>IFERROR(VLOOKUP($B23,'Hack Database'!$A:$J,2,FALSE),"")</f>
      </c>
      <c r="D23" s="113" t="str">
        <f>IFERROR(VLOOKUP($B23,'Hack Database'!$A:$J,3,FALSE),"")</f>
      </c>
      <c r="E23" s="125" t="str">
        <f>IFERROR(VLOOKUP($B23,'Hack Database'!$A:$J,4,FALSE),"")</f>
      </c>
      <c r="F23" s="125" t="str">
        <f>IFERROR(VLOOKUP($B23,'Hack Database'!$A:$J,5,FALSE),"")</f>
      </c>
      <c r="G23" s="113" t="str">
        <f>IFERROR(VLOOKUP($B23,'Hack Database'!$A:$J,6,FALSE),"")</f>
      </c>
      <c r="H23" s="137"/>
      <c r="I23" s="137"/>
      <c r="J23" s="131"/>
      <c r="K23" s="125" t="str">
        <f>IF($B23="","",IF($J23="Yes","100% Complete",IF($H23="","Planned",IF($I23="","In Progress","Finished"))))</f>
      </c>
      <c r="L23" s="143"/>
      <c r="M23" s="131"/>
      <c r="N23" s="155" t="str">
        <f>IFERROR(HYPERLINK(VLOOKUP($B23,'Hack Database'!$A:$J,9,FALSE),"Open Page"),"")</f>
      </c>
      <c r="O23" s="155" t="str">
        <f>IFERROR(HYPERLINK(VLOOKUP($B23,'Hack Database'!$A:$J,10,FALSE),"Download"),"")</f>
      </c>
      <c r="P23" s="149"/>
    </row>
    <row r="24" ht="23" customHeight="1">
      <c r="A24" s="92" t="str">
        <f>IF(C24="","",COUNTIF($C$2:C24,"&lt;&gt;"))</f>
      </c>
      <c r="B24" s="107"/>
      <c r="C24" s="113" t="str">
        <f>IFERROR(VLOOKUP($B24,'Hack Database'!$A:$J,2,FALSE),"")</f>
      </c>
      <c r="D24" s="113" t="str">
        <f>IFERROR(VLOOKUP($B24,'Hack Database'!$A:$J,3,FALSE),"")</f>
      </c>
      <c r="E24" s="125" t="str">
        <f>IFERROR(VLOOKUP($B24,'Hack Database'!$A:$J,4,FALSE),"")</f>
      </c>
      <c r="F24" s="125" t="str">
        <f>IFERROR(VLOOKUP($B24,'Hack Database'!$A:$J,5,FALSE),"")</f>
      </c>
      <c r="G24" s="113" t="str">
        <f>IFERROR(VLOOKUP($B24,'Hack Database'!$A:$J,6,FALSE),"")</f>
      </c>
      <c r="H24" s="137"/>
      <c r="I24" s="137"/>
      <c r="J24" s="131"/>
      <c r="K24" s="125" t="str">
        <f>IF($B24="","",IF($J24="Yes","100% Complete",IF($H24="","Planned",IF($I24="","In Progress","Finished"))))</f>
      </c>
      <c r="L24" s="143"/>
      <c r="M24" s="131"/>
      <c r="N24" s="155" t="str">
        <f>IFERROR(HYPERLINK(VLOOKUP($B24,'Hack Database'!$A:$J,9,FALSE),"Open Page"),"")</f>
      </c>
      <c r="O24" s="155" t="str">
        <f>IFERROR(HYPERLINK(VLOOKUP($B24,'Hack Database'!$A:$J,10,FALSE),"Download"),"")</f>
      </c>
      <c r="P24" s="149"/>
    </row>
    <row r="25" ht="23" customHeight="1">
      <c r="A25" s="92" t="str">
        <f>IF(C25="","",COUNTIF($C$2:C25,"&lt;&gt;"))</f>
      </c>
      <c r="B25" s="107"/>
      <c r="C25" s="113" t="str">
        <f>IFERROR(VLOOKUP($B25,'Hack Database'!$A:$J,2,FALSE),"")</f>
      </c>
      <c r="D25" s="113" t="str">
        <f>IFERROR(VLOOKUP($B25,'Hack Database'!$A:$J,3,FALSE),"")</f>
      </c>
      <c r="E25" s="125" t="str">
        <f>IFERROR(VLOOKUP($B25,'Hack Database'!$A:$J,4,FALSE),"")</f>
      </c>
      <c r="F25" s="125" t="str">
        <f>IFERROR(VLOOKUP($B25,'Hack Database'!$A:$J,5,FALSE),"")</f>
      </c>
      <c r="G25" s="113" t="str">
        <f>IFERROR(VLOOKUP($B25,'Hack Database'!$A:$J,6,FALSE),"")</f>
      </c>
      <c r="H25" s="137"/>
      <c r="I25" s="137"/>
      <c r="J25" s="131"/>
      <c r="K25" s="125" t="str">
        <f>IF($B25="","",IF($J25="Yes","100% Complete",IF($H25="","Planned",IF($I25="","In Progress","Finished"))))</f>
      </c>
      <c r="L25" s="143"/>
      <c r="M25" s="131"/>
      <c r="N25" s="155" t="str">
        <f>IFERROR(HYPERLINK(VLOOKUP($B25,'Hack Database'!$A:$J,9,FALSE),"Open Page"),"")</f>
      </c>
      <c r="O25" s="155" t="str">
        <f>IFERROR(HYPERLINK(VLOOKUP($B25,'Hack Database'!$A:$J,10,FALSE),"Download"),"")</f>
      </c>
      <c r="P25" s="149"/>
    </row>
    <row r="26" ht="23" customHeight="1">
      <c r="A26" s="92" t="str">
        <f>IF(C26="","",COUNTIF($C$2:C26,"&lt;&gt;"))</f>
      </c>
      <c r="B26" s="107"/>
      <c r="C26" s="113" t="str">
        <f>IFERROR(VLOOKUP($B26,'Hack Database'!$A:$J,2,FALSE),"")</f>
      </c>
      <c r="D26" s="113" t="str">
        <f>IFERROR(VLOOKUP($B26,'Hack Database'!$A:$J,3,FALSE),"")</f>
      </c>
      <c r="E26" s="125" t="str">
        <f>IFERROR(VLOOKUP($B26,'Hack Database'!$A:$J,4,FALSE),"")</f>
      </c>
      <c r="F26" s="125" t="str">
        <f>IFERROR(VLOOKUP($B26,'Hack Database'!$A:$J,5,FALSE),"")</f>
      </c>
      <c r="G26" s="113" t="str">
        <f>IFERROR(VLOOKUP($B26,'Hack Database'!$A:$J,6,FALSE),"")</f>
      </c>
      <c r="H26" s="137"/>
      <c r="I26" s="137"/>
      <c r="J26" s="131"/>
      <c r="K26" s="125" t="str">
        <f>IF($B26="","",IF($J26="Yes","100% Complete",IF($H26="","Planned",IF($I26="","In Progress","Finished"))))</f>
      </c>
      <c r="L26" s="143"/>
      <c r="M26" s="131"/>
      <c r="N26" s="155" t="str">
        <f>IFERROR(HYPERLINK(VLOOKUP($B26,'Hack Database'!$A:$J,9,FALSE),"Open Page"),"")</f>
      </c>
      <c r="O26" s="155" t="str">
        <f>IFERROR(HYPERLINK(VLOOKUP($B26,'Hack Database'!$A:$J,10,FALSE),"Download"),"")</f>
      </c>
      <c r="P26" s="149"/>
    </row>
    <row r="27" ht="23" customHeight="1">
      <c r="A27" s="92" t="str">
        <f>IF(C27="","",COUNTIF($C$2:C27,"&lt;&gt;"))</f>
      </c>
      <c r="B27" s="107"/>
      <c r="C27" s="113" t="str">
        <f>IFERROR(VLOOKUP($B27,'Hack Database'!$A:$J,2,FALSE),"")</f>
      </c>
      <c r="D27" s="113" t="str">
        <f>IFERROR(VLOOKUP($B27,'Hack Database'!$A:$J,3,FALSE),"")</f>
      </c>
      <c r="E27" s="125" t="str">
        <f>IFERROR(VLOOKUP($B27,'Hack Database'!$A:$J,4,FALSE),"")</f>
      </c>
      <c r="F27" s="125" t="str">
        <f>IFERROR(VLOOKUP($B27,'Hack Database'!$A:$J,5,FALSE),"")</f>
      </c>
      <c r="G27" s="113" t="str">
        <f>IFERROR(VLOOKUP($B27,'Hack Database'!$A:$J,6,FALSE),"")</f>
      </c>
      <c r="H27" s="137"/>
      <c r="I27" s="137"/>
      <c r="J27" s="131"/>
      <c r="K27" s="125" t="str">
        <f>IF($B27="","",IF($J27="Yes","100% Complete",IF($H27="","Planned",IF($I27="","In Progress","Finished"))))</f>
      </c>
      <c r="L27" s="143"/>
      <c r="M27" s="131"/>
      <c r="N27" s="155" t="str">
        <f>IFERROR(HYPERLINK(VLOOKUP($B27,'Hack Database'!$A:$J,9,FALSE),"Open Page"),"")</f>
      </c>
      <c r="O27" s="155" t="str">
        <f>IFERROR(HYPERLINK(VLOOKUP($B27,'Hack Database'!$A:$J,10,FALSE),"Download"),"")</f>
      </c>
      <c r="P27" s="149"/>
    </row>
    <row r="28" ht="23" customHeight="1">
      <c r="A28" s="92" t="str">
        <f>IF(C28="","",COUNTIF($C$2:C28,"&lt;&gt;"))</f>
      </c>
      <c r="B28" s="107"/>
      <c r="C28" s="113" t="str">
        <f>IFERROR(VLOOKUP($B28,'Hack Database'!$A:$J,2,FALSE),"")</f>
      </c>
      <c r="D28" s="113" t="str">
        <f>IFERROR(VLOOKUP($B28,'Hack Database'!$A:$J,3,FALSE),"")</f>
      </c>
      <c r="E28" s="125" t="str">
        <f>IFERROR(VLOOKUP($B28,'Hack Database'!$A:$J,4,FALSE),"")</f>
      </c>
      <c r="F28" s="125" t="str">
        <f>IFERROR(VLOOKUP($B28,'Hack Database'!$A:$J,5,FALSE),"")</f>
      </c>
      <c r="G28" s="113" t="str">
        <f>IFERROR(VLOOKUP($B28,'Hack Database'!$A:$J,6,FALSE),"")</f>
      </c>
      <c r="H28" s="137"/>
      <c r="I28" s="137"/>
      <c r="J28" s="131"/>
      <c r="K28" s="125" t="str">
        <f>IF($B28="","",IF($J28="Yes","100% Complete",IF($H28="","Planned",IF($I28="","In Progress","Finished"))))</f>
      </c>
      <c r="L28" s="143"/>
      <c r="M28" s="131"/>
      <c r="N28" s="155" t="str">
        <f>IFERROR(HYPERLINK(VLOOKUP($B28,'Hack Database'!$A:$J,9,FALSE),"Open Page"),"")</f>
      </c>
      <c r="O28" s="155" t="str">
        <f>IFERROR(HYPERLINK(VLOOKUP($B28,'Hack Database'!$A:$J,10,FALSE),"Download"),"")</f>
      </c>
      <c r="P28" s="149"/>
    </row>
    <row r="29" ht="23" customHeight="1">
      <c r="A29" s="92" t="str">
        <f>IF(C29="","",COUNTIF($C$2:C29,"&lt;&gt;"))</f>
      </c>
      <c r="B29" s="107"/>
      <c r="C29" s="113" t="str">
        <f>IFERROR(VLOOKUP($B29,'Hack Database'!$A:$J,2,FALSE),"")</f>
      </c>
      <c r="D29" s="113" t="str">
        <f>IFERROR(VLOOKUP($B29,'Hack Database'!$A:$J,3,FALSE),"")</f>
      </c>
      <c r="E29" s="125" t="str">
        <f>IFERROR(VLOOKUP($B29,'Hack Database'!$A:$J,4,FALSE),"")</f>
      </c>
      <c r="F29" s="125" t="str">
        <f>IFERROR(VLOOKUP($B29,'Hack Database'!$A:$J,5,FALSE),"")</f>
      </c>
      <c r="G29" s="113" t="str">
        <f>IFERROR(VLOOKUP($B29,'Hack Database'!$A:$J,6,FALSE),"")</f>
      </c>
      <c r="H29" s="137"/>
      <c r="I29" s="137"/>
      <c r="J29" s="131"/>
      <c r="K29" s="125" t="str">
        <f>IF($B29="","",IF($J29="Yes","100% Complete",IF($H29="","Planned",IF($I29="","In Progress","Finished"))))</f>
      </c>
      <c r="L29" s="143"/>
      <c r="M29" s="131"/>
      <c r="N29" s="155" t="str">
        <f>IFERROR(HYPERLINK(VLOOKUP($B29,'Hack Database'!$A:$J,9,FALSE),"Open Page"),"")</f>
      </c>
      <c r="O29" s="155" t="str">
        <f>IFERROR(HYPERLINK(VLOOKUP($B29,'Hack Database'!$A:$J,10,FALSE),"Download"),"")</f>
      </c>
      <c r="P29" s="149"/>
    </row>
    <row r="30" ht="23" customHeight="1">
      <c r="A30" s="92" t="str">
        <f>IF(C30="","",COUNTIF($C$2:C30,"&lt;&gt;"))</f>
      </c>
      <c r="B30" s="107"/>
      <c r="C30" s="113" t="str">
        <f>IFERROR(VLOOKUP($B30,'Hack Database'!$A:$J,2,FALSE),"")</f>
      </c>
      <c r="D30" s="113" t="str">
        <f>IFERROR(VLOOKUP($B30,'Hack Database'!$A:$J,3,FALSE),"")</f>
      </c>
      <c r="E30" s="125" t="str">
        <f>IFERROR(VLOOKUP($B30,'Hack Database'!$A:$J,4,FALSE),"")</f>
      </c>
      <c r="F30" s="125" t="str">
        <f>IFERROR(VLOOKUP($B30,'Hack Database'!$A:$J,5,FALSE),"")</f>
      </c>
      <c r="G30" s="113" t="str">
        <f>IFERROR(VLOOKUP($B30,'Hack Database'!$A:$J,6,FALSE),"")</f>
      </c>
      <c r="H30" s="137"/>
      <c r="I30" s="137"/>
      <c r="J30" s="131"/>
      <c r="K30" s="125" t="str">
        <f>IF($B30="","",IF($J30="Yes","100% Complete",IF($H30="","Planned",IF($I30="","In Progress","Finished"))))</f>
      </c>
      <c r="L30" s="143"/>
      <c r="M30" s="131"/>
      <c r="N30" s="155" t="str">
        <f>IFERROR(HYPERLINK(VLOOKUP($B30,'Hack Database'!$A:$J,9,FALSE),"Open Page"),"")</f>
      </c>
      <c r="O30" s="155" t="str">
        <f>IFERROR(HYPERLINK(VLOOKUP($B30,'Hack Database'!$A:$J,10,FALSE),"Download"),"")</f>
      </c>
      <c r="P30" s="149"/>
    </row>
    <row r="31" ht="23" customHeight="1">
      <c r="A31" s="92" t="str">
        <f>IF(C31="","",COUNTIF($C$2:C31,"&lt;&gt;"))</f>
      </c>
      <c r="B31" s="107"/>
      <c r="C31" s="113" t="str">
        <f>IFERROR(VLOOKUP($B31,'Hack Database'!$A:$J,2,FALSE),"")</f>
      </c>
      <c r="D31" s="113" t="str">
        <f>IFERROR(VLOOKUP($B31,'Hack Database'!$A:$J,3,FALSE),"")</f>
      </c>
      <c r="E31" s="125" t="str">
        <f>IFERROR(VLOOKUP($B31,'Hack Database'!$A:$J,4,FALSE),"")</f>
      </c>
      <c r="F31" s="125" t="str">
        <f>IFERROR(VLOOKUP($B31,'Hack Database'!$A:$J,5,FALSE),"")</f>
      </c>
      <c r="G31" s="113" t="str">
        <f>IFERROR(VLOOKUP($B31,'Hack Database'!$A:$J,6,FALSE),"")</f>
      </c>
      <c r="H31" s="137"/>
      <c r="I31" s="137"/>
      <c r="J31" s="131"/>
      <c r="K31" s="125" t="str">
        <f>IF($B31="","",IF($J31="Yes","100% Complete",IF($H31="","Planned",IF($I31="","In Progress","Finished"))))</f>
      </c>
      <c r="L31" s="143"/>
      <c r="M31" s="131"/>
      <c r="N31" s="155" t="str">
        <f>IFERROR(HYPERLINK(VLOOKUP($B31,'Hack Database'!$A:$J,9,FALSE),"Open Page"),"")</f>
      </c>
      <c r="O31" s="155" t="str">
        <f>IFERROR(HYPERLINK(VLOOKUP($B31,'Hack Database'!$A:$J,10,FALSE),"Download"),"")</f>
      </c>
      <c r="P31" s="149"/>
    </row>
    <row r="32" ht="23" customHeight="1">
      <c r="A32" s="92" t="str">
        <f>IF(C32="","",COUNTIF($C$2:C32,"&lt;&gt;"))</f>
      </c>
      <c r="B32" s="107"/>
      <c r="C32" s="113" t="str">
        <f>IFERROR(VLOOKUP($B32,'Hack Database'!$A:$J,2,FALSE),"")</f>
      </c>
      <c r="D32" s="113" t="str">
        <f>IFERROR(VLOOKUP($B32,'Hack Database'!$A:$J,3,FALSE),"")</f>
      </c>
      <c r="E32" s="125" t="str">
        <f>IFERROR(VLOOKUP($B32,'Hack Database'!$A:$J,4,FALSE),"")</f>
      </c>
      <c r="F32" s="125" t="str">
        <f>IFERROR(VLOOKUP($B32,'Hack Database'!$A:$J,5,FALSE),"")</f>
      </c>
      <c r="G32" s="113" t="str">
        <f>IFERROR(VLOOKUP($B32,'Hack Database'!$A:$J,6,FALSE),"")</f>
      </c>
      <c r="H32" s="137"/>
      <c r="I32" s="137"/>
      <c r="J32" s="131"/>
      <c r="K32" s="125" t="str">
        <f>IF($B32="","",IF($J32="Yes","100% Complete",IF($H32="","Planned",IF($I32="","In Progress","Finished"))))</f>
      </c>
      <c r="L32" s="143"/>
      <c r="M32" s="131"/>
      <c r="N32" s="155" t="str">
        <f>IFERROR(HYPERLINK(VLOOKUP($B32,'Hack Database'!$A:$J,9,FALSE),"Open Page"),"")</f>
      </c>
      <c r="O32" s="155" t="str">
        <f>IFERROR(HYPERLINK(VLOOKUP($B32,'Hack Database'!$A:$J,10,FALSE),"Download"),"")</f>
      </c>
      <c r="P32" s="149"/>
    </row>
    <row r="33" ht="23" customHeight="1">
      <c r="A33" s="92" t="str">
        <f>IF(C33="","",COUNTIF($C$2:C33,"&lt;&gt;"))</f>
      </c>
      <c r="B33" s="107"/>
      <c r="C33" s="113" t="str">
        <f>IFERROR(VLOOKUP($B33,'Hack Database'!$A:$J,2,FALSE),"")</f>
      </c>
      <c r="D33" s="113" t="str">
        <f>IFERROR(VLOOKUP($B33,'Hack Database'!$A:$J,3,FALSE),"")</f>
      </c>
      <c r="E33" s="125" t="str">
        <f>IFERROR(VLOOKUP($B33,'Hack Database'!$A:$J,4,FALSE),"")</f>
      </c>
      <c r="F33" s="125" t="str">
        <f>IFERROR(VLOOKUP($B33,'Hack Database'!$A:$J,5,FALSE),"")</f>
      </c>
      <c r="G33" s="113" t="str">
        <f>IFERROR(VLOOKUP($B33,'Hack Database'!$A:$J,6,FALSE),"")</f>
      </c>
      <c r="H33" s="137"/>
      <c r="I33" s="137"/>
      <c r="J33" s="131"/>
      <c r="K33" s="125" t="str">
        <f>IF($B33="","",IF($J33="Yes","100% Complete",IF($H33="","Planned",IF($I33="","In Progress","Finished"))))</f>
      </c>
      <c r="L33" s="143"/>
      <c r="M33" s="131"/>
      <c r="N33" s="155" t="str">
        <f>IFERROR(HYPERLINK(VLOOKUP($B33,'Hack Database'!$A:$J,9,FALSE),"Open Page"),"")</f>
      </c>
      <c r="O33" s="155" t="str">
        <f>IFERROR(HYPERLINK(VLOOKUP($B33,'Hack Database'!$A:$J,10,FALSE),"Download"),"")</f>
      </c>
      <c r="P33" s="149"/>
    </row>
    <row r="34" ht="23" customHeight="1">
      <c r="A34" s="92" t="str">
        <f>IF(C34="","",COUNTIF($C$2:C34,"&lt;&gt;"))</f>
      </c>
      <c r="B34" s="107"/>
      <c r="C34" s="113" t="str">
        <f>IFERROR(VLOOKUP($B34,'Hack Database'!$A:$J,2,FALSE),"")</f>
      </c>
      <c r="D34" s="113" t="str">
        <f>IFERROR(VLOOKUP($B34,'Hack Database'!$A:$J,3,FALSE),"")</f>
      </c>
      <c r="E34" s="125" t="str">
        <f>IFERROR(VLOOKUP($B34,'Hack Database'!$A:$J,4,FALSE),"")</f>
      </c>
      <c r="F34" s="125" t="str">
        <f>IFERROR(VLOOKUP($B34,'Hack Database'!$A:$J,5,FALSE),"")</f>
      </c>
      <c r="G34" s="113" t="str">
        <f>IFERROR(VLOOKUP($B34,'Hack Database'!$A:$J,6,FALSE),"")</f>
      </c>
      <c r="H34" s="137"/>
      <c r="I34" s="137"/>
      <c r="J34" s="131"/>
      <c r="K34" s="125" t="str">
        <f>IF($B34="","",IF($J34="Yes","100% Complete",IF($H34="","Planned",IF($I34="","In Progress","Finished"))))</f>
      </c>
      <c r="L34" s="143"/>
      <c r="M34" s="131"/>
      <c r="N34" s="155" t="str">
        <f>IFERROR(HYPERLINK(VLOOKUP($B34,'Hack Database'!$A:$J,9,FALSE),"Open Page"),"")</f>
      </c>
      <c r="O34" s="155" t="str">
        <f>IFERROR(HYPERLINK(VLOOKUP($B34,'Hack Database'!$A:$J,10,FALSE),"Download"),"")</f>
      </c>
      <c r="P34" s="149"/>
    </row>
    <row r="35" ht="23" customHeight="1">
      <c r="A35" s="92" t="str">
        <f>IF(C35="","",COUNTIF($C$2:C35,"&lt;&gt;"))</f>
      </c>
      <c r="B35" s="107"/>
      <c r="C35" s="113" t="str">
        <f>IFERROR(VLOOKUP($B35,'Hack Database'!$A:$J,2,FALSE),"")</f>
      </c>
      <c r="D35" s="113" t="str">
        <f>IFERROR(VLOOKUP($B35,'Hack Database'!$A:$J,3,FALSE),"")</f>
      </c>
      <c r="E35" s="125" t="str">
        <f>IFERROR(VLOOKUP($B35,'Hack Database'!$A:$J,4,FALSE),"")</f>
      </c>
      <c r="F35" s="125" t="str">
        <f>IFERROR(VLOOKUP($B35,'Hack Database'!$A:$J,5,FALSE),"")</f>
      </c>
      <c r="G35" s="113" t="str">
        <f>IFERROR(VLOOKUP($B35,'Hack Database'!$A:$J,6,FALSE),"")</f>
      </c>
      <c r="H35" s="137"/>
      <c r="I35" s="137"/>
      <c r="J35" s="131"/>
      <c r="K35" s="125" t="str">
        <f>IF($B35="","",IF($J35="Yes","100% Complete",IF($H35="","Planned",IF($I35="","In Progress","Finished"))))</f>
      </c>
      <c r="L35" s="143"/>
      <c r="M35" s="131"/>
      <c r="N35" s="155" t="str">
        <f>IFERROR(HYPERLINK(VLOOKUP($B35,'Hack Database'!$A:$J,9,FALSE),"Open Page"),"")</f>
      </c>
      <c r="O35" s="155" t="str">
        <f>IFERROR(HYPERLINK(VLOOKUP($B35,'Hack Database'!$A:$J,10,FALSE),"Download"),"")</f>
      </c>
      <c r="P35" s="149"/>
    </row>
    <row r="36" ht="23" customHeight="1">
      <c r="A36" s="92" t="str">
        <f>IF(C36="","",COUNTIF($C$2:C36,"&lt;&gt;"))</f>
      </c>
      <c r="B36" s="107"/>
      <c r="C36" s="113" t="str">
        <f>IFERROR(VLOOKUP($B36,'Hack Database'!$A:$J,2,FALSE),"")</f>
      </c>
      <c r="D36" s="113" t="str">
        <f>IFERROR(VLOOKUP($B36,'Hack Database'!$A:$J,3,FALSE),"")</f>
      </c>
      <c r="E36" s="125" t="str">
        <f>IFERROR(VLOOKUP($B36,'Hack Database'!$A:$J,4,FALSE),"")</f>
      </c>
      <c r="F36" s="125" t="str">
        <f>IFERROR(VLOOKUP($B36,'Hack Database'!$A:$J,5,FALSE),"")</f>
      </c>
      <c r="G36" s="113" t="str">
        <f>IFERROR(VLOOKUP($B36,'Hack Database'!$A:$J,6,FALSE),"")</f>
      </c>
      <c r="H36" s="137"/>
      <c r="I36" s="137"/>
      <c r="J36" s="131"/>
      <c r="K36" s="125" t="str">
        <f>IF($B36="","",IF($J36="Yes","100% Complete",IF($H36="","Planned",IF($I36="","In Progress","Finished"))))</f>
      </c>
      <c r="L36" s="143"/>
      <c r="M36" s="131"/>
      <c r="N36" s="155" t="str">
        <f>IFERROR(HYPERLINK(VLOOKUP($B36,'Hack Database'!$A:$J,9,FALSE),"Open Page"),"")</f>
      </c>
      <c r="O36" s="155" t="str">
        <f>IFERROR(HYPERLINK(VLOOKUP($B36,'Hack Database'!$A:$J,10,FALSE),"Download"),"")</f>
      </c>
      <c r="P36" s="149"/>
    </row>
    <row r="37" ht="23" customHeight="1">
      <c r="A37" s="92" t="str">
        <f>IF(C37="","",COUNTIF($C$2:C37,"&lt;&gt;"))</f>
      </c>
      <c r="B37" s="107"/>
      <c r="C37" s="113" t="str">
        <f>IFERROR(VLOOKUP($B37,'Hack Database'!$A:$J,2,FALSE),"")</f>
      </c>
      <c r="D37" s="113" t="str">
        <f>IFERROR(VLOOKUP($B37,'Hack Database'!$A:$J,3,FALSE),"")</f>
      </c>
      <c r="E37" s="125" t="str">
        <f>IFERROR(VLOOKUP($B37,'Hack Database'!$A:$J,4,FALSE),"")</f>
      </c>
      <c r="F37" s="125" t="str">
        <f>IFERROR(VLOOKUP($B37,'Hack Database'!$A:$J,5,FALSE),"")</f>
      </c>
      <c r="G37" s="113" t="str">
        <f>IFERROR(VLOOKUP($B37,'Hack Database'!$A:$J,6,FALSE),"")</f>
      </c>
      <c r="H37" s="137"/>
      <c r="I37" s="137"/>
      <c r="J37" s="131"/>
      <c r="K37" s="125" t="str">
        <f>IF($B37="","",IF($J37="Yes","100% Complete",IF($H37="","Planned",IF($I37="","In Progress","Finished"))))</f>
      </c>
      <c r="L37" s="143"/>
      <c r="M37" s="131"/>
      <c r="N37" s="155" t="str">
        <f>IFERROR(HYPERLINK(VLOOKUP($B37,'Hack Database'!$A:$J,9,FALSE),"Open Page"),"")</f>
      </c>
      <c r="O37" s="155" t="str">
        <f>IFERROR(HYPERLINK(VLOOKUP($B37,'Hack Database'!$A:$J,10,FALSE),"Download"),"")</f>
      </c>
      <c r="P37" s="149"/>
    </row>
    <row r="38" ht="23" customHeight="1">
      <c r="A38" s="92" t="str">
        <f>IF(C38="","",COUNTIF($C$2:C38,"&lt;&gt;"))</f>
      </c>
      <c r="B38" s="107"/>
      <c r="C38" s="113" t="str">
        <f>IFERROR(VLOOKUP($B38,'Hack Database'!$A:$J,2,FALSE),"")</f>
      </c>
      <c r="D38" s="113" t="str">
        <f>IFERROR(VLOOKUP($B38,'Hack Database'!$A:$J,3,FALSE),"")</f>
      </c>
      <c r="E38" s="125" t="str">
        <f>IFERROR(VLOOKUP($B38,'Hack Database'!$A:$J,4,FALSE),"")</f>
      </c>
      <c r="F38" s="125" t="str">
        <f>IFERROR(VLOOKUP($B38,'Hack Database'!$A:$J,5,FALSE),"")</f>
      </c>
      <c r="G38" s="113" t="str">
        <f>IFERROR(VLOOKUP($B38,'Hack Database'!$A:$J,6,FALSE),"")</f>
      </c>
      <c r="H38" s="137"/>
      <c r="I38" s="137"/>
      <c r="J38" s="131"/>
      <c r="K38" s="125" t="str">
        <f>IF($B38="","",IF($J38="Yes","100% Complete",IF($H38="","Planned",IF($I38="","In Progress","Finished"))))</f>
      </c>
      <c r="L38" s="143"/>
      <c r="M38" s="131"/>
      <c r="N38" s="155" t="str">
        <f>IFERROR(HYPERLINK(VLOOKUP($B38,'Hack Database'!$A:$J,9,FALSE),"Open Page"),"")</f>
      </c>
      <c r="O38" s="155" t="str">
        <f>IFERROR(HYPERLINK(VLOOKUP($B38,'Hack Database'!$A:$J,10,FALSE),"Download"),"")</f>
      </c>
      <c r="P38" s="149"/>
    </row>
    <row r="39" ht="23" customHeight="1">
      <c r="A39" s="92" t="str">
        <f>IF(C39="","",COUNTIF($C$2:C39,"&lt;&gt;"))</f>
      </c>
      <c r="B39" s="107"/>
      <c r="C39" s="113" t="str">
        <f>IFERROR(VLOOKUP($B39,'Hack Database'!$A:$J,2,FALSE),"")</f>
      </c>
      <c r="D39" s="113" t="str">
        <f>IFERROR(VLOOKUP($B39,'Hack Database'!$A:$J,3,FALSE),"")</f>
      </c>
      <c r="E39" s="125" t="str">
        <f>IFERROR(VLOOKUP($B39,'Hack Database'!$A:$J,4,FALSE),"")</f>
      </c>
      <c r="F39" s="125" t="str">
        <f>IFERROR(VLOOKUP($B39,'Hack Database'!$A:$J,5,FALSE),"")</f>
      </c>
      <c r="G39" s="113" t="str">
        <f>IFERROR(VLOOKUP($B39,'Hack Database'!$A:$J,6,FALSE),"")</f>
      </c>
      <c r="H39" s="137"/>
      <c r="I39" s="137"/>
      <c r="J39" s="131"/>
      <c r="K39" s="125" t="str">
        <f>IF($B39="","",IF($J39="Yes","100% Complete",IF($H39="","Planned",IF($I39="","In Progress","Finished"))))</f>
      </c>
      <c r="L39" s="143"/>
      <c r="M39" s="131"/>
      <c r="N39" s="155" t="str">
        <f>IFERROR(HYPERLINK(VLOOKUP($B39,'Hack Database'!$A:$J,9,FALSE),"Open Page"),"")</f>
      </c>
      <c r="O39" s="155" t="str">
        <f>IFERROR(HYPERLINK(VLOOKUP($B39,'Hack Database'!$A:$J,10,FALSE),"Download"),"")</f>
      </c>
      <c r="P39" s="149"/>
    </row>
    <row r="40" ht="23" customHeight="1">
      <c r="A40" s="92" t="str">
        <f>IF(C40="","",COUNTIF($C$2:C40,"&lt;&gt;"))</f>
      </c>
      <c r="B40" s="107"/>
      <c r="C40" s="113" t="str">
        <f>IFERROR(VLOOKUP($B40,'Hack Database'!$A:$J,2,FALSE),"")</f>
      </c>
      <c r="D40" s="113" t="str">
        <f>IFERROR(VLOOKUP($B40,'Hack Database'!$A:$J,3,FALSE),"")</f>
      </c>
      <c r="E40" s="125" t="str">
        <f>IFERROR(VLOOKUP($B40,'Hack Database'!$A:$J,4,FALSE),"")</f>
      </c>
      <c r="F40" s="125" t="str">
        <f>IFERROR(VLOOKUP($B40,'Hack Database'!$A:$J,5,FALSE),"")</f>
      </c>
      <c r="G40" s="113" t="str">
        <f>IFERROR(VLOOKUP($B40,'Hack Database'!$A:$J,6,FALSE),"")</f>
      </c>
      <c r="H40" s="137"/>
      <c r="I40" s="137"/>
      <c r="J40" s="131"/>
      <c r="K40" s="125" t="str">
        <f>IF($B40="","",IF($J40="Yes","100% Complete",IF($H40="","Planned",IF($I40="","In Progress","Finished"))))</f>
      </c>
      <c r="L40" s="143"/>
      <c r="M40" s="131"/>
      <c r="N40" s="155" t="str">
        <f>IFERROR(HYPERLINK(VLOOKUP($B40,'Hack Database'!$A:$J,9,FALSE),"Open Page"),"")</f>
      </c>
      <c r="O40" s="155" t="str">
        <f>IFERROR(HYPERLINK(VLOOKUP($B40,'Hack Database'!$A:$J,10,FALSE),"Download"),"")</f>
      </c>
      <c r="P40" s="149"/>
    </row>
    <row r="41" ht="23" customHeight="1">
      <c r="A41" s="92" t="str">
        <f>IF(C41="","",COUNTIF($C$2:C41,"&lt;&gt;"))</f>
      </c>
      <c r="B41" s="107"/>
      <c r="C41" s="113" t="str">
        <f>IFERROR(VLOOKUP($B41,'Hack Database'!$A:$J,2,FALSE),"")</f>
      </c>
      <c r="D41" s="113" t="str">
        <f>IFERROR(VLOOKUP($B41,'Hack Database'!$A:$J,3,FALSE),"")</f>
      </c>
      <c r="E41" s="125" t="str">
        <f>IFERROR(VLOOKUP($B41,'Hack Database'!$A:$J,4,FALSE),"")</f>
      </c>
      <c r="F41" s="125" t="str">
        <f>IFERROR(VLOOKUP($B41,'Hack Database'!$A:$J,5,FALSE),"")</f>
      </c>
      <c r="G41" s="113" t="str">
        <f>IFERROR(VLOOKUP($B41,'Hack Database'!$A:$J,6,FALSE),"")</f>
      </c>
      <c r="H41" s="137"/>
      <c r="I41" s="137"/>
      <c r="J41" s="131"/>
      <c r="K41" s="125" t="str">
        <f>IF($B41="","",IF($J41="Yes","100% Complete",IF($H41="","Planned",IF($I41="","In Progress","Finished"))))</f>
      </c>
      <c r="L41" s="143"/>
      <c r="M41" s="131"/>
      <c r="N41" s="155" t="str">
        <f>IFERROR(HYPERLINK(VLOOKUP($B41,'Hack Database'!$A:$J,9,FALSE),"Open Page"),"")</f>
      </c>
      <c r="O41" s="155" t="str">
        <f>IFERROR(HYPERLINK(VLOOKUP($B41,'Hack Database'!$A:$J,10,FALSE),"Download"),"")</f>
      </c>
      <c r="P41" s="149"/>
    </row>
    <row r="42" ht="23" customHeight="1">
      <c r="A42" s="92" t="str">
        <f>IF(C42="","",COUNTIF($C$2:C42,"&lt;&gt;"))</f>
      </c>
      <c r="B42" s="107"/>
      <c r="C42" s="113" t="str">
        <f>IFERROR(VLOOKUP($B42,'Hack Database'!$A:$J,2,FALSE),"")</f>
      </c>
      <c r="D42" s="113" t="str">
        <f>IFERROR(VLOOKUP($B42,'Hack Database'!$A:$J,3,FALSE),"")</f>
      </c>
      <c r="E42" s="125" t="str">
        <f>IFERROR(VLOOKUP($B42,'Hack Database'!$A:$J,4,FALSE),"")</f>
      </c>
      <c r="F42" s="125" t="str">
        <f>IFERROR(VLOOKUP($B42,'Hack Database'!$A:$J,5,FALSE),"")</f>
      </c>
      <c r="G42" s="113" t="str">
        <f>IFERROR(VLOOKUP($B42,'Hack Database'!$A:$J,6,FALSE),"")</f>
      </c>
      <c r="H42" s="137"/>
      <c r="I42" s="137"/>
      <c r="J42" s="131"/>
      <c r="K42" s="125" t="str">
        <f>IF($B42="","",IF($J42="Yes","100% Complete",IF($H42="","Planned",IF($I42="","In Progress","Finished"))))</f>
      </c>
      <c r="L42" s="143"/>
      <c r="M42" s="131"/>
      <c r="N42" s="155" t="str">
        <f>IFERROR(HYPERLINK(VLOOKUP($B42,'Hack Database'!$A:$J,9,FALSE),"Open Page"),"")</f>
      </c>
      <c r="O42" s="155" t="str">
        <f>IFERROR(HYPERLINK(VLOOKUP($B42,'Hack Database'!$A:$J,10,FALSE),"Download"),"")</f>
      </c>
      <c r="P42" s="149"/>
    </row>
    <row r="43" ht="23" customHeight="1">
      <c r="A43" s="92" t="str">
        <f>IF(C43="","",COUNTIF($C$2:C43,"&lt;&gt;"))</f>
      </c>
      <c r="B43" s="107"/>
      <c r="C43" s="113" t="str">
        <f>IFERROR(VLOOKUP($B43,'Hack Database'!$A:$J,2,FALSE),"")</f>
      </c>
      <c r="D43" s="113" t="str">
        <f>IFERROR(VLOOKUP($B43,'Hack Database'!$A:$J,3,FALSE),"")</f>
      </c>
      <c r="E43" s="125" t="str">
        <f>IFERROR(VLOOKUP($B43,'Hack Database'!$A:$J,4,FALSE),"")</f>
      </c>
      <c r="F43" s="125" t="str">
        <f>IFERROR(VLOOKUP($B43,'Hack Database'!$A:$J,5,FALSE),"")</f>
      </c>
      <c r="G43" s="113" t="str">
        <f>IFERROR(VLOOKUP($B43,'Hack Database'!$A:$J,6,FALSE),"")</f>
      </c>
      <c r="H43" s="137"/>
      <c r="I43" s="137"/>
      <c r="J43" s="131"/>
      <c r="K43" s="125" t="str">
        <f>IF($B43="","",IF($J43="Yes","100% Complete",IF($H43="","Planned",IF($I43="","In Progress","Finished"))))</f>
      </c>
      <c r="L43" s="143"/>
      <c r="M43" s="131"/>
      <c r="N43" s="155" t="str">
        <f>IFERROR(HYPERLINK(VLOOKUP($B43,'Hack Database'!$A:$J,9,FALSE),"Open Page"),"")</f>
      </c>
      <c r="O43" s="155" t="str">
        <f>IFERROR(HYPERLINK(VLOOKUP($B43,'Hack Database'!$A:$J,10,FALSE),"Download"),"")</f>
      </c>
      <c r="P43" s="149"/>
    </row>
    <row r="44" ht="23" customHeight="1">
      <c r="A44" s="92" t="str">
        <f>IF(C44="","",COUNTIF($C$2:C44,"&lt;&gt;"))</f>
      </c>
      <c r="B44" s="107"/>
      <c r="C44" s="113" t="str">
        <f>IFERROR(VLOOKUP($B44,'Hack Database'!$A:$J,2,FALSE),"")</f>
      </c>
      <c r="D44" s="113" t="str">
        <f>IFERROR(VLOOKUP($B44,'Hack Database'!$A:$J,3,FALSE),"")</f>
      </c>
      <c r="E44" s="125" t="str">
        <f>IFERROR(VLOOKUP($B44,'Hack Database'!$A:$J,4,FALSE),"")</f>
      </c>
      <c r="F44" s="125" t="str">
        <f>IFERROR(VLOOKUP($B44,'Hack Database'!$A:$J,5,FALSE),"")</f>
      </c>
      <c r="G44" s="113" t="str">
        <f>IFERROR(VLOOKUP($B44,'Hack Database'!$A:$J,6,FALSE),"")</f>
      </c>
      <c r="H44" s="137"/>
      <c r="I44" s="137"/>
      <c r="J44" s="131"/>
      <c r="K44" s="125" t="str">
        <f>IF($B44="","",IF($J44="Yes","100% Complete",IF($H44="","Planned",IF($I44="","In Progress","Finished"))))</f>
      </c>
      <c r="L44" s="143"/>
      <c r="M44" s="131"/>
      <c r="N44" s="155" t="str">
        <f>IFERROR(HYPERLINK(VLOOKUP($B44,'Hack Database'!$A:$J,9,FALSE),"Open Page"),"")</f>
      </c>
      <c r="O44" s="155" t="str">
        <f>IFERROR(HYPERLINK(VLOOKUP($B44,'Hack Database'!$A:$J,10,FALSE),"Download"),"")</f>
      </c>
      <c r="P44" s="149"/>
    </row>
    <row r="45" ht="23" customHeight="1">
      <c r="A45" s="92" t="str">
        <f>IF(C45="","",COUNTIF($C$2:C45,"&lt;&gt;"))</f>
      </c>
      <c r="B45" s="107"/>
      <c r="C45" s="113" t="str">
        <f>IFERROR(VLOOKUP($B45,'Hack Database'!$A:$J,2,FALSE),"")</f>
      </c>
      <c r="D45" s="113" t="str">
        <f>IFERROR(VLOOKUP($B45,'Hack Database'!$A:$J,3,FALSE),"")</f>
      </c>
      <c r="E45" s="125" t="str">
        <f>IFERROR(VLOOKUP($B45,'Hack Database'!$A:$J,4,FALSE),"")</f>
      </c>
      <c r="F45" s="125" t="str">
        <f>IFERROR(VLOOKUP($B45,'Hack Database'!$A:$J,5,FALSE),"")</f>
      </c>
      <c r="G45" s="113" t="str">
        <f>IFERROR(VLOOKUP($B45,'Hack Database'!$A:$J,6,FALSE),"")</f>
      </c>
      <c r="H45" s="137"/>
      <c r="I45" s="137"/>
      <c r="J45" s="131"/>
      <c r="K45" s="125" t="str">
        <f>IF($B45="","",IF($J45="Yes","100% Complete",IF($H45="","Planned",IF($I45="","In Progress","Finished"))))</f>
      </c>
      <c r="L45" s="143"/>
      <c r="M45" s="131"/>
      <c r="N45" s="155" t="str">
        <f>IFERROR(HYPERLINK(VLOOKUP($B45,'Hack Database'!$A:$J,9,FALSE),"Open Page"),"")</f>
      </c>
      <c r="O45" s="155" t="str">
        <f>IFERROR(HYPERLINK(VLOOKUP($B45,'Hack Database'!$A:$J,10,FALSE),"Download"),"")</f>
      </c>
      <c r="P45" s="149"/>
    </row>
    <row r="46" ht="23" customHeight="1">
      <c r="A46" s="92" t="str">
        <f>IF(C46="","",COUNTIF($C$2:C46,"&lt;&gt;"))</f>
      </c>
      <c r="B46" s="107"/>
      <c r="C46" s="113" t="str">
        <f>IFERROR(VLOOKUP($B46,'Hack Database'!$A:$J,2,FALSE),"")</f>
      </c>
      <c r="D46" s="113" t="str">
        <f>IFERROR(VLOOKUP($B46,'Hack Database'!$A:$J,3,FALSE),"")</f>
      </c>
      <c r="E46" s="125" t="str">
        <f>IFERROR(VLOOKUP($B46,'Hack Database'!$A:$J,4,FALSE),"")</f>
      </c>
      <c r="F46" s="125" t="str">
        <f>IFERROR(VLOOKUP($B46,'Hack Database'!$A:$J,5,FALSE),"")</f>
      </c>
      <c r="G46" s="113" t="str">
        <f>IFERROR(VLOOKUP($B46,'Hack Database'!$A:$J,6,FALSE),"")</f>
      </c>
      <c r="H46" s="137"/>
      <c r="I46" s="137"/>
      <c r="J46" s="131"/>
      <c r="K46" s="125" t="str">
        <f>IF($B46="","",IF($J46="Yes","100% Complete",IF($H46="","Planned",IF($I46="","In Progress","Finished"))))</f>
      </c>
      <c r="L46" s="143"/>
      <c r="M46" s="131"/>
      <c r="N46" s="155" t="str">
        <f>IFERROR(HYPERLINK(VLOOKUP($B46,'Hack Database'!$A:$J,9,FALSE),"Open Page"),"")</f>
      </c>
      <c r="O46" s="155" t="str">
        <f>IFERROR(HYPERLINK(VLOOKUP($B46,'Hack Database'!$A:$J,10,FALSE),"Download"),"")</f>
      </c>
      <c r="P46" s="149"/>
    </row>
    <row r="47" ht="23" customHeight="1">
      <c r="A47" s="92" t="str">
        <f>IF(C47="","",COUNTIF($C$2:C47,"&lt;&gt;"))</f>
      </c>
      <c r="B47" s="107"/>
      <c r="C47" s="113" t="str">
        <f>IFERROR(VLOOKUP($B47,'Hack Database'!$A:$J,2,FALSE),"")</f>
      </c>
      <c r="D47" s="113" t="str">
        <f>IFERROR(VLOOKUP($B47,'Hack Database'!$A:$J,3,FALSE),"")</f>
      </c>
      <c r="E47" s="125" t="str">
        <f>IFERROR(VLOOKUP($B47,'Hack Database'!$A:$J,4,FALSE),"")</f>
      </c>
      <c r="F47" s="125" t="str">
        <f>IFERROR(VLOOKUP($B47,'Hack Database'!$A:$J,5,FALSE),"")</f>
      </c>
      <c r="G47" s="113" t="str">
        <f>IFERROR(VLOOKUP($B47,'Hack Database'!$A:$J,6,FALSE),"")</f>
      </c>
      <c r="H47" s="137"/>
      <c r="I47" s="137"/>
      <c r="J47" s="131"/>
      <c r="K47" s="125" t="str">
        <f>IF($B47="","",IF($J47="Yes","100% Complete",IF($H47="","Planned",IF($I47="","In Progress","Finished"))))</f>
      </c>
      <c r="L47" s="143"/>
      <c r="M47" s="131"/>
      <c r="N47" s="155" t="str">
        <f>IFERROR(HYPERLINK(VLOOKUP($B47,'Hack Database'!$A:$J,9,FALSE),"Open Page"),"")</f>
      </c>
      <c r="O47" s="155" t="str">
        <f>IFERROR(HYPERLINK(VLOOKUP($B47,'Hack Database'!$A:$J,10,FALSE),"Download"),"")</f>
      </c>
      <c r="P47" s="149"/>
    </row>
    <row r="48" ht="23" customHeight="1">
      <c r="A48" s="92" t="str">
        <f>IF(C48="","",COUNTIF($C$2:C48,"&lt;&gt;"))</f>
      </c>
      <c r="B48" s="107"/>
      <c r="C48" s="113" t="str">
        <f>IFERROR(VLOOKUP($B48,'Hack Database'!$A:$J,2,FALSE),"")</f>
      </c>
      <c r="D48" s="113" t="str">
        <f>IFERROR(VLOOKUP($B48,'Hack Database'!$A:$J,3,FALSE),"")</f>
      </c>
      <c r="E48" s="125" t="str">
        <f>IFERROR(VLOOKUP($B48,'Hack Database'!$A:$J,4,FALSE),"")</f>
      </c>
      <c r="F48" s="125" t="str">
        <f>IFERROR(VLOOKUP($B48,'Hack Database'!$A:$J,5,FALSE),"")</f>
      </c>
      <c r="G48" s="113" t="str">
        <f>IFERROR(VLOOKUP($B48,'Hack Database'!$A:$J,6,FALSE),"")</f>
      </c>
      <c r="H48" s="137"/>
      <c r="I48" s="137"/>
      <c r="J48" s="131"/>
      <c r="K48" s="125" t="str">
        <f>IF($B48="","",IF($J48="Yes","100% Complete",IF($H48="","Planned",IF($I48="","In Progress","Finished"))))</f>
      </c>
      <c r="L48" s="143"/>
      <c r="M48" s="131"/>
      <c r="N48" s="155" t="str">
        <f>IFERROR(HYPERLINK(VLOOKUP($B48,'Hack Database'!$A:$J,9,FALSE),"Open Page"),"")</f>
      </c>
      <c r="O48" s="155" t="str">
        <f>IFERROR(HYPERLINK(VLOOKUP($B48,'Hack Database'!$A:$J,10,FALSE),"Download"),"")</f>
      </c>
      <c r="P48" s="149"/>
    </row>
    <row r="49" ht="23" customHeight="1">
      <c r="A49" s="92" t="str">
        <f>IF(C49="","",COUNTIF($C$2:C49,"&lt;&gt;"))</f>
      </c>
      <c r="B49" s="107"/>
      <c r="C49" s="113" t="str">
        <f>IFERROR(VLOOKUP($B49,'Hack Database'!$A:$J,2,FALSE),"")</f>
      </c>
      <c r="D49" s="113" t="str">
        <f>IFERROR(VLOOKUP($B49,'Hack Database'!$A:$J,3,FALSE),"")</f>
      </c>
      <c r="E49" s="125" t="str">
        <f>IFERROR(VLOOKUP($B49,'Hack Database'!$A:$J,4,FALSE),"")</f>
      </c>
      <c r="F49" s="125" t="str">
        <f>IFERROR(VLOOKUP($B49,'Hack Database'!$A:$J,5,FALSE),"")</f>
      </c>
      <c r="G49" s="113" t="str">
        <f>IFERROR(VLOOKUP($B49,'Hack Database'!$A:$J,6,FALSE),"")</f>
      </c>
      <c r="H49" s="137"/>
      <c r="I49" s="137"/>
      <c r="J49" s="131"/>
      <c r="K49" s="125" t="str">
        <f>IF($B49="","",IF($J49="Yes","100% Complete",IF($H49="","Planned",IF($I49="","In Progress","Finished"))))</f>
      </c>
      <c r="L49" s="143"/>
      <c r="M49" s="131"/>
      <c r="N49" s="155" t="str">
        <f>IFERROR(HYPERLINK(VLOOKUP($B49,'Hack Database'!$A:$J,9,FALSE),"Open Page"),"")</f>
      </c>
      <c r="O49" s="155" t="str">
        <f>IFERROR(HYPERLINK(VLOOKUP($B49,'Hack Database'!$A:$J,10,FALSE),"Download"),"")</f>
      </c>
      <c r="P49" s="149"/>
    </row>
    <row r="50" ht="23" customHeight="1">
      <c r="A50" s="92" t="str">
        <f>IF(C50="","",COUNTIF($C$2:C50,"&lt;&gt;"))</f>
      </c>
      <c r="B50" s="107"/>
      <c r="C50" s="113" t="str">
        <f>IFERROR(VLOOKUP($B50,'Hack Database'!$A:$J,2,FALSE),"")</f>
      </c>
      <c r="D50" s="113" t="str">
        <f>IFERROR(VLOOKUP($B50,'Hack Database'!$A:$J,3,FALSE),"")</f>
      </c>
      <c r="E50" s="125" t="str">
        <f>IFERROR(VLOOKUP($B50,'Hack Database'!$A:$J,4,FALSE),"")</f>
      </c>
      <c r="F50" s="125" t="str">
        <f>IFERROR(VLOOKUP($B50,'Hack Database'!$A:$J,5,FALSE),"")</f>
      </c>
      <c r="G50" s="113" t="str">
        <f>IFERROR(VLOOKUP($B50,'Hack Database'!$A:$J,6,FALSE),"")</f>
      </c>
      <c r="H50" s="137"/>
      <c r="I50" s="137"/>
      <c r="J50" s="131"/>
      <c r="K50" s="125" t="str">
        <f>IF($B50="","",IF($J50="Yes","100% Complete",IF($H50="","Planned",IF($I50="","In Progress","Finished"))))</f>
      </c>
      <c r="L50" s="143"/>
      <c r="M50" s="131"/>
      <c r="N50" s="155" t="str">
        <f>IFERROR(HYPERLINK(VLOOKUP($B50,'Hack Database'!$A:$J,9,FALSE),"Open Page"),"")</f>
      </c>
      <c r="O50" s="155" t="str">
        <f>IFERROR(HYPERLINK(VLOOKUP($B50,'Hack Database'!$A:$J,10,FALSE),"Download"),"")</f>
      </c>
      <c r="P50" s="149"/>
    </row>
    <row r="51" ht="23" customHeight="1">
      <c r="A51" s="92" t="str">
        <f>IF(C51="","",COUNTIF($C$2:C51,"&lt;&gt;"))</f>
      </c>
      <c r="B51" s="107"/>
      <c r="C51" s="113" t="str">
        <f>IFERROR(VLOOKUP($B51,'Hack Database'!$A:$J,2,FALSE),"")</f>
      </c>
      <c r="D51" s="113" t="str">
        <f>IFERROR(VLOOKUP($B51,'Hack Database'!$A:$J,3,FALSE),"")</f>
      </c>
      <c r="E51" s="125" t="str">
        <f>IFERROR(VLOOKUP($B51,'Hack Database'!$A:$J,4,FALSE),"")</f>
      </c>
      <c r="F51" s="125" t="str">
        <f>IFERROR(VLOOKUP($B51,'Hack Database'!$A:$J,5,FALSE),"")</f>
      </c>
      <c r="G51" s="113" t="str">
        <f>IFERROR(VLOOKUP($B51,'Hack Database'!$A:$J,6,FALSE),"")</f>
      </c>
      <c r="H51" s="137"/>
      <c r="I51" s="137"/>
      <c r="J51" s="131"/>
      <c r="K51" s="125" t="str">
        <f>IF($B51="","",IF($J51="Yes","100% Complete",IF($H51="","Planned",IF($I51="","In Progress","Finished"))))</f>
      </c>
      <c r="L51" s="143"/>
      <c r="M51" s="131"/>
      <c r="N51" s="155" t="str">
        <f>IFERROR(HYPERLINK(VLOOKUP($B51,'Hack Database'!$A:$J,9,FALSE),"Open Page"),"")</f>
      </c>
      <c r="O51" s="155" t="str">
        <f>IFERROR(HYPERLINK(VLOOKUP($B51,'Hack Database'!$A:$J,10,FALSE),"Download"),"")</f>
      </c>
      <c r="P51" s="149"/>
    </row>
    <row r="52" ht="23" customHeight="1">
      <c r="A52" s="92" t="str">
        <f>IF(C52="","",COUNTIF($C$2:C52,"&lt;&gt;"))</f>
      </c>
      <c r="B52" s="107"/>
      <c r="C52" s="113" t="str">
        <f>IFERROR(VLOOKUP($B52,'Hack Database'!$A:$J,2,FALSE),"")</f>
      </c>
      <c r="D52" s="113" t="str">
        <f>IFERROR(VLOOKUP($B52,'Hack Database'!$A:$J,3,FALSE),"")</f>
      </c>
      <c r="E52" s="125" t="str">
        <f>IFERROR(VLOOKUP($B52,'Hack Database'!$A:$J,4,FALSE),"")</f>
      </c>
      <c r="F52" s="125" t="str">
        <f>IFERROR(VLOOKUP($B52,'Hack Database'!$A:$J,5,FALSE),"")</f>
      </c>
      <c r="G52" s="113" t="str">
        <f>IFERROR(VLOOKUP($B52,'Hack Database'!$A:$J,6,FALSE),"")</f>
      </c>
      <c r="H52" s="137"/>
      <c r="I52" s="137"/>
      <c r="J52" s="131"/>
      <c r="K52" s="125" t="str">
        <f>IF($B52="","",IF($J52="Yes","100% Complete",IF($H52="","Planned",IF($I52="","In Progress","Finished"))))</f>
      </c>
      <c r="L52" s="143"/>
      <c r="M52" s="131"/>
      <c r="N52" s="155" t="str">
        <f>IFERROR(HYPERLINK(VLOOKUP($B52,'Hack Database'!$A:$J,9,FALSE),"Open Page"),"")</f>
      </c>
      <c r="O52" s="155" t="str">
        <f>IFERROR(HYPERLINK(VLOOKUP($B52,'Hack Database'!$A:$J,10,FALSE),"Download"),"")</f>
      </c>
      <c r="P52" s="149"/>
    </row>
    <row r="53" ht="23" customHeight="1">
      <c r="A53" s="92" t="str">
        <f>IF(C53="","",COUNTIF($C$2:C53,"&lt;&gt;"))</f>
      </c>
      <c r="B53" s="107"/>
      <c r="C53" s="113" t="str">
        <f>IFERROR(VLOOKUP($B53,'Hack Database'!$A:$J,2,FALSE),"")</f>
      </c>
      <c r="D53" s="113" t="str">
        <f>IFERROR(VLOOKUP($B53,'Hack Database'!$A:$J,3,FALSE),"")</f>
      </c>
      <c r="E53" s="125" t="str">
        <f>IFERROR(VLOOKUP($B53,'Hack Database'!$A:$J,4,FALSE),"")</f>
      </c>
      <c r="F53" s="125" t="str">
        <f>IFERROR(VLOOKUP($B53,'Hack Database'!$A:$J,5,FALSE),"")</f>
      </c>
      <c r="G53" s="113" t="str">
        <f>IFERROR(VLOOKUP($B53,'Hack Database'!$A:$J,6,FALSE),"")</f>
      </c>
      <c r="H53" s="137"/>
      <c r="I53" s="137"/>
      <c r="J53" s="131"/>
      <c r="K53" s="125" t="str">
        <f>IF($B53="","",IF($J53="Yes","100% Complete",IF($H53="","Planned",IF($I53="","In Progress","Finished"))))</f>
      </c>
      <c r="L53" s="143"/>
      <c r="M53" s="131"/>
      <c r="N53" s="155" t="str">
        <f>IFERROR(HYPERLINK(VLOOKUP($B53,'Hack Database'!$A:$J,9,FALSE),"Open Page"),"")</f>
      </c>
      <c r="O53" s="155" t="str">
        <f>IFERROR(HYPERLINK(VLOOKUP($B53,'Hack Database'!$A:$J,10,FALSE),"Download"),"")</f>
      </c>
      <c r="P53" s="149"/>
    </row>
    <row r="54" ht="23" customHeight="1">
      <c r="A54" s="92" t="str">
        <f>IF(C54="","",COUNTIF($C$2:C54,"&lt;&gt;"))</f>
      </c>
      <c r="B54" s="107"/>
      <c r="C54" s="113" t="str">
        <f>IFERROR(VLOOKUP($B54,'Hack Database'!$A:$J,2,FALSE),"")</f>
      </c>
      <c r="D54" s="113" t="str">
        <f>IFERROR(VLOOKUP($B54,'Hack Database'!$A:$J,3,FALSE),"")</f>
      </c>
      <c r="E54" s="125" t="str">
        <f>IFERROR(VLOOKUP($B54,'Hack Database'!$A:$J,4,FALSE),"")</f>
      </c>
      <c r="F54" s="125" t="str">
        <f>IFERROR(VLOOKUP($B54,'Hack Database'!$A:$J,5,FALSE),"")</f>
      </c>
      <c r="G54" s="113" t="str">
        <f>IFERROR(VLOOKUP($B54,'Hack Database'!$A:$J,6,FALSE),"")</f>
      </c>
      <c r="H54" s="137"/>
      <c r="I54" s="137"/>
      <c r="J54" s="131"/>
      <c r="K54" s="125" t="str">
        <f>IF($B54="","",IF($J54="Yes","100% Complete",IF($H54="","Planned",IF($I54="","In Progress","Finished"))))</f>
      </c>
      <c r="L54" s="143"/>
      <c r="M54" s="131"/>
      <c r="N54" s="155" t="str">
        <f>IFERROR(HYPERLINK(VLOOKUP($B54,'Hack Database'!$A:$J,9,FALSE),"Open Page"),"")</f>
      </c>
      <c r="O54" s="155" t="str">
        <f>IFERROR(HYPERLINK(VLOOKUP($B54,'Hack Database'!$A:$J,10,FALSE),"Download"),"")</f>
      </c>
      <c r="P54" s="149"/>
    </row>
    <row r="55" ht="23" customHeight="1">
      <c r="A55" s="92" t="str">
        <f>IF(C55="","",COUNTIF($C$2:C55,"&lt;&gt;"))</f>
      </c>
      <c r="B55" s="107"/>
      <c r="C55" s="113" t="str">
        <f>IFERROR(VLOOKUP($B55,'Hack Database'!$A:$J,2,FALSE),"")</f>
      </c>
      <c r="D55" s="113" t="str">
        <f>IFERROR(VLOOKUP($B55,'Hack Database'!$A:$J,3,FALSE),"")</f>
      </c>
      <c r="E55" s="125" t="str">
        <f>IFERROR(VLOOKUP($B55,'Hack Database'!$A:$J,4,FALSE),"")</f>
      </c>
      <c r="F55" s="125" t="str">
        <f>IFERROR(VLOOKUP($B55,'Hack Database'!$A:$J,5,FALSE),"")</f>
      </c>
      <c r="G55" s="113" t="str">
        <f>IFERROR(VLOOKUP($B55,'Hack Database'!$A:$J,6,FALSE),"")</f>
      </c>
      <c r="H55" s="137"/>
      <c r="I55" s="137"/>
      <c r="J55" s="131"/>
      <c r="K55" s="125" t="str">
        <f>IF($B55="","",IF($J55="Yes","100% Complete",IF($H55="","Planned",IF($I55="","In Progress","Finished"))))</f>
      </c>
      <c r="L55" s="143"/>
      <c r="M55" s="131"/>
      <c r="N55" s="155" t="str">
        <f>IFERROR(HYPERLINK(VLOOKUP($B55,'Hack Database'!$A:$J,9,FALSE),"Open Page"),"")</f>
      </c>
      <c r="O55" s="155" t="str">
        <f>IFERROR(HYPERLINK(VLOOKUP($B55,'Hack Database'!$A:$J,10,FALSE),"Download"),"")</f>
      </c>
      <c r="P55" s="149"/>
    </row>
    <row r="56" ht="23" customHeight="1">
      <c r="A56" s="92" t="str">
        <f>IF(C56="","",COUNTIF($C$2:C56,"&lt;&gt;"))</f>
      </c>
      <c r="B56" s="107"/>
      <c r="C56" s="113" t="str">
        <f>IFERROR(VLOOKUP($B56,'Hack Database'!$A:$J,2,FALSE),"")</f>
      </c>
      <c r="D56" s="113" t="str">
        <f>IFERROR(VLOOKUP($B56,'Hack Database'!$A:$J,3,FALSE),"")</f>
      </c>
      <c r="E56" s="125" t="str">
        <f>IFERROR(VLOOKUP($B56,'Hack Database'!$A:$J,4,FALSE),"")</f>
      </c>
      <c r="F56" s="125" t="str">
        <f>IFERROR(VLOOKUP($B56,'Hack Database'!$A:$J,5,FALSE),"")</f>
      </c>
      <c r="G56" s="113" t="str">
        <f>IFERROR(VLOOKUP($B56,'Hack Database'!$A:$J,6,FALSE),"")</f>
      </c>
      <c r="H56" s="137"/>
      <c r="I56" s="137"/>
      <c r="J56" s="131"/>
      <c r="K56" s="125" t="str">
        <f>IF($B56="","",IF($J56="Yes","100% Complete",IF($H56="","Planned",IF($I56="","In Progress","Finished"))))</f>
      </c>
      <c r="L56" s="143"/>
      <c r="M56" s="131"/>
      <c r="N56" s="155" t="str">
        <f>IFERROR(HYPERLINK(VLOOKUP($B56,'Hack Database'!$A:$J,9,FALSE),"Open Page"),"")</f>
      </c>
      <c r="O56" s="155" t="str">
        <f>IFERROR(HYPERLINK(VLOOKUP($B56,'Hack Database'!$A:$J,10,FALSE),"Download"),"")</f>
      </c>
      <c r="P56" s="149"/>
    </row>
    <row r="57" ht="23" customHeight="1">
      <c r="A57" s="92" t="str">
        <f>IF(C57="","",COUNTIF($C$2:C57,"&lt;&gt;"))</f>
      </c>
      <c r="B57" s="107"/>
      <c r="C57" s="113" t="str">
        <f>IFERROR(VLOOKUP($B57,'Hack Database'!$A:$J,2,FALSE),"")</f>
      </c>
      <c r="D57" s="113" t="str">
        <f>IFERROR(VLOOKUP($B57,'Hack Database'!$A:$J,3,FALSE),"")</f>
      </c>
      <c r="E57" s="125" t="str">
        <f>IFERROR(VLOOKUP($B57,'Hack Database'!$A:$J,4,FALSE),"")</f>
      </c>
      <c r="F57" s="125" t="str">
        <f>IFERROR(VLOOKUP($B57,'Hack Database'!$A:$J,5,FALSE),"")</f>
      </c>
      <c r="G57" s="113" t="str">
        <f>IFERROR(VLOOKUP($B57,'Hack Database'!$A:$J,6,FALSE),"")</f>
      </c>
      <c r="H57" s="137"/>
      <c r="I57" s="137"/>
      <c r="J57" s="131"/>
      <c r="K57" s="125" t="str">
        <f>IF($B57="","",IF($J57="Yes","100% Complete",IF($H57="","Planned",IF($I57="","In Progress","Finished"))))</f>
      </c>
      <c r="L57" s="143"/>
      <c r="M57" s="131"/>
      <c r="N57" s="155" t="str">
        <f>IFERROR(HYPERLINK(VLOOKUP($B57,'Hack Database'!$A:$J,9,FALSE),"Open Page"),"")</f>
      </c>
      <c r="O57" s="155" t="str">
        <f>IFERROR(HYPERLINK(VLOOKUP($B57,'Hack Database'!$A:$J,10,FALSE),"Download"),"")</f>
      </c>
      <c r="P57" s="149"/>
    </row>
    <row r="58" ht="23" customHeight="1">
      <c r="A58" s="92" t="str">
        <f>IF(C58="","",COUNTIF($C$2:C58,"&lt;&gt;"))</f>
      </c>
      <c r="B58" s="107"/>
      <c r="C58" s="113" t="str">
        <f>IFERROR(VLOOKUP($B58,'Hack Database'!$A:$J,2,FALSE),"")</f>
      </c>
      <c r="D58" s="113" t="str">
        <f>IFERROR(VLOOKUP($B58,'Hack Database'!$A:$J,3,FALSE),"")</f>
      </c>
      <c r="E58" s="125" t="str">
        <f>IFERROR(VLOOKUP($B58,'Hack Database'!$A:$J,4,FALSE),"")</f>
      </c>
      <c r="F58" s="125" t="str">
        <f>IFERROR(VLOOKUP($B58,'Hack Database'!$A:$J,5,FALSE),"")</f>
      </c>
      <c r="G58" s="113" t="str">
        <f>IFERROR(VLOOKUP($B58,'Hack Database'!$A:$J,6,FALSE),"")</f>
      </c>
      <c r="H58" s="137"/>
      <c r="I58" s="137"/>
      <c r="J58" s="131"/>
      <c r="K58" s="125" t="str">
        <f>IF($B58="","",IF($J58="Yes","100% Complete",IF($H58="","Planned",IF($I58="","In Progress","Finished"))))</f>
      </c>
      <c r="L58" s="143"/>
      <c r="M58" s="131"/>
      <c r="N58" s="155" t="str">
        <f>IFERROR(HYPERLINK(VLOOKUP($B58,'Hack Database'!$A:$J,9,FALSE),"Open Page"),"")</f>
      </c>
      <c r="O58" s="155" t="str">
        <f>IFERROR(HYPERLINK(VLOOKUP($B58,'Hack Database'!$A:$J,10,FALSE),"Download"),"")</f>
      </c>
      <c r="P58" s="149"/>
    </row>
    <row r="59" ht="23" customHeight="1">
      <c r="A59" s="92" t="str">
        <f>IF(C59="","",COUNTIF($C$2:C59,"&lt;&gt;"))</f>
      </c>
      <c r="B59" s="107"/>
      <c r="C59" s="113" t="str">
        <f>IFERROR(VLOOKUP($B59,'Hack Database'!$A:$J,2,FALSE),"")</f>
      </c>
      <c r="D59" s="113" t="str">
        <f>IFERROR(VLOOKUP($B59,'Hack Database'!$A:$J,3,FALSE),"")</f>
      </c>
      <c r="E59" s="125" t="str">
        <f>IFERROR(VLOOKUP($B59,'Hack Database'!$A:$J,4,FALSE),"")</f>
      </c>
      <c r="F59" s="125" t="str">
        <f>IFERROR(VLOOKUP($B59,'Hack Database'!$A:$J,5,FALSE),"")</f>
      </c>
      <c r="G59" s="113" t="str">
        <f>IFERROR(VLOOKUP($B59,'Hack Database'!$A:$J,6,FALSE),"")</f>
      </c>
      <c r="H59" s="137"/>
      <c r="I59" s="137"/>
      <c r="J59" s="131"/>
      <c r="K59" s="125" t="str">
        <f>IF($B59="","",IF($J59="Yes","100% Complete",IF($H59="","Planned",IF($I59="","In Progress","Finished"))))</f>
      </c>
      <c r="L59" s="143"/>
      <c r="M59" s="131"/>
      <c r="N59" s="155" t="str">
        <f>IFERROR(HYPERLINK(VLOOKUP($B59,'Hack Database'!$A:$J,9,FALSE),"Open Page"),"")</f>
      </c>
      <c r="O59" s="155" t="str">
        <f>IFERROR(HYPERLINK(VLOOKUP($B59,'Hack Database'!$A:$J,10,FALSE),"Download"),"")</f>
      </c>
      <c r="P59" s="149"/>
    </row>
    <row r="60" ht="23" customHeight="1">
      <c r="A60" s="92" t="str">
        <f>IF(C60="","",COUNTIF($C$2:C60,"&lt;&gt;"))</f>
      </c>
      <c r="B60" s="107"/>
      <c r="C60" s="113" t="str">
        <f>IFERROR(VLOOKUP($B60,'Hack Database'!$A:$J,2,FALSE),"")</f>
      </c>
      <c r="D60" s="113" t="str">
        <f>IFERROR(VLOOKUP($B60,'Hack Database'!$A:$J,3,FALSE),"")</f>
      </c>
      <c r="E60" s="125" t="str">
        <f>IFERROR(VLOOKUP($B60,'Hack Database'!$A:$J,4,FALSE),"")</f>
      </c>
      <c r="F60" s="125" t="str">
        <f>IFERROR(VLOOKUP($B60,'Hack Database'!$A:$J,5,FALSE),"")</f>
      </c>
      <c r="G60" s="113" t="str">
        <f>IFERROR(VLOOKUP($B60,'Hack Database'!$A:$J,6,FALSE),"")</f>
      </c>
      <c r="H60" s="137"/>
      <c r="I60" s="137"/>
      <c r="J60" s="131"/>
      <c r="K60" s="125" t="str">
        <f>IF($B60="","",IF($J60="Yes","100% Complete",IF($H60="","Planned",IF($I60="","In Progress","Finished"))))</f>
      </c>
      <c r="L60" s="143"/>
      <c r="M60" s="131"/>
      <c r="N60" s="155" t="str">
        <f>IFERROR(HYPERLINK(VLOOKUP($B60,'Hack Database'!$A:$J,9,FALSE),"Open Page"),"")</f>
      </c>
      <c r="O60" s="155" t="str">
        <f>IFERROR(HYPERLINK(VLOOKUP($B60,'Hack Database'!$A:$J,10,FALSE),"Download"),"")</f>
      </c>
      <c r="P60" s="149"/>
    </row>
    <row r="61" ht="23" customHeight="1">
      <c r="A61" s="92" t="str">
        <f>IF(C61="","",COUNTIF($C$2:C61,"&lt;&gt;"))</f>
      </c>
      <c r="B61" s="107"/>
      <c r="C61" s="113" t="str">
        <f>IFERROR(VLOOKUP($B61,'Hack Database'!$A:$J,2,FALSE),"")</f>
      </c>
      <c r="D61" s="113" t="str">
        <f>IFERROR(VLOOKUP($B61,'Hack Database'!$A:$J,3,FALSE),"")</f>
      </c>
      <c r="E61" s="125" t="str">
        <f>IFERROR(VLOOKUP($B61,'Hack Database'!$A:$J,4,FALSE),"")</f>
      </c>
      <c r="F61" s="125" t="str">
        <f>IFERROR(VLOOKUP($B61,'Hack Database'!$A:$J,5,FALSE),"")</f>
      </c>
      <c r="G61" s="113" t="str">
        <f>IFERROR(VLOOKUP($B61,'Hack Database'!$A:$J,6,FALSE),"")</f>
      </c>
      <c r="H61" s="137"/>
      <c r="I61" s="137"/>
      <c r="J61" s="131"/>
      <c r="K61" s="125" t="str">
        <f>IF($B61="","",IF($J61="Yes","100% Complete",IF($H61="","Planned",IF($I61="","In Progress","Finished"))))</f>
      </c>
      <c r="L61" s="143"/>
      <c r="M61" s="131"/>
      <c r="N61" s="155" t="str">
        <f>IFERROR(HYPERLINK(VLOOKUP($B61,'Hack Database'!$A:$J,9,FALSE),"Open Page"),"")</f>
      </c>
      <c r="O61" s="155" t="str">
        <f>IFERROR(HYPERLINK(VLOOKUP($B61,'Hack Database'!$A:$J,10,FALSE),"Download"),"")</f>
      </c>
      <c r="P61" s="149"/>
    </row>
    <row r="62" ht="23" customHeight="1">
      <c r="A62" s="92" t="str">
        <f>IF(C62="","",COUNTIF($C$2:C62,"&lt;&gt;"))</f>
      </c>
      <c r="B62" s="107"/>
      <c r="C62" s="113" t="str">
        <f>IFERROR(VLOOKUP($B62,'Hack Database'!$A:$J,2,FALSE),"")</f>
      </c>
      <c r="D62" s="113" t="str">
        <f>IFERROR(VLOOKUP($B62,'Hack Database'!$A:$J,3,FALSE),"")</f>
      </c>
      <c r="E62" s="125" t="str">
        <f>IFERROR(VLOOKUP($B62,'Hack Database'!$A:$J,4,FALSE),"")</f>
      </c>
      <c r="F62" s="125" t="str">
        <f>IFERROR(VLOOKUP($B62,'Hack Database'!$A:$J,5,FALSE),"")</f>
      </c>
      <c r="G62" s="113" t="str">
        <f>IFERROR(VLOOKUP($B62,'Hack Database'!$A:$J,6,FALSE),"")</f>
      </c>
      <c r="H62" s="137"/>
      <c r="I62" s="137"/>
      <c r="J62" s="131"/>
      <c r="K62" s="125" t="str">
        <f>IF($B62="","",IF($J62="Yes","100% Complete",IF($H62="","Planned",IF($I62="","In Progress","Finished"))))</f>
      </c>
      <c r="L62" s="143"/>
      <c r="M62" s="131"/>
      <c r="N62" s="155" t="str">
        <f>IFERROR(HYPERLINK(VLOOKUP($B62,'Hack Database'!$A:$J,9,FALSE),"Open Page"),"")</f>
      </c>
      <c r="O62" s="155" t="str">
        <f>IFERROR(HYPERLINK(VLOOKUP($B62,'Hack Database'!$A:$J,10,FALSE),"Download"),"")</f>
      </c>
      <c r="P62" s="149"/>
    </row>
    <row r="63" ht="23" customHeight="1">
      <c r="A63" s="92" t="str">
        <f>IF(C63="","",COUNTIF($C$2:C63,"&lt;&gt;"))</f>
      </c>
      <c r="B63" s="107"/>
      <c r="C63" s="113" t="str">
        <f>IFERROR(VLOOKUP($B63,'Hack Database'!$A:$J,2,FALSE),"")</f>
      </c>
      <c r="D63" s="113" t="str">
        <f>IFERROR(VLOOKUP($B63,'Hack Database'!$A:$J,3,FALSE),"")</f>
      </c>
      <c r="E63" s="125" t="str">
        <f>IFERROR(VLOOKUP($B63,'Hack Database'!$A:$J,4,FALSE),"")</f>
      </c>
      <c r="F63" s="125" t="str">
        <f>IFERROR(VLOOKUP($B63,'Hack Database'!$A:$J,5,FALSE),"")</f>
      </c>
      <c r="G63" s="113" t="str">
        <f>IFERROR(VLOOKUP($B63,'Hack Database'!$A:$J,6,FALSE),"")</f>
      </c>
      <c r="H63" s="137"/>
      <c r="I63" s="137"/>
      <c r="J63" s="131"/>
      <c r="K63" s="125" t="str">
        <f>IF($B63="","",IF($J63="Yes","100% Complete",IF($H63="","Planned",IF($I63="","In Progress","Finished"))))</f>
      </c>
      <c r="L63" s="143"/>
      <c r="M63" s="131"/>
      <c r="N63" s="155" t="str">
        <f>IFERROR(HYPERLINK(VLOOKUP($B63,'Hack Database'!$A:$J,9,FALSE),"Open Page"),"")</f>
      </c>
      <c r="O63" s="155" t="str">
        <f>IFERROR(HYPERLINK(VLOOKUP($B63,'Hack Database'!$A:$J,10,FALSE),"Download"),"")</f>
      </c>
      <c r="P63" s="149"/>
    </row>
    <row r="64" ht="23" customHeight="1">
      <c r="A64" s="92" t="str">
        <f>IF(C64="","",COUNTIF($C$2:C64,"&lt;&gt;"))</f>
      </c>
      <c r="B64" s="107"/>
      <c r="C64" s="113" t="str">
        <f>IFERROR(VLOOKUP($B64,'Hack Database'!$A:$J,2,FALSE),"")</f>
      </c>
      <c r="D64" s="113" t="str">
        <f>IFERROR(VLOOKUP($B64,'Hack Database'!$A:$J,3,FALSE),"")</f>
      </c>
      <c r="E64" s="125" t="str">
        <f>IFERROR(VLOOKUP($B64,'Hack Database'!$A:$J,4,FALSE),"")</f>
      </c>
      <c r="F64" s="125" t="str">
        <f>IFERROR(VLOOKUP($B64,'Hack Database'!$A:$J,5,FALSE),"")</f>
      </c>
      <c r="G64" s="113" t="str">
        <f>IFERROR(VLOOKUP($B64,'Hack Database'!$A:$J,6,FALSE),"")</f>
      </c>
      <c r="H64" s="137"/>
      <c r="I64" s="137"/>
      <c r="J64" s="131"/>
      <c r="K64" s="125" t="str">
        <f>IF($B64="","",IF($J64="Yes","100% Complete",IF($H64="","Planned",IF($I64="","In Progress","Finished"))))</f>
      </c>
      <c r="L64" s="143"/>
      <c r="M64" s="131"/>
      <c r="N64" s="155" t="str">
        <f>IFERROR(HYPERLINK(VLOOKUP($B64,'Hack Database'!$A:$J,9,FALSE),"Open Page"),"")</f>
      </c>
      <c r="O64" s="155" t="str">
        <f>IFERROR(HYPERLINK(VLOOKUP($B64,'Hack Database'!$A:$J,10,FALSE),"Download"),"")</f>
      </c>
      <c r="P64" s="149"/>
    </row>
    <row r="65" ht="23" customHeight="1">
      <c r="A65" s="92" t="str">
        <f>IF(C65="","",COUNTIF($C$2:C65,"&lt;&gt;"))</f>
      </c>
      <c r="B65" s="107"/>
      <c r="C65" s="113" t="str">
        <f>IFERROR(VLOOKUP($B65,'Hack Database'!$A:$J,2,FALSE),"")</f>
      </c>
      <c r="D65" s="113" t="str">
        <f>IFERROR(VLOOKUP($B65,'Hack Database'!$A:$J,3,FALSE),"")</f>
      </c>
      <c r="E65" s="125" t="str">
        <f>IFERROR(VLOOKUP($B65,'Hack Database'!$A:$J,4,FALSE),"")</f>
      </c>
      <c r="F65" s="125" t="str">
        <f>IFERROR(VLOOKUP($B65,'Hack Database'!$A:$J,5,FALSE),"")</f>
      </c>
      <c r="G65" s="113" t="str">
        <f>IFERROR(VLOOKUP($B65,'Hack Database'!$A:$J,6,FALSE),"")</f>
      </c>
      <c r="H65" s="137"/>
      <c r="I65" s="137"/>
      <c r="J65" s="131"/>
      <c r="K65" s="125" t="str">
        <f>IF($B65="","",IF($J65="Yes","100% Complete",IF($H65="","Planned",IF($I65="","In Progress","Finished"))))</f>
      </c>
      <c r="L65" s="143"/>
      <c r="M65" s="131"/>
      <c r="N65" s="155" t="str">
        <f>IFERROR(HYPERLINK(VLOOKUP($B65,'Hack Database'!$A:$J,9,FALSE),"Open Page"),"")</f>
      </c>
      <c r="O65" s="155" t="str">
        <f>IFERROR(HYPERLINK(VLOOKUP($B65,'Hack Database'!$A:$J,10,FALSE),"Download"),"")</f>
      </c>
      <c r="P65" s="149"/>
    </row>
    <row r="66" ht="23" customHeight="1">
      <c r="A66" s="92" t="str">
        <f>IF(C66="","",COUNTIF($C$2:C66,"&lt;&gt;"))</f>
      </c>
      <c r="B66" s="107"/>
      <c r="C66" s="113" t="str">
        <f>IFERROR(VLOOKUP($B66,'Hack Database'!$A:$J,2,FALSE),"")</f>
      </c>
      <c r="D66" s="113" t="str">
        <f>IFERROR(VLOOKUP($B66,'Hack Database'!$A:$J,3,FALSE),"")</f>
      </c>
      <c r="E66" s="125" t="str">
        <f>IFERROR(VLOOKUP($B66,'Hack Database'!$A:$J,4,FALSE),"")</f>
      </c>
      <c r="F66" s="125" t="str">
        <f>IFERROR(VLOOKUP($B66,'Hack Database'!$A:$J,5,FALSE),"")</f>
      </c>
      <c r="G66" s="113" t="str">
        <f>IFERROR(VLOOKUP($B66,'Hack Database'!$A:$J,6,FALSE),"")</f>
      </c>
      <c r="H66" s="137"/>
      <c r="I66" s="137"/>
      <c r="J66" s="131"/>
      <c r="K66" s="125" t="str">
        <f>IF($B66="","",IF($J66="Yes","100% Complete",IF($H66="","Planned",IF($I66="","In Progress","Finished"))))</f>
      </c>
      <c r="L66" s="143"/>
      <c r="M66" s="131"/>
      <c r="N66" s="155" t="str">
        <f>IFERROR(HYPERLINK(VLOOKUP($B66,'Hack Database'!$A:$J,9,FALSE),"Open Page"),"")</f>
      </c>
      <c r="O66" s="155" t="str">
        <f>IFERROR(HYPERLINK(VLOOKUP($B66,'Hack Database'!$A:$J,10,FALSE),"Download"),"")</f>
      </c>
      <c r="P66" s="149"/>
    </row>
    <row r="67" ht="23" customHeight="1">
      <c r="A67" s="92" t="str">
        <f>IF(C67="","",COUNTIF($C$2:C67,"&lt;&gt;"))</f>
      </c>
      <c r="B67" s="107"/>
      <c r="C67" s="113" t="str">
        <f>IFERROR(VLOOKUP($B67,'Hack Database'!$A:$J,2,FALSE),"")</f>
      </c>
      <c r="D67" s="113" t="str">
        <f>IFERROR(VLOOKUP($B67,'Hack Database'!$A:$J,3,FALSE),"")</f>
      </c>
      <c r="E67" s="125" t="str">
        <f>IFERROR(VLOOKUP($B67,'Hack Database'!$A:$J,4,FALSE),"")</f>
      </c>
      <c r="F67" s="125" t="str">
        <f>IFERROR(VLOOKUP($B67,'Hack Database'!$A:$J,5,FALSE),"")</f>
      </c>
      <c r="G67" s="113" t="str">
        <f>IFERROR(VLOOKUP($B67,'Hack Database'!$A:$J,6,FALSE),"")</f>
      </c>
      <c r="H67" s="137"/>
      <c r="I67" s="137"/>
      <c r="J67" s="131"/>
      <c r="K67" s="125" t="str">
        <f>IF($B67="","",IF($J67="Yes","100% Complete",IF($H67="","Planned",IF($I67="","In Progress","Finished"))))</f>
      </c>
      <c r="L67" s="143"/>
      <c r="M67" s="131"/>
      <c r="N67" s="155" t="str">
        <f>IFERROR(HYPERLINK(VLOOKUP($B67,'Hack Database'!$A:$J,9,FALSE),"Open Page"),"")</f>
      </c>
      <c r="O67" s="155" t="str">
        <f>IFERROR(HYPERLINK(VLOOKUP($B67,'Hack Database'!$A:$J,10,FALSE),"Download"),"")</f>
      </c>
      <c r="P67" s="149"/>
    </row>
    <row r="68" ht="23" customHeight="1">
      <c r="A68" s="92" t="str">
        <f>IF(C68="","",COUNTIF($C$2:C68,"&lt;&gt;"))</f>
      </c>
      <c r="B68" s="107"/>
      <c r="C68" s="113" t="str">
        <f>IFERROR(VLOOKUP($B68,'Hack Database'!$A:$J,2,FALSE),"")</f>
      </c>
      <c r="D68" s="113" t="str">
        <f>IFERROR(VLOOKUP($B68,'Hack Database'!$A:$J,3,FALSE),"")</f>
      </c>
      <c r="E68" s="125" t="str">
        <f>IFERROR(VLOOKUP($B68,'Hack Database'!$A:$J,4,FALSE),"")</f>
      </c>
      <c r="F68" s="125" t="str">
        <f>IFERROR(VLOOKUP($B68,'Hack Database'!$A:$J,5,FALSE),"")</f>
      </c>
      <c r="G68" s="113" t="str">
        <f>IFERROR(VLOOKUP($B68,'Hack Database'!$A:$J,6,FALSE),"")</f>
      </c>
      <c r="H68" s="137"/>
      <c r="I68" s="137"/>
      <c r="J68" s="131"/>
      <c r="K68" s="125" t="str">
        <f>IF($B68="","",IF($J68="Yes","100% Complete",IF($H68="","Planned",IF($I68="","In Progress","Finished"))))</f>
      </c>
      <c r="L68" s="143"/>
      <c r="M68" s="131"/>
      <c r="N68" s="155" t="str">
        <f>IFERROR(HYPERLINK(VLOOKUP($B68,'Hack Database'!$A:$J,9,FALSE),"Open Page"),"")</f>
      </c>
      <c r="O68" s="155" t="str">
        <f>IFERROR(HYPERLINK(VLOOKUP($B68,'Hack Database'!$A:$J,10,FALSE),"Download"),"")</f>
      </c>
      <c r="P68" s="149"/>
    </row>
    <row r="69" ht="23" customHeight="1">
      <c r="A69" s="92" t="str">
        <f>IF(C69="","",COUNTIF($C$2:C69,"&lt;&gt;"))</f>
      </c>
      <c r="B69" s="107"/>
      <c r="C69" s="113" t="str">
        <f>IFERROR(VLOOKUP($B69,'Hack Database'!$A:$J,2,FALSE),"")</f>
      </c>
      <c r="D69" s="113" t="str">
        <f>IFERROR(VLOOKUP($B69,'Hack Database'!$A:$J,3,FALSE),"")</f>
      </c>
      <c r="E69" s="125" t="str">
        <f>IFERROR(VLOOKUP($B69,'Hack Database'!$A:$J,4,FALSE),"")</f>
      </c>
      <c r="F69" s="125" t="str">
        <f>IFERROR(VLOOKUP($B69,'Hack Database'!$A:$J,5,FALSE),"")</f>
      </c>
      <c r="G69" s="113" t="str">
        <f>IFERROR(VLOOKUP($B69,'Hack Database'!$A:$J,6,FALSE),"")</f>
      </c>
      <c r="H69" s="137"/>
      <c r="I69" s="137"/>
      <c r="J69" s="131"/>
      <c r="K69" s="125" t="str">
        <f>IF($B69="","",IF($J69="Yes","100% Complete",IF($H69="","Planned",IF($I69="","In Progress","Finished"))))</f>
      </c>
      <c r="L69" s="143"/>
      <c r="M69" s="131"/>
      <c r="N69" s="155" t="str">
        <f>IFERROR(HYPERLINK(VLOOKUP($B69,'Hack Database'!$A:$J,9,FALSE),"Open Page"),"")</f>
      </c>
      <c r="O69" s="155" t="str">
        <f>IFERROR(HYPERLINK(VLOOKUP($B69,'Hack Database'!$A:$J,10,FALSE),"Download"),"")</f>
      </c>
      <c r="P69" s="149"/>
    </row>
    <row r="70" ht="23" customHeight="1">
      <c r="A70" s="92" t="str">
        <f>IF(C70="","",COUNTIF($C$2:C70,"&lt;&gt;"))</f>
      </c>
      <c r="B70" s="107"/>
      <c r="C70" s="113" t="str">
        <f>IFERROR(VLOOKUP($B70,'Hack Database'!$A:$J,2,FALSE),"")</f>
      </c>
      <c r="D70" s="113" t="str">
        <f>IFERROR(VLOOKUP($B70,'Hack Database'!$A:$J,3,FALSE),"")</f>
      </c>
      <c r="E70" s="125" t="str">
        <f>IFERROR(VLOOKUP($B70,'Hack Database'!$A:$J,4,FALSE),"")</f>
      </c>
      <c r="F70" s="125" t="str">
        <f>IFERROR(VLOOKUP($B70,'Hack Database'!$A:$J,5,FALSE),"")</f>
      </c>
      <c r="G70" s="113" t="str">
        <f>IFERROR(VLOOKUP($B70,'Hack Database'!$A:$J,6,FALSE),"")</f>
      </c>
      <c r="H70" s="137"/>
      <c r="I70" s="137"/>
      <c r="J70" s="131"/>
      <c r="K70" s="125" t="str">
        <f>IF($B70="","",IF($J70="Yes","100% Complete",IF($H70="","Planned",IF($I70="","In Progress","Finished"))))</f>
      </c>
      <c r="L70" s="143"/>
      <c r="M70" s="131"/>
      <c r="N70" s="155" t="str">
        <f>IFERROR(HYPERLINK(VLOOKUP($B70,'Hack Database'!$A:$J,9,FALSE),"Open Page"),"")</f>
      </c>
      <c r="O70" s="155" t="str">
        <f>IFERROR(HYPERLINK(VLOOKUP($B70,'Hack Database'!$A:$J,10,FALSE),"Download"),"")</f>
      </c>
      <c r="P70" s="149"/>
    </row>
    <row r="71" ht="23" customHeight="1">
      <c r="A71" s="92" t="str">
        <f>IF(C71="","",COUNTIF($C$2:C71,"&lt;&gt;"))</f>
      </c>
      <c r="B71" s="107"/>
      <c r="C71" s="113" t="str">
        <f>IFERROR(VLOOKUP($B71,'Hack Database'!$A:$J,2,FALSE),"")</f>
      </c>
      <c r="D71" s="113" t="str">
        <f>IFERROR(VLOOKUP($B71,'Hack Database'!$A:$J,3,FALSE),"")</f>
      </c>
      <c r="E71" s="125" t="str">
        <f>IFERROR(VLOOKUP($B71,'Hack Database'!$A:$J,4,FALSE),"")</f>
      </c>
      <c r="F71" s="125" t="str">
        <f>IFERROR(VLOOKUP($B71,'Hack Database'!$A:$J,5,FALSE),"")</f>
      </c>
      <c r="G71" s="113" t="str">
        <f>IFERROR(VLOOKUP($B71,'Hack Database'!$A:$J,6,FALSE),"")</f>
      </c>
      <c r="H71" s="137"/>
      <c r="I71" s="137"/>
      <c r="J71" s="131"/>
      <c r="K71" s="125" t="str">
        <f>IF($B71="","",IF($J71="Yes","100% Complete",IF($H71="","Planned",IF($I71="","In Progress","Finished"))))</f>
      </c>
      <c r="L71" s="143"/>
      <c r="M71" s="131"/>
      <c r="N71" s="155" t="str">
        <f>IFERROR(HYPERLINK(VLOOKUP($B71,'Hack Database'!$A:$J,9,FALSE),"Open Page"),"")</f>
      </c>
      <c r="O71" s="155" t="str">
        <f>IFERROR(HYPERLINK(VLOOKUP($B71,'Hack Database'!$A:$J,10,FALSE),"Download"),"")</f>
      </c>
      <c r="P71" s="149"/>
    </row>
    <row r="72" ht="23" customHeight="1">
      <c r="A72" s="92" t="str">
        <f>IF(C72="","",COUNTIF($C$2:C72,"&lt;&gt;"))</f>
      </c>
      <c r="B72" s="107"/>
      <c r="C72" s="113" t="str">
        <f>IFERROR(VLOOKUP($B72,'Hack Database'!$A:$J,2,FALSE),"")</f>
      </c>
      <c r="D72" s="113" t="str">
        <f>IFERROR(VLOOKUP($B72,'Hack Database'!$A:$J,3,FALSE),"")</f>
      </c>
      <c r="E72" s="125" t="str">
        <f>IFERROR(VLOOKUP($B72,'Hack Database'!$A:$J,4,FALSE),"")</f>
      </c>
      <c r="F72" s="125" t="str">
        <f>IFERROR(VLOOKUP($B72,'Hack Database'!$A:$J,5,FALSE),"")</f>
      </c>
      <c r="G72" s="113" t="str">
        <f>IFERROR(VLOOKUP($B72,'Hack Database'!$A:$J,6,FALSE),"")</f>
      </c>
      <c r="H72" s="137"/>
      <c r="I72" s="137"/>
      <c r="J72" s="131"/>
      <c r="K72" s="125" t="str">
        <f>IF($B72="","",IF($J72="Yes","100% Complete",IF($H72="","Planned",IF($I72="","In Progress","Finished"))))</f>
      </c>
      <c r="L72" s="143"/>
      <c r="M72" s="131"/>
      <c r="N72" s="155" t="str">
        <f>IFERROR(HYPERLINK(VLOOKUP($B72,'Hack Database'!$A:$J,9,FALSE),"Open Page"),"")</f>
      </c>
      <c r="O72" s="155" t="str">
        <f>IFERROR(HYPERLINK(VLOOKUP($B72,'Hack Database'!$A:$J,10,FALSE),"Download"),"")</f>
      </c>
      <c r="P72" s="149"/>
    </row>
    <row r="73" ht="23" customHeight="1">
      <c r="A73" s="92" t="str">
        <f>IF(C73="","",COUNTIF($C$2:C73,"&lt;&gt;"))</f>
      </c>
      <c r="B73" s="107"/>
      <c r="C73" s="113" t="str">
        <f>IFERROR(VLOOKUP($B73,'Hack Database'!$A:$J,2,FALSE),"")</f>
      </c>
      <c r="D73" s="113" t="str">
        <f>IFERROR(VLOOKUP($B73,'Hack Database'!$A:$J,3,FALSE),"")</f>
      </c>
      <c r="E73" s="125" t="str">
        <f>IFERROR(VLOOKUP($B73,'Hack Database'!$A:$J,4,FALSE),"")</f>
      </c>
      <c r="F73" s="125" t="str">
        <f>IFERROR(VLOOKUP($B73,'Hack Database'!$A:$J,5,FALSE),"")</f>
      </c>
      <c r="G73" s="113" t="str">
        <f>IFERROR(VLOOKUP($B73,'Hack Database'!$A:$J,6,FALSE),"")</f>
      </c>
      <c r="H73" s="137"/>
      <c r="I73" s="137"/>
      <c r="J73" s="131"/>
      <c r="K73" s="125" t="str">
        <f>IF($B73="","",IF($J73="Yes","100% Complete",IF($H73="","Planned",IF($I73="","In Progress","Finished"))))</f>
      </c>
      <c r="L73" s="143"/>
      <c r="M73" s="131"/>
      <c r="N73" s="155" t="str">
        <f>IFERROR(HYPERLINK(VLOOKUP($B73,'Hack Database'!$A:$J,9,FALSE),"Open Page"),"")</f>
      </c>
      <c r="O73" s="155" t="str">
        <f>IFERROR(HYPERLINK(VLOOKUP($B73,'Hack Database'!$A:$J,10,FALSE),"Download"),"")</f>
      </c>
      <c r="P73" s="149"/>
    </row>
    <row r="74" ht="23" customHeight="1">
      <c r="A74" s="92" t="str">
        <f>IF(C74="","",COUNTIF($C$2:C74,"&lt;&gt;"))</f>
      </c>
      <c r="B74" s="107"/>
      <c r="C74" s="113" t="str">
        <f>IFERROR(VLOOKUP($B74,'Hack Database'!$A:$J,2,FALSE),"")</f>
      </c>
      <c r="D74" s="113" t="str">
        <f>IFERROR(VLOOKUP($B74,'Hack Database'!$A:$J,3,FALSE),"")</f>
      </c>
      <c r="E74" s="125" t="str">
        <f>IFERROR(VLOOKUP($B74,'Hack Database'!$A:$J,4,FALSE),"")</f>
      </c>
      <c r="F74" s="125" t="str">
        <f>IFERROR(VLOOKUP($B74,'Hack Database'!$A:$J,5,FALSE),"")</f>
      </c>
      <c r="G74" s="113" t="str">
        <f>IFERROR(VLOOKUP($B74,'Hack Database'!$A:$J,6,FALSE),"")</f>
      </c>
      <c r="H74" s="137"/>
      <c r="I74" s="137"/>
      <c r="J74" s="131"/>
      <c r="K74" s="125" t="str">
        <f>IF($B74="","",IF($J74="Yes","100% Complete",IF($H74="","Planned",IF($I74="","In Progress","Finished"))))</f>
      </c>
      <c r="L74" s="143"/>
      <c r="M74" s="131"/>
      <c r="N74" s="155" t="str">
        <f>IFERROR(HYPERLINK(VLOOKUP($B74,'Hack Database'!$A:$J,9,FALSE),"Open Page"),"")</f>
      </c>
      <c r="O74" s="155" t="str">
        <f>IFERROR(HYPERLINK(VLOOKUP($B74,'Hack Database'!$A:$J,10,FALSE),"Download"),"")</f>
      </c>
      <c r="P74" s="149"/>
    </row>
    <row r="75" ht="23" customHeight="1">
      <c r="A75" s="92" t="str">
        <f>IF(C75="","",COUNTIF($C$2:C75,"&lt;&gt;"))</f>
      </c>
      <c r="B75" s="107"/>
      <c r="C75" s="113" t="str">
        <f>IFERROR(VLOOKUP($B75,'Hack Database'!$A:$J,2,FALSE),"")</f>
      </c>
      <c r="D75" s="113" t="str">
        <f>IFERROR(VLOOKUP($B75,'Hack Database'!$A:$J,3,FALSE),"")</f>
      </c>
      <c r="E75" s="125" t="str">
        <f>IFERROR(VLOOKUP($B75,'Hack Database'!$A:$J,4,FALSE),"")</f>
      </c>
      <c r="F75" s="125" t="str">
        <f>IFERROR(VLOOKUP($B75,'Hack Database'!$A:$J,5,FALSE),"")</f>
      </c>
      <c r="G75" s="113" t="str">
        <f>IFERROR(VLOOKUP($B75,'Hack Database'!$A:$J,6,FALSE),"")</f>
      </c>
      <c r="H75" s="137"/>
      <c r="I75" s="137"/>
      <c r="J75" s="131"/>
      <c r="K75" s="125" t="str">
        <f>IF($B75="","",IF($J75="Yes","100% Complete",IF($H75="","Planned",IF($I75="","In Progress","Finished"))))</f>
      </c>
      <c r="L75" s="143"/>
      <c r="M75" s="131"/>
      <c r="N75" s="155" t="str">
        <f>IFERROR(HYPERLINK(VLOOKUP($B75,'Hack Database'!$A:$J,9,FALSE),"Open Page"),"")</f>
      </c>
      <c r="O75" s="155" t="str">
        <f>IFERROR(HYPERLINK(VLOOKUP($B75,'Hack Database'!$A:$J,10,FALSE),"Download"),"")</f>
      </c>
      <c r="P75" s="149"/>
    </row>
    <row r="76" ht="23" customHeight="1">
      <c r="A76" s="92" t="str">
        <f>IF(C76="","",COUNTIF($C$2:C76,"&lt;&gt;"))</f>
      </c>
      <c r="B76" s="107"/>
      <c r="C76" s="113" t="str">
        <f>IFERROR(VLOOKUP($B76,'Hack Database'!$A:$J,2,FALSE),"")</f>
      </c>
      <c r="D76" s="113" t="str">
        <f>IFERROR(VLOOKUP($B76,'Hack Database'!$A:$J,3,FALSE),"")</f>
      </c>
      <c r="E76" s="125" t="str">
        <f>IFERROR(VLOOKUP($B76,'Hack Database'!$A:$J,4,FALSE),"")</f>
      </c>
      <c r="F76" s="125" t="str">
        <f>IFERROR(VLOOKUP($B76,'Hack Database'!$A:$J,5,FALSE),"")</f>
      </c>
      <c r="G76" s="113" t="str">
        <f>IFERROR(VLOOKUP($B76,'Hack Database'!$A:$J,6,FALSE),"")</f>
      </c>
      <c r="H76" s="137"/>
      <c r="I76" s="137"/>
      <c r="J76" s="131"/>
      <c r="K76" s="125" t="str">
        <f>IF($B76="","",IF($J76="Yes","100% Complete",IF($H76="","Planned",IF($I76="","In Progress","Finished"))))</f>
      </c>
      <c r="L76" s="143"/>
      <c r="M76" s="131"/>
      <c r="N76" s="155" t="str">
        <f>IFERROR(HYPERLINK(VLOOKUP($B76,'Hack Database'!$A:$J,9,FALSE),"Open Page"),"")</f>
      </c>
      <c r="O76" s="155" t="str">
        <f>IFERROR(HYPERLINK(VLOOKUP($B76,'Hack Database'!$A:$J,10,FALSE),"Download"),"")</f>
      </c>
      <c r="P76" s="149"/>
    </row>
    <row r="77" ht="23" customHeight="1">
      <c r="A77" s="92" t="str">
        <f>IF(C77="","",COUNTIF($C$2:C77,"&lt;&gt;"))</f>
      </c>
      <c r="B77" s="107"/>
      <c r="C77" s="113" t="str">
        <f>IFERROR(VLOOKUP($B77,'Hack Database'!$A:$J,2,FALSE),"")</f>
      </c>
      <c r="D77" s="113" t="str">
        <f>IFERROR(VLOOKUP($B77,'Hack Database'!$A:$J,3,FALSE),"")</f>
      </c>
      <c r="E77" s="125" t="str">
        <f>IFERROR(VLOOKUP($B77,'Hack Database'!$A:$J,4,FALSE),"")</f>
      </c>
      <c r="F77" s="125" t="str">
        <f>IFERROR(VLOOKUP($B77,'Hack Database'!$A:$J,5,FALSE),"")</f>
      </c>
      <c r="G77" s="113" t="str">
        <f>IFERROR(VLOOKUP($B77,'Hack Database'!$A:$J,6,FALSE),"")</f>
      </c>
      <c r="H77" s="137"/>
      <c r="I77" s="137"/>
      <c r="J77" s="131"/>
      <c r="K77" s="125" t="str">
        <f>IF($B77="","",IF($J77="Yes","100% Complete",IF($H77="","Planned",IF($I77="","In Progress","Finished"))))</f>
      </c>
      <c r="L77" s="143"/>
      <c r="M77" s="131"/>
      <c r="N77" s="155" t="str">
        <f>IFERROR(HYPERLINK(VLOOKUP($B77,'Hack Database'!$A:$J,9,FALSE),"Open Page"),"")</f>
      </c>
      <c r="O77" s="155" t="str">
        <f>IFERROR(HYPERLINK(VLOOKUP($B77,'Hack Database'!$A:$J,10,FALSE),"Download"),"")</f>
      </c>
      <c r="P77" s="149"/>
    </row>
    <row r="78" ht="23" customHeight="1">
      <c r="A78" s="92" t="str">
        <f>IF(C78="","",COUNTIF($C$2:C78,"&lt;&gt;"))</f>
      </c>
      <c r="B78" s="107"/>
      <c r="C78" s="113" t="str">
        <f>IFERROR(VLOOKUP($B78,'Hack Database'!$A:$J,2,FALSE),"")</f>
      </c>
      <c r="D78" s="113" t="str">
        <f>IFERROR(VLOOKUP($B78,'Hack Database'!$A:$J,3,FALSE),"")</f>
      </c>
      <c r="E78" s="125" t="str">
        <f>IFERROR(VLOOKUP($B78,'Hack Database'!$A:$J,4,FALSE),"")</f>
      </c>
      <c r="F78" s="125" t="str">
        <f>IFERROR(VLOOKUP($B78,'Hack Database'!$A:$J,5,FALSE),"")</f>
      </c>
      <c r="G78" s="113" t="str">
        <f>IFERROR(VLOOKUP($B78,'Hack Database'!$A:$J,6,FALSE),"")</f>
      </c>
      <c r="H78" s="137"/>
      <c r="I78" s="137"/>
      <c r="J78" s="131"/>
      <c r="K78" s="125" t="str">
        <f>IF($B78="","",IF($J78="Yes","100% Complete",IF($H78="","Planned",IF($I78="","In Progress","Finished"))))</f>
      </c>
      <c r="L78" s="143"/>
      <c r="M78" s="131"/>
      <c r="N78" s="155" t="str">
        <f>IFERROR(HYPERLINK(VLOOKUP($B78,'Hack Database'!$A:$J,9,FALSE),"Open Page"),"")</f>
      </c>
      <c r="O78" s="155" t="str">
        <f>IFERROR(HYPERLINK(VLOOKUP($B78,'Hack Database'!$A:$J,10,FALSE),"Download"),"")</f>
      </c>
      <c r="P78" s="149"/>
    </row>
    <row r="79" ht="23" customHeight="1">
      <c r="A79" s="92" t="str">
        <f>IF(C79="","",COUNTIF($C$2:C79,"&lt;&gt;"))</f>
      </c>
      <c r="B79" s="107"/>
      <c r="C79" s="113" t="str">
        <f>IFERROR(VLOOKUP($B79,'Hack Database'!$A:$J,2,FALSE),"")</f>
      </c>
      <c r="D79" s="113" t="str">
        <f>IFERROR(VLOOKUP($B79,'Hack Database'!$A:$J,3,FALSE),"")</f>
      </c>
      <c r="E79" s="125" t="str">
        <f>IFERROR(VLOOKUP($B79,'Hack Database'!$A:$J,4,FALSE),"")</f>
      </c>
      <c r="F79" s="125" t="str">
        <f>IFERROR(VLOOKUP($B79,'Hack Database'!$A:$J,5,FALSE),"")</f>
      </c>
      <c r="G79" s="113" t="str">
        <f>IFERROR(VLOOKUP($B79,'Hack Database'!$A:$J,6,FALSE),"")</f>
      </c>
      <c r="H79" s="137"/>
      <c r="I79" s="137"/>
      <c r="J79" s="131"/>
      <c r="K79" s="125" t="str">
        <f>IF($B79="","",IF($J79="Yes","100% Complete",IF($H79="","Planned",IF($I79="","In Progress","Finished"))))</f>
      </c>
      <c r="L79" s="143"/>
      <c r="M79" s="131"/>
      <c r="N79" s="155" t="str">
        <f>IFERROR(HYPERLINK(VLOOKUP($B79,'Hack Database'!$A:$J,9,FALSE),"Open Page"),"")</f>
      </c>
      <c r="O79" s="155" t="str">
        <f>IFERROR(HYPERLINK(VLOOKUP($B79,'Hack Database'!$A:$J,10,FALSE),"Download"),"")</f>
      </c>
      <c r="P79" s="149"/>
    </row>
    <row r="80" ht="23" customHeight="1">
      <c r="A80" s="92" t="str">
        <f>IF(C80="","",COUNTIF($C$2:C80,"&lt;&gt;"))</f>
      </c>
      <c r="B80" s="107"/>
      <c r="C80" s="113" t="str">
        <f>IFERROR(VLOOKUP($B80,'Hack Database'!$A:$J,2,FALSE),"")</f>
      </c>
      <c r="D80" s="113" t="str">
        <f>IFERROR(VLOOKUP($B80,'Hack Database'!$A:$J,3,FALSE),"")</f>
      </c>
      <c r="E80" s="125" t="str">
        <f>IFERROR(VLOOKUP($B80,'Hack Database'!$A:$J,4,FALSE),"")</f>
      </c>
      <c r="F80" s="125" t="str">
        <f>IFERROR(VLOOKUP($B80,'Hack Database'!$A:$J,5,FALSE),"")</f>
      </c>
      <c r="G80" s="113" t="str">
        <f>IFERROR(VLOOKUP($B80,'Hack Database'!$A:$J,6,FALSE),"")</f>
      </c>
      <c r="H80" s="137"/>
      <c r="I80" s="137"/>
      <c r="J80" s="131"/>
      <c r="K80" s="125" t="str">
        <f>IF($B80="","",IF($J80="Yes","100% Complete",IF($H80="","Planned",IF($I80="","In Progress","Finished"))))</f>
      </c>
      <c r="L80" s="143"/>
      <c r="M80" s="131"/>
      <c r="N80" s="155" t="str">
        <f>IFERROR(HYPERLINK(VLOOKUP($B80,'Hack Database'!$A:$J,9,FALSE),"Open Page"),"")</f>
      </c>
      <c r="O80" s="155" t="str">
        <f>IFERROR(HYPERLINK(VLOOKUP($B80,'Hack Database'!$A:$J,10,FALSE),"Download"),"")</f>
      </c>
      <c r="P80" s="149"/>
    </row>
    <row r="81" ht="23" customHeight="1">
      <c r="A81" s="92" t="str">
        <f>IF(C81="","",COUNTIF($C$2:C81,"&lt;&gt;"))</f>
      </c>
      <c r="B81" s="107"/>
      <c r="C81" s="113" t="str">
        <f>IFERROR(VLOOKUP($B81,'Hack Database'!$A:$J,2,FALSE),"")</f>
      </c>
      <c r="D81" s="113" t="str">
        <f>IFERROR(VLOOKUP($B81,'Hack Database'!$A:$J,3,FALSE),"")</f>
      </c>
      <c r="E81" s="125" t="str">
        <f>IFERROR(VLOOKUP($B81,'Hack Database'!$A:$J,4,FALSE),"")</f>
      </c>
      <c r="F81" s="125" t="str">
        <f>IFERROR(VLOOKUP($B81,'Hack Database'!$A:$J,5,FALSE),"")</f>
      </c>
      <c r="G81" s="113" t="str">
        <f>IFERROR(VLOOKUP($B81,'Hack Database'!$A:$J,6,FALSE),"")</f>
      </c>
      <c r="H81" s="137"/>
      <c r="I81" s="137"/>
      <c r="J81" s="131"/>
      <c r="K81" s="125" t="str">
        <f>IF($B81="","",IF($J81="Yes","100% Complete",IF($H81="","Planned",IF($I81="","In Progress","Finished"))))</f>
      </c>
      <c r="L81" s="143"/>
      <c r="M81" s="131"/>
      <c r="N81" s="155" t="str">
        <f>IFERROR(HYPERLINK(VLOOKUP($B81,'Hack Database'!$A:$J,9,FALSE),"Open Page"),"")</f>
      </c>
      <c r="O81" s="155" t="str">
        <f>IFERROR(HYPERLINK(VLOOKUP($B81,'Hack Database'!$A:$J,10,FALSE),"Download"),"")</f>
      </c>
      <c r="P81" s="149"/>
    </row>
    <row r="82" ht="23" customHeight="1">
      <c r="A82" s="92" t="str">
        <f>IF(C82="","",COUNTIF($C$2:C82,"&lt;&gt;"))</f>
      </c>
      <c r="B82" s="107"/>
      <c r="C82" s="113" t="str">
        <f>IFERROR(VLOOKUP($B82,'Hack Database'!$A:$J,2,FALSE),"")</f>
      </c>
      <c r="D82" s="113" t="str">
        <f>IFERROR(VLOOKUP($B82,'Hack Database'!$A:$J,3,FALSE),"")</f>
      </c>
      <c r="E82" s="125" t="str">
        <f>IFERROR(VLOOKUP($B82,'Hack Database'!$A:$J,4,FALSE),"")</f>
      </c>
      <c r="F82" s="125" t="str">
        <f>IFERROR(VLOOKUP($B82,'Hack Database'!$A:$J,5,FALSE),"")</f>
      </c>
      <c r="G82" s="113" t="str">
        <f>IFERROR(VLOOKUP($B82,'Hack Database'!$A:$J,6,FALSE),"")</f>
      </c>
      <c r="H82" s="137"/>
      <c r="I82" s="137"/>
      <c r="J82" s="131"/>
      <c r="K82" s="125" t="str">
        <f>IF($B82="","",IF($J82="Yes","100% Complete",IF($H82="","Planned",IF($I82="","In Progress","Finished"))))</f>
      </c>
      <c r="L82" s="143"/>
      <c r="M82" s="131"/>
      <c r="N82" s="155" t="str">
        <f>IFERROR(HYPERLINK(VLOOKUP($B82,'Hack Database'!$A:$J,9,FALSE),"Open Page"),"")</f>
      </c>
      <c r="O82" s="155" t="str">
        <f>IFERROR(HYPERLINK(VLOOKUP($B82,'Hack Database'!$A:$J,10,FALSE),"Download"),"")</f>
      </c>
      <c r="P82" s="149"/>
    </row>
    <row r="83" ht="23" customHeight="1">
      <c r="A83" s="92" t="str">
        <f>IF(C83="","",COUNTIF($C$2:C83,"&lt;&gt;"))</f>
      </c>
      <c r="B83" s="107"/>
      <c r="C83" s="113" t="str">
        <f>IFERROR(VLOOKUP($B83,'Hack Database'!$A:$J,2,FALSE),"")</f>
      </c>
      <c r="D83" s="113" t="str">
        <f>IFERROR(VLOOKUP($B83,'Hack Database'!$A:$J,3,FALSE),"")</f>
      </c>
      <c r="E83" s="125" t="str">
        <f>IFERROR(VLOOKUP($B83,'Hack Database'!$A:$J,4,FALSE),"")</f>
      </c>
      <c r="F83" s="125" t="str">
        <f>IFERROR(VLOOKUP($B83,'Hack Database'!$A:$J,5,FALSE),"")</f>
      </c>
      <c r="G83" s="113" t="str">
        <f>IFERROR(VLOOKUP($B83,'Hack Database'!$A:$J,6,FALSE),"")</f>
      </c>
      <c r="H83" s="137"/>
      <c r="I83" s="137"/>
      <c r="J83" s="131"/>
      <c r="K83" s="125" t="str">
        <f>IF($B83="","",IF($J83="Yes","100% Complete",IF($H83="","Planned",IF($I83="","In Progress","Finished"))))</f>
      </c>
      <c r="L83" s="143"/>
      <c r="M83" s="131"/>
      <c r="N83" s="155" t="str">
        <f>IFERROR(HYPERLINK(VLOOKUP($B83,'Hack Database'!$A:$J,9,FALSE),"Open Page"),"")</f>
      </c>
      <c r="O83" s="155" t="str">
        <f>IFERROR(HYPERLINK(VLOOKUP($B83,'Hack Database'!$A:$J,10,FALSE),"Download"),"")</f>
      </c>
      <c r="P83" s="149"/>
    </row>
    <row r="84" ht="23" customHeight="1">
      <c r="A84" s="92" t="str">
        <f>IF(C84="","",COUNTIF($C$2:C84,"&lt;&gt;"))</f>
      </c>
      <c r="B84" s="107"/>
      <c r="C84" s="113" t="str">
        <f>IFERROR(VLOOKUP($B84,'Hack Database'!$A:$J,2,FALSE),"")</f>
      </c>
      <c r="D84" s="113" t="str">
        <f>IFERROR(VLOOKUP($B84,'Hack Database'!$A:$J,3,FALSE),"")</f>
      </c>
      <c r="E84" s="125" t="str">
        <f>IFERROR(VLOOKUP($B84,'Hack Database'!$A:$J,4,FALSE),"")</f>
      </c>
      <c r="F84" s="125" t="str">
        <f>IFERROR(VLOOKUP($B84,'Hack Database'!$A:$J,5,FALSE),"")</f>
      </c>
      <c r="G84" s="113" t="str">
        <f>IFERROR(VLOOKUP($B84,'Hack Database'!$A:$J,6,FALSE),"")</f>
      </c>
      <c r="H84" s="137"/>
      <c r="I84" s="137"/>
      <c r="J84" s="131"/>
      <c r="K84" s="125" t="str">
        <f>IF($B84="","",IF($J84="Yes","100% Complete",IF($H84="","Planned",IF($I84="","In Progress","Finished"))))</f>
      </c>
      <c r="L84" s="143"/>
      <c r="M84" s="131"/>
      <c r="N84" s="155" t="str">
        <f>IFERROR(HYPERLINK(VLOOKUP($B84,'Hack Database'!$A:$J,9,FALSE),"Open Page"),"")</f>
      </c>
      <c r="O84" s="155" t="str">
        <f>IFERROR(HYPERLINK(VLOOKUP($B84,'Hack Database'!$A:$J,10,FALSE),"Download"),"")</f>
      </c>
      <c r="P84" s="149"/>
    </row>
    <row r="85" ht="23" customHeight="1">
      <c r="A85" s="92" t="str">
        <f>IF(C85="","",COUNTIF($C$2:C85,"&lt;&gt;"))</f>
      </c>
      <c r="B85" s="107"/>
      <c r="C85" s="113" t="str">
        <f>IFERROR(VLOOKUP($B85,'Hack Database'!$A:$J,2,FALSE),"")</f>
      </c>
      <c r="D85" s="113" t="str">
        <f>IFERROR(VLOOKUP($B85,'Hack Database'!$A:$J,3,FALSE),"")</f>
      </c>
      <c r="E85" s="125" t="str">
        <f>IFERROR(VLOOKUP($B85,'Hack Database'!$A:$J,4,FALSE),"")</f>
      </c>
      <c r="F85" s="125" t="str">
        <f>IFERROR(VLOOKUP($B85,'Hack Database'!$A:$J,5,FALSE),"")</f>
      </c>
      <c r="G85" s="113" t="str">
        <f>IFERROR(VLOOKUP($B85,'Hack Database'!$A:$J,6,FALSE),"")</f>
      </c>
      <c r="H85" s="137"/>
      <c r="I85" s="137"/>
      <c r="J85" s="131"/>
      <c r="K85" s="125" t="str">
        <f>IF($B85="","",IF($J85="Yes","100% Complete",IF($H85="","Planned",IF($I85="","In Progress","Finished"))))</f>
      </c>
      <c r="L85" s="143"/>
      <c r="M85" s="131"/>
      <c r="N85" s="155" t="str">
        <f>IFERROR(HYPERLINK(VLOOKUP($B85,'Hack Database'!$A:$J,9,FALSE),"Open Page"),"")</f>
      </c>
      <c r="O85" s="155" t="str">
        <f>IFERROR(HYPERLINK(VLOOKUP($B85,'Hack Database'!$A:$J,10,FALSE),"Download"),"")</f>
      </c>
      <c r="P85" s="149"/>
    </row>
    <row r="86" ht="23" customHeight="1">
      <c r="A86" s="92" t="str">
        <f>IF(C86="","",COUNTIF($C$2:C86,"&lt;&gt;"))</f>
      </c>
      <c r="B86" s="107"/>
      <c r="C86" s="113" t="str">
        <f>IFERROR(VLOOKUP($B86,'Hack Database'!$A:$J,2,FALSE),"")</f>
      </c>
      <c r="D86" s="113" t="str">
        <f>IFERROR(VLOOKUP($B86,'Hack Database'!$A:$J,3,FALSE),"")</f>
      </c>
      <c r="E86" s="125" t="str">
        <f>IFERROR(VLOOKUP($B86,'Hack Database'!$A:$J,4,FALSE),"")</f>
      </c>
      <c r="F86" s="125" t="str">
        <f>IFERROR(VLOOKUP($B86,'Hack Database'!$A:$J,5,FALSE),"")</f>
      </c>
      <c r="G86" s="113" t="str">
        <f>IFERROR(VLOOKUP($B86,'Hack Database'!$A:$J,6,FALSE),"")</f>
      </c>
      <c r="H86" s="137"/>
      <c r="I86" s="137"/>
      <c r="J86" s="131"/>
      <c r="K86" s="125" t="str">
        <f>IF($B86="","",IF($J86="Yes","100% Complete",IF($H86="","Planned",IF($I86="","In Progress","Finished"))))</f>
      </c>
      <c r="L86" s="143"/>
      <c r="M86" s="131"/>
      <c r="N86" s="155" t="str">
        <f>IFERROR(HYPERLINK(VLOOKUP($B86,'Hack Database'!$A:$J,9,FALSE),"Open Page"),"")</f>
      </c>
      <c r="O86" s="155" t="str">
        <f>IFERROR(HYPERLINK(VLOOKUP($B86,'Hack Database'!$A:$J,10,FALSE),"Download"),"")</f>
      </c>
      <c r="P86" s="149"/>
    </row>
    <row r="87" ht="23" customHeight="1">
      <c r="A87" s="92" t="str">
        <f>IF(C87="","",COUNTIF($C$2:C87,"&lt;&gt;"))</f>
      </c>
      <c r="B87" s="107"/>
      <c r="C87" s="113" t="str">
        <f>IFERROR(VLOOKUP($B87,'Hack Database'!$A:$J,2,FALSE),"")</f>
      </c>
      <c r="D87" s="113" t="str">
        <f>IFERROR(VLOOKUP($B87,'Hack Database'!$A:$J,3,FALSE),"")</f>
      </c>
      <c r="E87" s="125" t="str">
        <f>IFERROR(VLOOKUP($B87,'Hack Database'!$A:$J,4,FALSE),"")</f>
      </c>
      <c r="F87" s="125" t="str">
        <f>IFERROR(VLOOKUP($B87,'Hack Database'!$A:$J,5,FALSE),"")</f>
      </c>
      <c r="G87" s="113" t="str">
        <f>IFERROR(VLOOKUP($B87,'Hack Database'!$A:$J,6,FALSE),"")</f>
      </c>
      <c r="H87" s="137"/>
      <c r="I87" s="137"/>
      <c r="J87" s="131"/>
      <c r="K87" s="125" t="str">
        <f>IF($B87="","",IF($J87="Yes","100% Complete",IF($H87="","Planned",IF($I87="","In Progress","Finished"))))</f>
      </c>
      <c r="L87" s="143"/>
      <c r="M87" s="131"/>
      <c r="N87" s="155" t="str">
        <f>IFERROR(HYPERLINK(VLOOKUP($B87,'Hack Database'!$A:$J,9,FALSE),"Open Page"),"")</f>
      </c>
      <c r="O87" s="155" t="str">
        <f>IFERROR(HYPERLINK(VLOOKUP($B87,'Hack Database'!$A:$J,10,FALSE),"Download"),"")</f>
      </c>
      <c r="P87" s="149"/>
    </row>
    <row r="88" ht="23" customHeight="1">
      <c r="A88" s="92" t="str">
        <f>IF(C88="","",COUNTIF($C$2:C88,"&lt;&gt;"))</f>
      </c>
      <c r="B88" s="107"/>
      <c r="C88" s="113" t="str">
        <f>IFERROR(VLOOKUP($B88,'Hack Database'!$A:$J,2,FALSE),"")</f>
      </c>
      <c r="D88" s="113" t="str">
        <f>IFERROR(VLOOKUP($B88,'Hack Database'!$A:$J,3,FALSE),"")</f>
      </c>
      <c r="E88" s="125" t="str">
        <f>IFERROR(VLOOKUP($B88,'Hack Database'!$A:$J,4,FALSE),"")</f>
      </c>
      <c r="F88" s="125" t="str">
        <f>IFERROR(VLOOKUP($B88,'Hack Database'!$A:$J,5,FALSE),"")</f>
      </c>
      <c r="G88" s="113" t="str">
        <f>IFERROR(VLOOKUP($B88,'Hack Database'!$A:$J,6,FALSE),"")</f>
      </c>
      <c r="H88" s="137"/>
      <c r="I88" s="137"/>
      <c r="J88" s="131"/>
      <c r="K88" s="125" t="str">
        <f>IF($B88="","",IF($J88="Yes","100% Complete",IF($H88="","Planned",IF($I88="","In Progress","Finished"))))</f>
      </c>
      <c r="L88" s="143"/>
      <c r="M88" s="131"/>
      <c r="N88" s="155" t="str">
        <f>IFERROR(HYPERLINK(VLOOKUP($B88,'Hack Database'!$A:$J,9,FALSE),"Open Page"),"")</f>
      </c>
      <c r="O88" s="155" t="str">
        <f>IFERROR(HYPERLINK(VLOOKUP($B88,'Hack Database'!$A:$J,10,FALSE),"Download"),"")</f>
      </c>
      <c r="P88" s="149"/>
    </row>
    <row r="89" ht="23" customHeight="1">
      <c r="A89" s="92" t="str">
        <f>IF(C89="","",COUNTIF($C$2:C89,"&lt;&gt;"))</f>
      </c>
      <c r="B89" s="107"/>
      <c r="C89" s="113" t="str">
        <f>IFERROR(VLOOKUP($B89,'Hack Database'!$A:$J,2,FALSE),"")</f>
      </c>
      <c r="D89" s="113" t="str">
        <f>IFERROR(VLOOKUP($B89,'Hack Database'!$A:$J,3,FALSE),"")</f>
      </c>
      <c r="E89" s="125" t="str">
        <f>IFERROR(VLOOKUP($B89,'Hack Database'!$A:$J,4,FALSE),"")</f>
      </c>
      <c r="F89" s="125" t="str">
        <f>IFERROR(VLOOKUP($B89,'Hack Database'!$A:$J,5,FALSE),"")</f>
      </c>
      <c r="G89" s="113" t="str">
        <f>IFERROR(VLOOKUP($B89,'Hack Database'!$A:$J,6,FALSE),"")</f>
      </c>
      <c r="H89" s="137"/>
      <c r="I89" s="137"/>
      <c r="J89" s="131"/>
      <c r="K89" s="125" t="str">
        <f>IF($B89="","",IF($J89="Yes","100% Complete",IF($H89="","Planned",IF($I89="","In Progress","Finished"))))</f>
      </c>
      <c r="L89" s="143"/>
      <c r="M89" s="131"/>
      <c r="N89" s="155" t="str">
        <f>IFERROR(HYPERLINK(VLOOKUP($B89,'Hack Database'!$A:$J,9,FALSE),"Open Page"),"")</f>
      </c>
      <c r="O89" s="155" t="str">
        <f>IFERROR(HYPERLINK(VLOOKUP($B89,'Hack Database'!$A:$J,10,FALSE),"Download"),"")</f>
      </c>
      <c r="P89" s="149"/>
    </row>
    <row r="90" ht="23" customHeight="1">
      <c r="A90" s="92" t="str">
        <f>IF(C90="","",COUNTIF($C$2:C90,"&lt;&gt;"))</f>
      </c>
      <c r="B90" s="107"/>
      <c r="C90" s="113" t="str">
        <f>IFERROR(VLOOKUP($B90,'Hack Database'!$A:$J,2,FALSE),"")</f>
      </c>
      <c r="D90" s="113" t="str">
        <f>IFERROR(VLOOKUP($B90,'Hack Database'!$A:$J,3,FALSE),"")</f>
      </c>
      <c r="E90" s="125" t="str">
        <f>IFERROR(VLOOKUP($B90,'Hack Database'!$A:$J,4,FALSE),"")</f>
      </c>
      <c r="F90" s="125" t="str">
        <f>IFERROR(VLOOKUP($B90,'Hack Database'!$A:$J,5,FALSE),"")</f>
      </c>
      <c r="G90" s="113" t="str">
        <f>IFERROR(VLOOKUP($B90,'Hack Database'!$A:$J,6,FALSE),"")</f>
      </c>
      <c r="H90" s="137"/>
      <c r="I90" s="137"/>
      <c r="J90" s="131"/>
      <c r="K90" s="125" t="str">
        <f>IF($B90="","",IF($J90="Yes","100% Complete",IF($H90="","Planned",IF($I90="","In Progress","Finished"))))</f>
      </c>
      <c r="L90" s="143"/>
      <c r="M90" s="131"/>
      <c r="N90" s="155" t="str">
        <f>IFERROR(HYPERLINK(VLOOKUP($B90,'Hack Database'!$A:$J,9,FALSE),"Open Page"),"")</f>
      </c>
      <c r="O90" s="155" t="str">
        <f>IFERROR(HYPERLINK(VLOOKUP($B90,'Hack Database'!$A:$J,10,FALSE),"Download"),"")</f>
      </c>
      <c r="P90" s="149"/>
    </row>
    <row r="91" ht="23" customHeight="1">
      <c r="A91" s="92" t="str">
        <f>IF(C91="","",COUNTIF($C$2:C91,"&lt;&gt;"))</f>
      </c>
      <c r="B91" s="107"/>
      <c r="C91" s="113" t="str">
        <f>IFERROR(VLOOKUP($B91,'Hack Database'!$A:$J,2,FALSE),"")</f>
      </c>
      <c r="D91" s="113" t="str">
        <f>IFERROR(VLOOKUP($B91,'Hack Database'!$A:$J,3,FALSE),"")</f>
      </c>
      <c r="E91" s="125" t="str">
        <f>IFERROR(VLOOKUP($B91,'Hack Database'!$A:$J,4,FALSE),"")</f>
      </c>
      <c r="F91" s="125" t="str">
        <f>IFERROR(VLOOKUP($B91,'Hack Database'!$A:$J,5,FALSE),"")</f>
      </c>
      <c r="G91" s="113" t="str">
        <f>IFERROR(VLOOKUP($B91,'Hack Database'!$A:$J,6,FALSE),"")</f>
      </c>
      <c r="H91" s="137"/>
      <c r="I91" s="137"/>
      <c r="J91" s="131"/>
      <c r="K91" s="125" t="str">
        <f>IF($B91="","",IF($J91="Yes","100% Complete",IF($H91="","Planned",IF($I91="","In Progress","Finished"))))</f>
      </c>
      <c r="L91" s="143"/>
      <c r="M91" s="131"/>
      <c r="N91" s="155" t="str">
        <f>IFERROR(HYPERLINK(VLOOKUP($B91,'Hack Database'!$A:$J,9,FALSE),"Open Page"),"")</f>
      </c>
      <c r="O91" s="155" t="str">
        <f>IFERROR(HYPERLINK(VLOOKUP($B91,'Hack Database'!$A:$J,10,FALSE),"Download"),"")</f>
      </c>
      <c r="P91" s="149"/>
    </row>
    <row r="92" ht="23" customHeight="1">
      <c r="A92" s="92" t="str">
        <f>IF(C92="","",COUNTIF($C$2:C92,"&lt;&gt;"))</f>
      </c>
      <c r="B92" s="107"/>
      <c r="C92" s="113" t="str">
        <f>IFERROR(VLOOKUP($B92,'Hack Database'!$A:$J,2,FALSE),"")</f>
      </c>
      <c r="D92" s="113" t="str">
        <f>IFERROR(VLOOKUP($B92,'Hack Database'!$A:$J,3,FALSE),"")</f>
      </c>
      <c r="E92" s="125" t="str">
        <f>IFERROR(VLOOKUP($B92,'Hack Database'!$A:$J,4,FALSE),"")</f>
      </c>
      <c r="F92" s="125" t="str">
        <f>IFERROR(VLOOKUP($B92,'Hack Database'!$A:$J,5,FALSE),"")</f>
      </c>
      <c r="G92" s="113" t="str">
        <f>IFERROR(VLOOKUP($B92,'Hack Database'!$A:$J,6,FALSE),"")</f>
      </c>
      <c r="H92" s="137"/>
      <c r="I92" s="137"/>
      <c r="J92" s="131"/>
      <c r="K92" s="125" t="str">
        <f>IF($B92="","",IF($J92="Yes","100% Complete",IF($H92="","Planned",IF($I92="","In Progress","Finished"))))</f>
      </c>
      <c r="L92" s="143"/>
      <c r="M92" s="131"/>
      <c r="N92" s="155" t="str">
        <f>IFERROR(HYPERLINK(VLOOKUP($B92,'Hack Database'!$A:$J,9,FALSE),"Open Page"),"")</f>
      </c>
      <c r="O92" s="155" t="str">
        <f>IFERROR(HYPERLINK(VLOOKUP($B92,'Hack Database'!$A:$J,10,FALSE),"Download"),"")</f>
      </c>
      <c r="P92" s="149"/>
    </row>
    <row r="93" ht="23" customHeight="1">
      <c r="A93" s="92" t="str">
        <f>IF(C93="","",COUNTIF($C$2:C93,"&lt;&gt;"))</f>
      </c>
      <c r="B93" s="107"/>
      <c r="C93" s="113" t="str">
        <f>IFERROR(VLOOKUP($B93,'Hack Database'!$A:$J,2,FALSE),"")</f>
      </c>
      <c r="D93" s="113" t="str">
        <f>IFERROR(VLOOKUP($B93,'Hack Database'!$A:$J,3,FALSE),"")</f>
      </c>
      <c r="E93" s="125" t="str">
        <f>IFERROR(VLOOKUP($B93,'Hack Database'!$A:$J,4,FALSE),"")</f>
      </c>
      <c r="F93" s="125" t="str">
        <f>IFERROR(VLOOKUP($B93,'Hack Database'!$A:$J,5,FALSE),"")</f>
      </c>
      <c r="G93" s="113" t="str">
        <f>IFERROR(VLOOKUP($B93,'Hack Database'!$A:$J,6,FALSE),"")</f>
      </c>
      <c r="H93" s="137"/>
      <c r="I93" s="137"/>
      <c r="J93" s="131"/>
      <c r="K93" s="125" t="str">
        <f>IF($B93="","",IF($J93="Yes","100% Complete",IF($H93="","Planned",IF($I93="","In Progress","Finished"))))</f>
      </c>
      <c r="L93" s="143"/>
      <c r="M93" s="131"/>
      <c r="N93" s="155" t="str">
        <f>IFERROR(HYPERLINK(VLOOKUP($B93,'Hack Database'!$A:$J,9,FALSE),"Open Page"),"")</f>
      </c>
      <c r="O93" s="155" t="str">
        <f>IFERROR(HYPERLINK(VLOOKUP($B93,'Hack Database'!$A:$J,10,FALSE),"Download"),"")</f>
      </c>
      <c r="P93" s="149"/>
    </row>
    <row r="94" ht="23" customHeight="1">
      <c r="A94" s="92" t="str">
        <f>IF(C94="","",COUNTIF($C$2:C94,"&lt;&gt;"))</f>
      </c>
      <c r="B94" s="107"/>
      <c r="C94" s="113" t="str">
        <f>IFERROR(VLOOKUP($B94,'Hack Database'!$A:$J,2,FALSE),"")</f>
      </c>
      <c r="D94" s="113" t="str">
        <f>IFERROR(VLOOKUP($B94,'Hack Database'!$A:$J,3,FALSE),"")</f>
      </c>
      <c r="E94" s="125" t="str">
        <f>IFERROR(VLOOKUP($B94,'Hack Database'!$A:$J,4,FALSE),"")</f>
      </c>
      <c r="F94" s="125" t="str">
        <f>IFERROR(VLOOKUP($B94,'Hack Database'!$A:$J,5,FALSE),"")</f>
      </c>
      <c r="G94" s="113" t="str">
        <f>IFERROR(VLOOKUP($B94,'Hack Database'!$A:$J,6,FALSE),"")</f>
      </c>
      <c r="H94" s="137"/>
      <c r="I94" s="137"/>
      <c r="J94" s="131"/>
      <c r="K94" s="125" t="str">
        <f>IF($B94="","",IF($J94="Yes","100% Complete",IF($H94="","Planned",IF($I94="","In Progress","Finished"))))</f>
      </c>
      <c r="L94" s="143"/>
      <c r="M94" s="131"/>
      <c r="N94" s="155" t="str">
        <f>IFERROR(HYPERLINK(VLOOKUP($B94,'Hack Database'!$A:$J,9,FALSE),"Open Page"),"")</f>
      </c>
      <c r="O94" s="155" t="str">
        <f>IFERROR(HYPERLINK(VLOOKUP($B94,'Hack Database'!$A:$J,10,FALSE),"Download"),"")</f>
      </c>
      <c r="P94" s="149"/>
    </row>
    <row r="95" ht="23" customHeight="1">
      <c r="A95" s="92" t="str">
        <f>IF(C95="","",COUNTIF($C$2:C95,"&lt;&gt;"))</f>
      </c>
      <c r="B95" s="107"/>
      <c r="C95" s="113" t="str">
        <f>IFERROR(VLOOKUP($B95,'Hack Database'!$A:$J,2,FALSE),"")</f>
      </c>
      <c r="D95" s="113" t="str">
        <f>IFERROR(VLOOKUP($B95,'Hack Database'!$A:$J,3,FALSE),"")</f>
      </c>
      <c r="E95" s="125" t="str">
        <f>IFERROR(VLOOKUP($B95,'Hack Database'!$A:$J,4,FALSE),"")</f>
      </c>
      <c r="F95" s="125" t="str">
        <f>IFERROR(VLOOKUP($B95,'Hack Database'!$A:$J,5,FALSE),"")</f>
      </c>
      <c r="G95" s="113" t="str">
        <f>IFERROR(VLOOKUP($B95,'Hack Database'!$A:$J,6,FALSE),"")</f>
      </c>
      <c r="H95" s="137"/>
      <c r="I95" s="137"/>
      <c r="J95" s="131"/>
      <c r="K95" s="125" t="str">
        <f>IF($B95="","",IF($J95="Yes","100% Complete",IF($H95="","Planned",IF($I95="","In Progress","Finished"))))</f>
      </c>
      <c r="L95" s="143"/>
      <c r="M95" s="131"/>
      <c r="N95" s="155" t="str">
        <f>IFERROR(HYPERLINK(VLOOKUP($B95,'Hack Database'!$A:$J,9,FALSE),"Open Page"),"")</f>
      </c>
      <c r="O95" s="155" t="str">
        <f>IFERROR(HYPERLINK(VLOOKUP($B95,'Hack Database'!$A:$J,10,FALSE),"Download"),"")</f>
      </c>
      <c r="P95" s="149"/>
    </row>
    <row r="96" ht="23" customHeight="1">
      <c r="A96" s="92" t="str">
        <f>IF(C96="","",COUNTIF($C$2:C96,"&lt;&gt;"))</f>
      </c>
      <c r="B96" s="107"/>
      <c r="C96" s="113" t="str">
        <f>IFERROR(VLOOKUP($B96,'Hack Database'!$A:$J,2,FALSE),"")</f>
      </c>
      <c r="D96" s="113" t="str">
        <f>IFERROR(VLOOKUP($B96,'Hack Database'!$A:$J,3,FALSE),"")</f>
      </c>
      <c r="E96" s="125" t="str">
        <f>IFERROR(VLOOKUP($B96,'Hack Database'!$A:$J,4,FALSE),"")</f>
      </c>
      <c r="F96" s="125" t="str">
        <f>IFERROR(VLOOKUP($B96,'Hack Database'!$A:$J,5,FALSE),"")</f>
      </c>
      <c r="G96" s="113" t="str">
        <f>IFERROR(VLOOKUP($B96,'Hack Database'!$A:$J,6,FALSE),"")</f>
      </c>
      <c r="H96" s="137"/>
      <c r="I96" s="137"/>
      <c r="J96" s="131"/>
      <c r="K96" s="125" t="str">
        <f>IF($B96="","",IF($J96="Yes","100% Complete",IF($H96="","Planned",IF($I96="","In Progress","Finished"))))</f>
      </c>
      <c r="L96" s="143"/>
      <c r="M96" s="131"/>
      <c r="N96" s="155" t="str">
        <f>IFERROR(HYPERLINK(VLOOKUP($B96,'Hack Database'!$A:$J,9,FALSE),"Open Page"),"")</f>
      </c>
      <c r="O96" s="155" t="str">
        <f>IFERROR(HYPERLINK(VLOOKUP($B96,'Hack Database'!$A:$J,10,FALSE),"Download"),"")</f>
      </c>
      <c r="P96" s="149"/>
    </row>
    <row r="97" ht="23" customHeight="1">
      <c r="A97" s="92" t="str">
        <f>IF(C97="","",COUNTIF($C$2:C97,"&lt;&gt;"))</f>
      </c>
      <c r="B97" s="107"/>
      <c r="C97" s="113" t="str">
        <f>IFERROR(VLOOKUP($B97,'Hack Database'!$A:$J,2,FALSE),"")</f>
      </c>
      <c r="D97" s="113" t="str">
        <f>IFERROR(VLOOKUP($B97,'Hack Database'!$A:$J,3,FALSE),"")</f>
      </c>
      <c r="E97" s="125" t="str">
        <f>IFERROR(VLOOKUP($B97,'Hack Database'!$A:$J,4,FALSE),"")</f>
      </c>
      <c r="F97" s="125" t="str">
        <f>IFERROR(VLOOKUP($B97,'Hack Database'!$A:$J,5,FALSE),"")</f>
      </c>
      <c r="G97" s="113" t="str">
        <f>IFERROR(VLOOKUP($B97,'Hack Database'!$A:$J,6,FALSE),"")</f>
      </c>
      <c r="H97" s="137"/>
      <c r="I97" s="137"/>
      <c r="J97" s="131"/>
      <c r="K97" s="125" t="str">
        <f>IF($B97="","",IF($J97="Yes","100% Complete",IF($H97="","Planned",IF($I97="","In Progress","Finished"))))</f>
      </c>
      <c r="L97" s="143"/>
      <c r="M97" s="131"/>
      <c r="N97" s="155" t="str">
        <f>IFERROR(HYPERLINK(VLOOKUP($B97,'Hack Database'!$A:$J,9,FALSE),"Open Page"),"")</f>
      </c>
      <c r="O97" s="155" t="str">
        <f>IFERROR(HYPERLINK(VLOOKUP($B97,'Hack Database'!$A:$J,10,FALSE),"Download"),"")</f>
      </c>
      <c r="P97" s="149"/>
    </row>
    <row r="98" ht="23" customHeight="1">
      <c r="A98" s="92" t="str">
        <f>IF(C98="","",COUNTIF($C$2:C98,"&lt;&gt;"))</f>
      </c>
      <c r="B98" s="107"/>
      <c r="C98" s="113" t="str">
        <f>IFERROR(VLOOKUP($B98,'Hack Database'!$A:$J,2,FALSE),"")</f>
      </c>
      <c r="D98" s="113" t="str">
        <f>IFERROR(VLOOKUP($B98,'Hack Database'!$A:$J,3,FALSE),"")</f>
      </c>
      <c r="E98" s="125" t="str">
        <f>IFERROR(VLOOKUP($B98,'Hack Database'!$A:$J,4,FALSE),"")</f>
      </c>
      <c r="F98" s="125" t="str">
        <f>IFERROR(VLOOKUP($B98,'Hack Database'!$A:$J,5,FALSE),"")</f>
      </c>
      <c r="G98" s="113" t="str">
        <f>IFERROR(VLOOKUP($B98,'Hack Database'!$A:$J,6,FALSE),"")</f>
      </c>
      <c r="H98" s="137"/>
      <c r="I98" s="137"/>
      <c r="J98" s="131"/>
      <c r="K98" s="125" t="str">
        <f>IF($B98="","",IF($J98="Yes","100% Complete",IF($H98="","Planned",IF($I98="","In Progress","Finished"))))</f>
      </c>
      <c r="L98" s="143"/>
      <c r="M98" s="131"/>
      <c r="N98" s="155" t="str">
        <f>IFERROR(HYPERLINK(VLOOKUP($B98,'Hack Database'!$A:$J,9,FALSE),"Open Page"),"")</f>
      </c>
      <c r="O98" s="155" t="str">
        <f>IFERROR(HYPERLINK(VLOOKUP($B98,'Hack Database'!$A:$J,10,FALSE),"Download"),"")</f>
      </c>
      <c r="P98" s="149"/>
    </row>
    <row r="99" ht="23" customHeight="1">
      <c r="A99" s="92" t="str">
        <f>IF(C99="","",COUNTIF($C$2:C99,"&lt;&gt;"))</f>
      </c>
      <c r="B99" s="107"/>
      <c r="C99" s="113" t="str">
        <f>IFERROR(VLOOKUP($B99,'Hack Database'!$A:$J,2,FALSE),"")</f>
      </c>
      <c r="D99" s="113" t="str">
        <f>IFERROR(VLOOKUP($B99,'Hack Database'!$A:$J,3,FALSE),"")</f>
      </c>
      <c r="E99" s="125" t="str">
        <f>IFERROR(VLOOKUP($B99,'Hack Database'!$A:$J,4,FALSE),"")</f>
      </c>
      <c r="F99" s="125" t="str">
        <f>IFERROR(VLOOKUP($B99,'Hack Database'!$A:$J,5,FALSE),"")</f>
      </c>
      <c r="G99" s="113" t="str">
        <f>IFERROR(VLOOKUP($B99,'Hack Database'!$A:$J,6,FALSE),"")</f>
      </c>
      <c r="H99" s="137"/>
      <c r="I99" s="137"/>
      <c r="J99" s="131"/>
      <c r="K99" s="125" t="str">
        <f>IF($B99="","",IF($J99="Yes","100% Complete",IF($H99="","Planned",IF($I99="","In Progress","Finished"))))</f>
      </c>
      <c r="L99" s="143"/>
      <c r="M99" s="131"/>
      <c r="N99" s="155" t="str">
        <f>IFERROR(HYPERLINK(VLOOKUP($B99,'Hack Database'!$A:$J,9,FALSE),"Open Page"),"")</f>
      </c>
      <c r="O99" s="155" t="str">
        <f>IFERROR(HYPERLINK(VLOOKUP($B99,'Hack Database'!$A:$J,10,FALSE),"Download"),"")</f>
      </c>
      <c r="P99" s="149"/>
    </row>
    <row r="100" ht="23" customHeight="1">
      <c r="A100" s="92" t="str">
        <f>IF(C100="","",COUNTIF($C$2:C100,"&lt;&gt;"))</f>
      </c>
      <c r="B100" s="107"/>
      <c r="C100" s="113" t="str">
        <f>IFERROR(VLOOKUP($B100,'Hack Database'!$A:$J,2,FALSE),"")</f>
      </c>
      <c r="D100" s="113" t="str">
        <f>IFERROR(VLOOKUP($B100,'Hack Database'!$A:$J,3,FALSE),"")</f>
      </c>
      <c r="E100" s="125" t="str">
        <f>IFERROR(VLOOKUP($B100,'Hack Database'!$A:$J,4,FALSE),"")</f>
      </c>
      <c r="F100" s="125" t="str">
        <f>IFERROR(VLOOKUP($B100,'Hack Database'!$A:$J,5,FALSE),"")</f>
      </c>
      <c r="G100" s="113" t="str">
        <f>IFERROR(VLOOKUP($B100,'Hack Database'!$A:$J,6,FALSE),"")</f>
      </c>
      <c r="H100" s="137"/>
      <c r="I100" s="137"/>
      <c r="J100" s="131"/>
      <c r="K100" s="125" t="str">
        <f>IF($B100="","",IF($J100="Yes","100% Complete",IF($H100="","Planned",IF($I100="","In Progress","Finished"))))</f>
      </c>
      <c r="L100" s="143"/>
      <c r="M100" s="131"/>
      <c r="N100" s="155" t="str">
        <f>IFERROR(HYPERLINK(VLOOKUP($B100,'Hack Database'!$A:$J,9,FALSE),"Open Page"),"")</f>
      </c>
      <c r="O100" s="155" t="str">
        <f>IFERROR(HYPERLINK(VLOOKUP($B100,'Hack Database'!$A:$J,10,FALSE),"Download"),"")</f>
      </c>
      <c r="P100" s="149"/>
    </row>
    <row r="101" ht="23" customHeight="1">
      <c r="A101" s="92" t="str">
        <f>IF(C101="","",COUNTIF($C$2:C101,"&lt;&gt;"))</f>
      </c>
      <c r="B101" s="107"/>
      <c r="C101" s="113" t="str">
        <f>IFERROR(VLOOKUP($B101,'Hack Database'!$A:$J,2,FALSE),"")</f>
      </c>
      <c r="D101" s="113" t="str">
        <f>IFERROR(VLOOKUP($B101,'Hack Database'!$A:$J,3,FALSE),"")</f>
      </c>
      <c r="E101" s="125" t="str">
        <f>IFERROR(VLOOKUP($B101,'Hack Database'!$A:$J,4,FALSE),"")</f>
      </c>
      <c r="F101" s="125" t="str">
        <f>IFERROR(VLOOKUP($B101,'Hack Database'!$A:$J,5,FALSE),"")</f>
      </c>
      <c r="G101" s="113" t="str">
        <f>IFERROR(VLOOKUP($B101,'Hack Database'!$A:$J,6,FALSE),"")</f>
      </c>
      <c r="H101" s="137"/>
      <c r="I101" s="137"/>
      <c r="J101" s="131"/>
      <c r="K101" s="125" t="str">
        <f>IF($B101="","",IF($J101="Yes","100% Complete",IF($H101="","Planned",IF($I101="","In Progress","Finished"))))</f>
      </c>
      <c r="L101" s="143"/>
      <c r="M101" s="131"/>
      <c r="N101" s="155" t="str">
        <f>IFERROR(HYPERLINK(VLOOKUP($B101,'Hack Database'!$A:$J,9,FALSE),"Open Page"),"")</f>
      </c>
      <c r="O101" s="155" t="str">
        <f>IFERROR(HYPERLINK(VLOOKUP($B101,'Hack Database'!$A:$J,10,FALSE),"Download"),"")</f>
      </c>
      <c r="P101" s="149"/>
    </row>
    <row r="102" ht="23" customHeight="1">
      <c r="A102" s="92" t="str">
        <f>IF(C102="","",COUNTIF($C$2:C102,"&lt;&gt;"))</f>
      </c>
      <c r="B102" s="107"/>
      <c r="C102" s="113" t="str">
        <f>IFERROR(VLOOKUP($B102,'Hack Database'!$A:$J,2,FALSE),"")</f>
      </c>
      <c r="D102" s="113" t="str">
        <f>IFERROR(VLOOKUP($B102,'Hack Database'!$A:$J,3,FALSE),"")</f>
      </c>
      <c r="E102" s="125" t="str">
        <f>IFERROR(VLOOKUP($B102,'Hack Database'!$A:$J,4,FALSE),"")</f>
      </c>
      <c r="F102" s="125" t="str">
        <f>IFERROR(VLOOKUP($B102,'Hack Database'!$A:$J,5,FALSE),"")</f>
      </c>
      <c r="G102" s="113" t="str">
        <f>IFERROR(VLOOKUP($B102,'Hack Database'!$A:$J,6,FALSE),"")</f>
      </c>
      <c r="H102" s="137"/>
      <c r="I102" s="137"/>
      <c r="J102" s="131"/>
      <c r="K102" s="125" t="str">
        <f>IF($B102="","",IF($J102="Yes","100% Complete",IF($H102="","Planned",IF($I102="","In Progress","Finished"))))</f>
      </c>
      <c r="L102" s="143"/>
      <c r="M102" s="131"/>
      <c r="N102" s="155" t="str">
        <f>IFERROR(HYPERLINK(VLOOKUP($B102,'Hack Database'!$A:$J,9,FALSE),"Open Page"),"")</f>
      </c>
      <c r="O102" s="155" t="str">
        <f>IFERROR(HYPERLINK(VLOOKUP($B102,'Hack Database'!$A:$J,10,FALSE),"Download"),"")</f>
      </c>
      <c r="P102" s="149"/>
    </row>
    <row r="103" ht="23" customHeight="1">
      <c r="A103" s="92" t="str">
        <f>IF(C103="","",COUNTIF($C$2:C103,"&lt;&gt;"))</f>
      </c>
      <c r="B103" s="107"/>
      <c r="C103" s="113" t="str">
        <f>IFERROR(VLOOKUP($B103,'Hack Database'!$A:$J,2,FALSE),"")</f>
      </c>
      <c r="D103" s="113" t="str">
        <f>IFERROR(VLOOKUP($B103,'Hack Database'!$A:$J,3,FALSE),"")</f>
      </c>
      <c r="E103" s="125" t="str">
        <f>IFERROR(VLOOKUP($B103,'Hack Database'!$A:$J,4,FALSE),"")</f>
      </c>
      <c r="F103" s="125" t="str">
        <f>IFERROR(VLOOKUP($B103,'Hack Database'!$A:$J,5,FALSE),"")</f>
      </c>
      <c r="G103" s="113" t="str">
        <f>IFERROR(VLOOKUP($B103,'Hack Database'!$A:$J,6,FALSE),"")</f>
      </c>
      <c r="H103" s="137"/>
      <c r="I103" s="137"/>
      <c r="J103" s="131"/>
      <c r="K103" s="125" t="str">
        <f>IF($B103="","",IF($J103="Yes","100% Complete",IF($H103="","Planned",IF($I103="","In Progress","Finished"))))</f>
      </c>
      <c r="L103" s="143"/>
      <c r="M103" s="131"/>
      <c r="N103" s="155" t="str">
        <f>IFERROR(HYPERLINK(VLOOKUP($B103,'Hack Database'!$A:$J,9,FALSE),"Open Page"),"")</f>
      </c>
      <c r="O103" s="155" t="str">
        <f>IFERROR(HYPERLINK(VLOOKUP($B103,'Hack Database'!$A:$J,10,FALSE),"Download"),"")</f>
      </c>
      <c r="P103" s="149"/>
    </row>
    <row r="104" ht="23" customHeight="1">
      <c r="A104" s="92" t="str">
        <f>IF(C104="","",COUNTIF($C$2:C104,"&lt;&gt;"))</f>
      </c>
      <c r="B104" s="107"/>
      <c r="C104" s="113" t="str">
        <f>IFERROR(VLOOKUP($B104,'Hack Database'!$A:$J,2,FALSE),"")</f>
      </c>
      <c r="D104" s="113" t="str">
        <f>IFERROR(VLOOKUP($B104,'Hack Database'!$A:$J,3,FALSE),"")</f>
      </c>
      <c r="E104" s="125" t="str">
        <f>IFERROR(VLOOKUP($B104,'Hack Database'!$A:$J,4,FALSE),"")</f>
      </c>
      <c r="F104" s="125" t="str">
        <f>IFERROR(VLOOKUP($B104,'Hack Database'!$A:$J,5,FALSE),"")</f>
      </c>
      <c r="G104" s="113" t="str">
        <f>IFERROR(VLOOKUP($B104,'Hack Database'!$A:$J,6,FALSE),"")</f>
      </c>
      <c r="H104" s="137"/>
      <c r="I104" s="137"/>
      <c r="J104" s="131"/>
      <c r="K104" s="125" t="str">
        <f>IF($B104="","",IF($J104="Yes","100% Complete",IF($H104="","Planned",IF($I104="","In Progress","Finished"))))</f>
      </c>
      <c r="L104" s="143"/>
      <c r="M104" s="131"/>
      <c r="N104" s="155" t="str">
        <f>IFERROR(HYPERLINK(VLOOKUP($B104,'Hack Database'!$A:$J,9,FALSE),"Open Page"),"")</f>
      </c>
      <c r="O104" s="155" t="str">
        <f>IFERROR(HYPERLINK(VLOOKUP($B104,'Hack Database'!$A:$J,10,FALSE),"Download"),"")</f>
      </c>
      <c r="P104" s="149"/>
    </row>
    <row r="105" ht="23" customHeight="1">
      <c r="A105" s="92" t="str">
        <f>IF(C105="","",COUNTIF($C$2:C105,"&lt;&gt;"))</f>
      </c>
      <c r="B105" s="107"/>
      <c r="C105" s="113" t="str">
        <f>IFERROR(VLOOKUP($B105,'Hack Database'!$A:$J,2,FALSE),"")</f>
      </c>
      <c r="D105" s="113" t="str">
        <f>IFERROR(VLOOKUP($B105,'Hack Database'!$A:$J,3,FALSE),"")</f>
      </c>
      <c r="E105" s="125" t="str">
        <f>IFERROR(VLOOKUP($B105,'Hack Database'!$A:$J,4,FALSE),"")</f>
      </c>
      <c r="F105" s="125" t="str">
        <f>IFERROR(VLOOKUP($B105,'Hack Database'!$A:$J,5,FALSE),"")</f>
      </c>
      <c r="G105" s="113" t="str">
        <f>IFERROR(VLOOKUP($B105,'Hack Database'!$A:$J,6,FALSE),"")</f>
      </c>
      <c r="H105" s="137"/>
      <c r="I105" s="137"/>
      <c r="J105" s="131"/>
      <c r="K105" s="125" t="str">
        <f>IF($B105="","",IF($J105="Yes","100% Complete",IF($H105="","Planned",IF($I105="","In Progress","Finished"))))</f>
      </c>
      <c r="L105" s="143"/>
      <c r="M105" s="131"/>
      <c r="N105" s="155" t="str">
        <f>IFERROR(HYPERLINK(VLOOKUP($B105,'Hack Database'!$A:$J,9,FALSE),"Open Page"),"")</f>
      </c>
      <c r="O105" s="155" t="str">
        <f>IFERROR(HYPERLINK(VLOOKUP($B105,'Hack Database'!$A:$J,10,FALSE),"Download"),"")</f>
      </c>
      <c r="P105" s="149"/>
    </row>
    <row r="106" ht="23" customHeight="1">
      <c r="A106" s="92" t="str">
        <f>IF(C106="","",COUNTIF($C$2:C106,"&lt;&gt;"))</f>
      </c>
      <c r="B106" s="107"/>
      <c r="C106" s="113" t="str">
        <f>IFERROR(VLOOKUP($B106,'Hack Database'!$A:$J,2,FALSE),"")</f>
      </c>
      <c r="D106" s="113" t="str">
        <f>IFERROR(VLOOKUP($B106,'Hack Database'!$A:$J,3,FALSE),"")</f>
      </c>
      <c r="E106" s="125" t="str">
        <f>IFERROR(VLOOKUP($B106,'Hack Database'!$A:$J,4,FALSE),"")</f>
      </c>
      <c r="F106" s="125" t="str">
        <f>IFERROR(VLOOKUP($B106,'Hack Database'!$A:$J,5,FALSE),"")</f>
      </c>
      <c r="G106" s="113" t="str">
        <f>IFERROR(VLOOKUP($B106,'Hack Database'!$A:$J,6,FALSE),"")</f>
      </c>
      <c r="H106" s="137"/>
      <c r="I106" s="137"/>
      <c r="J106" s="131"/>
      <c r="K106" s="125" t="str">
        <f>IF($B106="","",IF($J106="Yes","100% Complete",IF($H106="","Planned",IF($I106="","In Progress","Finished"))))</f>
      </c>
      <c r="L106" s="143"/>
      <c r="M106" s="131"/>
      <c r="N106" s="155" t="str">
        <f>IFERROR(HYPERLINK(VLOOKUP($B106,'Hack Database'!$A:$J,9,FALSE),"Open Page"),"")</f>
      </c>
      <c r="O106" s="155" t="str">
        <f>IFERROR(HYPERLINK(VLOOKUP($B106,'Hack Database'!$A:$J,10,FALSE),"Download"),"")</f>
      </c>
      <c r="P106" s="149"/>
    </row>
    <row r="107" ht="23" customHeight="1">
      <c r="A107" s="92" t="str">
        <f>IF(C107="","",COUNTIF($C$2:C107,"&lt;&gt;"))</f>
      </c>
      <c r="B107" s="107"/>
      <c r="C107" s="113" t="str">
        <f>IFERROR(VLOOKUP($B107,'Hack Database'!$A:$J,2,FALSE),"")</f>
      </c>
      <c r="D107" s="113" t="str">
        <f>IFERROR(VLOOKUP($B107,'Hack Database'!$A:$J,3,FALSE),"")</f>
      </c>
      <c r="E107" s="125" t="str">
        <f>IFERROR(VLOOKUP($B107,'Hack Database'!$A:$J,4,FALSE),"")</f>
      </c>
      <c r="F107" s="125" t="str">
        <f>IFERROR(VLOOKUP($B107,'Hack Database'!$A:$J,5,FALSE),"")</f>
      </c>
      <c r="G107" s="113" t="str">
        <f>IFERROR(VLOOKUP($B107,'Hack Database'!$A:$J,6,FALSE),"")</f>
      </c>
      <c r="H107" s="137"/>
      <c r="I107" s="137"/>
      <c r="J107" s="131"/>
      <c r="K107" s="125" t="str">
        <f>IF($B107="","",IF($J107="Yes","100% Complete",IF($H107="","Planned",IF($I107="","In Progress","Finished"))))</f>
      </c>
      <c r="L107" s="143"/>
      <c r="M107" s="131"/>
      <c r="N107" s="155" t="str">
        <f>IFERROR(HYPERLINK(VLOOKUP($B107,'Hack Database'!$A:$J,9,FALSE),"Open Page"),"")</f>
      </c>
      <c r="O107" s="155" t="str">
        <f>IFERROR(HYPERLINK(VLOOKUP($B107,'Hack Database'!$A:$J,10,FALSE),"Download"),"")</f>
      </c>
      <c r="P107" s="149"/>
    </row>
    <row r="108" ht="23" customHeight="1">
      <c r="A108" s="92" t="str">
        <f>IF(C108="","",COUNTIF($C$2:C108,"&lt;&gt;"))</f>
      </c>
      <c r="B108" s="107"/>
      <c r="C108" s="113" t="str">
        <f>IFERROR(VLOOKUP($B108,'Hack Database'!$A:$J,2,FALSE),"")</f>
      </c>
      <c r="D108" s="113" t="str">
        <f>IFERROR(VLOOKUP($B108,'Hack Database'!$A:$J,3,FALSE),"")</f>
      </c>
      <c r="E108" s="125" t="str">
        <f>IFERROR(VLOOKUP($B108,'Hack Database'!$A:$J,4,FALSE),"")</f>
      </c>
      <c r="F108" s="125" t="str">
        <f>IFERROR(VLOOKUP($B108,'Hack Database'!$A:$J,5,FALSE),"")</f>
      </c>
      <c r="G108" s="113" t="str">
        <f>IFERROR(VLOOKUP($B108,'Hack Database'!$A:$J,6,FALSE),"")</f>
      </c>
      <c r="H108" s="137"/>
      <c r="I108" s="137"/>
      <c r="J108" s="131"/>
      <c r="K108" s="125" t="str">
        <f>IF($B108="","",IF($J108="Yes","100% Complete",IF($H108="","Planned",IF($I108="","In Progress","Finished"))))</f>
      </c>
      <c r="L108" s="143"/>
      <c r="M108" s="131"/>
      <c r="N108" s="155" t="str">
        <f>IFERROR(HYPERLINK(VLOOKUP($B108,'Hack Database'!$A:$J,9,FALSE),"Open Page"),"")</f>
      </c>
      <c r="O108" s="155" t="str">
        <f>IFERROR(HYPERLINK(VLOOKUP($B108,'Hack Database'!$A:$J,10,FALSE),"Download"),"")</f>
      </c>
      <c r="P108" s="149"/>
    </row>
    <row r="109" ht="23" customHeight="1">
      <c r="A109" s="92" t="str">
        <f>IF(C109="","",COUNTIF($C$2:C109,"&lt;&gt;"))</f>
      </c>
      <c r="B109" s="107"/>
      <c r="C109" s="113" t="str">
        <f>IFERROR(VLOOKUP($B109,'Hack Database'!$A:$J,2,FALSE),"")</f>
      </c>
      <c r="D109" s="113" t="str">
        <f>IFERROR(VLOOKUP($B109,'Hack Database'!$A:$J,3,FALSE),"")</f>
      </c>
      <c r="E109" s="125" t="str">
        <f>IFERROR(VLOOKUP($B109,'Hack Database'!$A:$J,4,FALSE),"")</f>
      </c>
      <c r="F109" s="125" t="str">
        <f>IFERROR(VLOOKUP($B109,'Hack Database'!$A:$J,5,FALSE),"")</f>
      </c>
      <c r="G109" s="113" t="str">
        <f>IFERROR(VLOOKUP($B109,'Hack Database'!$A:$J,6,FALSE),"")</f>
      </c>
      <c r="H109" s="137"/>
      <c r="I109" s="137"/>
      <c r="J109" s="131"/>
      <c r="K109" s="125" t="str">
        <f>IF($B109="","",IF($J109="Yes","100% Complete",IF($H109="","Planned",IF($I109="","In Progress","Finished"))))</f>
      </c>
      <c r="L109" s="143"/>
      <c r="M109" s="131"/>
      <c r="N109" s="155" t="str">
        <f>IFERROR(HYPERLINK(VLOOKUP($B109,'Hack Database'!$A:$J,9,FALSE),"Open Page"),"")</f>
      </c>
      <c r="O109" s="155" t="str">
        <f>IFERROR(HYPERLINK(VLOOKUP($B109,'Hack Database'!$A:$J,10,FALSE),"Download"),"")</f>
      </c>
      <c r="P109" s="149"/>
    </row>
    <row r="110" ht="23" customHeight="1">
      <c r="A110" s="92" t="str">
        <f>IF(C110="","",COUNTIF($C$2:C110,"&lt;&gt;"))</f>
      </c>
      <c r="B110" s="107"/>
      <c r="C110" s="113" t="str">
        <f>IFERROR(VLOOKUP($B110,'Hack Database'!$A:$J,2,FALSE),"")</f>
      </c>
      <c r="D110" s="113" t="str">
        <f>IFERROR(VLOOKUP($B110,'Hack Database'!$A:$J,3,FALSE),"")</f>
      </c>
      <c r="E110" s="125" t="str">
        <f>IFERROR(VLOOKUP($B110,'Hack Database'!$A:$J,4,FALSE),"")</f>
      </c>
      <c r="F110" s="125" t="str">
        <f>IFERROR(VLOOKUP($B110,'Hack Database'!$A:$J,5,FALSE),"")</f>
      </c>
      <c r="G110" s="113" t="str">
        <f>IFERROR(VLOOKUP($B110,'Hack Database'!$A:$J,6,FALSE),"")</f>
      </c>
      <c r="H110" s="137"/>
      <c r="I110" s="137"/>
      <c r="J110" s="131"/>
      <c r="K110" s="125" t="str">
        <f>IF($B110="","",IF($J110="Yes","100% Complete",IF($H110="","Planned",IF($I110="","In Progress","Finished"))))</f>
      </c>
      <c r="L110" s="143"/>
      <c r="M110" s="131"/>
      <c r="N110" s="155" t="str">
        <f>IFERROR(HYPERLINK(VLOOKUP($B110,'Hack Database'!$A:$J,9,FALSE),"Open Page"),"")</f>
      </c>
      <c r="O110" s="155" t="str">
        <f>IFERROR(HYPERLINK(VLOOKUP($B110,'Hack Database'!$A:$J,10,FALSE),"Download"),"")</f>
      </c>
      <c r="P110" s="149"/>
    </row>
    <row r="111" ht="23" customHeight="1">
      <c r="A111" s="92" t="str">
        <f>IF(C111="","",COUNTIF($C$2:C111,"&lt;&gt;"))</f>
      </c>
      <c r="B111" s="107"/>
      <c r="C111" s="113" t="str">
        <f>IFERROR(VLOOKUP($B111,'Hack Database'!$A:$J,2,FALSE),"")</f>
      </c>
      <c r="D111" s="113" t="str">
        <f>IFERROR(VLOOKUP($B111,'Hack Database'!$A:$J,3,FALSE),"")</f>
      </c>
      <c r="E111" s="125" t="str">
        <f>IFERROR(VLOOKUP($B111,'Hack Database'!$A:$J,4,FALSE),"")</f>
      </c>
      <c r="F111" s="125" t="str">
        <f>IFERROR(VLOOKUP($B111,'Hack Database'!$A:$J,5,FALSE),"")</f>
      </c>
      <c r="G111" s="113" t="str">
        <f>IFERROR(VLOOKUP($B111,'Hack Database'!$A:$J,6,FALSE),"")</f>
      </c>
      <c r="H111" s="137"/>
      <c r="I111" s="137"/>
      <c r="J111" s="131"/>
      <c r="K111" s="125" t="str">
        <f>IF($B111="","",IF($J111="Yes","100% Complete",IF($H111="","Planned",IF($I111="","In Progress","Finished"))))</f>
      </c>
      <c r="L111" s="143"/>
      <c r="M111" s="131"/>
      <c r="N111" s="155" t="str">
        <f>IFERROR(HYPERLINK(VLOOKUP($B111,'Hack Database'!$A:$J,9,FALSE),"Open Page"),"")</f>
      </c>
      <c r="O111" s="155" t="str">
        <f>IFERROR(HYPERLINK(VLOOKUP($B111,'Hack Database'!$A:$J,10,FALSE),"Download"),"")</f>
      </c>
      <c r="P111" s="149"/>
    </row>
    <row r="112" ht="23" customHeight="1">
      <c r="A112" s="92" t="str">
        <f>IF(C112="","",COUNTIF($C$2:C112,"&lt;&gt;"))</f>
      </c>
      <c r="B112" s="107"/>
      <c r="C112" s="113" t="str">
        <f>IFERROR(VLOOKUP($B112,'Hack Database'!$A:$J,2,FALSE),"")</f>
      </c>
      <c r="D112" s="113" t="str">
        <f>IFERROR(VLOOKUP($B112,'Hack Database'!$A:$J,3,FALSE),"")</f>
      </c>
      <c r="E112" s="125" t="str">
        <f>IFERROR(VLOOKUP($B112,'Hack Database'!$A:$J,4,FALSE),"")</f>
      </c>
      <c r="F112" s="125" t="str">
        <f>IFERROR(VLOOKUP($B112,'Hack Database'!$A:$J,5,FALSE),"")</f>
      </c>
      <c r="G112" s="113" t="str">
        <f>IFERROR(VLOOKUP($B112,'Hack Database'!$A:$J,6,FALSE),"")</f>
      </c>
      <c r="H112" s="137"/>
      <c r="I112" s="137"/>
      <c r="J112" s="131"/>
      <c r="K112" s="125" t="str">
        <f>IF($B112="","",IF($J112="Yes","100% Complete",IF($H112="","Planned",IF($I112="","In Progress","Finished"))))</f>
      </c>
      <c r="L112" s="143"/>
      <c r="M112" s="131"/>
      <c r="N112" s="155" t="str">
        <f>IFERROR(HYPERLINK(VLOOKUP($B112,'Hack Database'!$A:$J,9,FALSE),"Open Page"),"")</f>
      </c>
      <c r="O112" s="155" t="str">
        <f>IFERROR(HYPERLINK(VLOOKUP($B112,'Hack Database'!$A:$J,10,FALSE),"Download"),"")</f>
      </c>
      <c r="P112" s="149"/>
    </row>
    <row r="113" ht="23" customHeight="1">
      <c r="A113" s="92" t="str">
        <f>IF(C113="","",COUNTIF($C$2:C113,"&lt;&gt;"))</f>
      </c>
      <c r="B113" s="107"/>
      <c r="C113" s="113" t="str">
        <f>IFERROR(VLOOKUP($B113,'Hack Database'!$A:$J,2,FALSE),"")</f>
      </c>
      <c r="D113" s="113" t="str">
        <f>IFERROR(VLOOKUP($B113,'Hack Database'!$A:$J,3,FALSE),"")</f>
      </c>
      <c r="E113" s="125" t="str">
        <f>IFERROR(VLOOKUP($B113,'Hack Database'!$A:$J,4,FALSE),"")</f>
      </c>
      <c r="F113" s="125" t="str">
        <f>IFERROR(VLOOKUP($B113,'Hack Database'!$A:$J,5,FALSE),"")</f>
      </c>
      <c r="G113" s="113" t="str">
        <f>IFERROR(VLOOKUP($B113,'Hack Database'!$A:$J,6,FALSE),"")</f>
      </c>
      <c r="H113" s="137"/>
      <c r="I113" s="137"/>
      <c r="J113" s="131"/>
      <c r="K113" s="125" t="str">
        <f>IF($B113="","",IF($J113="Yes","100% Complete",IF($H113="","Planned",IF($I113="","In Progress","Finished"))))</f>
      </c>
      <c r="L113" s="143"/>
      <c r="M113" s="131"/>
      <c r="N113" s="155" t="str">
        <f>IFERROR(HYPERLINK(VLOOKUP($B113,'Hack Database'!$A:$J,9,FALSE),"Open Page"),"")</f>
      </c>
      <c r="O113" s="155" t="str">
        <f>IFERROR(HYPERLINK(VLOOKUP($B113,'Hack Database'!$A:$J,10,FALSE),"Download"),"")</f>
      </c>
      <c r="P113" s="149"/>
    </row>
    <row r="114" ht="23" customHeight="1">
      <c r="A114" s="92" t="str">
        <f>IF(C114="","",COUNTIF($C$2:C114,"&lt;&gt;"))</f>
      </c>
      <c r="B114" s="107"/>
      <c r="C114" s="113" t="str">
        <f>IFERROR(VLOOKUP($B114,'Hack Database'!$A:$J,2,FALSE),"")</f>
      </c>
      <c r="D114" s="113" t="str">
        <f>IFERROR(VLOOKUP($B114,'Hack Database'!$A:$J,3,FALSE),"")</f>
      </c>
      <c r="E114" s="125" t="str">
        <f>IFERROR(VLOOKUP($B114,'Hack Database'!$A:$J,4,FALSE),"")</f>
      </c>
      <c r="F114" s="125" t="str">
        <f>IFERROR(VLOOKUP($B114,'Hack Database'!$A:$J,5,FALSE),"")</f>
      </c>
      <c r="G114" s="113" t="str">
        <f>IFERROR(VLOOKUP($B114,'Hack Database'!$A:$J,6,FALSE),"")</f>
      </c>
      <c r="H114" s="137"/>
      <c r="I114" s="137"/>
      <c r="J114" s="131"/>
      <c r="K114" s="125" t="str">
        <f>IF($B114="","",IF($J114="Yes","100% Complete",IF($H114="","Planned",IF($I114="","In Progress","Finished"))))</f>
      </c>
      <c r="L114" s="143"/>
      <c r="M114" s="131"/>
      <c r="N114" s="155" t="str">
        <f>IFERROR(HYPERLINK(VLOOKUP($B114,'Hack Database'!$A:$J,9,FALSE),"Open Page"),"")</f>
      </c>
      <c r="O114" s="155" t="str">
        <f>IFERROR(HYPERLINK(VLOOKUP($B114,'Hack Database'!$A:$J,10,FALSE),"Download"),"")</f>
      </c>
      <c r="P114" s="149"/>
    </row>
    <row r="115" ht="23" customHeight="1">
      <c r="A115" s="92" t="str">
        <f>IF(C115="","",COUNTIF($C$2:C115,"&lt;&gt;"))</f>
      </c>
      <c r="B115" s="107"/>
      <c r="C115" s="113" t="str">
        <f>IFERROR(VLOOKUP($B115,'Hack Database'!$A:$J,2,FALSE),"")</f>
      </c>
      <c r="D115" s="113" t="str">
        <f>IFERROR(VLOOKUP($B115,'Hack Database'!$A:$J,3,FALSE),"")</f>
      </c>
      <c r="E115" s="125" t="str">
        <f>IFERROR(VLOOKUP($B115,'Hack Database'!$A:$J,4,FALSE),"")</f>
      </c>
      <c r="F115" s="125" t="str">
        <f>IFERROR(VLOOKUP($B115,'Hack Database'!$A:$J,5,FALSE),"")</f>
      </c>
      <c r="G115" s="113" t="str">
        <f>IFERROR(VLOOKUP($B115,'Hack Database'!$A:$J,6,FALSE),"")</f>
      </c>
      <c r="H115" s="137"/>
      <c r="I115" s="137"/>
      <c r="J115" s="131"/>
      <c r="K115" s="125" t="str">
        <f>IF($B115="","",IF($J115="Yes","100% Complete",IF($H115="","Planned",IF($I115="","In Progress","Finished"))))</f>
      </c>
      <c r="L115" s="143"/>
      <c r="M115" s="131"/>
      <c r="N115" s="155" t="str">
        <f>IFERROR(HYPERLINK(VLOOKUP($B115,'Hack Database'!$A:$J,9,FALSE),"Open Page"),"")</f>
      </c>
      <c r="O115" s="155" t="str">
        <f>IFERROR(HYPERLINK(VLOOKUP($B115,'Hack Database'!$A:$J,10,FALSE),"Download"),"")</f>
      </c>
      <c r="P115" s="149"/>
    </row>
    <row r="116" ht="23" customHeight="1">
      <c r="A116" s="92" t="str">
        <f>IF(C116="","",COUNTIF($C$2:C116,"&lt;&gt;"))</f>
      </c>
      <c r="B116" s="107"/>
      <c r="C116" s="113" t="str">
        <f>IFERROR(VLOOKUP($B116,'Hack Database'!$A:$J,2,FALSE),"")</f>
      </c>
      <c r="D116" s="113" t="str">
        <f>IFERROR(VLOOKUP($B116,'Hack Database'!$A:$J,3,FALSE),"")</f>
      </c>
      <c r="E116" s="125" t="str">
        <f>IFERROR(VLOOKUP($B116,'Hack Database'!$A:$J,4,FALSE),"")</f>
      </c>
      <c r="F116" s="125" t="str">
        <f>IFERROR(VLOOKUP($B116,'Hack Database'!$A:$J,5,FALSE),"")</f>
      </c>
      <c r="G116" s="113" t="str">
        <f>IFERROR(VLOOKUP($B116,'Hack Database'!$A:$J,6,FALSE),"")</f>
      </c>
      <c r="H116" s="137"/>
      <c r="I116" s="137"/>
      <c r="J116" s="131"/>
      <c r="K116" s="125" t="str">
        <f>IF($B116="","",IF($J116="Yes","100% Complete",IF($H116="","Planned",IF($I116="","In Progress","Finished"))))</f>
      </c>
      <c r="L116" s="143"/>
      <c r="M116" s="131"/>
      <c r="N116" s="155" t="str">
        <f>IFERROR(HYPERLINK(VLOOKUP($B116,'Hack Database'!$A:$J,9,FALSE),"Open Page"),"")</f>
      </c>
      <c r="O116" s="155" t="str">
        <f>IFERROR(HYPERLINK(VLOOKUP($B116,'Hack Database'!$A:$J,10,FALSE),"Download"),"")</f>
      </c>
      <c r="P116" s="149"/>
    </row>
    <row r="117" ht="23" customHeight="1">
      <c r="A117" s="92" t="str">
        <f>IF(C117="","",COUNTIF($C$2:C117,"&lt;&gt;"))</f>
      </c>
      <c r="B117" s="107"/>
      <c r="C117" s="113" t="str">
        <f>IFERROR(VLOOKUP($B117,'Hack Database'!$A:$J,2,FALSE),"")</f>
      </c>
      <c r="D117" s="113" t="str">
        <f>IFERROR(VLOOKUP($B117,'Hack Database'!$A:$J,3,FALSE),"")</f>
      </c>
      <c r="E117" s="125" t="str">
        <f>IFERROR(VLOOKUP($B117,'Hack Database'!$A:$J,4,FALSE),"")</f>
      </c>
      <c r="F117" s="125" t="str">
        <f>IFERROR(VLOOKUP($B117,'Hack Database'!$A:$J,5,FALSE),"")</f>
      </c>
      <c r="G117" s="113" t="str">
        <f>IFERROR(VLOOKUP($B117,'Hack Database'!$A:$J,6,FALSE),"")</f>
      </c>
      <c r="H117" s="137"/>
      <c r="I117" s="137"/>
      <c r="J117" s="131"/>
      <c r="K117" s="125" t="str">
        <f>IF($B117="","",IF($J117="Yes","100% Complete",IF($H117="","Planned",IF($I117="","In Progress","Finished"))))</f>
      </c>
      <c r="L117" s="143"/>
      <c r="M117" s="131"/>
      <c r="N117" s="155" t="str">
        <f>IFERROR(HYPERLINK(VLOOKUP($B117,'Hack Database'!$A:$J,9,FALSE),"Open Page"),"")</f>
      </c>
      <c r="O117" s="155" t="str">
        <f>IFERROR(HYPERLINK(VLOOKUP($B117,'Hack Database'!$A:$J,10,FALSE),"Download"),"")</f>
      </c>
      <c r="P117" s="149"/>
    </row>
    <row r="118" ht="23" customHeight="1">
      <c r="A118" s="92" t="str">
        <f>IF(C118="","",COUNTIF($C$2:C118,"&lt;&gt;"))</f>
      </c>
      <c r="B118" s="107"/>
      <c r="C118" s="113" t="str">
        <f>IFERROR(VLOOKUP($B118,'Hack Database'!$A:$J,2,FALSE),"")</f>
      </c>
      <c r="D118" s="113" t="str">
        <f>IFERROR(VLOOKUP($B118,'Hack Database'!$A:$J,3,FALSE),"")</f>
      </c>
      <c r="E118" s="125" t="str">
        <f>IFERROR(VLOOKUP($B118,'Hack Database'!$A:$J,4,FALSE),"")</f>
      </c>
      <c r="F118" s="125" t="str">
        <f>IFERROR(VLOOKUP($B118,'Hack Database'!$A:$J,5,FALSE),"")</f>
      </c>
      <c r="G118" s="113" t="str">
        <f>IFERROR(VLOOKUP($B118,'Hack Database'!$A:$J,6,FALSE),"")</f>
      </c>
      <c r="H118" s="137"/>
      <c r="I118" s="137"/>
      <c r="J118" s="131"/>
      <c r="K118" s="125" t="str">
        <f>IF($B118="","",IF($J118="Yes","100% Complete",IF($H118="","Planned",IF($I118="","In Progress","Finished"))))</f>
      </c>
      <c r="L118" s="143"/>
      <c r="M118" s="131"/>
      <c r="N118" s="155" t="str">
        <f>IFERROR(HYPERLINK(VLOOKUP($B118,'Hack Database'!$A:$J,9,FALSE),"Open Page"),"")</f>
      </c>
      <c r="O118" s="155" t="str">
        <f>IFERROR(HYPERLINK(VLOOKUP($B118,'Hack Database'!$A:$J,10,FALSE),"Download"),"")</f>
      </c>
      <c r="P118" s="149"/>
    </row>
    <row r="119" ht="23" customHeight="1">
      <c r="A119" s="92" t="str">
        <f>IF(C119="","",COUNTIF($C$2:C119,"&lt;&gt;"))</f>
      </c>
      <c r="B119" s="107"/>
      <c r="C119" s="113" t="str">
        <f>IFERROR(VLOOKUP($B119,'Hack Database'!$A:$J,2,FALSE),"")</f>
      </c>
      <c r="D119" s="113" t="str">
        <f>IFERROR(VLOOKUP($B119,'Hack Database'!$A:$J,3,FALSE),"")</f>
      </c>
      <c r="E119" s="125" t="str">
        <f>IFERROR(VLOOKUP($B119,'Hack Database'!$A:$J,4,FALSE),"")</f>
      </c>
      <c r="F119" s="125" t="str">
        <f>IFERROR(VLOOKUP($B119,'Hack Database'!$A:$J,5,FALSE),"")</f>
      </c>
      <c r="G119" s="113" t="str">
        <f>IFERROR(VLOOKUP($B119,'Hack Database'!$A:$J,6,FALSE),"")</f>
      </c>
      <c r="H119" s="137"/>
      <c r="I119" s="137"/>
      <c r="J119" s="131"/>
      <c r="K119" s="125" t="str">
        <f>IF($B119="","",IF($J119="Yes","100% Complete",IF($H119="","Planned",IF($I119="","In Progress","Finished"))))</f>
      </c>
      <c r="L119" s="143"/>
      <c r="M119" s="131"/>
      <c r="N119" s="155" t="str">
        <f>IFERROR(HYPERLINK(VLOOKUP($B119,'Hack Database'!$A:$J,9,FALSE),"Open Page"),"")</f>
      </c>
      <c r="O119" s="155" t="str">
        <f>IFERROR(HYPERLINK(VLOOKUP($B119,'Hack Database'!$A:$J,10,FALSE),"Download"),"")</f>
      </c>
      <c r="P119" s="149"/>
    </row>
    <row r="120" ht="23" customHeight="1">
      <c r="A120" s="92" t="str">
        <f>IF(C120="","",COUNTIF($C$2:C120,"&lt;&gt;"))</f>
      </c>
      <c r="B120" s="107"/>
      <c r="C120" s="113" t="str">
        <f>IFERROR(VLOOKUP($B120,'Hack Database'!$A:$J,2,FALSE),"")</f>
      </c>
      <c r="D120" s="113" t="str">
        <f>IFERROR(VLOOKUP($B120,'Hack Database'!$A:$J,3,FALSE),"")</f>
      </c>
      <c r="E120" s="125" t="str">
        <f>IFERROR(VLOOKUP($B120,'Hack Database'!$A:$J,4,FALSE),"")</f>
      </c>
      <c r="F120" s="125" t="str">
        <f>IFERROR(VLOOKUP($B120,'Hack Database'!$A:$J,5,FALSE),"")</f>
      </c>
      <c r="G120" s="113" t="str">
        <f>IFERROR(VLOOKUP($B120,'Hack Database'!$A:$J,6,FALSE),"")</f>
      </c>
      <c r="H120" s="137"/>
      <c r="I120" s="137"/>
      <c r="J120" s="131"/>
      <c r="K120" s="125" t="str">
        <f>IF($B120="","",IF($J120="Yes","100% Complete",IF($H120="","Planned",IF($I120="","In Progress","Finished"))))</f>
      </c>
      <c r="L120" s="143"/>
      <c r="M120" s="131"/>
      <c r="N120" s="155" t="str">
        <f>IFERROR(HYPERLINK(VLOOKUP($B120,'Hack Database'!$A:$J,9,FALSE),"Open Page"),"")</f>
      </c>
      <c r="O120" s="155" t="str">
        <f>IFERROR(HYPERLINK(VLOOKUP($B120,'Hack Database'!$A:$J,10,FALSE),"Download"),"")</f>
      </c>
      <c r="P120" s="149"/>
    </row>
    <row r="121" ht="23" customHeight="1">
      <c r="A121" s="92" t="str">
        <f>IF(C121="","",COUNTIF($C$2:C121,"&lt;&gt;"))</f>
      </c>
      <c r="B121" s="107"/>
      <c r="C121" s="113" t="str">
        <f>IFERROR(VLOOKUP($B121,'Hack Database'!$A:$J,2,FALSE),"")</f>
      </c>
      <c r="D121" s="113" t="str">
        <f>IFERROR(VLOOKUP($B121,'Hack Database'!$A:$J,3,FALSE),"")</f>
      </c>
      <c r="E121" s="125" t="str">
        <f>IFERROR(VLOOKUP($B121,'Hack Database'!$A:$J,4,FALSE),"")</f>
      </c>
      <c r="F121" s="125" t="str">
        <f>IFERROR(VLOOKUP($B121,'Hack Database'!$A:$J,5,FALSE),"")</f>
      </c>
      <c r="G121" s="113" t="str">
        <f>IFERROR(VLOOKUP($B121,'Hack Database'!$A:$J,6,FALSE),"")</f>
      </c>
      <c r="H121" s="137"/>
      <c r="I121" s="137"/>
      <c r="J121" s="131"/>
      <c r="K121" s="125" t="str">
        <f>IF($B121="","",IF($J121="Yes","100% Complete",IF($H121="","Planned",IF($I121="","In Progress","Finished"))))</f>
      </c>
      <c r="L121" s="143"/>
      <c r="M121" s="131"/>
      <c r="N121" s="155" t="str">
        <f>IFERROR(HYPERLINK(VLOOKUP($B121,'Hack Database'!$A:$J,9,FALSE),"Open Page"),"")</f>
      </c>
      <c r="O121" s="155" t="str">
        <f>IFERROR(HYPERLINK(VLOOKUP($B121,'Hack Database'!$A:$J,10,FALSE),"Download"),"")</f>
      </c>
      <c r="P121" s="149"/>
    </row>
    <row r="122" ht="23" customHeight="1">
      <c r="A122" s="92" t="str">
        <f>IF(C122="","",COUNTIF($C$2:C122,"&lt;&gt;"))</f>
      </c>
      <c r="B122" s="107"/>
      <c r="C122" s="113" t="str">
        <f>IFERROR(VLOOKUP($B122,'Hack Database'!$A:$J,2,FALSE),"")</f>
      </c>
      <c r="D122" s="113" t="str">
        <f>IFERROR(VLOOKUP($B122,'Hack Database'!$A:$J,3,FALSE),"")</f>
      </c>
      <c r="E122" s="125" t="str">
        <f>IFERROR(VLOOKUP($B122,'Hack Database'!$A:$J,4,FALSE),"")</f>
      </c>
      <c r="F122" s="125" t="str">
        <f>IFERROR(VLOOKUP($B122,'Hack Database'!$A:$J,5,FALSE),"")</f>
      </c>
      <c r="G122" s="113" t="str">
        <f>IFERROR(VLOOKUP($B122,'Hack Database'!$A:$J,6,FALSE),"")</f>
      </c>
      <c r="H122" s="137"/>
      <c r="I122" s="137"/>
      <c r="J122" s="131"/>
      <c r="K122" s="125" t="str">
        <f>IF($B122="","",IF($J122="Yes","100% Complete",IF($H122="","Planned",IF($I122="","In Progress","Finished"))))</f>
      </c>
      <c r="L122" s="143"/>
      <c r="M122" s="131"/>
      <c r="N122" s="155" t="str">
        <f>IFERROR(HYPERLINK(VLOOKUP($B122,'Hack Database'!$A:$J,9,FALSE),"Open Page"),"")</f>
      </c>
      <c r="O122" s="155" t="str">
        <f>IFERROR(HYPERLINK(VLOOKUP($B122,'Hack Database'!$A:$J,10,FALSE),"Download"),"")</f>
      </c>
      <c r="P122" s="149"/>
    </row>
    <row r="123" ht="23" customHeight="1">
      <c r="A123" s="92" t="str">
        <f>IF(C123="","",COUNTIF($C$2:C123,"&lt;&gt;"))</f>
      </c>
      <c r="B123" s="107"/>
      <c r="C123" s="113" t="str">
        <f>IFERROR(VLOOKUP($B123,'Hack Database'!$A:$J,2,FALSE),"")</f>
      </c>
      <c r="D123" s="113" t="str">
        <f>IFERROR(VLOOKUP($B123,'Hack Database'!$A:$J,3,FALSE),"")</f>
      </c>
      <c r="E123" s="125" t="str">
        <f>IFERROR(VLOOKUP($B123,'Hack Database'!$A:$J,4,FALSE),"")</f>
      </c>
      <c r="F123" s="125" t="str">
        <f>IFERROR(VLOOKUP($B123,'Hack Database'!$A:$J,5,FALSE),"")</f>
      </c>
      <c r="G123" s="113" t="str">
        <f>IFERROR(VLOOKUP($B123,'Hack Database'!$A:$J,6,FALSE),"")</f>
      </c>
      <c r="H123" s="137"/>
      <c r="I123" s="137"/>
      <c r="J123" s="131"/>
      <c r="K123" s="125" t="str">
        <f>IF($B123="","",IF($J123="Yes","100% Complete",IF($H123="","Planned",IF($I123="","In Progress","Finished"))))</f>
      </c>
      <c r="L123" s="143"/>
      <c r="M123" s="131"/>
      <c r="N123" s="155" t="str">
        <f>IFERROR(HYPERLINK(VLOOKUP($B123,'Hack Database'!$A:$J,9,FALSE),"Open Page"),"")</f>
      </c>
      <c r="O123" s="155" t="str">
        <f>IFERROR(HYPERLINK(VLOOKUP($B123,'Hack Database'!$A:$J,10,FALSE),"Download"),"")</f>
      </c>
      <c r="P123" s="149"/>
    </row>
    <row r="124" ht="23" customHeight="1">
      <c r="A124" s="92" t="str">
        <f>IF(C124="","",COUNTIF($C$2:C124,"&lt;&gt;"))</f>
      </c>
      <c r="B124" s="107"/>
      <c r="C124" s="113" t="str">
        <f>IFERROR(VLOOKUP($B124,'Hack Database'!$A:$J,2,FALSE),"")</f>
      </c>
      <c r="D124" s="113" t="str">
        <f>IFERROR(VLOOKUP($B124,'Hack Database'!$A:$J,3,FALSE),"")</f>
      </c>
      <c r="E124" s="125" t="str">
        <f>IFERROR(VLOOKUP($B124,'Hack Database'!$A:$J,4,FALSE),"")</f>
      </c>
      <c r="F124" s="125" t="str">
        <f>IFERROR(VLOOKUP($B124,'Hack Database'!$A:$J,5,FALSE),"")</f>
      </c>
      <c r="G124" s="113" t="str">
        <f>IFERROR(VLOOKUP($B124,'Hack Database'!$A:$J,6,FALSE),"")</f>
      </c>
      <c r="H124" s="137"/>
      <c r="I124" s="137"/>
      <c r="J124" s="131"/>
      <c r="K124" s="125" t="str">
        <f>IF($B124="","",IF($J124="Yes","100% Complete",IF($H124="","Planned",IF($I124="","In Progress","Finished"))))</f>
      </c>
      <c r="L124" s="143"/>
      <c r="M124" s="131"/>
      <c r="N124" s="155" t="str">
        <f>IFERROR(HYPERLINK(VLOOKUP($B124,'Hack Database'!$A:$J,9,FALSE),"Open Page"),"")</f>
      </c>
      <c r="O124" s="155" t="str">
        <f>IFERROR(HYPERLINK(VLOOKUP($B124,'Hack Database'!$A:$J,10,FALSE),"Download"),"")</f>
      </c>
      <c r="P124" s="149"/>
    </row>
    <row r="125" ht="23" customHeight="1">
      <c r="A125" s="92" t="str">
        <f>IF(C125="","",COUNTIF($C$2:C125,"&lt;&gt;"))</f>
      </c>
      <c r="B125" s="107"/>
      <c r="C125" s="113" t="str">
        <f>IFERROR(VLOOKUP($B125,'Hack Database'!$A:$J,2,FALSE),"")</f>
      </c>
      <c r="D125" s="113" t="str">
        <f>IFERROR(VLOOKUP($B125,'Hack Database'!$A:$J,3,FALSE),"")</f>
      </c>
      <c r="E125" s="125" t="str">
        <f>IFERROR(VLOOKUP($B125,'Hack Database'!$A:$J,4,FALSE),"")</f>
      </c>
      <c r="F125" s="125" t="str">
        <f>IFERROR(VLOOKUP($B125,'Hack Database'!$A:$J,5,FALSE),"")</f>
      </c>
      <c r="G125" s="113" t="str">
        <f>IFERROR(VLOOKUP($B125,'Hack Database'!$A:$J,6,FALSE),"")</f>
      </c>
      <c r="H125" s="137"/>
      <c r="I125" s="137"/>
      <c r="J125" s="131"/>
      <c r="K125" s="125" t="str">
        <f>IF($B125="","",IF($J125="Yes","100% Complete",IF($H125="","Planned",IF($I125="","In Progress","Finished"))))</f>
      </c>
      <c r="L125" s="143"/>
      <c r="M125" s="131"/>
      <c r="N125" s="155" t="str">
        <f>IFERROR(HYPERLINK(VLOOKUP($B125,'Hack Database'!$A:$J,9,FALSE),"Open Page"),"")</f>
      </c>
      <c r="O125" s="155" t="str">
        <f>IFERROR(HYPERLINK(VLOOKUP($B125,'Hack Database'!$A:$J,10,FALSE),"Download"),"")</f>
      </c>
      <c r="P125" s="149"/>
    </row>
    <row r="126" ht="23" customHeight="1">
      <c r="A126" s="92" t="str">
        <f>IF(C126="","",COUNTIF($C$2:C126,"&lt;&gt;"))</f>
      </c>
      <c r="B126" s="107"/>
      <c r="C126" s="113" t="str">
        <f>IFERROR(VLOOKUP($B126,'Hack Database'!$A:$J,2,FALSE),"")</f>
      </c>
      <c r="D126" s="113" t="str">
        <f>IFERROR(VLOOKUP($B126,'Hack Database'!$A:$J,3,FALSE),"")</f>
      </c>
      <c r="E126" s="125" t="str">
        <f>IFERROR(VLOOKUP($B126,'Hack Database'!$A:$J,4,FALSE),"")</f>
      </c>
      <c r="F126" s="125" t="str">
        <f>IFERROR(VLOOKUP($B126,'Hack Database'!$A:$J,5,FALSE),"")</f>
      </c>
      <c r="G126" s="113" t="str">
        <f>IFERROR(VLOOKUP($B126,'Hack Database'!$A:$J,6,FALSE),"")</f>
      </c>
      <c r="H126" s="137"/>
      <c r="I126" s="137"/>
      <c r="J126" s="131"/>
      <c r="K126" s="125" t="str">
        <f>IF($B126="","",IF($J126="Yes","100% Complete",IF($H126="","Planned",IF($I126="","In Progress","Finished"))))</f>
      </c>
      <c r="L126" s="143"/>
      <c r="M126" s="131"/>
      <c r="N126" s="155" t="str">
        <f>IFERROR(HYPERLINK(VLOOKUP($B126,'Hack Database'!$A:$J,9,FALSE),"Open Page"),"")</f>
      </c>
      <c r="O126" s="155" t="str">
        <f>IFERROR(HYPERLINK(VLOOKUP($B126,'Hack Database'!$A:$J,10,FALSE),"Download"),"")</f>
      </c>
      <c r="P126" s="149"/>
    </row>
    <row r="127" ht="23" customHeight="1">
      <c r="A127" s="92" t="str">
        <f>IF(C127="","",COUNTIF($C$2:C127,"&lt;&gt;"))</f>
      </c>
      <c r="B127" s="107"/>
      <c r="C127" s="113" t="str">
        <f>IFERROR(VLOOKUP($B127,'Hack Database'!$A:$J,2,FALSE),"")</f>
      </c>
      <c r="D127" s="113" t="str">
        <f>IFERROR(VLOOKUP($B127,'Hack Database'!$A:$J,3,FALSE),"")</f>
      </c>
      <c r="E127" s="125" t="str">
        <f>IFERROR(VLOOKUP($B127,'Hack Database'!$A:$J,4,FALSE),"")</f>
      </c>
      <c r="F127" s="125" t="str">
        <f>IFERROR(VLOOKUP($B127,'Hack Database'!$A:$J,5,FALSE),"")</f>
      </c>
      <c r="G127" s="113" t="str">
        <f>IFERROR(VLOOKUP($B127,'Hack Database'!$A:$J,6,FALSE),"")</f>
      </c>
      <c r="H127" s="137"/>
      <c r="I127" s="137"/>
      <c r="J127" s="131"/>
      <c r="K127" s="125" t="str">
        <f>IF($B127="","",IF($J127="Yes","100% Complete",IF($H127="","Planned",IF($I127="","In Progress","Finished"))))</f>
      </c>
      <c r="L127" s="143"/>
      <c r="M127" s="131"/>
      <c r="N127" s="155" t="str">
        <f>IFERROR(HYPERLINK(VLOOKUP($B127,'Hack Database'!$A:$J,9,FALSE),"Open Page"),"")</f>
      </c>
      <c r="O127" s="155" t="str">
        <f>IFERROR(HYPERLINK(VLOOKUP($B127,'Hack Database'!$A:$J,10,FALSE),"Download"),"")</f>
      </c>
      <c r="P127" s="149"/>
    </row>
    <row r="128" ht="23" customHeight="1">
      <c r="A128" s="92" t="str">
        <f>IF(C128="","",COUNTIF($C$2:C128,"&lt;&gt;"))</f>
      </c>
      <c r="B128" s="107"/>
      <c r="C128" s="113" t="str">
        <f>IFERROR(VLOOKUP($B128,'Hack Database'!$A:$J,2,FALSE),"")</f>
      </c>
      <c r="D128" s="113" t="str">
        <f>IFERROR(VLOOKUP($B128,'Hack Database'!$A:$J,3,FALSE),"")</f>
      </c>
      <c r="E128" s="125" t="str">
        <f>IFERROR(VLOOKUP($B128,'Hack Database'!$A:$J,4,FALSE),"")</f>
      </c>
      <c r="F128" s="125" t="str">
        <f>IFERROR(VLOOKUP($B128,'Hack Database'!$A:$J,5,FALSE),"")</f>
      </c>
      <c r="G128" s="113" t="str">
        <f>IFERROR(VLOOKUP($B128,'Hack Database'!$A:$J,6,FALSE),"")</f>
      </c>
      <c r="H128" s="137"/>
      <c r="I128" s="137"/>
      <c r="J128" s="131"/>
      <c r="K128" s="125" t="str">
        <f>IF($B128="","",IF($J128="Yes","100% Complete",IF($H128="","Planned",IF($I128="","In Progress","Finished"))))</f>
      </c>
      <c r="L128" s="143"/>
      <c r="M128" s="131"/>
      <c r="N128" s="155" t="str">
        <f>IFERROR(HYPERLINK(VLOOKUP($B128,'Hack Database'!$A:$J,9,FALSE),"Open Page"),"")</f>
      </c>
      <c r="O128" s="155" t="str">
        <f>IFERROR(HYPERLINK(VLOOKUP($B128,'Hack Database'!$A:$J,10,FALSE),"Download"),"")</f>
      </c>
      <c r="P128" s="149"/>
    </row>
    <row r="129" ht="23" customHeight="1">
      <c r="A129" s="92" t="str">
        <f>IF(C129="","",COUNTIF($C$2:C129,"&lt;&gt;"))</f>
      </c>
      <c r="B129" s="107"/>
      <c r="C129" s="113" t="str">
        <f>IFERROR(VLOOKUP($B129,'Hack Database'!$A:$J,2,FALSE),"")</f>
      </c>
      <c r="D129" s="113" t="str">
        <f>IFERROR(VLOOKUP($B129,'Hack Database'!$A:$J,3,FALSE),"")</f>
      </c>
      <c r="E129" s="125" t="str">
        <f>IFERROR(VLOOKUP($B129,'Hack Database'!$A:$J,4,FALSE),"")</f>
      </c>
      <c r="F129" s="125" t="str">
        <f>IFERROR(VLOOKUP($B129,'Hack Database'!$A:$J,5,FALSE),"")</f>
      </c>
      <c r="G129" s="113" t="str">
        <f>IFERROR(VLOOKUP($B129,'Hack Database'!$A:$J,6,FALSE),"")</f>
      </c>
      <c r="H129" s="137"/>
      <c r="I129" s="137"/>
      <c r="J129" s="131"/>
      <c r="K129" s="125" t="str">
        <f>IF($B129="","",IF($J129="Yes","100% Complete",IF($H129="","Planned",IF($I129="","In Progress","Finished"))))</f>
      </c>
      <c r="L129" s="143"/>
      <c r="M129" s="131"/>
      <c r="N129" s="155" t="str">
        <f>IFERROR(HYPERLINK(VLOOKUP($B129,'Hack Database'!$A:$J,9,FALSE),"Open Page"),"")</f>
      </c>
      <c r="O129" s="155" t="str">
        <f>IFERROR(HYPERLINK(VLOOKUP($B129,'Hack Database'!$A:$J,10,FALSE),"Download"),"")</f>
      </c>
      <c r="P129" s="149"/>
    </row>
    <row r="130" ht="23" customHeight="1">
      <c r="A130" s="92" t="str">
        <f>IF(C130="","",COUNTIF($C$2:C130,"&lt;&gt;"))</f>
      </c>
      <c r="B130" s="107"/>
      <c r="C130" s="113" t="str">
        <f>IFERROR(VLOOKUP($B130,'Hack Database'!$A:$J,2,FALSE),"")</f>
      </c>
      <c r="D130" s="113" t="str">
        <f>IFERROR(VLOOKUP($B130,'Hack Database'!$A:$J,3,FALSE),"")</f>
      </c>
      <c r="E130" s="125" t="str">
        <f>IFERROR(VLOOKUP($B130,'Hack Database'!$A:$J,4,FALSE),"")</f>
      </c>
      <c r="F130" s="125" t="str">
        <f>IFERROR(VLOOKUP($B130,'Hack Database'!$A:$J,5,FALSE),"")</f>
      </c>
      <c r="G130" s="113" t="str">
        <f>IFERROR(VLOOKUP($B130,'Hack Database'!$A:$J,6,FALSE),"")</f>
      </c>
      <c r="H130" s="137"/>
      <c r="I130" s="137"/>
      <c r="J130" s="131"/>
      <c r="K130" s="125" t="str">
        <f>IF($B130="","",IF($J130="Yes","100% Complete",IF($H130="","Planned",IF($I130="","In Progress","Finished"))))</f>
      </c>
      <c r="L130" s="143"/>
      <c r="M130" s="131"/>
      <c r="N130" s="155" t="str">
        <f>IFERROR(HYPERLINK(VLOOKUP($B130,'Hack Database'!$A:$J,9,FALSE),"Open Page"),"")</f>
      </c>
      <c r="O130" s="155" t="str">
        <f>IFERROR(HYPERLINK(VLOOKUP($B130,'Hack Database'!$A:$J,10,FALSE),"Download"),"")</f>
      </c>
      <c r="P130" s="149"/>
    </row>
    <row r="131" ht="23" customHeight="1">
      <c r="A131" s="92" t="str">
        <f>IF(C131="","",COUNTIF($C$2:C131,"&lt;&gt;"))</f>
      </c>
      <c r="B131" s="107"/>
      <c r="C131" s="113" t="str">
        <f>IFERROR(VLOOKUP($B131,'Hack Database'!$A:$J,2,FALSE),"")</f>
      </c>
      <c r="D131" s="113" t="str">
        <f>IFERROR(VLOOKUP($B131,'Hack Database'!$A:$J,3,FALSE),"")</f>
      </c>
      <c r="E131" s="125" t="str">
        <f>IFERROR(VLOOKUP($B131,'Hack Database'!$A:$J,4,FALSE),"")</f>
      </c>
      <c r="F131" s="125" t="str">
        <f>IFERROR(VLOOKUP($B131,'Hack Database'!$A:$J,5,FALSE),"")</f>
      </c>
      <c r="G131" s="113" t="str">
        <f>IFERROR(VLOOKUP($B131,'Hack Database'!$A:$J,6,FALSE),"")</f>
      </c>
      <c r="H131" s="137"/>
      <c r="I131" s="137"/>
      <c r="J131" s="131"/>
      <c r="K131" s="125" t="str">
        <f>IF($B131="","",IF($J131="Yes","100% Complete",IF($H131="","Planned",IF($I131="","In Progress","Finished"))))</f>
      </c>
      <c r="L131" s="143"/>
      <c r="M131" s="131"/>
      <c r="N131" s="155" t="str">
        <f>IFERROR(HYPERLINK(VLOOKUP($B131,'Hack Database'!$A:$J,9,FALSE),"Open Page"),"")</f>
      </c>
      <c r="O131" s="155" t="str">
        <f>IFERROR(HYPERLINK(VLOOKUP($B131,'Hack Database'!$A:$J,10,FALSE),"Download"),"")</f>
      </c>
      <c r="P131" s="149"/>
    </row>
    <row r="132" ht="23" customHeight="1">
      <c r="A132" s="92" t="str">
        <f>IF(C132="","",COUNTIF($C$2:C132,"&lt;&gt;"))</f>
      </c>
      <c r="B132" s="107"/>
      <c r="C132" s="113" t="str">
        <f>IFERROR(VLOOKUP($B132,'Hack Database'!$A:$J,2,FALSE),"")</f>
      </c>
      <c r="D132" s="113" t="str">
        <f>IFERROR(VLOOKUP($B132,'Hack Database'!$A:$J,3,FALSE),"")</f>
      </c>
      <c r="E132" s="125" t="str">
        <f>IFERROR(VLOOKUP($B132,'Hack Database'!$A:$J,4,FALSE),"")</f>
      </c>
      <c r="F132" s="125" t="str">
        <f>IFERROR(VLOOKUP($B132,'Hack Database'!$A:$J,5,FALSE),"")</f>
      </c>
      <c r="G132" s="113" t="str">
        <f>IFERROR(VLOOKUP($B132,'Hack Database'!$A:$J,6,FALSE),"")</f>
      </c>
      <c r="H132" s="137"/>
      <c r="I132" s="137"/>
      <c r="J132" s="131"/>
      <c r="K132" s="125" t="str">
        <f>IF($B132="","",IF($J132="Yes","100% Complete",IF($H132="","Planned",IF($I132="","In Progress","Finished"))))</f>
      </c>
      <c r="L132" s="143"/>
      <c r="M132" s="131"/>
      <c r="N132" s="155" t="str">
        <f>IFERROR(HYPERLINK(VLOOKUP($B132,'Hack Database'!$A:$J,9,FALSE),"Open Page"),"")</f>
      </c>
      <c r="O132" s="155" t="str">
        <f>IFERROR(HYPERLINK(VLOOKUP($B132,'Hack Database'!$A:$J,10,FALSE),"Download"),"")</f>
      </c>
      <c r="P132" s="149"/>
    </row>
    <row r="133" ht="23" customHeight="1">
      <c r="A133" s="92" t="str">
        <f>IF(C133="","",COUNTIF($C$2:C133,"&lt;&gt;"))</f>
      </c>
      <c r="B133" s="107"/>
      <c r="C133" s="113" t="str">
        <f>IFERROR(VLOOKUP($B133,'Hack Database'!$A:$J,2,FALSE),"")</f>
      </c>
      <c r="D133" s="113" t="str">
        <f>IFERROR(VLOOKUP($B133,'Hack Database'!$A:$J,3,FALSE),"")</f>
      </c>
      <c r="E133" s="125" t="str">
        <f>IFERROR(VLOOKUP($B133,'Hack Database'!$A:$J,4,FALSE),"")</f>
      </c>
      <c r="F133" s="125" t="str">
        <f>IFERROR(VLOOKUP($B133,'Hack Database'!$A:$J,5,FALSE),"")</f>
      </c>
      <c r="G133" s="113" t="str">
        <f>IFERROR(VLOOKUP($B133,'Hack Database'!$A:$J,6,FALSE),"")</f>
      </c>
      <c r="H133" s="137"/>
      <c r="I133" s="137"/>
      <c r="J133" s="131"/>
      <c r="K133" s="125" t="str">
        <f>IF($B133="","",IF($J133="Yes","100% Complete",IF($H133="","Planned",IF($I133="","In Progress","Finished"))))</f>
      </c>
      <c r="L133" s="143"/>
      <c r="M133" s="131"/>
      <c r="N133" s="155" t="str">
        <f>IFERROR(HYPERLINK(VLOOKUP($B133,'Hack Database'!$A:$J,9,FALSE),"Open Page"),"")</f>
      </c>
      <c r="O133" s="155" t="str">
        <f>IFERROR(HYPERLINK(VLOOKUP($B133,'Hack Database'!$A:$J,10,FALSE),"Download"),"")</f>
      </c>
      <c r="P133" s="149"/>
    </row>
    <row r="134" ht="23" customHeight="1">
      <c r="A134" s="92" t="str">
        <f>IF(C134="","",COUNTIF($C$2:C134,"&lt;&gt;"))</f>
      </c>
      <c r="B134" s="107"/>
      <c r="C134" s="113" t="str">
        <f>IFERROR(VLOOKUP($B134,'Hack Database'!$A:$J,2,FALSE),"")</f>
      </c>
      <c r="D134" s="113" t="str">
        <f>IFERROR(VLOOKUP($B134,'Hack Database'!$A:$J,3,FALSE),"")</f>
      </c>
      <c r="E134" s="125" t="str">
        <f>IFERROR(VLOOKUP($B134,'Hack Database'!$A:$J,4,FALSE),"")</f>
      </c>
      <c r="F134" s="125" t="str">
        <f>IFERROR(VLOOKUP($B134,'Hack Database'!$A:$J,5,FALSE),"")</f>
      </c>
      <c r="G134" s="113" t="str">
        <f>IFERROR(VLOOKUP($B134,'Hack Database'!$A:$J,6,FALSE),"")</f>
      </c>
      <c r="H134" s="137"/>
      <c r="I134" s="137"/>
      <c r="J134" s="131"/>
      <c r="K134" s="125" t="str">
        <f>IF($B134="","",IF($J134="Yes","100% Complete",IF($H134="","Planned",IF($I134="","In Progress","Finished"))))</f>
      </c>
      <c r="L134" s="143"/>
      <c r="M134" s="131"/>
      <c r="N134" s="155" t="str">
        <f>IFERROR(HYPERLINK(VLOOKUP($B134,'Hack Database'!$A:$J,9,FALSE),"Open Page"),"")</f>
      </c>
      <c r="O134" s="155" t="str">
        <f>IFERROR(HYPERLINK(VLOOKUP($B134,'Hack Database'!$A:$J,10,FALSE),"Download"),"")</f>
      </c>
      <c r="P134" s="149"/>
    </row>
    <row r="135" ht="23" customHeight="1">
      <c r="A135" s="92" t="str">
        <f>IF(C135="","",COUNTIF($C$2:C135,"&lt;&gt;"))</f>
      </c>
      <c r="B135" s="107"/>
      <c r="C135" s="113" t="str">
        <f>IFERROR(VLOOKUP($B135,'Hack Database'!$A:$J,2,FALSE),"")</f>
      </c>
      <c r="D135" s="113" t="str">
        <f>IFERROR(VLOOKUP($B135,'Hack Database'!$A:$J,3,FALSE),"")</f>
      </c>
      <c r="E135" s="125" t="str">
        <f>IFERROR(VLOOKUP($B135,'Hack Database'!$A:$J,4,FALSE),"")</f>
      </c>
      <c r="F135" s="125" t="str">
        <f>IFERROR(VLOOKUP($B135,'Hack Database'!$A:$J,5,FALSE),"")</f>
      </c>
      <c r="G135" s="113" t="str">
        <f>IFERROR(VLOOKUP($B135,'Hack Database'!$A:$J,6,FALSE),"")</f>
      </c>
      <c r="H135" s="137"/>
      <c r="I135" s="137"/>
      <c r="J135" s="131"/>
      <c r="K135" s="125" t="str">
        <f>IF($B135="","",IF($J135="Yes","100% Complete",IF($H135="","Planned",IF($I135="","In Progress","Finished"))))</f>
      </c>
      <c r="L135" s="143"/>
      <c r="M135" s="131"/>
      <c r="N135" s="155" t="str">
        <f>IFERROR(HYPERLINK(VLOOKUP($B135,'Hack Database'!$A:$J,9,FALSE),"Open Page"),"")</f>
      </c>
      <c r="O135" s="155" t="str">
        <f>IFERROR(HYPERLINK(VLOOKUP($B135,'Hack Database'!$A:$J,10,FALSE),"Download"),"")</f>
      </c>
      <c r="P135" s="149"/>
    </row>
    <row r="136" ht="23" customHeight="1">
      <c r="A136" s="92" t="str">
        <f>IF(C136="","",COUNTIF($C$2:C136,"&lt;&gt;"))</f>
      </c>
      <c r="B136" s="107"/>
      <c r="C136" s="113" t="str">
        <f>IFERROR(VLOOKUP($B136,'Hack Database'!$A:$J,2,FALSE),"")</f>
      </c>
      <c r="D136" s="113" t="str">
        <f>IFERROR(VLOOKUP($B136,'Hack Database'!$A:$J,3,FALSE),"")</f>
      </c>
      <c r="E136" s="125" t="str">
        <f>IFERROR(VLOOKUP($B136,'Hack Database'!$A:$J,4,FALSE),"")</f>
      </c>
      <c r="F136" s="125" t="str">
        <f>IFERROR(VLOOKUP($B136,'Hack Database'!$A:$J,5,FALSE),"")</f>
      </c>
      <c r="G136" s="113" t="str">
        <f>IFERROR(VLOOKUP($B136,'Hack Database'!$A:$J,6,FALSE),"")</f>
      </c>
      <c r="H136" s="137"/>
      <c r="I136" s="137"/>
      <c r="J136" s="131"/>
      <c r="K136" s="125" t="str">
        <f>IF($B136="","",IF($J136="Yes","100% Complete",IF($H136="","Planned",IF($I136="","In Progress","Finished"))))</f>
      </c>
      <c r="L136" s="143"/>
      <c r="M136" s="131"/>
      <c r="N136" s="155" t="str">
        <f>IFERROR(HYPERLINK(VLOOKUP($B136,'Hack Database'!$A:$J,9,FALSE),"Open Page"),"")</f>
      </c>
      <c r="O136" s="155" t="str">
        <f>IFERROR(HYPERLINK(VLOOKUP($B136,'Hack Database'!$A:$J,10,FALSE),"Download"),"")</f>
      </c>
      <c r="P136" s="149"/>
    </row>
    <row r="137" ht="23" customHeight="1">
      <c r="A137" s="92" t="str">
        <f>IF(C137="","",COUNTIF($C$2:C137,"&lt;&gt;"))</f>
      </c>
      <c r="B137" s="107"/>
      <c r="C137" s="113" t="str">
        <f>IFERROR(VLOOKUP($B137,'Hack Database'!$A:$J,2,FALSE),"")</f>
      </c>
      <c r="D137" s="113" t="str">
        <f>IFERROR(VLOOKUP($B137,'Hack Database'!$A:$J,3,FALSE),"")</f>
      </c>
      <c r="E137" s="125" t="str">
        <f>IFERROR(VLOOKUP($B137,'Hack Database'!$A:$J,4,FALSE),"")</f>
      </c>
      <c r="F137" s="125" t="str">
        <f>IFERROR(VLOOKUP($B137,'Hack Database'!$A:$J,5,FALSE),"")</f>
      </c>
      <c r="G137" s="113" t="str">
        <f>IFERROR(VLOOKUP($B137,'Hack Database'!$A:$J,6,FALSE),"")</f>
      </c>
      <c r="H137" s="137"/>
      <c r="I137" s="137"/>
      <c r="J137" s="131"/>
      <c r="K137" s="125" t="str">
        <f>IF($B137="","",IF($J137="Yes","100% Complete",IF($H137="","Planned",IF($I137="","In Progress","Finished"))))</f>
      </c>
      <c r="L137" s="143"/>
      <c r="M137" s="131"/>
      <c r="N137" s="155" t="str">
        <f>IFERROR(HYPERLINK(VLOOKUP($B137,'Hack Database'!$A:$J,9,FALSE),"Open Page"),"")</f>
      </c>
      <c r="O137" s="155" t="str">
        <f>IFERROR(HYPERLINK(VLOOKUP($B137,'Hack Database'!$A:$J,10,FALSE),"Download"),"")</f>
      </c>
      <c r="P137" s="149"/>
    </row>
    <row r="138" ht="23" customHeight="1">
      <c r="A138" s="92" t="str">
        <f>IF(C138="","",COUNTIF($C$2:C138,"&lt;&gt;"))</f>
      </c>
      <c r="B138" s="107"/>
      <c r="C138" s="113" t="str">
        <f>IFERROR(VLOOKUP($B138,'Hack Database'!$A:$J,2,FALSE),"")</f>
      </c>
      <c r="D138" s="113" t="str">
        <f>IFERROR(VLOOKUP($B138,'Hack Database'!$A:$J,3,FALSE),"")</f>
      </c>
      <c r="E138" s="125" t="str">
        <f>IFERROR(VLOOKUP($B138,'Hack Database'!$A:$J,4,FALSE),"")</f>
      </c>
      <c r="F138" s="125" t="str">
        <f>IFERROR(VLOOKUP($B138,'Hack Database'!$A:$J,5,FALSE),"")</f>
      </c>
      <c r="G138" s="113" t="str">
        <f>IFERROR(VLOOKUP($B138,'Hack Database'!$A:$J,6,FALSE),"")</f>
      </c>
      <c r="H138" s="137"/>
      <c r="I138" s="137"/>
      <c r="J138" s="131"/>
      <c r="K138" s="125" t="str">
        <f>IF($B138="","",IF($J138="Yes","100% Complete",IF($H138="","Planned",IF($I138="","In Progress","Finished"))))</f>
      </c>
      <c r="L138" s="143"/>
      <c r="M138" s="131"/>
      <c r="N138" s="155" t="str">
        <f>IFERROR(HYPERLINK(VLOOKUP($B138,'Hack Database'!$A:$J,9,FALSE),"Open Page"),"")</f>
      </c>
      <c r="O138" s="155" t="str">
        <f>IFERROR(HYPERLINK(VLOOKUP($B138,'Hack Database'!$A:$J,10,FALSE),"Download"),"")</f>
      </c>
      <c r="P138" s="149"/>
    </row>
    <row r="139" ht="23" customHeight="1">
      <c r="A139" s="92" t="str">
        <f>IF(C139="","",COUNTIF($C$2:C139,"&lt;&gt;"))</f>
      </c>
      <c r="B139" s="107"/>
      <c r="C139" s="113" t="str">
        <f>IFERROR(VLOOKUP($B139,'Hack Database'!$A:$J,2,FALSE),"")</f>
      </c>
      <c r="D139" s="113" t="str">
        <f>IFERROR(VLOOKUP($B139,'Hack Database'!$A:$J,3,FALSE),"")</f>
      </c>
      <c r="E139" s="125" t="str">
        <f>IFERROR(VLOOKUP($B139,'Hack Database'!$A:$J,4,FALSE),"")</f>
      </c>
      <c r="F139" s="125" t="str">
        <f>IFERROR(VLOOKUP($B139,'Hack Database'!$A:$J,5,FALSE),"")</f>
      </c>
      <c r="G139" s="113" t="str">
        <f>IFERROR(VLOOKUP($B139,'Hack Database'!$A:$J,6,FALSE),"")</f>
      </c>
      <c r="H139" s="137"/>
      <c r="I139" s="137"/>
      <c r="J139" s="131"/>
      <c r="K139" s="125" t="str">
        <f>IF($B139="","",IF($J139="Yes","100% Complete",IF($H139="","Planned",IF($I139="","In Progress","Finished"))))</f>
      </c>
      <c r="L139" s="143"/>
      <c r="M139" s="131"/>
      <c r="N139" s="155" t="str">
        <f>IFERROR(HYPERLINK(VLOOKUP($B139,'Hack Database'!$A:$J,9,FALSE),"Open Page"),"")</f>
      </c>
      <c r="O139" s="155" t="str">
        <f>IFERROR(HYPERLINK(VLOOKUP($B139,'Hack Database'!$A:$J,10,FALSE),"Download"),"")</f>
      </c>
      <c r="P139" s="149"/>
    </row>
    <row r="140" ht="23" customHeight="1">
      <c r="A140" s="92" t="str">
        <f>IF(C140="","",COUNTIF($C$2:C140,"&lt;&gt;"))</f>
      </c>
      <c r="B140" s="107"/>
      <c r="C140" s="113" t="str">
        <f>IFERROR(VLOOKUP($B140,'Hack Database'!$A:$J,2,FALSE),"")</f>
      </c>
      <c r="D140" s="113" t="str">
        <f>IFERROR(VLOOKUP($B140,'Hack Database'!$A:$J,3,FALSE),"")</f>
      </c>
      <c r="E140" s="125" t="str">
        <f>IFERROR(VLOOKUP($B140,'Hack Database'!$A:$J,4,FALSE),"")</f>
      </c>
      <c r="F140" s="125" t="str">
        <f>IFERROR(VLOOKUP($B140,'Hack Database'!$A:$J,5,FALSE),"")</f>
      </c>
      <c r="G140" s="113" t="str">
        <f>IFERROR(VLOOKUP($B140,'Hack Database'!$A:$J,6,FALSE),"")</f>
      </c>
      <c r="H140" s="137"/>
      <c r="I140" s="137"/>
      <c r="J140" s="131"/>
      <c r="K140" s="125" t="str">
        <f>IF($B140="","",IF($J140="Yes","100% Complete",IF($H140="","Planned",IF($I140="","In Progress","Finished"))))</f>
      </c>
      <c r="L140" s="143"/>
      <c r="M140" s="131"/>
      <c r="N140" s="155" t="str">
        <f>IFERROR(HYPERLINK(VLOOKUP($B140,'Hack Database'!$A:$J,9,FALSE),"Open Page"),"")</f>
      </c>
      <c r="O140" s="155" t="str">
        <f>IFERROR(HYPERLINK(VLOOKUP($B140,'Hack Database'!$A:$J,10,FALSE),"Download"),"")</f>
      </c>
      <c r="P140" s="149"/>
    </row>
    <row r="141" ht="23" customHeight="1">
      <c r="A141" s="92" t="str">
        <f>IF(C141="","",COUNTIF($C$2:C141,"&lt;&gt;"))</f>
      </c>
      <c r="B141" s="107"/>
      <c r="C141" s="113" t="str">
        <f>IFERROR(VLOOKUP($B141,'Hack Database'!$A:$J,2,FALSE),"")</f>
      </c>
      <c r="D141" s="113" t="str">
        <f>IFERROR(VLOOKUP($B141,'Hack Database'!$A:$J,3,FALSE),"")</f>
      </c>
      <c r="E141" s="125" t="str">
        <f>IFERROR(VLOOKUP($B141,'Hack Database'!$A:$J,4,FALSE),"")</f>
      </c>
      <c r="F141" s="125" t="str">
        <f>IFERROR(VLOOKUP($B141,'Hack Database'!$A:$J,5,FALSE),"")</f>
      </c>
      <c r="G141" s="113" t="str">
        <f>IFERROR(VLOOKUP($B141,'Hack Database'!$A:$J,6,FALSE),"")</f>
      </c>
      <c r="H141" s="137"/>
      <c r="I141" s="137"/>
      <c r="J141" s="131"/>
      <c r="K141" s="125" t="str">
        <f>IF($B141="","",IF($J141="Yes","100% Complete",IF($H141="","Planned",IF($I141="","In Progress","Finished"))))</f>
      </c>
      <c r="L141" s="143"/>
      <c r="M141" s="131"/>
      <c r="N141" s="155" t="str">
        <f>IFERROR(HYPERLINK(VLOOKUP($B141,'Hack Database'!$A:$J,9,FALSE),"Open Page"),"")</f>
      </c>
      <c r="O141" s="155" t="str">
        <f>IFERROR(HYPERLINK(VLOOKUP($B141,'Hack Database'!$A:$J,10,FALSE),"Download"),"")</f>
      </c>
      <c r="P141" s="149"/>
    </row>
    <row r="142" ht="23" customHeight="1">
      <c r="A142" s="92" t="str">
        <f>IF(C142="","",COUNTIF($C$2:C142,"&lt;&gt;"))</f>
      </c>
      <c r="B142" s="107"/>
      <c r="C142" s="113" t="str">
        <f>IFERROR(VLOOKUP($B142,'Hack Database'!$A:$J,2,FALSE),"")</f>
      </c>
      <c r="D142" s="113" t="str">
        <f>IFERROR(VLOOKUP($B142,'Hack Database'!$A:$J,3,FALSE),"")</f>
      </c>
      <c r="E142" s="125" t="str">
        <f>IFERROR(VLOOKUP($B142,'Hack Database'!$A:$J,4,FALSE),"")</f>
      </c>
      <c r="F142" s="125" t="str">
        <f>IFERROR(VLOOKUP($B142,'Hack Database'!$A:$J,5,FALSE),"")</f>
      </c>
      <c r="G142" s="113" t="str">
        <f>IFERROR(VLOOKUP($B142,'Hack Database'!$A:$J,6,FALSE),"")</f>
      </c>
      <c r="H142" s="137"/>
      <c r="I142" s="137"/>
      <c r="J142" s="131"/>
      <c r="K142" s="125" t="str">
        <f>IF($B142="","",IF($J142="Yes","100% Complete",IF($H142="","Planned",IF($I142="","In Progress","Finished"))))</f>
      </c>
      <c r="L142" s="143"/>
      <c r="M142" s="131"/>
      <c r="N142" s="155" t="str">
        <f>IFERROR(HYPERLINK(VLOOKUP($B142,'Hack Database'!$A:$J,9,FALSE),"Open Page"),"")</f>
      </c>
      <c r="O142" s="155" t="str">
        <f>IFERROR(HYPERLINK(VLOOKUP($B142,'Hack Database'!$A:$J,10,FALSE),"Download"),"")</f>
      </c>
      <c r="P142" s="149"/>
    </row>
    <row r="143" ht="23" customHeight="1">
      <c r="A143" s="92" t="str">
        <f>IF(C143="","",COUNTIF($C$2:C143,"&lt;&gt;"))</f>
      </c>
      <c r="B143" s="107"/>
      <c r="C143" s="113" t="str">
        <f>IFERROR(VLOOKUP($B143,'Hack Database'!$A:$J,2,FALSE),"")</f>
      </c>
      <c r="D143" s="113" t="str">
        <f>IFERROR(VLOOKUP($B143,'Hack Database'!$A:$J,3,FALSE),"")</f>
      </c>
      <c r="E143" s="125" t="str">
        <f>IFERROR(VLOOKUP($B143,'Hack Database'!$A:$J,4,FALSE),"")</f>
      </c>
      <c r="F143" s="125" t="str">
        <f>IFERROR(VLOOKUP($B143,'Hack Database'!$A:$J,5,FALSE),"")</f>
      </c>
      <c r="G143" s="113" t="str">
        <f>IFERROR(VLOOKUP($B143,'Hack Database'!$A:$J,6,FALSE),"")</f>
      </c>
      <c r="H143" s="137"/>
      <c r="I143" s="137"/>
      <c r="J143" s="131"/>
      <c r="K143" s="125" t="str">
        <f>IF($B143="","",IF($J143="Yes","100% Complete",IF($H143="","Planned",IF($I143="","In Progress","Finished"))))</f>
      </c>
      <c r="L143" s="143"/>
      <c r="M143" s="131"/>
      <c r="N143" s="155" t="str">
        <f>IFERROR(HYPERLINK(VLOOKUP($B143,'Hack Database'!$A:$J,9,FALSE),"Open Page"),"")</f>
      </c>
      <c r="O143" s="155" t="str">
        <f>IFERROR(HYPERLINK(VLOOKUP($B143,'Hack Database'!$A:$J,10,FALSE),"Download"),"")</f>
      </c>
      <c r="P143" s="149"/>
    </row>
    <row r="144" ht="23" customHeight="1">
      <c r="A144" s="92" t="str">
        <f>IF(C144="","",COUNTIF($C$2:C144,"&lt;&gt;"))</f>
      </c>
      <c r="B144" s="107"/>
      <c r="C144" s="113" t="str">
        <f>IFERROR(VLOOKUP($B144,'Hack Database'!$A:$J,2,FALSE),"")</f>
      </c>
      <c r="D144" s="113" t="str">
        <f>IFERROR(VLOOKUP($B144,'Hack Database'!$A:$J,3,FALSE),"")</f>
      </c>
      <c r="E144" s="125" t="str">
        <f>IFERROR(VLOOKUP($B144,'Hack Database'!$A:$J,4,FALSE),"")</f>
      </c>
      <c r="F144" s="125" t="str">
        <f>IFERROR(VLOOKUP($B144,'Hack Database'!$A:$J,5,FALSE),"")</f>
      </c>
      <c r="G144" s="113" t="str">
        <f>IFERROR(VLOOKUP($B144,'Hack Database'!$A:$J,6,FALSE),"")</f>
      </c>
      <c r="H144" s="137"/>
      <c r="I144" s="137"/>
      <c r="J144" s="131"/>
      <c r="K144" s="125" t="str">
        <f>IF($B144="","",IF($J144="Yes","100% Complete",IF($H144="","Planned",IF($I144="","In Progress","Finished"))))</f>
      </c>
      <c r="L144" s="143"/>
      <c r="M144" s="131"/>
      <c r="N144" s="155" t="str">
        <f>IFERROR(HYPERLINK(VLOOKUP($B144,'Hack Database'!$A:$J,9,FALSE),"Open Page"),"")</f>
      </c>
      <c r="O144" s="155" t="str">
        <f>IFERROR(HYPERLINK(VLOOKUP($B144,'Hack Database'!$A:$J,10,FALSE),"Download"),"")</f>
      </c>
      <c r="P144" s="149"/>
    </row>
    <row r="145" ht="23" customHeight="1">
      <c r="A145" s="92" t="str">
        <f>IF(C145="","",COUNTIF($C$2:C145,"&lt;&gt;"))</f>
      </c>
      <c r="B145" s="107"/>
      <c r="C145" s="113" t="str">
        <f>IFERROR(VLOOKUP($B145,'Hack Database'!$A:$J,2,FALSE),"")</f>
      </c>
      <c r="D145" s="113" t="str">
        <f>IFERROR(VLOOKUP($B145,'Hack Database'!$A:$J,3,FALSE),"")</f>
      </c>
      <c r="E145" s="125" t="str">
        <f>IFERROR(VLOOKUP($B145,'Hack Database'!$A:$J,4,FALSE),"")</f>
      </c>
      <c r="F145" s="125" t="str">
        <f>IFERROR(VLOOKUP($B145,'Hack Database'!$A:$J,5,FALSE),"")</f>
      </c>
      <c r="G145" s="113" t="str">
        <f>IFERROR(VLOOKUP($B145,'Hack Database'!$A:$J,6,FALSE),"")</f>
      </c>
      <c r="H145" s="137"/>
      <c r="I145" s="137"/>
      <c r="J145" s="131"/>
      <c r="K145" s="125" t="str">
        <f>IF($B145="","",IF($J145="Yes","100% Complete",IF($H145="","Planned",IF($I145="","In Progress","Finished"))))</f>
      </c>
      <c r="L145" s="143"/>
      <c r="M145" s="131"/>
      <c r="N145" s="155" t="str">
        <f>IFERROR(HYPERLINK(VLOOKUP($B145,'Hack Database'!$A:$J,9,FALSE),"Open Page"),"")</f>
      </c>
      <c r="O145" s="155" t="str">
        <f>IFERROR(HYPERLINK(VLOOKUP($B145,'Hack Database'!$A:$J,10,FALSE),"Download"),"")</f>
      </c>
      <c r="P145" s="149"/>
    </row>
    <row r="146" ht="23" customHeight="1">
      <c r="A146" s="92" t="str">
        <f>IF(C146="","",COUNTIF($C$2:C146,"&lt;&gt;"))</f>
      </c>
      <c r="B146" s="107"/>
      <c r="C146" s="113" t="str">
        <f>IFERROR(VLOOKUP($B146,'Hack Database'!$A:$J,2,FALSE),"")</f>
      </c>
      <c r="D146" s="113" t="str">
        <f>IFERROR(VLOOKUP($B146,'Hack Database'!$A:$J,3,FALSE),"")</f>
      </c>
      <c r="E146" s="125" t="str">
        <f>IFERROR(VLOOKUP($B146,'Hack Database'!$A:$J,4,FALSE),"")</f>
      </c>
      <c r="F146" s="125" t="str">
        <f>IFERROR(VLOOKUP($B146,'Hack Database'!$A:$J,5,FALSE),"")</f>
      </c>
      <c r="G146" s="113" t="str">
        <f>IFERROR(VLOOKUP($B146,'Hack Database'!$A:$J,6,FALSE),"")</f>
      </c>
      <c r="H146" s="137"/>
      <c r="I146" s="137"/>
      <c r="J146" s="131"/>
      <c r="K146" s="125" t="str">
        <f>IF($B146="","",IF($J146="Yes","100% Complete",IF($H146="","Planned",IF($I146="","In Progress","Finished"))))</f>
      </c>
      <c r="L146" s="143"/>
      <c r="M146" s="131"/>
      <c r="N146" s="155" t="str">
        <f>IFERROR(HYPERLINK(VLOOKUP($B146,'Hack Database'!$A:$J,9,FALSE),"Open Page"),"")</f>
      </c>
      <c r="O146" s="155" t="str">
        <f>IFERROR(HYPERLINK(VLOOKUP($B146,'Hack Database'!$A:$J,10,FALSE),"Download"),"")</f>
      </c>
      <c r="P146" s="149"/>
    </row>
    <row r="147" ht="23" customHeight="1">
      <c r="A147" s="92" t="str">
        <f>IF(C147="","",COUNTIF($C$2:C147,"&lt;&gt;"))</f>
      </c>
      <c r="B147" s="107"/>
      <c r="C147" s="113" t="str">
        <f>IFERROR(VLOOKUP($B147,'Hack Database'!$A:$J,2,FALSE),"")</f>
      </c>
      <c r="D147" s="113" t="str">
        <f>IFERROR(VLOOKUP($B147,'Hack Database'!$A:$J,3,FALSE),"")</f>
      </c>
      <c r="E147" s="125" t="str">
        <f>IFERROR(VLOOKUP($B147,'Hack Database'!$A:$J,4,FALSE),"")</f>
      </c>
      <c r="F147" s="125" t="str">
        <f>IFERROR(VLOOKUP($B147,'Hack Database'!$A:$J,5,FALSE),"")</f>
      </c>
      <c r="G147" s="113" t="str">
        <f>IFERROR(VLOOKUP($B147,'Hack Database'!$A:$J,6,FALSE),"")</f>
      </c>
      <c r="H147" s="137"/>
      <c r="I147" s="137"/>
      <c r="J147" s="131"/>
      <c r="K147" s="125" t="str">
        <f>IF($B147="","",IF($J147="Yes","100% Complete",IF($H147="","Planned",IF($I147="","In Progress","Finished"))))</f>
      </c>
      <c r="L147" s="143"/>
      <c r="M147" s="131"/>
      <c r="N147" s="155" t="str">
        <f>IFERROR(HYPERLINK(VLOOKUP($B147,'Hack Database'!$A:$J,9,FALSE),"Open Page"),"")</f>
      </c>
      <c r="O147" s="155" t="str">
        <f>IFERROR(HYPERLINK(VLOOKUP($B147,'Hack Database'!$A:$J,10,FALSE),"Download"),"")</f>
      </c>
      <c r="P147" s="149"/>
    </row>
    <row r="148" ht="23" customHeight="1">
      <c r="A148" s="92" t="str">
        <f>IF(C148="","",COUNTIF($C$2:C148,"&lt;&gt;"))</f>
      </c>
      <c r="B148" s="107"/>
      <c r="C148" s="113" t="str">
        <f>IFERROR(VLOOKUP($B148,'Hack Database'!$A:$J,2,FALSE),"")</f>
      </c>
      <c r="D148" s="113" t="str">
        <f>IFERROR(VLOOKUP($B148,'Hack Database'!$A:$J,3,FALSE),"")</f>
      </c>
      <c r="E148" s="125" t="str">
        <f>IFERROR(VLOOKUP($B148,'Hack Database'!$A:$J,4,FALSE),"")</f>
      </c>
      <c r="F148" s="125" t="str">
        <f>IFERROR(VLOOKUP($B148,'Hack Database'!$A:$J,5,FALSE),"")</f>
      </c>
      <c r="G148" s="113" t="str">
        <f>IFERROR(VLOOKUP($B148,'Hack Database'!$A:$J,6,FALSE),"")</f>
      </c>
      <c r="H148" s="137"/>
      <c r="I148" s="137"/>
      <c r="J148" s="131"/>
      <c r="K148" s="125" t="str">
        <f>IF($B148="","",IF($J148="Yes","100% Complete",IF($H148="","Planned",IF($I148="","In Progress","Finished"))))</f>
      </c>
      <c r="L148" s="143"/>
      <c r="M148" s="131"/>
      <c r="N148" s="155" t="str">
        <f>IFERROR(HYPERLINK(VLOOKUP($B148,'Hack Database'!$A:$J,9,FALSE),"Open Page"),"")</f>
      </c>
      <c r="O148" s="155" t="str">
        <f>IFERROR(HYPERLINK(VLOOKUP($B148,'Hack Database'!$A:$J,10,FALSE),"Download"),"")</f>
      </c>
      <c r="P148" s="149"/>
    </row>
    <row r="149" ht="23" customHeight="1">
      <c r="A149" s="92" t="str">
        <f>IF(C149="","",COUNTIF($C$2:C149,"&lt;&gt;"))</f>
      </c>
      <c r="B149" s="107"/>
      <c r="C149" s="113" t="str">
        <f>IFERROR(VLOOKUP($B149,'Hack Database'!$A:$J,2,FALSE),"")</f>
      </c>
      <c r="D149" s="113" t="str">
        <f>IFERROR(VLOOKUP($B149,'Hack Database'!$A:$J,3,FALSE),"")</f>
      </c>
      <c r="E149" s="125" t="str">
        <f>IFERROR(VLOOKUP($B149,'Hack Database'!$A:$J,4,FALSE),"")</f>
      </c>
      <c r="F149" s="125" t="str">
        <f>IFERROR(VLOOKUP($B149,'Hack Database'!$A:$J,5,FALSE),"")</f>
      </c>
      <c r="G149" s="113" t="str">
        <f>IFERROR(VLOOKUP($B149,'Hack Database'!$A:$J,6,FALSE),"")</f>
      </c>
      <c r="H149" s="137"/>
      <c r="I149" s="137"/>
      <c r="J149" s="131"/>
      <c r="K149" s="125" t="str">
        <f>IF($B149="","",IF($J149="Yes","100% Complete",IF($H149="","Planned",IF($I149="","In Progress","Finished"))))</f>
      </c>
      <c r="L149" s="143"/>
      <c r="M149" s="131"/>
      <c r="N149" s="155" t="str">
        <f>IFERROR(HYPERLINK(VLOOKUP($B149,'Hack Database'!$A:$J,9,FALSE),"Open Page"),"")</f>
      </c>
      <c r="O149" s="155" t="str">
        <f>IFERROR(HYPERLINK(VLOOKUP($B149,'Hack Database'!$A:$J,10,FALSE),"Download"),"")</f>
      </c>
      <c r="P149" s="149"/>
    </row>
    <row r="150" ht="23" customHeight="1">
      <c r="A150" s="92" t="str">
        <f>IF(C150="","",COUNTIF($C$2:C150,"&lt;&gt;"))</f>
      </c>
      <c r="B150" s="107"/>
      <c r="C150" s="113" t="str">
        <f>IFERROR(VLOOKUP($B150,'Hack Database'!$A:$J,2,FALSE),"")</f>
      </c>
      <c r="D150" s="113" t="str">
        <f>IFERROR(VLOOKUP($B150,'Hack Database'!$A:$J,3,FALSE),"")</f>
      </c>
      <c r="E150" s="125" t="str">
        <f>IFERROR(VLOOKUP($B150,'Hack Database'!$A:$J,4,FALSE),"")</f>
      </c>
      <c r="F150" s="125" t="str">
        <f>IFERROR(VLOOKUP($B150,'Hack Database'!$A:$J,5,FALSE),"")</f>
      </c>
      <c r="G150" s="113" t="str">
        <f>IFERROR(VLOOKUP($B150,'Hack Database'!$A:$J,6,FALSE),"")</f>
      </c>
      <c r="H150" s="137"/>
      <c r="I150" s="137"/>
      <c r="J150" s="131"/>
      <c r="K150" s="125" t="str">
        <f>IF($B150="","",IF($J150="Yes","100% Complete",IF($H150="","Planned",IF($I150="","In Progress","Finished"))))</f>
      </c>
      <c r="L150" s="143"/>
      <c r="M150" s="131"/>
      <c r="N150" s="155" t="str">
        <f>IFERROR(HYPERLINK(VLOOKUP($B150,'Hack Database'!$A:$J,9,FALSE),"Open Page"),"")</f>
      </c>
      <c r="O150" s="155" t="str">
        <f>IFERROR(HYPERLINK(VLOOKUP($B150,'Hack Database'!$A:$J,10,FALSE),"Download"),"")</f>
      </c>
      <c r="P150" s="149"/>
    </row>
    <row r="151" ht="23" customHeight="1">
      <c r="A151" s="92" t="str">
        <f>IF(C151="","",COUNTIF($C$2:C151,"&lt;&gt;"))</f>
      </c>
      <c r="B151" s="107"/>
      <c r="C151" s="113" t="str">
        <f>IFERROR(VLOOKUP($B151,'Hack Database'!$A:$J,2,FALSE),"")</f>
      </c>
      <c r="D151" s="113" t="str">
        <f>IFERROR(VLOOKUP($B151,'Hack Database'!$A:$J,3,FALSE),"")</f>
      </c>
      <c r="E151" s="125" t="str">
        <f>IFERROR(VLOOKUP($B151,'Hack Database'!$A:$J,4,FALSE),"")</f>
      </c>
      <c r="F151" s="125" t="str">
        <f>IFERROR(VLOOKUP($B151,'Hack Database'!$A:$J,5,FALSE),"")</f>
      </c>
      <c r="G151" s="113" t="str">
        <f>IFERROR(VLOOKUP($B151,'Hack Database'!$A:$J,6,FALSE),"")</f>
      </c>
      <c r="H151" s="137"/>
      <c r="I151" s="137"/>
      <c r="J151" s="131"/>
      <c r="K151" s="125" t="str">
        <f>IF($B151="","",IF($J151="Yes","100% Complete",IF($H151="","Planned",IF($I151="","In Progress","Finished"))))</f>
      </c>
      <c r="L151" s="143"/>
      <c r="M151" s="131"/>
      <c r="N151" s="155" t="str">
        <f>IFERROR(HYPERLINK(VLOOKUP($B151,'Hack Database'!$A:$J,9,FALSE),"Open Page"),"")</f>
      </c>
      <c r="O151" s="155" t="str">
        <f>IFERROR(HYPERLINK(VLOOKUP($B151,'Hack Database'!$A:$J,10,FALSE),"Download"),"")</f>
      </c>
      <c r="P151" s="149"/>
    </row>
    <row r="152" ht="23" customHeight="1">
      <c r="A152" s="92" t="str">
        <f>IF(C152="","",COUNTIF($C$2:C152,"&lt;&gt;"))</f>
      </c>
      <c r="B152" s="107"/>
      <c r="C152" s="113" t="str">
        <f>IFERROR(VLOOKUP($B152,'Hack Database'!$A:$J,2,FALSE),"")</f>
      </c>
      <c r="D152" s="113" t="str">
        <f>IFERROR(VLOOKUP($B152,'Hack Database'!$A:$J,3,FALSE),"")</f>
      </c>
      <c r="E152" s="125" t="str">
        <f>IFERROR(VLOOKUP($B152,'Hack Database'!$A:$J,4,FALSE),"")</f>
      </c>
      <c r="F152" s="125" t="str">
        <f>IFERROR(VLOOKUP($B152,'Hack Database'!$A:$J,5,FALSE),"")</f>
      </c>
      <c r="G152" s="113" t="str">
        <f>IFERROR(VLOOKUP($B152,'Hack Database'!$A:$J,6,FALSE),"")</f>
      </c>
      <c r="H152" s="137"/>
      <c r="I152" s="137"/>
      <c r="J152" s="131"/>
      <c r="K152" s="125" t="str">
        <f>IF($B152="","",IF($J152="Yes","100% Complete",IF($H152="","Planned",IF($I152="","In Progress","Finished"))))</f>
      </c>
      <c r="L152" s="143"/>
      <c r="M152" s="131"/>
      <c r="N152" s="155" t="str">
        <f>IFERROR(HYPERLINK(VLOOKUP($B152,'Hack Database'!$A:$J,9,FALSE),"Open Page"),"")</f>
      </c>
      <c r="O152" s="155" t="str">
        <f>IFERROR(HYPERLINK(VLOOKUP($B152,'Hack Database'!$A:$J,10,FALSE),"Download"),"")</f>
      </c>
      <c r="P152" s="149"/>
    </row>
    <row r="153" ht="23" customHeight="1">
      <c r="A153" s="92" t="str">
        <f>IF(C153="","",COUNTIF($C$2:C153,"&lt;&gt;"))</f>
      </c>
      <c r="B153" s="107"/>
      <c r="C153" s="113" t="str">
        <f>IFERROR(VLOOKUP($B153,'Hack Database'!$A:$J,2,FALSE),"")</f>
      </c>
      <c r="D153" s="113" t="str">
        <f>IFERROR(VLOOKUP($B153,'Hack Database'!$A:$J,3,FALSE),"")</f>
      </c>
      <c r="E153" s="125" t="str">
        <f>IFERROR(VLOOKUP($B153,'Hack Database'!$A:$J,4,FALSE),"")</f>
      </c>
      <c r="F153" s="125" t="str">
        <f>IFERROR(VLOOKUP($B153,'Hack Database'!$A:$J,5,FALSE),"")</f>
      </c>
      <c r="G153" s="113" t="str">
        <f>IFERROR(VLOOKUP($B153,'Hack Database'!$A:$J,6,FALSE),"")</f>
      </c>
      <c r="H153" s="137"/>
      <c r="I153" s="137"/>
      <c r="J153" s="131"/>
      <c r="K153" s="125" t="str">
        <f>IF($B153="","",IF($J153="Yes","100% Complete",IF($H153="","Planned",IF($I153="","In Progress","Finished"))))</f>
      </c>
      <c r="L153" s="143"/>
      <c r="M153" s="131"/>
      <c r="N153" s="155" t="str">
        <f>IFERROR(HYPERLINK(VLOOKUP($B153,'Hack Database'!$A:$J,9,FALSE),"Open Page"),"")</f>
      </c>
      <c r="O153" s="155" t="str">
        <f>IFERROR(HYPERLINK(VLOOKUP($B153,'Hack Database'!$A:$J,10,FALSE),"Download"),"")</f>
      </c>
      <c r="P153" s="149"/>
    </row>
    <row r="154" ht="23" customHeight="1">
      <c r="A154" s="92" t="str">
        <f>IF(C154="","",COUNTIF($C$2:C154,"&lt;&gt;"))</f>
      </c>
      <c r="B154" s="107"/>
      <c r="C154" s="113" t="str">
        <f>IFERROR(VLOOKUP($B154,'Hack Database'!$A:$J,2,FALSE),"")</f>
      </c>
      <c r="D154" s="113" t="str">
        <f>IFERROR(VLOOKUP($B154,'Hack Database'!$A:$J,3,FALSE),"")</f>
      </c>
      <c r="E154" s="125" t="str">
        <f>IFERROR(VLOOKUP($B154,'Hack Database'!$A:$J,4,FALSE),"")</f>
      </c>
      <c r="F154" s="125" t="str">
        <f>IFERROR(VLOOKUP($B154,'Hack Database'!$A:$J,5,FALSE),"")</f>
      </c>
      <c r="G154" s="113" t="str">
        <f>IFERROR(VLOOKUP($B154,'Hack Database'!$A:$J,6,FALSE),"")</f>
      </c>
      <c r="H154" s="137"/>
      <c r="I154" s="137"/>
      <c r="J154" s="131"/>
      <c r="K154" s="125" t="str">
        <f>IF($B154="","",IF($J154="Yes","100% Complete",IF($H154="","Planned",IF($I154="","In Progress","Finished"))))</f>
      </c>
      <c r="L154" s="143"/>
      <c r="M154" s="131"/>
      <c r="N154" s="155" t="str">
        <f>IFERROR(HYPERLINK(VLOOKUP($B154,'Hack Database'!$A:$J,9,FALSE),"Open Page"),"")</f>
      </c>
      <c r="O154" s="155" t="str">
        <f>IFERROR(HYPERLINK(VLOOKUP($B154,'Hack Database'!$A:$J,10,FALSE),"Download"),"")</f>
      </c>
      <c r="P154" s="149"/>
    </row>
    <row r="155" ht="23" customHeight="1">
      <c r="A155" s="92" t="str">
        <f>IF(C155="","",COUNTIF($C$2:C155,"&lt;&gt;"))</f>
      </c>
      <c r="B155" s="107"/>
      <c r="C155" s="113" t="str">
        <f>IFERROR(VLOOKUP($B155,'Hack Database'!$A:$J,2,FALSE),"")</f>
      </c>
      <c r="D155" s="113" t="str">
        <f>IFERROR(VLOOKUP($B155,'Hack Database'!$A:$J,3,FALSE),"")</f>
      </c>
      <c r="E155" s="125" t="str">
        <f>IFERROR(VLOOKUP($B155,'Hack Database'!$A:$J,4,FALSE),"")</f>
      </c>
      <c r="F155" s="125" t="str">
        <f>IFERROR(VLOOKUP($B155,'Hack Database'!$A:$J,5,FALSE),"")</f>
      </c>
      <c r="G155" s="113" t="str">
        <f>IFERROR(VLOOKUP($B155,'Hack Database'!$A:$J,6,FALSE),"")</f>
      </c>
      <c r="H155" s="137"/>
      <c r="I155" s="137"/>
      <c r="J155" s="131"/>
      <c r="K155" s="125" t="str">
        <f>IF($B155="","",IF($J155="Yes","100% Complete",IF($H155="","Planned",IF($I155="","In Progress","Finished"))))</f>
      </c>
      <c r="L155" s="143"/>
      <c r="M155" s="131"/>
      <c r="N155" s="155" t="str">
        <f>IFERROR(HYPERLINK(VLOOKUP($B155,'Hack Database'!$A:$J,9,FALSE),"Open Page"),"")</f>
      </c>
      <c r="O155" s="155" t="str">
        <f>IFERROR(HYPERLINK(VLOOKUP($B155,'Hack Database'!$A:$J,10,FALSE),"Download"),"")</f>
      </c>
      <c r="P155" s="149"/>
    </row>
    <row r="156" ht="23" customHeight="1">
      <c r="A156" s="92" t="str">
        <f>IF(C156="","",COUNTIF($C$2:C156,"&lt;&gt;"))</f>
      </c>
      <c r="B156" s="107"/>
      <c r="C156" s="113" t="str">
        <f>IFERROR(VLOOKUP($B156,'Hack Database'!$A:$J,2,FALSE),"")</f>
      </c>
      <c r="D156" s="113" t="str">
        <f>IFERROR(VLOOKUP($B156,'Hack Database'!$A:$J,3,FALSE),"")</f>
      </c>
      <c r="E156" s="125" t="str">
        <f>IFERROR(VLOOKUP($B156,'Hack Database'!$A:$J,4,FALSE),"")</f>
      </c>
      <c r="F156" s="125" t="str">
        <f>IFERROR(VLOOKUP($B156,'Hack Database'!$A:$J,5,FALSE),"")</f>
      </c>
      <c r="G156" s="113" t="str">
        <f>IFERROR(VLOOKUP($B156,'Hack Database'!$A:$J,6,FALSE),"")</f>
      </c>
      <c r="H156" s="137"/>
      <c r="I156" s="137"/>
      <c r="J156" s="131"/>
      <c r="K156" s="125" t="str">
        <f>IF($B156="","",IF($J156="Yes","100% Complete",IF($H156="","Planned",IF($I156="","In Progress","Finished"))))</f>
      </c>
      <c r="L156" s="143"/>
      <c r="M156" s="131"/>
      <c r="N156" s="155" t="str">
        <f>IFERROR(HYPERLINK(VLOOKUP($B156,'Hack Database'!$A:$J,9,FALSE),"Open Page"),"")</f>
      </c>
      <c r="O156" s="155" t="str">
        <f>IFERROR(HYPERLINK(VLOOKUP($B156,'Hack Database'!$A:$J,10,FALSE),"Download"),"")</f>
      </c>
      <c r="P156" s="149"/>
    </row>
    <row r="157" ht="23" customHeight="1">
      <c r="A157" s="92" t="str">
        <f>IF(C157="","",COUNTIF($C$2:C157,"&lt;&gt;"))</f>
      </c>
      <c r="B157" s="107"/>
      <c r="C157" s="113" t="str">
        <f>IFERROR(VLOOKUP($B157,'Hack Database'!$A:$J,2,FALSE),"")</f>
      </c>
      <c r="D157" s="113" t="str">
        <f>IFERROR(VLOOKUP($B157,'Hack Database'!$A:$J,3,FALSE),"")</f>
      </c>
      <c r="E157" s="125" t="str">
        <f>IFERROR(VLOOKUP($B157,'Hack Database'!$A:$J,4,FALSE),"")</f>
      </c>
      <c r="F157" s="125" t="str">
        <f>IFERROR(VLOOKUP($B157,'Hack Database'!$A:$J,5,FALSE),"")</f>
      </c>
      <c r="G157" s="113" t="str">
        <f>IFERROR(VLOOKUP($B157,'Hack Database'!$A:$J,6,FALSE),"")</f>
      </c>
      <c r="H157" s="137"/>
      <c r="I157" s="137"/>
      <c r="J157" s="131"/>
      <c r="K157" s="125" t="str">
        <f>IF($B157="","",IF($J157="Yes","100% Complete",IF($H157="","Planned",IF($I157="","In Progress","Finished"))))</f>
      </c>
      <c r="L157" s="143"/>
      <c r="M157" s="131"/>
      <c r="N157" s="155" t="str">
        <f>IFERROR(HYPERLINK(VLOOKUP($B157,'Hack Database'!$A:$J,9,FALSE),"Open Page"),"")</f>
      </c>
      <c r="O157" s="155" t="str">
        <f>IFERROR(HYPERLINK(VLOOKUP($B157,'Hack Database'!$A:$J,10,FALSE),"Download"),"")</f>
      </c>
      <c r="P157" s="149"/>
    </row>
    <row r="158" ht="23" customHeight="1">
      <c r="A158" s="92" t="str">
        <f>IF(C158="","",COUNTIF($C$2:C158,"&lt;&gt;"))</f>
      </c>
      <c r="B158" s="107"/>
      <c r="C158" s="113" t="str">
        <f>IFERROR(VLOOKUP($B158,'Hack Database'!$A:$J,2,FALSE),"")</f>
      </c>
      <c r="D158" s="113" t="str">
        <f>IFERROR(VLOOKUP($B158,'Hack Database'!$A:$J,3,FALSE),"")</f>
      </c>
      <c r="E158" s="125" t="str">
        <f>IFERROR(VLOOKUP($B158,'Hack Database'!$A:$J,4,FALSE),"")</f>
      </c>
      <c r="F158" s="125" t="str">
        <f>IFERROR(VLOOKUP($B158,'Hack Database'!$A:$J,5,FALSE),"")</f>
      </c>
      <c r="G158" s="113" t="str">
        <f>IFERROR(VLOOKUP($B158,'Hack Database'!$A:$J,6,FALSE),"")</f>
      </c>
      <c r="H158" s="137"/>
      <c r="I158" s="137"/>
      <c r="J158" s="131"/>
      <c r="K158" s="125" t="str">
        <f>IF($B158="","",IF($J158="Yes","100% Complete",IF($H158="","Planned",IF($I158="","In Progress","Finished"))))</f>
      </c>
      <c r="L158" s="143"/>
      <c r="M158" s="131"/>
      <c r="N158" s="155" t="str">
        <f>IFERROR(HYPERLINK(VLOOKUP($B158,'Hack Database'!$A:$J,9,FALSE),"Open Page"),"")</f>
      </c>
      <c r="O158" s="155" t="str">
        <f>IFERROR(HYPERLINK(VLOOKUP($B158,'Hack Database'!$A:$J,10,FALSE),"Download"),"")</f>
      </c>
      <c r="P158" s="149"/>
    </row>
    <row r="159" ht="23" customHeight="1">
      <c r="A159" s="92" t="str">
        <f>IF(C159="","",COUNTIF($C$2:C159,"&lt;&gt;"))</f>
      </c>
      <c r="B159" s="107"/>
      <c r="C159" s="113" t="str">
        <f>IFERROR(VLOOKUP($B159,'Hack Database'!$A:$J,2,FALSE),"")</f>
      </c>
      <c r="D159" s="113" t="str">
        <f>IFERROR(VLOOKUP($B159,'Hack Database'!$A:$J,3,FALSE),"")</f>
      </c>
      <c r="E159" s="125" t="str">
        <f>IFERROR(VLOOKUP($B159,'Hack Database'!$A:$J,4,FALSE),"")</f>
      </c>
      <c r="F159" s="125" t="str">
        <f>IFERROR(VLOOKUP($B159,'Hack Database'!$A:$J,5,FALSE),"")</f>
      </c>
      <c r="G159" s="113" t="str">
        <f>IFERROR(VLOOKUP($B159,'Hack Database'!$A:$J,6,FALSE),"")</f>
      </c>
      <c r="H159" s="137"/>
      <c r="I159" s="137"/>
      <c r="J159" s="131"/>
      <c r="K159" s="125" t="str">
        <f>IF($B159="","",IF($J159="Yes","100% Complete",IF($H159="","Planned",IF($I159="","In Progress","Finished"))))</f>
      </c>
      <c r="L159" s="143"/>
      <c r="M159" s="131"/>
      <c r="N159" s="155" t="str">
        <f>IFERROR(HYPERLINK(VLOOKUP($B159,'Hack Database'!$A:$J,9,FALSE),"Open Page"),"")</f>
      </c>
      <c r="O159" s="155" t="str">
        <f>IFERROR(HYPERLINK(VLOOKUP($B159,'Hack Database'!$A:$J,10,FALSE),"Download"),"")</f>
      </c>
      <c r="P159" s="149"/>
    </row>
    <row r="160" ht="23" customHeight="1">
      <c r="A160" s="92" t="str">
        <f>IF(C160="","",COUNTIF($C$2:C160,"&lt;&gt;"))</f>
      </c>
      <c r="B160" s="107"/>
      <c r="C160" s="113" t="str">
        <f>IFERROR(VLOOKUP($B160,'Hack Database'!$A:$J,2,FALSE),"")</f>
      </c>
      <c r="D160" s="113" t="str">
        <f>IFERROR(VLOOKUP($B160,'Hack Database'!$A:$J,3,FALSE),"")</f>
      </c>
      <c r="E160" s="125" t="str">
        <f>IFERROR(VLOOKUP($B160,'Hack Database'!$A:$J,4,FALSE),"")</f>
      </c>
      <c r="F160" s="125" t="str">
        <f>IFERROR(VLOOKUP($B160,'Hack Database'!$A:$J,5,FALSE),"")</f>
      </c>
      <c r="G160" s="113" t="str">
        <f>IFERROR(VLOOKUP($B160,'Hack Database'!$A:$J,6,FALSE),"")</f>
      </c>
      <c r="H160" s="137"/>
      <c r="I160" s="137"/>
      <c r="J160" s="131"/>
      <c r="K160" s="125" t="str">
        <f>IF($B160="","",IF($J160="Yes","100% Complete",IF($H160="","Planned",IF($I160="","In Progress","Finished"))))</f>
      </c>
      <c r="L160" s="143"/>
      <c r="M160" s="131"/>
      <c r="N160" s="155" t="str">
        <f>IFERROR(HYPERLINK(VLOOKUP($B160,'Hack Database'!$A:$J,9,FALSE),"Open Page"),"")</f>
      </c>
      <c r="O160" s="155" t="str">
        <f>IFERROR(HYPERLINK(VLOOKUP($B160,'Hack Database'!$A:$J,10,FALSE),"Download"),"")</f>
      </c>
      <c r="P160" s="149"/>
    </row>
    <row r="161" ht="23" customHeight="1">
      <c r="A161" s="92" t="str">
        <f>IF(C161="","",COUNTIF($C$2:C161,"&lt;&gt;"))</f>
      </c>
      <c r="B161" s="107"/>
      <c r="C161" s="113" t="str">
        <f>IFERROR(VLOOKUP($B161,'Hack Database'!$A:$J,2,FALSE),"")</f>
      </c>
      <c r="D161" s="113" t="str">
        <f>IFERROR(VLOOKUP($B161,'Hack Database'!$A:$J,3,FALSE),"")</f>
      </c>
      <c r="E161" s="125" t="str">
        <f>IFERROR(VLOOKUP($B161,'Hack Database'!$A:$J,4,FALSE),"")</f>
      </c>
      <c r="F161" s="125" t="str">
        <f>IFERROR(VLOOKUP($B161,'Hack Database'!$A:$J,5,FALSE),"")</f>
      </c>
      <c r="G161" s="113" t="str">
        <f>IFERROR(VLOOKUP($B161,'Hack Database'!$A:$J,6,FALSE),"")</f>
      </c>
      <c r="H161" s="137"/>
      <c r="I161" s="137"/>
      <c r="J161" s="131"/>
      <c r="K161" s="125" t="str">
        <f>IF($B161="","",IF($J161="Yes","100% Complete",IF($H161="","Planned",IF($I161="","In Progress","Finished"))))</f>
      </c>
      <c r="L161" s="143"/>
      <c r="M161" s="131"/>
      <c r="N161" s="155" t="str">
        <f>IFERROR(HYPERLINK(VLOOKUP($B161,'Hack Database'!$A:$J,9,FALSE),"Open Page"),"")</f>
      </c>
      <c r="O161" s="155" t="str">
        <f>IFERROR(HYPERLINK(VLOOKUP($B161,'Hack Database'!$A:$J,10,FALSE),"Download"),"")</f>
      </c>
      <c r="P161" s="149"/>
    </row>
    <row r="162" ht="23" customHeight="1">
      <c r="A162" s="92" t="str">
        <f>IF(C162="","",COUNTIF($C$2:C162,"&lt;&gt;"))</f>
      </c>
      <c r="B162" s="107"/>
      <c r="C162" s="113" t="str">
        <f>IFERROR(VLOOKUP($B162,'Hack Database'!$A:$J,2,FALSE),"")</f>
      </c>
      <c r="D162" s="113" t="str">
        <f>IFERROR(VLOOKUP($B162,'Hack Database'!$A:$J,3,FALSE),"")</f>
      </c>
      <c r="E162" s="125" t="str">
        <f>IFERROR(VLOOKUP($B162,'Hack Database'!$A:$J,4,FALSE),"")</f>
      </c>
      <c r="F162" s="125" t="str">
        <f>IFERROR(VLOOKUP($B162,'Hack Database'!$A:$J,5,FALSE),"")</f>
      </c>
      <c r="G162" s="113" t="str">
        <f>IFERROR(VLOOKUP($B162,'Hack Database'!$A:$J,6,FALSE),"")</f>
      </c>
      <c r="H162" s="137"/>
      <c r="I162" s="137"/>
      <c r="J162" s="131"/>
      <c r="K162" s="125" t="str">
        <f>IF($B162="","",IF($J162="Yes","100% Complete",IF($H162="","Planned",IF($I162="","In Progress","Finished"))))</f>
      </c>
      <c r="L162" s="143"/>
      <c r="M162" s="131"/>
      <c r="N162" s="155" t="str">
        <f>IFERROR(HYPERLINK(VLOOKUP($B162,'Hack Database'!$A:$J,9,FALSE),"Open Page"),"")</f>
      </c>
      <c r="O162" s="155" t="str">
        <f>IFERROR(HYPERLINK(VLOOKUP($B162,'Hack Database'!$A:$J,10,FALSE),"Download"),"")</f>
      </c>
      <c r="P162" s="149"/>
    </row>
    <row r="163" ht="23" customHeight="1">
      <c r="A163" s="92" t="str">
        <f>IF(C163="","",COUNTIF($C$2:C163,"&lt;&gt;"))</f>
      </c>
      <c r="B163" s="107"/>
      <c r="C163" s="113" t="str">
        <f>IFERROR(VLOOKUP($B163,'Hack Database'!$A:$J,2,FALSE),"")</f>
      </c>
      <c r="D163" s="113" t="str">
        <f>IFERROR(VLOOKUP($B163,'Hack Database'!$A:$J,3,FALSE),"")</f>
      </c>
      <c r="E163" s="125" t="str">
        <f>IFERROR(VLOOKUP($B163,'Hack Database'!$A:$J,4,FALSE),"")</f>
      </c>
      <c r="F163" s="125" t="str">
        <f>IFERROR(VLOOKUP($B163,'Hack Database'!$A:$J,5,FALSE),"")</f>
      </c>
      <c r="G163" s="113" t="str">
        <f>IFERROR(VLOOKUP($B163,'Hack Database'!$A:$J,6,FALSE),"")</f>
      </c>
      <c r="H163" s="137"/>
      <c r="I163" s="137"/>
      <c r="J163" s="131"/>
      <c r="K163" s="125" t="str">
        <f>IF($B163="","",IF($J163="Yes","100% Complete",IF($H163="","Planned",IF($I163="","In Progress","Finished"))))</f>
      </c>
      <c r="L163" s="143"/>
      <c r="M163" s="131"/>
      <c r="N163" s="155" t="str">
        <f>IFERROR(HYPERLINK(VLOOKUP($B163,'Hack Database'!$A:$J,9,FALSE),"Open Page"),"")</f>
      </c>
      <c r="O163" s="155" t="str">
        <f>IFERROR(HYPERLINK(VLOOKUP($B163,'Hack Database'!$A:$J,10,FALSE),"Download"),"")</f>
      </c>
      <c r="P163" s="149"/>
    </row>
    <row r="164" ht="23" customHeight="1">
      <c r="A164" s="92" t="str">
        <f>IF(C164="","",COUNTIF($C$2:C164,"&lt;&gt;"))</f>
      </c>
      <c r="B164" s="107"/>
      <c r="C164" s="113" t="str">
        <f>IFERROR(VLOOKUP($B164,'Hack Database'!$A:$J,2,FALSE),"")</f>
      </c>
      <c r="D164" s="113" t="str">
        <f>IFERROR(VLOOKUP($B164,'Hack Database'!$A:$J,3,FALSE),"")</f>
      </c>
      <c r="E164" s="125" t="str">
        <f>IFERROR(VLOOKUP($B164,'Hack Database'!$A:$J,4,FALSE),"")</f>
      </c>
      <c r="F164" s="125" t="str">
        <f>IFERROR(VLOOKUP($B164,'Hack Database'!$A:$J,5,FALSE),"")</f>
      </c>
      <c r="G164" s="113" t="str">
        <f>IFERROR(VLOOKUP($B164,'Hack Database'!$A:$J,6,FALSE),"")</f>
      </c>
      <c r="H164" s="137"/>
      <c r="I164" s="137"/>
      <c r="J164" s="131"/>
      <c r="K164" s="125" t="str">
        <f>IF($B164="","",IF($J164="Yes","100% Complete",IF($H164="","Planned",IF($I164="","In Progress","Finished"))))</f>
      </c>
      <c r="L164" s="143"/>
      <c r="M164" s="131"/>
      <c r="N164" s="155" t="str">
        <f>IFERROR(HYPERLINK(VLOOKUP($B164,'Hack Database'!$A:$J,9,FALSE),"Open Page"),"")</f>
      </c>
      <c r="O164" s="155" t="str">
        <f>IFERROR(HYPERLINK(VLOOKUP($B164,'Hack Database'!$A:$J,10,FALSE),"Download"),"")</f>
      </c>
      <c r="P164" s="149"/>
    </row>
    <row r="165" ht="23" customHeight="1">
      <c r="A165" s="92" t="str">
        <f>IF(C165="","",COUNTIF($C$2:C165,"&lt;&gt;"))</f>
      </c>
      <c r="B165" s="107"/>
      <c r="C165" s="113" t="str">
        <f>IFERROR(VLOOKUP($B165,'Hack Database'!$A:$J,2,FALSE),"")</f>
      </c>
      <c r="D165" s="113" t="str">
        <f>IFERROR(VLOOKUP($B165,'Hack Database'!$A:$J,3,FALSE),"")</f>
      </c>
      <c r="E165" s="125" t="str">
        <f>IFERROR(VLOOKUP($B165,'Hack Database'!$A:$J,4,FALSE),"")</f>
      </c>
      <c r="F165" s="125" t="str">
        <f>IFERROR(VLOOKUP($B165,'Hack Database'!$A:$J,5,FALSE),"")</f>
      </c>
      <c r="G165" s="113" t="str">
        <f>IFERROR(VLOOKUP($B165,'Hack Database'!$A:$J,6,FALSE),"")</f>
      </c>
      <c r="H165" s="137"/>
      <c r="I165" s="137"/>
      <c r="J165" s="131"/>
      <c r="K165" s="125" t="str">
        <f>IF($B165="","",IF($J165="Yes","100% Complete",IF($H165="","Planned",IF($I165="","In Progress","Finished"))))</f>
      </c>
      <c r="L165" s="143"/>
      <c r="M165" s="131"/>
      <c r="N165" s="155" t="str">
        <f>IFERROR(HYPERLINK(VLOOKUP($B165,'Hack Database'!$A:$J,9,FALSE),"Open Page"),"")</f>
      </c>
      <c r="O165" s="155" t="str">
        <f>IFERROR(HYPERLINK(VLOOKUP($B165,'Hack Database'!$A:$J,10,FALSE),"Download"),"")</f>
      </c>
      <c r="P165" s="149"/>
    </row>
    <row r="166" ht="23" customHeight="1">
      <c r="A166" s="92" t="str">
        <f>IF(C166="","",COUNTIF($C$2:C166,"&lt;&gt;"))</f>
      </c>
      <c r="B166" s="107"/>
      <c r="C166" s="113" t="str">
        <f>IFERROR(VLOOKUP($B166,'Hack Database'!$A:$J,2,FALSE),"")</f>
      </c>
      <c r="D166" s="113" t="str">
        <f>IFERROR(VLOOKUP($B166,'Hack Database'!$A:$J,3,FALSE),"")</f>
      </c>
      <c r="E166" s="125" t="str">
        <f>IFERROR(VLOOKUP($B166,'Hack Database'!$A:$J,4,FALSE),"")</f>
      </c>
      <c r="F166" s="125" t="str">
        <f>IFERROR(VLOOKUP($B166,'Hack Database'!$A:$J,5,FALSE),"")</f>
      </c>
      <c r="G166" s="113" t="str">
        <f>IFERROR(VLOOKUP($B166,'Hack Database'!$A:$J,6,FALSE),"")</f>
      </c>
      <c r="H166" s="137"/>
      <c r="I166" s="137"/>
      <c r="J166" s="131"/>
      <c r="K166" s="125" t="str">
        <f>IF($B166="","",IF($J166="Yes","100% Complete",IF($H166="","Planned",IF($I166="","In Progress","Finished"))))</f>
      </c>
      <c r="L166" s="143"/>
      <c r="M166" s="131"/>
      <c r="N166" s="155" t="str">
        <f>IFERROR(HYPERLINK(VLOOKUP($B166,'Hack Database'!$A:$J,9,FALSE),"Open Page"),"")</f>
      </c>
      <c r="O166" s="155" t="str">
        <f>IFERROR(HYPERLINK(VLOOKUP($B166,'Hack Database'!$A:$J,10,FALSE),"Download"),"")</f>
      </c>
      <c r="P166" s="149"/>
    </row>
    <row r="167" ht="23" customHeight="1">
      <c r="A167" s="92" t="str">
        <f>IF(C167="","",COUNTIF($C$2:C167,"&lt;&gt;"))</f>
      </c>
      <c r="B167" s="107"/>
      <c r="C167" s="113" t="str">
        <f>IFERROR(VLOOKUP($B167,'Hack Database'!$A:$J,2,FALSE),"")</f>
      </c>
      <c r="D167" s="113" t="str">
        <f>IFERROR(VLOOKUP($B167,'Hack Database'!$A:$J,3,FALSE),"")</f>
      </c>
      <c r="E167" s="125" t="str">
        <f>IFERROR(VLOOKUP($B167,'Hack Database'!$A:$J,4,FALSE),"")</f>
      </c>
      <c r="F167" s="125" t="str">
        <f>IFERROR(VLOOKUP($B167,'Hack Database'!$A:$J,5,FALSE),"")</f>
      </c>
      <c r="G167" s="113" t="str">
        <f>IFERROR(VLOOKUP($B167,'Hack Database'!$A:$J,6,FALSE),"")</f>
      </c>
      <c r="H167" s="137"/>
      <c r="I167" s="137"/>
      <c r="J167" s="131"/>
      <c r="K167" s="125" t="str">
        <f>IF($B167="","",IF($J167="Yes","100% Complete",IF($H167="","Planned",IF($I167="","In Progress","Finished"))))</f>
      </c>
      <c r="L167" s="143"/>
      <c r="M167" s="131"/>
      <c r="N167" s="155" t="str">
        <f>IFERROR(HYPERLINK(VLOOKUP($B167,'Hack Database'!$A:$J,9,FALSE),"Open Page"),"")</f>
      </c>
      <c r="O167" s="155" t="str">
        <f>IFERROR(HYPERLINK(VLOOKUP($B167,'Hack Database'!$A:$J,10,FALSE),"Download"),"")</f>
      </c>
      <c r="P167" s="149"/>
    </row>
    <row r="168" ht="23" customHeight="1">
      <c r="A168" s="92" t="str">
        <f>IF(C168="","",COUNTIF($C$2:C168,"&lt;&gt;"))</f>
      </c>
      <c r="B168" s="107"/>
      <c r="C168" s="113" t="str">
        <f>IFERROR(VLOOKUP($B168,'Hack Database'!$A:$J,2,FALSE),"")</f>
      </c>
      <c r="D168" s="113" t="str">
        <f>IFERROR(VLOOKUP($B168,'Hack Database'!$A:$J,3,FALSE),"")</f>
      </c>
      <c r="E168" s="125" t="str">
        <f>IFERROR(VLOOKUP($B168,'Hack Database'!$A:$J,4,FALSE),"")</f>
      </c>
      <c r="F168" s="125" t="str">
        <f>IFERROR(VLOOKUP($B168,'Hack Database'!$A:$J,5,FALSE),"")</f>
      </c>
      <c r="G168" s="113" t="str">
        <f>IFERROR(VLOOKUP($B168,'Hack Database'!$A:$J,6,FALSE),"")</f>
      </c>
      <c r="H168" s="137"/>
      <c r="I168" s="137"/>
      <c r="J168" s="131"/>
      <c r="K168" s="125" t="str">
        <f>IF($B168="","",IF($J168="Yes","100% Complete",IF($H168="","Planned",IF($I168="","In Progress","Finished"))))</f>
      </c>
      <c r="L168" s="143"/>
      <c r="M168" s="131"/>
      <c r="N168" s="155" t="str">
        <f>IFERROR(HYPERLINK(VLOOKUP($B168,'Hack Database'!$A:$J,9,FALSE),"Open Page"),"")</f>
      </c>
      <c r="O168" s="155" t="str">
        <f>IFERROR(HYPERLINK(VLOOKUP($B168,'Hack Database'!$A:$J,10,FALSE),"Download"),"")</f>
      </c>
      <c r="P168" s="149"/>
    </row>
    <row r="169" ht="23" customHeight="1">
      <c r="A169" s="92" t="str">
        <f>IF(C169="","",COUNTIF($C$2:C169,"&lt;&gt;"))</f>
      </c>
      <c r="B169" s="107"/>
      <c r="C169" s="113" t="str">
        <f>IFERROR(VLOOKUP($B169,'Hack Database'!$A:$J,2,FALSE),"")</f>
      </c>
      <c r="D169" s="113" t="str">
        <f>IFERROR(VLOOKUP($B169,'Hack Database'!$A:$J,3,FALSE),"")</f>
      </c>
      <c r="E169" s="125" t="str">
        <f>IFERROR(VLOOKUP($B169,'Hack Database'!$A:$J,4,FALSE),"")</f>
      </c>
      <c r="F169" s="125" t="str">
        <f>IFERROR(VLOOKUP($B169,'Hack Database'!$A:$J,5,FALSE),"")</f>
      </c>
      <c r="G169" s="113" t="str">
        <f>IFERROR(VLOOKUP($B169,'Hack Database'!$A:$J,6,FALSE),"")</f>
      </c>
      <c r="H169" s="137"/>
      <c r="I169" s="137"/>
      <c r="J169" s="131"/>
      <c r="K169" s="125" t="str">
        <f>IF($B169="","",IF($J169="Yes","100% Complete",IF($H169="","Planned",IF($I169="","In Progress","Finished"))))</f>
      </c>
      <c r="L169" s="143"/>
      <c r="M169" s="131"/>
      <c r="N169" s="155" t="str">
        <f>IFERROR(HYPERLINK(VLOOKUP($B169,'Hack Database'!$A:$J,9,FALSE),"Open Page"),"")</f>
      </c>
      <c r="O169" s="155" t="str">
        <f>IFERROR(HYPERLINK(VLOOKUP($B169,'Hack Database'!$A:$J,10,FALSE),"Download"),"")</f>
      </c>
      <c r="P169" s="149"/>
    </row>
    <row r="170" ht="23" customHeight="1">
      <c r="A170" s="92" t="str">
        <f>IF(C170="","",COUNTIF($C$2:C170,"&lt;&gt;"))</f>
      </c>
      <c r="B170" s="107"/>
      <c r="C170" s="113" t="str">
        <f>IFERROR(VLOOKUP($B170,'Hack Database'!$A:$J,2,FALSE),"")</f>
      </c>
      <c r="D170" s="113" t="str">
        <f>IFERROR(VLOOKUP($B170,'Hack Database'!$A:$J,3,FALSE),"")</f>
      </c>
      <c r="E170" s="125" t="str">
        <f>IFERROR(VLOOKUP($B170,'Hack Database'!$A:$J,4,FALSE),"")</f>
      </c>
      <c r="F170" s="125" t="str">
        <f>IFERROR(VLOOKUP($B170,'Hack Database'!$A:$J,5,FALSE),"")</f>
      </c>
      <c r="G170" s="113" t="str">
        <f>IFERROR(VLOOKUP($B170,'Hack Database'!$A:$J,6,FALSE),"")</f>
      </c>
      <c r="H170" s="137"/>
      <c r="I170" s="137"/>
      <c r="J170" s="131"/>
      <c r="K170" s="125" t="str">
        <f>IF($B170="","",IF($J170="Yes","100% Complete",IF($H170="","Planned",IF($I170="","In Progress","Finished"))))</f>
      </c>
      <c r="L170" s="143"/>
      <c r="M170" s="131"/>
      <c r="N170" s="155" t="str">
        <f>IFERROR(HYPERLINK(VLOOKUP($B170,'Hack Database'!$A:$J,9,FALSE),"Open Page"),"")</f>
      </c>
      <c r="O170" s="155" t="str">
        <f>IFERROR(HYPERLINK(VLOOKUP($B170,'Hack Database'!$A:$J,10,FALSE),"Download"),"")</f>
      </c>
      <c r="P170" s="149"/>
    </row>
    <row r="171" ht="23" customHeight="1">
      <c r="A171" s="92" t="str">
        <f>IF(C171="","",COUNTIF($C$2:C171,"&lt;&gt;"))</f>
      </c>
      <c r="B171" s="107"/>
      <c r="C171" s="113" t="str">
        <f>IFERROR(VLOOKUP($B171,'Hack Database'!$A:$J,2,FALSE),"")</f>
      </c>
      <c r="D171" s="113" t="str">
        <f>IFERROR(VLOOKUP($B171,'Hack Database'!$A:$J,3,FALSE),"")</f>
      </c>
      <c r="E171" s="125" t="str">
        <f>IFERROR(VLOOKUP($B171,'Hack Database'!$A:$J,4,FALSE),"")</f>
      </c>
      <c r="F171" s="125" t="str">
        <f>IFERROR(VLOOKUP($B171,'Hack Database'!$A:$J,5,FALSE),"")</f>
      </c>
      <c r="G171" s="113" t="str">
        <f>IFERROR(VLOOKUP($B171,'Hack Database'!$A:$J,6,FALSE),"")</f>
      </c>
      <c r="H171" s="137"/>
      <c r="I171" s="137"/>
      <c r="J171" s="131"/>
      <c r="K171" s="125" t="str">
        <f>IF($B171="","",IF($J171="Yes","100% Complete",IF($H171="","Planned",IF($I171="","In Progress","Finished"))))</f>
      </c>
      <c r="L171" s="143"/>
      <c r="M171" s="131"/>
      <c r="N171" s="155" t="str">
        <f>IFERROR(HYPERLINK(VLOOKUP($B171,'Hack Database'!$A:$J,9,FALSE),"Open Page"),"")</f>
      </c>
      <c r="O171" s="155" t="str">
        <f>IFERROR(HYPERLINK(VLOOKUP($B171,'Hack Database'!$A:$J,10,FALSE),"Download"),"")</f>
      </c>
      <c r="P171" s="149"/>
    </row>
    <row r="172" ht="23" customHeight="1">
      <c r="A172" s="92" t="str">
        <f>IF(C172="","",COUNTIF($C$2:C172,"&lt;&gt;"))</f>
      </c>
      <c r="B172" s="107"/>
      <c r="C172" s="113" t="str">
        <f>IFERROR(VLOOKUP($B172,'Hack Database'!$A:$J,2,FALSE),"")</f>
      </c>
      <c r="D172" s="113" t="str">
        <f>IFERROR(VLOOKUP($B172,'Hack Database'!$A:$J,3,FALSE),"")</f>
      </c>
      <c r="E172" s="125" t="str">
        <f>IFERROR(VLOOKUP($B172,'Hack Database'!$A:$J,4,FALSE),"")</f>
      </c>
      <c r="F172" s="125" t="str">
        <f>IFERROR(VLOOKUP($B172,'Hack Database'!$A:$J,5,FALSE),"")</f>
      </c>
      <c r="G172" s="113" t="str">
        <f>IFERROR(VLOOKUP($B172,'Hack Database'!$A:$J,6,FALSE),"")</f>
      </c>
      <c r="H172" s="137"/>
      <c r="I172" s="137"/>
      <c r="J172" s="131"/>
      <c r="K172" s="125" t="str">
        <f>IF($B172="","",IF($J172="Yes","100% Complete",IF($H172="","Planned",IF($I172="","In Progress","Finished"))))</f>
      </c>
      <c r="L172" s="143"/>
      <c r="M172" s="131"/>
      <c r="N172" s="155" t="str">
        <f>IFERROR(HYPERLINK(VLOOKUP($B172,'Hack Database'!$A:$J,9,FALSE),"Open Page"),"")</f>
      </c>
      <c r="O172" s="155" t="str">
        <f>IFERROR(HYPERLINK(VLOOKUP($B172,'Hack Database'!$A:$J,10,FALSE),"Download"),"")</f>
      </c>
      <c r="P172" s="149"/>
    </row>
    <row r="173" ht="23" customHeight="1">
      <c r="A173" s="92" t="str">
        <f>IF(C173="","",COUNTIF($C$2:C173,"&lt;&gt;"))</f>
      </c>
      <c r="B173" s="107"/>
      <c r="C173" s="113" t="str">
        <f>IFERROR(VLOOKUP($B173,'Hack Database'!$A:$J,2,FALSE),"")</f>
      </c>
      <c r="D173" s="113" t="str">
        <f>IFERROR(VLOOKUP($B173,'Hack Database'!$A:$J,3,FALSE),"")</f>
      </c>
      <c r="E173" s="125" t="str">
        <f>IFERROR(VLOOKUP($B173,'Hack Database'!$A:$J,4,FALSE),"")</f>
      </c>
      <c r="F173" s="125" t="str">
        <f>IFERROR(VLOOKUP($B173,'Hack Database'!$A:$J,5,FALSE),"")</f>
      </c>
      <c r="G173" s="113" t="str">
        <f>IFERROR(VLOOKUP($B173,'Hack Database'!$A:$J,6,FALSE),"")</f>
      </c>
      <c r="H173" s="137"/>
      <c r="I173" s="137"/>
      <c r="J173" s="131"/>
      <c r="K173" s="125" t="str">
        <f>IF($B173="","",IF($J173="Yes","100% Complete",IF($H173="","Planned",IF($I173="","In Progress","Finished"))))</f>
      </c>
      <c r="L173" s="143"/>
      <c r="M173" s="131"/>
      <c r="N173" s="155" t="str">
        <f>IFERROR(HYPERLINK(VLOOKUP($B173,'Hack Database'!$A:$J,9,FALSE),"Open Page"),"")</f>
      </c>
      <c r="O173" s="155" t="str">
        <f>IFERROR(HYPERLINK(VLOOKUP($B173,'Hack Database'!$A:$J,10,FALSE),"Download"),"")</f>
      </c>
      <c r="P173" s="149"/>
    </row>
    <row r="174" ht="23" customHeight="1">
      <c r="A174" s="92" t="str">
        <f>IF(C174="","",COUNTIF($C$2:C174,"&lt;&gt;"))</f>
      </c>
      <c r="B174" s="107"/>
      <c r="C174" s="113" t="str">
        <f>IFERROR(VLOOKUP($B174,'Hack Database'!$A:$J,2,FALSE),"")</f>
      </c>
      <c r="D174" s="113" t="str">
        <f>IFERROR(VLOOKUP($B174,'Hack Database'!$A:$J,3,FALSE),"")</f>
      </c>
      <c r="E174" s="125" t="str">
        <f>IFERROR(VLOOKUP($B174,'Hack Database'!$A:$J,4,FALSE),"")</f>
      </c>
      <c r="F174" s="125" t="str">
        <f>IFERROR(VLOOKUP($B174,'Hack Database'!$A:$J,5,FALSE),"")</f>
      </c>
      <c r="G174" s="113" t="str">
        <f>IFERROR(VLOOKUP($B174,'Hack Database'!$A:$J,6,FALSE),"")</f>
      </c>
      <c r="H174" s="137"/>
      <c r="I174" s="137"/>
      <c r="J174" s="131"/>
      <c r="K174" s="125" t="str">
        <f>IF($B174="","",IF($J174="Yes","100% Complete",IF($H174="","Planned",IF($I174="","In Progress","Finished"))))</f>
      </c>
      <c r="L174" s="143"/>
      <c r="M174" s="131"/>
      <c r="N174" s="155" t="str">
        <f>IFERROR(HYPERLINK(VLOOKUP($B174,'Hack Database'!$A:$J,9,FALSE),"Open Page"),"")</f>
      </c>
      <c r="O174" s="155" t="str">
        <f>IFERROR(HYPERLINK(VLOOKUP($B174,'Hack Database'!$A:$J,10,FALSE),"Download"),"")</f>
      </c>
      <c r="P174" s="149"/>
    </row>
    <row r="175" ht="23" customHeight="1">
      <c r="A175" s="92" t="str">
        <f>IF(C175="","",COUNTIF($C$2:C175,"&lt;&gt;"))</f>
      </c>
      <c r="B175" s="107"/>
      <c r="C175" s="113" t="str">
        <f>IFERROR(VLOOKUP($B175,'Hack Database'!$A:$J,2,FALSE),"")</f>
      </c>
      <c r="D175" s="113" t="str">
        <f>IFERROR(VLOOKUP($B175,'Hack Database'!$A:$J,3,FALSE),"")</f>
      </c>
      <c r="E175" s="125" t="str">
        <f>IFERROR(VLOOKUP($B175,'Hack Database'!$A:$J,4,FALSE),"")</f>
      </c>
      <c r="F175" s="125" t="str">
        <f>IFERROR(VLOOKUP($B175,'Hack Database'!$A:$J,5,FALSE),"")</f>
      </c>
      <c r="G175" s="113" t="str">
        <f>IFERROR(VLOOKUP($B175,'Hack Database'!$A:$J,6,FALSE),"")</f>
      </c>
      <c r="H175" s="137"/>
      <c r="I175" s="137"/>
      <c r="J175" s="131"/>
      <c r="K175" s="125" t="str">
        <f>IF($B175="","",IF($J175="Yes","100% Complete",IF($H175="","Planned",IF($I175="","In Progress","Finished"))))</f>
      </c>
      <c r="L175" s="143"/>
      <c r="M175" s="131"/>
      <c r="N175" s="155" t="str">
        <f>IFERROR(HYPERLINK(VLOOKUP($B175,'Hack Database'!$A:$J,9,FALSE),"Open Page"),"")</f>
      </c>
      <c r="O175" s="155" t="str">
        <f>IFERROR(HYPERLINK(VLOOKUP($B175,'Hack Database'!$A:$J,10,FALSE),"Download"),"")</f>
      </c>
      <c r="P175" s="149"/>
    </row>
    <row r="176" ht="23" customHeight="1">
      <c r="A176" s="92" t="str">
        <f>IF(C176="","",COUNTIF($C$2:C176,"&lt;&gt;"))</f>
      </c>
      <c r="B176" s="107"/>
      <c r="C176" s="113" t="str">
        <f>IFERROR(VLOOKUP($B176,'Hack Database'!$A:$J,2,FALSE),"")</f>
      </c>
      <c r="D176" s="113" t="str">
        <f>IFERROR(VLOOKUP($B176,'Hack Database'!$A:$J,3,FALSE),"")</f>
      </c>
      <c r="E176" s="125" t="str">
        <f>IFERROR(VLOOKUP($B176,'Hack Database'!$A:$J,4,FALSE),"")</f>
      </c>
      <c r="F176" s="125" t="str">
        <f>IFERROR(VLOOKUP($B176,'Hack Database'!$A:$J,5,FALSE),"")</f>
      </c>
      <c r="G176" s="113" t="str">
        <f>IFERROR(VLOOKUP($B176,'Hack Database'!$A:$J,6,FALSE),"")</f>
      </c>
      <c r="H176" s="137"/>
      <c r="I176" s="137"/>
      <c r="J176" s="131"/>
      <c r="K176" s="125" t="str">
        <f>IF($B176="","",IF($J176="Yes","100% Complete",IF($H176="","Planned",IF($I176="","In Progress","Finished"))))</f>
      </c>
      <c r="L176" s="143"/>
      <c r="M176" s="131"/>
      <c r="N176" s="155" t="str">
        <f>IFERROR(HYPERLINK(VLOOKUP($B176,'Hack Database'!$A:$J,9,FALSE),"Open Page"),"")</f>
      </c>
      <c r="O176" s="155" t="str">
        <f>IFERROR(HYPERLINK(VLOOKUP($B176,'Hack Database'!$A:$J,10,FALSE),"Download"),"")</f>
      </c>
      <c r="P176" s="149"/>
    </row>
    <row r="177" ht="23" customHeight="1">
      <c r="A177" s="92" t="str">
        <f>IF(C177="","",COUNTIF($C$2:C177,"&lt;&gt;"))</f>
      </c>
      <c r="B177" s="107"/>
      <c r="C177" s="113" t="str">
        <f>IFERROR(VLOOKUP($B177,'Hack Database'!$A:$J,2,FALSE),"")</f>
      </c>
      <c r="D177" s="113" t="str">
        <f>IFERROR(VLOOKUP($B177,'Hack Database'!$A:$J,3,FALSE),"")</f>
      </c>
      <c r="E177" s="125" t="str">
        <f>IFERROR(VLOOKUP($B177,'Hack Database'!$A:$J,4,FALSE),"")</f>
      </c>
      <c r="F177" s="125" t="str">
        <f>IFERROR(VLOOKUP($B177,'Hack Database'!$A:$J,5,FALSE),"")</f>
      </c>
      <c r="G177" s="113" t="str">
        <f>IFERROR(VLOOKUP($B177,'Hack Database'!$A:$J,6,FALSE),"")</f>
      </c>
      <c r="H177" s="137"/>
      <c r="I177" s="137"/>
      <c r="J177" s="131"/>
      <c r="K177" s="125" t="str">
        <f>IF($B177="","",IF($J177="Yes","100% Complete",IF($H177="","Planned",IF($I177="","In Progress","Finished"))))</f>
      </c>
      <c r="L177" s="143"/>
      <c r="M177" s="131"/>
      <c r="N177" s="155" t="str">
        <f>IFERROR(HYPERLINK(VLOOKUP($B177,'Hack Database'!$A:$J,9,FALSE),"Open Page"),"")</f>
      </c>
      <c r="O177" s="155" t="str">
        <f>IFERROR(HYPERLINK(VLOOKUP($B177,'Hack Database'!$A:$J,10,FALSE),"Download"),"")</f>
      </c>
      <c r="P177" s="149"/>
    </row>
    <row r="178" ht="23" customHeight="1">
      <c r="A178" s="92" t="str">
        <f>IF(C178="","",COUNTIF($C$2:C178,"&lt;&gt;"))</f>
      </c>
      <c r="B178" s="107"/>
      <c r="C178" s="113" t="str">
        <f>IFERROR(VLOOKUP($B178,'Hack Database'!$A:$J,2,FALSE),"")</f>
      </c>
      <c r="D178" s="113" t="str">
        <f>IFERROR(VLOOKUP($B178,'Hack Database'!$A:$J,3,FALSE),"")</f>
      </c>
      <c r="E178" s="125" t="str">
        <f>IFERROR(VLOOKUP($B178,'Hack Database'!$A:$J,4,FALSE),"")</f>
      </c>
      <c r="F178" s="125" t="str">
        <f>IFERROR(VLOOKUP($B178,'Hack Database'!$A:$J,5,FALSE),"")</f>
      </c>
      <c r="G178" s="113" t="str">
        <f>IFERROR(VLOOKUP($B178,'Hack Database'!$A:$J,6,FALSE),"")</f>
      </c>
      <c r="H178" s="137"/>
      <c r="I178" s="137"/>
      <c r="J178" s="131"/>
      <c r="K178" s="125" t="str">
        <f>IF($B178="","",IF($J178="Yes","100% Complete",IF($H178="","Planned",IF($I178="","In Progress","Finished"))))</f>
      </c>
      <c r="L178" s="143"/>
      <c r="M178" s="131"/>
      <c r="N178" s="155" t="str">
        <f>IFERROR(HYPERLINK(VLOOKUP($B178,'Hack Database'!$A:$J,9,FALSE),"Open Page"),"")</f>
      </c>
      <c r="O178" s="155" t="str">
        <f>IFERROR(HYPERLINK(VLOOKUP($B178,'Hack Database'!$A:$J,10,FALSE),"Download"),"")</f>
      </c>
      <c r="P178" s="149"/>
    </row>
    <row r="179" ht="23" customHeight="1">
      <c r="A179" s="92" t="str">
        <f>IF(C179="","",COUNTIF($C$2:C179,"&lt;&gt;"))</f>
      </c>
      <c r="B179" s="107"/>
      <c r="C179" s="113" t="str">
        <f>IFERROR(VLOOKUP($B179,'Hack Database'!$A:$J,2,FALSE),"")</f>
      </c>
      <c r="D179" s="113" t="str">
        <f>IFERROR(VLOOKUP($B179,'Hack Database'!$A:$J,3,FALSE),"")</f>
      </c>
      <c r="E179" s="125" t="str">
        <f>IFERROR(VLOOKUP($B179,'Hack Database'!$A:$J,4,FALSE),"")</f>
      </c>
      <c r="F179" s="125" t="str">
        <f>IFERROR(VLOOKUP($B179,'Hack Database'!$A:$J,5,FALSE),"")</f>
      </c>
      <c r="G179" s="113" t="str">
        <f>IFERROR(VLOOKUP($B179,'Hack Database'!$A:$J,6,FALSE),"")</f>
      </c>
      <c r="H179" s="137"/>
      <c r="I179" s="137"/>
      <c r="J179" s="131"/>
      <c r="K179" s="125" t="str">
        <f>IF($B179="","",IF($J179="Yes","100% Complete",IF($H179="","Planned",IF($I179="","In Progress","Finished"))))</f>
      </c>
      <c r="L179" s="143"/>
      <c r="M179" s="131"/>
      <c r="N179" s="155" t="str">
        <f>IFERROR(HYPERLINK(VLOOKUP($B179,'Hack Database'!$A:$J,9,FALSE),"Open Page"),"")</f>
      </c>
      <c r="O179" s="155" t="str">
        <f>IFERROR(HYPERLINK(VLOOKUP($B179,'Hack Database'!$A:$J,10,FALSE),"Download"),"")</f>
      </c>
      <c r="P179" s="149"/>
    </row>
    <row r="180" ht="23" customHeight="1">
      <c r="A180" s="92" t="str">
        <f>IF(C180="","",COUNTIF($C$2:C180,"&lt;&gt;"))</f>
      </c>
      <c r="B180" s="107"/>
      <c r="C180" s="113" t="str">
        <f>IFERROR(VLOOKUP($B180,'Hack Database'!$A:$J,2,FALSE),"")</f>
      </c>
      <c r="D180" s="113" t="str">
        <f>IFERROR(VLOOKUP($B180,'Hack Database'!$A:$J,3,FALSE),"")</f>
      </c>
      <c r="E180" s="125" t="str">
        <f>IFERROR(VLOOKUP($B180,'Hack Database'!$A:$J,4,FALSE),"")</f>
      </c>
      <c r="F180" s="125" t="str">
        <f>IFERROR(VLOOKUP($B180,'Hack Database'!$A:$J,5,FALSE),"")</f>
      </c>
      <c r="G180" s="113" t="str">
        <f>IFERROR(VLOOKUP($B180,'Hack Database'!$A:$J,6,FALSE),"")</f>
      </c>
      <c r="H180" s="137"/>
      <c r="I180" s="137"/>
      <c r="J180" s="131"/>
      <c r="K180" s="125" t="str">
        <f>IF($B180="","",IF($J180="Yes","100% Complete",IF($H180="","Planned",IF($I180="","In Progress","Finished"))))</f>
      </c>
      <c r="L180" s="143"/>
      <c r="M180" s="131"/>
      <c r="N180" s="155" t="str">
        <f>IFERROR(HYPERLINK(VLOOKUP($B180,'Hack Database'!$A:$J,9,FALSE),"Open Page"),"")</f>
      </c>
      <c r="O180" s="155" t="str">
        <f>IFERROR(HYPERLINK(VLOOKUP($B180,'Hack Database'!$A:$J,10,FALSE),"Download"),"")</f>
      </c>
      <c r="P180" s="149"/>
    </row>
    <row r="181" ht="23" customHeight="1">
      <c r="A181" s="92" t="str">
        <f>IF(C181="","",COUNTIF($C$2:C181,"&lt;&gt;"))</f>
      </c>
      <c r="B181" s="107"/>
      <c r="C181" s="113" t="str">
        <f>IFERROR(VLOOKUP($B181,'Hack Database'!$A:$J,2,FALSE),"")</f>
      </c>
      <c r="D181" s="113" t="str">
        <f>IFERROR(VLOOKUP($B181,'Hack Database'!$A:$J,3,FALSE),"")</f>
      </c>
      <c r="E181" s="125" t="str">
        <f>IFERROR(VLOOKUP($B181,'Hack Database'!$A:$J,4,FALSE),"")</f>
      </c>
      <c r="F181" s="125" t="str">
        <f>IFERROR(VLOOKUP($B181,'Hack Database'!$A:$J,5,FALSE),"")</f>
      </c>
      <c r="G181" s="113" t="str">
        <f>IFERROR(VLOOKUP($B181,'Hack Database'!$A:$J,6,FALSE),"")</f>
      </c>
      <c r="H181" s="137"/>
      <c r="I181" s="137"/>
      <c r="J181" s="131"/>
      <c r="K181" s="125" t="str">
        <f>IF($B181="","",IF($J181="Yes","100% Complete",IF($H181="","Planned",IF($I181="","In Progress","Finished"))))</f>
      </c>
      <c r="L181" s="143"/>
      <c r="M181" s="131"/>
      <c r="N181" s="155" t="str">
        <f>IFERROR(HYPERLINK(VLOOKUP($B181,'Hack Database'!$A:$J,9,FALSE),"Open Page"),"")</f>
      </c>
      <c r="O181" s="155" t="str">
        <f>IFERROR(HYPERLINK(VLOOKUP($B181,'Hack Database'!$A:$J,10,FALSE),"Download"),"")</f>
      </c>
      <c r="P181" s="149"/>
    </row>
    <row r="182" ht="23" customHeight="1">
      <c r="A182" s="92" t="str">
        <f>IF(C182="","",COUNTIF($C$2:C182,"&lt;&gt;"))</f>
      </c>
      <c r="B182" s="107"/>
      <c r="C182" s="113" t="str">
        <f>IFERROR(VLOOKUP($B182,'Hack Database'!$A:$J,2,FALSE),"")</f>
      </c>
      <c r="D182" s="113" t="str">
        <f>IFERROR(VLOOKUP($B182,'Hack Database'!$A:$J,3,FALSE),"")</f>
      </c>
      <c r="E182" s="125" t="str">
        <f>IFERROR(VLOOKUP($B182,'Hack Database'!$A:$J,4,FALSE),"")</f>
      </c>
      <c r="F182" s="125" t="str">
        <f>IFERROR(VLOOKUP($B182,'Hack Database'!$A:$J,5,FALSE),"")</f>
      </c>
      <c r="G182" s="113" t="str">
        <f>IFERROR(VLOOKUP($B182,'Hack Database'!$A:$J,6,FALSE),"")</f>
      </c>
      <c r="H182" s="137"/>
      <c r="I182" s="137"/>
      <c r="J182" s="131"/>
      <c r="K182" s="125" t="str">
        <f>IF($B182="","",IF($J182="Yes","100% Complete",IF($H182="","Planned",IF($I182="","In Progress","Finished"))))</f>
      </c>
      <c r="L182" s="143"/>
      <c r="M182" s="131"/>
      <c r="N182" s="155" t="str">
        <f>IFERROR(HYPERLINK(VLOOKUP($B182,'Hack Database'!$A:$J,9,FALSE),"Open Page"),"")</f>
      </c>
      <c r="O182" s="155" t="str">
        <f>IFERROR(HYPERLINK(VLOOKUP($B182,'Hack Database'!$A:$J,10,FALSE),"Download"),"")</f>
      </c>
      <c r="P182" s="149"/>
    </row>
    <row r="183" ht="23" customHeight="1">
      <c r="A183" s="92" t="str">
        <f>IF(C183="","",COUNTIF($C$2:C183,"&lt;&gt;"))</f>
      </c>
      <c r="B183" s="107"/>
      <c r="C183" s="113" t="str">
        <f>IFERROR(VLOOKUP($B183,'Hack Database'!$A:$J,2,FALSE),"")</f>
      </c>
      <c r="D183" s="113" t="str">
        <f>IFERROR(VLOOKUP($B183,'Hack Database'!$A:$J,3,FALSE),"")</f>
      </c>
      <c r="E183" s="125" t="str">
        <f>IFERROR(VLOOKUP($B183,'Hack Database'!$A:$J,4,FALSE),"")</f>
      </c>
      <c r="F183" s="125" t="str">
        <f>IFERROR(VLOOKUP($B183,'Hack Database'!$A:$J,5,FALSE),"")</f>
      </c>
      <c r="G183" s="113" t="str">
        <f>IFERROR(VLOOKUP($B183,'Hack Database'!$A:$J,6,FALSE),"")</f>
      </c>
      <c r="H183" s="137"/>
      <c r="I183" s="137"/>
      <c r="J183" s="131"/>
      <c r="K183" s="125" t="str">
        <f>IF($B183="","",IF($J183="Yes","100% Complete",IF($H183="","Planned",IF($I183="","In Progress","Finished"))))</f>
      </c>
      <c r="L183" s="143"/>
      <c r="M183" s="131"/>
      <c r="N183" s="155" t="str">
        <f>IFERROR(HYPERLINK(VLOOKUP($B183,'Hack Database'!$A:$J,9,FALSE),"Open Page"),"")</f>
      </c>
      <c r="O183" s="155" t="str">
        <f>IFERROR(HYPERLINK(VLOOKUP($B183,'Hack Database'!$A:$J,10,FALSE),"Download"),"")</f>
      </c>
      <c r="P183" s="149"/>
    </row>
    <row r="184" ht="23" customHeight="1">
      <c r="A184" s="92" t="str">
        <f>IF(C184="","",COUNTIF($C$2:C184,"&lt;&gt;"))</f>
      </c>
      <c r="B184" s="107"/>
      <c r="C184" s="113" t="str">
        <f>IFERROR(VLOOKUP($B184,'Hack Database'!$A:$J,2,FALSE),"")</f>
      </c>
      <c r="D184" s="113" t="str">
        <f>IFERROR(VLOOKUP($B184,'Hack Database'!$A:$J,3,FALSE),"")</f>
      </c>
      <c r="E184" s="125" t="str">
        <f>IFERROR(VLOOKUP($B184,'Hack Database'!$A:$J,4,FALSE),"")</f>
      </c>
      <c r="F184" s="125" t="str">
        <f>IFERROR(VLOOKUP($B184,'Hack Database'!$A:$J,5,FALSE),"")</f>
      </c>
      <c r="G184" s="113" t="str">
        <f>IFERROR(VLOOKUP($B184,'Hack Database'!$A:$J,6,FALSE),"")</f>
      </c>
      <c r="H184" s="137"/>
      <c r="I184" s="137"/>
      <c r="J184" s="131"/>
      <c r="K184" s="125" t="str">
        <f>IF($B184="","",IF($J184="Yes","100% Complete",IF($H184="","Planned",IF($I184="","In Progress","Finished"))))</f>
      </c>
      <c r="L184" s="143"/>
      <c r="M184" s="131"/>
      <c r="N184" s="155" t="str">
        <f>IFERROR(HYPERLINK(VLOOKUP($B184,'Hack Database'!$A:$J,9,FALSE),"Open Page"),"")</f>
      </c>
      <c r="O184" s="155" t="str">
        <f>IFERROR(HYPERLINK(VLOOKUP($B184,'Hack Database'!$A:$J,10,FALSE),"Download"),"")</f>
      </c>
      <c r="P184" s="149"/>
    </row>
    <row r="185" ht="23" customHeight="1">
      <c r="A185" s="92" t="str">
        <f>IF(C185="","",COUNTIF($C$2:C185,"&lt;&gt;"))</f>
      </c>
      <c r="B185" s="107"/>
      <c r="C185" s="113" t="str">
        <f>IFERROR(VLOOKUP($B185,'Hack Database'!$A:$J,2,FALSE),"")</f>
      </c>
      <c r="D185" s="113" t="str">
        <f>IFERROR(VLOOKUP($B185,'Hack Database'!$A:$J,3,FALSE),"")</f>
      </c>
      <c r="E185" s="125" t="str">
        <f>IFERROR(VLOOKUP($B185,'Hack Database'!$A:$J,4,FALSE),"")</f>
      </c>
      <c r="F185" s="125" t="str">
        <f>IFERROR(VLOOKUP($B185,'Hack Database'!$A:$J,5,FALSE),"")</f>
      </c>
      <c r="G185" s="113" t="str">
        <f>IFERROR(VLOOKUP($B185,'Hack Database'!$A:$J,6,FALSE),"")</f>
      </c>
      <c r="H185" s="137"/>
      <c r="I185" s="137"/>
      <c r="J185" s="131"/>
      <c r="K185" s="125" t="str">
        <f>IF($B185="","",IF($J185="Yes","100% Complete",IF($H185="","Planned",IF($I185="","In Progress","Finished"))))</f>
      </c>
      <c r="L185" s="143"/>
      <c r="M185" s="131"/>
      <c r="N185" s="155" t="str">
        <f>IFERROR(HYPERLINK(VLOOKUP($B185,'Hack Database'!$A:$J,9,FALSE),"Open Page"),"")</f>
      </c>
      <c r="O185" s="155" t="str">
        <f>IFERROR(HYPERLINK(VLOOKUP($B185,'Hack Database'!$A:$J,10,FALSE),"Download"),"")</f>
      </c>
      <c r="P185" s="149"/>
    </row>
    <row r="186" ht="23" customHeight="1">
      <c r="A186" s="92" t="str">
        <f>IF(C186="","",COUNTIF($C$2:C186,"&lt;&gt;"))</f>
      </c>
      <c r="B186" s="107"/>
      <c r="C186" s="113" t="str">
        <f>IFERROR(VLOOKUP($B186,'Hack Database'!$A:$J,2,FALSE),"")</f>
      </c>
      <c r="D186" s="113" t="str">
        <f>IFERROR(VLOOKUP($B186,'Hack Database'!$A:$J,3,FALSE),"")</f>
      </c>
      <c r="E186" s="125" t="str">
        <f>IFERROR(VLOOKUP($B186,'Hack Database'!$A:$J,4,FALSE),"")</f>
      </c>
      <c r="F186" s="125" t="str">
        <f>IFERROR(VLOOKUP($B186,'Hack Database'!$A:$J,5,FALSE),"")</f>
      </c>
      <c r="G186" s="113" t="str">
        <f>IFERROR(VLOOKUP($B186,'Hack Database'!$A:$J,6,FALSE),"")</f>
      </c>
      <c r="H186" s="137"/>
      <c r="I186" s="137"/>
      <c r="J186" s="131"/>
      <c r="K186" s="125" t="str">
        <f>IF($B186="","",IF($J186="Yes","100% Complete",IF($H186="","Planned",IF($I186="","In Progress","Finished"))))</f>
      </c>
      <c r="L186" s="143"/>
      <c r="M186" s="131"/>
      <c r="N186" s="155" t="str">
        <f>IFERROR(HYPERLINK(VLOOKUP($B186,'Hack Database'!$A:$J,9,FALSE),"Open Page"),"")</f>
      </c>
      <c r="O186" s="155" t="str">
        <f>IFERROR(HYPERLINK(VLOOKUP($B186,'Hack Database'!$A:$J,10,FALSE),"Download"),"")</f>
      </c>
      <c r="P186" s="149"/>
    </row>
    <row r="187" ht="23" customHeight="1">
      <c r="A187" s="92" t="str">
        <f>IF(C187="","",COUNTIF($C$2:C187,"&lt;&gt;"))</f>
      </c>
      <c r="B187" s="107"/>
      <c r="C187" s="113" t="str">
        <f>IFERROR(VLOOKUP($B187,'Hack Database'!$A:$J,2,FALSE),"")</f>
      </c>
      <c r="D187" s="113" t="str">
        <f>IFERROR(VLOOKUP($B187,'Hack Database'!$A:$J,3,FALSE),"")</f>
      </c>
      <c r="E187" s="125" t="str">
        <f>IFERROR(VLOOKUP($B187,'Hack Database'!$A:$J,4,FALSE),"")</f>
      </c>
      <c r="F187" s="125" t="str">
        <f>IFERROR(VLOOKUP($B187,'Hack Database'!$A:$J,5,FALSE),"")</f>
      </c>
      <c r="G187" s="113" t="str">
        <f>IFERROR(VLOOKUP($B187,'Hack Database'!$A:$J,6,FALSE),"")</f>
      </c>
      <c r="H187" s="137"/>
      <c r="I187" s="137"/>
      <c r="J187" s="131"/>
      <c r="K187" s="125" t="str">
        <f>IF($B187="","",IF($J187="Yes","100% Complete",IF($H187="","Planned",IF($I187="","In Progress","Finished"))))</f>
      </c>
      <c r="L187" s="143"/>
      <c r="M187" s="131"/>
      <c r="N187" s="155" t="str">
        <f>IFERROR(HYPERLINK(VLOOKUP($B187,'Hack Database'!$A:$J,9,FALSE),"Open Page"),"")</f>
      </c>
      <c r="O187" s="155" t="str">
        <f>IFERROR(HYPERLINK(VLOOKUP($B187,'Hack Database'!$A:$J,10,FALSE),"Download"),"")</f>
      </c>
      <c r="P187" s="149"/>
    </row>
    <row r="188" ht="23" customHeight="1">
      <c r="A188" s="92" t="str">
        <f>IF(C188="","",COUNTIF($C$2:C188,"&lt;&gt;"))</f>
      </c>
      <c r="B188" s="107"/>
      <c r="C188" s="113" t="str">
        <f>IFERROR(VLOOKUP($B188,'Hack Database'!$A:$J,2,FALSE),"")</f>
      </c>
      <c r="D188" s="113" t="str">
        <f>IFERROR(VLOOKUP($B188,'Hack Database'!$A:$J,3,FALSE),"")</f>
      </c>
      <c r="E188" s="125" t="str">
        <f>IFERROR(VLOOKUP($B188,'Hack Database'!$A:$J,4,FALSE),"")</f>
      </c>
      <c r="F188" s="125" t="str">
        <f>IFERROR(VLOOKUP($B188,'Hack Database'!$A:$J,5,FALSE),"")</f>
      </c>
      <c r="G188" s="113" t="str">
        <f>IFERROR(VLOOKUP($B188,'Hack Database'!$A:$J,6,FALSE),"")</f>
      </c>
      <c r="H188" s="137"/>
      <c r="I188" s="137"/>
      <c r="J188" s="131"/>
      <c r="K188" s="125" t="str">
        <f>IF($B188="","",IF($J188="Yes","100% Complete",IF($H188="","Planned",IF($I188="","In Progress","Finished"))))</f>
      </c>
      <c r="L188" s="143"/>
      <c r="M188" s="131"/>
      <c r="N188" s="155" t="str">
        <f>IFERROR(HYPERLINK(VLOOKUP($B188,'Hack Database'!$A:$J,9,FALSE),"Open Page"),"")</f>
      </c>
      <c r="O188" s="155" t="str">
        <f>IFERROR(HYPERLINK(VLOOKUP($B188,'Hack Database'!$A:$J,10,FALSE),"Download"),"")</f>
      </c>
      <c r="P188" s="149"/>
    </row>
    <row r="189" ht="23" customHeight="1">
      <c r="A189" s="92" t="str">
        <f>IF(C189="","",COUNTIF($C$2:C189,"&lt;&gt;"))</f>
      </c>
      <c r="B189" s="107"/>
      <c r="C189" s="113" t="str">
        <f>IFERROR(VLOOKUP($B189,'Hack Database'!$A:$J,2,FALSE),"")</f>
      </c>
      <c r="D189" s="113" t="str">
        <f>IFERROR(VLOOKUP($B189,'Hack Database'!$A:$J,3,FALSE),"")</f>
      </c>
      <c r="E189" s="125" t="str">
        <f>IFERROR(VLOOKUP($B189,'Hack Database'!$A:$J,4,FALSE),"")</f>
      </c>
      <c r="F189" s="125" t="str">
        <f>IFERROR(VLOOKUP($B189,'Hack Database'!$A:$J,5,FALSE),"")</f>
      </c>
      <c r="G189" s="113" t="str">
        <f>IFERROR(VLOOKUP($B189,'Hack Database'!$A:$J,6,FALSE),"")</f>
      </c>
      <c r="H189" s="137"/>
      <c r="I189" s="137"/>
      <c r="J189" s="131"/>
      <c r="K189" s="125" t="str">
        <f>IF($B189="","",IF($J189="Yes","100% Complete",IF($H189="","Planned",IF($I189="","In Progress","Finished"))))</f>
      </c>
      <c r="L189" s="143"/>
      <c r="M189" s="131"/>
      <c r="N189" s="155" t="str">
        <f>IFERROR(HYPERLINK(VLOOKUP($B189,'Hack Database'!$A:$J,9,FALSE),"Open Page"),"")</f>
      </c>
      <c r="O189" s="155" t="str">
        <f>IFERROR(HYPERLINK(VLOOKUP($B189,'Hack Database'!$A:$J,10,FALSE),"Download"),"")</f>
      </c>
      <c r="P189" s="149"/>
    </row>
    <row r="190" ht="23" customHeight="1">
      <c r="A190" s="92" t="str">
        <f>IF(C190="","",COUNTIF($C$2:C190,"&lt;&gt;"))</f>
      </c>
      <c r="B190" s="107"/>
      <c r="C190" s="113" t="str">
        <f>IFERROR(VLOOKUP($B190,'Hack Database'!$A:$J,2,FALSE),"")</f>
      </c>
      <c r="D190" s="113" t="str">
        <f>IFERROR(VLOOKUP($B190,'Hack Database'!$A:$J,3,FALSE),"")</f>
      </c>
      <c r="E190" s="125" t="str">
        <f>IFERROR(VLOOKUP($B190,'Hack Database'!$A:$J,4,FALSE),"")</f>
      </c>
      <c r="F190" s="125" t="str">
        <f>IFERROR(VLOOKUP($B190,'Hack Database'!$A:$J,5,FALSE),"")</f>
      </c>
      <c r="G190" s="113" t="str">
        <f>IFERROR(VLOOKUP($B190,'Hack Database'!$A:$J,6,FALSE),"")</f>
      </c>
      <c r="H190" s="137"/>
      <c r="I190" s="137"/>
      <c r="J190" s="131"/>
      <c r="K190" s="125" t="str">
        <f>IF($B190="","",IF($J190="Yes","100% Complete",IF($H190="","Planned",IF($I190="","In Progress","Finished"))))</f>
      </c>
      <c r="L190" s="143"/>
      <c r="M190" s="131"/>
      <c r="N190" s="155" t="str">
        <f>IFERROR(HYPERLINK(VLOOKUP($B190,'Hack Database'!$A:$J,9,FALSE),"Open Page"),"")</f>
      </c>
      <c r="O190" s="155" t="str">
        <f>IFERROR(HYPERLINK(VLOOKUP($B190,'Hack Database'!$A:$J,10,FALSE),"Download"),"")</f>
      </c>
      <c r="P190" s="149"/>
    </row>
    <row r="191" ht="23" customHeight="1">
      <c r="A191" s="92" t="str">
        <f>IF(C191="","",COUNTIF($C$2:C191,"&lt;&gt;"))</f>
      </c>
      <c r="B191" s="107"/>
      <c r="C191" s="113" t="str">
        <f>IFERROR(VLOOKUP($B191,'Hack Database'!$A:$J,2,FALSE),"")</f>
      </c>
      <c r="D191" s="113" t="str">
        <f>IFERROR(VLOOKUP($B191,'Hack Database'!$A:$J,3,FALSE),"")</f>
      </c>
      <c r="E191" s="125" t="str">
        <f>IFERROR(VLOOKUP($B191,'Hack Database'!$A:$J,4,FALSE),"")</f>
      </c>
      <c r="F191" s="125" t="str">
        <f>IFERROR(VLOOKUP($B191,'Hack Database'!$A:$J,5,FALSE),"")</f>
      </c>
      <c r="G191" s="113" t="str">
        <f>IFERROR(VLOOKUP($B191,'Hack Database'!$A:$J,6,FALSE),"")</f>
      </c>
      <c r="H191" s="137"/>
      <c r="I191" s="137"/>
      <c r="J191" s="131"/>
      <c r="K191" s="125" t="str">
        <f>IF($B191="","",IF($J191="Yes","100% Complete",IF($H191="","Planned",IF($I191="","In Progress","Finished"))))</f>
      </c>
      <c r="L191" s="143"/>
      <c r="M191" s="131"/>
      <c r="N191" s="155" t="str">
        <f>IFERROR(HYPERLINK(VLOOKUP($B191,'Hack Database'!$A:$J,9,FALSE),"Open Page"),"")</f>
      </c>
      <c r="O191" s="155" t="str">
        <f>IFERROR(HYPERLINK(VLOOKUP($B191,'Hack Database'!$A:$J,10,FALSE),"Download"),"")</f>
      </c>
      <c r="P191" s="149"/>
    </row>
    <row r="192" ht="23" customHeight="1">
      <c r="A192" s="92" t="str">
        <f>IF(C192="","",COUNTIF($C$2:C192,"&lt;&gt;"))</f>
      </c>
      <c r="B192" s="107"/>
      <c r="C192" s="113" t="str">
        <f>IFERROR(VLOOKUP($B192,'Hack Database'!$A:$J,2,FALSE),"")</f>
      </c>
      <c r="D192" s="113" t="str">
        <f>IFERROR(VLOOKUP($B192,'Hack Database'!$A:$J,3,FALSE),"")</f>
      </c>
      <c r="E192" s="125" t="str">
        <f>IFERROR(VLOOKUP($B192,'Hack Database'!$A:$J,4,FALSE),"")</f>
      </c>
      <c r="F192" s="125" t="str">
        <f>IFERROR(VLOOKUP($B192,'Hack Database'!$A:$J,5,FALSE),"")</f>
      </c>
      <c r="G192" s="113" t="str">
        <f>IFERROR(VLOOKUP($B192,'Hack Database'!$A:$J,6,FALSE),"")</f>
      </c>
      <c r="H192" s="137"/>
      <c r="I192" s="137"/>
      <c r="J192" s="131"/>
      <c r="K192" s="125" t="str">
        <f>IF($B192="","",IF($J192="Yes","100% Complete",IF($H192="","Planned",IF($I192="","In Progress","Finished"))))</f>
      </c>
      <c r="L192" s="143"/>
      <c r="M192" s="131"/>
      <c r="N192" s="155" t="str">
        <f>IFERROR(HYPERLINK(VLOOKUP($B192,'Hack Database'!$A:$J,9,FALSE),"Open Page"),"")</f>
      </c>
      <c r="O192" s="155" t="str">
        <f>IFERROR(HYPERLINK(VLOOKUP($B192,'Hack Database'!$A:$J,10,FALSE),"Download"),"")</f>
      </c>
      <c r="P192" s="149"/>
    </row>
    <row r="193" ht="23" customHeight="1">
      <c r="A193" s="92" t="str">
        <f>IF(C193="","",COUNTIF($C$2:C193,"&lt;&gt;"))</f>
      </c>
      <c r="B193" s="107"/>
      <c r="C193" s="113" t="str">
        <f>IFERROR(VLOOKUP($B193,'Hack Database'!$A:$J,2,FALSE),"")</f>
      </c>
      <c r="D193" s="113" t="str">
        <f>IFERROR(VLOOKUP($B193,'Hack Database'!$A:$J,3,FALSE),"")</f>
      </c>
      <c r="E193" s="125" t="str">
        <f>IFERROR(VLOOKUP($B193,'Hack Database'!$A:$J,4,FALSE),"")</f>
      </c>
      <c r="F193" s="125" t="str">
        <f>IFERROR(VLOOKUP($B193,'Hack Database'!$A:$J,5,FALSE),"")</f>
      </c>
      <c r="G193" s="113" t="str">
        <f>IFERROR(VLOOKUP($B193,'Hack Database'!$A:$J,6,FALSE),"")</f>
      </c>
      <c r="H193" s="137"/>
      <c r="I193" s="137"/>
      <c r="J193" s="131"/>
      <c r="K193" s="125" t="str">
        <f>IF($B193="","",IF($J193="Yes","100% Complete",IF($H193="","Planned",IF($I193="","In Progress","Finished"))))</f>
      </c>
      <c r="L193" s="143"/>
      <c r="M193" s="131"/>
      <c r="N193" s="155" t="str">
        <f>IFERROR(HYPERLINK(VLOOKUP($B193,'Hack Database'!$A:$J,9,FALSE),"Open Page"),"")</f>
      </c>
      <c r="O193" s="155" t="str">
        <f>IFERROR(HYPERLINK(VLOOKUP($B193,'Hack Database'!$A:$J,10,FALSE),"Download"),"")</f>
      </c>
      <c r="P193" s="149"/>
    </row>
    <row r="194" ht="23" customHeight="1">
      <c r="A194" s="92" t="str">
        <f>IF(C194="","",COUNTIF($C$2:C194,"&lt;&gt;"))</f>
      </c>
      <c r="B194" s="107"/>
      <c r="C194" s="113" t="str">
        <f>IFERROR(VLOOKUP($B194,'Hack Database'!$A:$J,2,FALSE),"")</f>
      </c>
      <c r="D194" s="113" t="str">
        <f>IFERROR(VLOOKUP($B194,'Hack Database'!$A:$J,3,FALSE),"")</f>
      </c>
      <c r="E194" s="125" t="str">
        <f>IFERROR(VLOOKUP($B194,'Hack Database'!$A:$J,4,FALSE),"")</f>
      </c>
      <c r="F194" s="125" t="str">
        <f>IFERROR(VLOOKUP($B194,'Hack Database'!$A:$J,5,FALSE),"")</f>
      </c>
      <c r="G194" s="113" t="str">
        <f>IFERROR(VLOOKUP($B194,'Hack Database'!$A:$J,6,FALSE),"")</f>
      </c>
      <c r="H194" s="137"/>
      <c r="I194" s="137"/>
      <c r="J194" s="131"/>
      <c r="K194" s="125" t="str">
        <f>IF($B194="","",IF($J194="Yes","100% Complete",IF($H194="","Planned",IF($I194="","In Progress","Finished"))))</f>
      </c>
      <c r="L194" s="143"/>
      <c r="M194" s="131"/>
      <c r="N194" s="155" t="str">
        <f>IFERROR(HYPERLINK(VLOOKUP($B194,'Hack Database'!$A:$J,9,FALSE),"Open Page"),"")</f>
      </c>
      <c r="O194" s="155" t="str">
        <f>IFERROR(HYPERLINK(VLOOKUP($B194,'Hack Database'!$A:$J,10,FALSE),"Download"),"")</f>
      </c>
      <c r="P194" s="149"/>
    </row>
    <row r="195" ht="23" customHeight="1">
      <c r="A195" s="92" t="str">
        <f>IF(C195="","",COUNTIF($C$2:C195,"&lt;&gt;"))</f>
      </c>
      <c r="B195" s="107"/>
      <c r="C195" s="113" t="str">
        <f>IFERROR(VLOOKUP($B195,'Hack Database'!$A:$J,2,FALSE),"")</f>
      </c>
      <c r="D195" s="113" t="str">
        <f>IFERROR(VLOOKUP($B195,'Hack Database'!$A:$J,3,FALSE),"")</f>
      </c>
      <c r="E195" s="125" t="str">
        <f>IFERROR(VLOOKUP($B195,'Hack Database'!$A:$J,4,FALSE),"")</f>
      </c>
      <c r="F195" s="125" t="str">
        <f>IFERROR(VLOOKUP($B195,'Hack Database'!$A:$J,5,FALSE),"")</f>
      </c>
      <c r="G195" s="113" t="str">
        <f>IFERROR(VLOOKUP($B195,'Hack Database'!$A:$J,6,FALSE),"")</f>
      </c>
      <c r="H195" s="137"/>
      <c r="I195" s="137"/>
      <c r="J195" s="131"/>
      <c r="K195" s="125" t="str">
        <f>IF($B195="","",IF($J195="Yes","100% Complete",IF($H195="","Planned",IF($I195="","In Progress","Finished"))))</f>
      </c>
      <c r="L195" s="143"/>
      <c r="M195" s="131"/>
      <c r="N195" s="155" t="str">
        <f>IFERROR(HYPERLINK(VLOOKUP($B195,'Hack Database'!$A:$J,9,FALSE),"Open Page"),"")</f>
      </c>
      <c r="O195" s="155" t="str">
        <f>IFERROR(HYPERLINK(VLOOKUP($B195,'Hack Database'!$A:$J,10,FALSE),"Download"),"")</f>
      </c>
      <c r="P195" s="149"/>
    </row>
    <row r="196" ht="23" customHeight="1">
      <c r="A196" s="92" t="str">
        <f>IF(C196="","",COUNTIF($C$2:C196,"&lt;&gt;"))</f>
      </c>
      <c r="B196" s="107"/>
      <c r="C196" s="113" t="str">
        <f>IFERROR(VLOOKUP($B196,'Hack Database'!$A:$J,2,FALSE),"")</f>
      </c>
      <c r="D196" s="113" t="str">
        <f>IFERROR(VLOOKUP($B196,'Hack Database'!$A:$J,3,FALSE),"")</f>
      </c>
      <c r="E196" s="125" t="str">
        <f>IFERROR(VLOOKUP($B196,'Hack Database'!$A:$J,4,FALSE),"")</f>
      </c>
      <c r="F196" s="125" t="str">
        <f>IFERROR(VLOOKUP($B196,'Hack Database'!$A:$J,5,FALSE),"")</f>
      </c>
      <c r="G196" s="113" t="str">
        <f>IFERROR(VLOOKUP($B196,'Hack Database'!$A:$J,6,FALSE),"")</f>
      </c>
      <c r="H196" s="137"/>
      <c r="I196" s="137"/>
      <c r="J196" s="131"/>
      <c r="K196" s="125" t="str">
        <f>IF($B196="","",IF($J196="Yes","100% Complete",IF($H196="","Planned",IF($I196="","In Progress","Finished"))))</f>
      </c>
      <c r="L196" s="143"/>
      <c r="M196" s="131"/>
      <c r="N196" s="155" t="str">
        <f>IFERROR(HYPERLINK(VLOOKUP($B196,'Hack Database'!$A:$J,9,FALSE),"Open Page"),"")</f>
      </c>
      <c r="O196" s="155" t="str">
        <f>IFERROR(HYPERLINK(VLOOKUP($B196,'Hack Database'!$A:$J,10,FALSE),"Download"),"")</f>
      </c>
      <c r="P196" s="149"/>
    </row>
    <row r="197" ht="23" customHeight="1">
      <c r="A197" s="92" t="str">
        <f>IF(C197="","",COUNTIF($C$2:C197,"&lt;&gt;"))</f>
      </c>
      <c r="B197" s="107"/>
      <c r="C197" s="113" t="str">
        <f>IFERROR(VLOOKUP($B197,'Hack Database'!$A:$J,2,FALSE),"")</f>
      </c>
      <c r="D197" s="113" t="str">
        <f>IFERROR(VLOOKUP($B197,'Hack Database'!$A:$J,3,FALSE),"")</f>
      </c>
      <c r="E197" s="125" t="str">
        <f>IFERROR(VLOOKUP($B197,'Hack Database'!$A:$J,4,FALSE),"")</f>
      </c>
      <c r="F197" s="125" t="str">
        <f>IFERROR(VLOOKUP($B197,'Hack Database'!$A:$J,5,FALSE),"")</f>
      </c>
      <c r="G197" s="113" t="str">
        <f>IFERROR(VLOOKUP($B197,'Hack Database'!$A:$J,6,FALSE),"")</f>
      </c>
      <c r="H197" s="137"/>
      <c r="I197" s="137"/>
      <c r="J197" s="131"/>
      <c r="K197" s="125" t="str">
        <f>IF($B197="","",IF($J197="Yes","100% Complete",IF($H197="","Planned",IF($I197="","In Progress","Finished"))))</f>
      </c>
      <c r="L197" s="143"/>
      <c r="M197" s="131"/>
      <c r="N197" s="155" t="str">
        <f>IFERROR(HYPERLINK(VLOOKUP($B197,'Hack Database'!$A:$J,9,FALSE),"Open Page"),"")</f>
      </c>
      <c r="O197" s="155" t="str">
        <f>IFERROR(HYPERLINK(VLOOKUP($B197,'Hack Database'!$A:$J,10,FALSE),"Download"),"")</f>
      </c>
      <c r="P197" s="149"/>
    </row>
    <row r="198" ht="23" customHeight="1">
      <c r="A198" s="92" t="str">
        <f>IF(C198="","",COUNTIF($C$2:C198,"&lt;&gt;"))</f>
      </c>
      <c r="B198" s="107"/>
      <c r="C198" s="113" t="str">
        <f>IFERROR(VLOOKUP($B198,'Hack Database'!$A:$J,2,FALSE),"")</f>
      </c>
      <c r="D198" s="113" t="str">
        <f>IFERROR(VLOOKUP($B198,'Hack Database'!$A:$J,3,FALSE),"")</f>
      </c>
      <c r="E198" s="125" t="str">
        <f>IFERROR(VLOOKUP($B198,'Hack Database'!$A:$J,4,FALSE),"")</f>
      </c>
      <c r="F198" s="125" t="str">
        <f>IFERROR(VLOOKUP($B198,'Hack Database'!$A:$J,5,FALSE),"")</f>
      </c>
      <c r="G198" s="113" t="str">
        <f>IFERROR(VLOOKUP($B198,'Hack Database'!$A:$J,6,FALSE),"")</f>
      </c>
      <c r="H198" s="137"/>
      <c r="I198" s="137"/>
      <c r="J198" s="131"/>
      <c r="K198" s="125" t="str">
        <f>IF($B198="","",IF($J198="Yes","100% Complete",IF($H198="","Planned",IF($I198="","In Progress","Finished"))))</f>
      </c>
      <c r="L198" s="143"/>
      <c r="M198" s="131"/>
      <c r="N198" s="155" t="str">
        <f>IFERROR(HYPERLINK(VLOOKUP($B198,'Hack Database'!$A:$J,9,FALSE),"Open Page"),"")</f>
      </c>
      <c r="O198" s="155" t="str">
        <f>IFERROR(HYPERLINK(VLOOKUP($B198,'Hack Database'!$A:$J,10,FALSE),"Download"),"")</f>
      </c>
      <c r="P198" s="149"/>
    </row>
    <row r="199" ht="23" customHeight="1">
      <c r="A199" s="92" t="str">
        <f>IF(C199="","",COUNTIF($C$2:C199,"&lt;&gt;"))</f>
      </c>
      <c r="B199" s="107"/>
      <c r="C199" s="113" t="str">
        <f>IFERROR(VLOOKUP($B199,'Hack Database'!$A:$J,2,FALSE),"")</f>
      </c>
      <c r="D199" s="113" t="str">
        <f>IFERROR(VLOOKUP($B199,'Hack Database'!$A:$J,3,FALSE),"")</f>
      </c>
      <c r="E199" s="125" t="str">
        <f>IFERROR(VLOOKUP($B199,'Hack Database'!$A:$J,4,FALSE),"")</f>
      </c>
      <c r="F199" s="125" t="str">
        <f>IFERROR(VLOOKUP($B199,'Hack Database'!$A:$J,5,FALSE),"")</f>
      </c>
      <c r="G199" s="113" t="str">
        <f>IFERROR(VLOOKUP($B199,'Hack Database'!$A:$J,6,FALSE),"")</f>
      </c>
      <c r="H199" s="137"/>
      <c r="I199" s="137"/>
      <c r="J199" s="131"/>
      <c r="K199" s="125" t="str">
        <f>IF($B199="","",IF($J199="Yes","100% Complete",IF($H199="","Planned",IF($I199="","In Progress","Finished"))))</f>
      </c>
      <c r="L199" s="143"/>
      <c r="M199" s="131"/>
      <c r="N199" s="155" t="str">
        <f>IFERROR(HYPERLINK(VLOOKUP($B199,'Hack Database'!$A:$J,9,FALSE),"Open Page"),"")</f>
      </c>
      <c r="O199" s="155" t="str">
        <f>IFERROR(HYPERLINK(VLOOKUP($B199,'Hack Database'!$A:$J,10,FALSE),"Download"),"")</f>
      </c>
      <c r="P199" s="149"/>
    </row>
    <row r="200" ht="23" customHeight="1">
      <c r="A200" s="92" t="str">
        <f>IF(C200="","",COUNTIF($C$2:C200,"&lt;&gt;"))</f>
      </c>
      <c r="B200" s="107"/>
      <c r="C200" s="113" t="str">
        <f>IFERROR(VLOOKUP($B200,'Hack Database'!$A:$J,2,FALSE),"")</f>
      </c>
      <c r="D200" s="113" t="str">
        <f>IFERROR(VLOOKUP($B200,'Hack Database'!$A:$J,3,FALSE),"")</f>
      </c>
      <c r="E200" s="125" t="str">
        <f>IFERROR(VLOOKUP($B200,'Hack Database'!$A:$J,4,FALSE),"")</f>
      </c>
      <c r="F200" s="125" t="str">
        <f>IFERROR(VLOOKUP($B200,'Hack Database'!$A:$J,5,FALSE),"")</f>
      </c>
      <c r="G200" s="113" t="str">
        <f>IFERROR(VLOOKUP($B200,'Hack Database'!$A:$J,6,FALSE),"")</f>
      </c>
      <c r="H200" s="137"/>
      <c r="I200" s="137"/>
      <c r="J200" s="131"/>
      <c r="K200" s="125" t="str">
        <f>IF($B200="","",IF($J200="Yes","100% Complete",IF($H200="","Planned",IF($I200="","In Progress","Finished"))))</f>
      </c>
      <c r="L200" s="143"/>
      <c r="M200" s="131"/>
      <c r="N200" s="155" t="str">
        <f>IFERROR(HYPERLINK(VLOOKUP($B200,'Hack Database'!$A:$J,9,FALSE),"Open Page"),"")</f>
      </c>
      <c r="O200" s="155" t="str">
        <f>IFERROR(HYPERLINK(VLOOKUP($B200,'Hack Database'!$A:$J,10,FALSE),"Download"),"")</f>
      </c>
      <c r="P200" s="149"/>
    </row>
    <row r="201" ht="23" customHeight="1">
      <c r="A201" s="92" t="str">
        <f>IF(C201="","",COUNTIF($C$2:C201,"&lt;&gt;"))</f>
      </c>
      <c r="B201" s="107"/>
      <c r="C201" s="113" t="str">
        <f>IFERROR(VLOOKUP($B201,'Hack Database'!$A:$J,2,FALSE),"")</f>
      </c>
      <c r="D201" s="113" t="str">
        <f>IFERROR(VLOOKUP($B201,'Hack Database'!$A:$J,3,FALSE),"")</f>
      </c>
      <c r="E201" s="125" t="str">
        <f>IFERROR(VLOOKUP($B201,'Hack Database'!$A:$J,4,FALSE),"")</f>
      </c>
      <c r="F201" s="125" t="str">
        <f>IFERROR(VLOOKUP($B201,'Hack Database'!$A:$J,5,FALSE),"")</f>
      </c>
      <c r="G201" s="113" t="str">
        <f>IFERROR(VLOOKUP($B201,'Hack Database'!$A:$J,6,FALSE),"")</f>
      </c>
      <c r="H201" s="137"/>
      <c r="I201" s="137"/>
      <c r="J201" s="131"/>
      <c r="K201" s="125" t="str">
        <f>IF($B201="","",IF($J201="Yes","100% Complete",IF($H201="","Planned",IF($I201="","In Progress","Finished"))))</f>
      </c>
      <c r="L201" s="143"/>
      <c r="M201" s="131"/>
      <c r="N201" s="155" t="str">
        <f>IFERROR(HYPERLINK(VLOOKUP($B201,'Hack Database'!$A:$J,9,FALSE),"Open Page"),"")</f>
      </c>
      <c r="O201" s="155" t="str">
        <f>IFERROR(HYPERLINK(VLOOKUP($B201,'Hack Database'!$A:$J,10,FALSE),"Download"),"")</f>
      </c>
      <c r="P201" s="149"/>
    </row>
    <row r="202" ht="23" customHeight="1">
      <c r="A202" s="92" t="str">
        <f>IF(C202="","",COUNTIF($C$2:C202,"&lt;&gt;"))</f>
      </c>
      <c r="B202" s="107"/>
      <c r="C202" s="113" t="str">
        <f>IFERROR(VLOOKUP($B202,'Hack Database'!$A:$J,2,FALSE),"")</f>
      </c>
      <c r="D202" s="113" t="str">
        <f>IFERROR(VLOOKUP($B202,'Hack Database'!$A:$J,3,FALSE),"")</f>
      </c>
      <c r="E202" s="125" t="str">
        <f>IFERROR(VLOOKUP($B202,'Hack Database'!$A:$J,4,FALSE),"")</f>
      </c>
      <c r="F202" s="125" t="str">
        <f>IFERROR(VLOOKUP($B202,'Hack Database'!$A:$J,5,FALSE),"")</f>
      </c>
      <c r="G202" s="113" t="str">
        <f>IFERROR(VLOOKUP($B202,'Hack Database'!$A:$J,6,FALSE),"")</f>
      </c>
      <c r="H202" s="137"/>
      <c r="I202" s="137"/>
      <c r="J202" s="131"/>
      <c r="K202" s="125" t="str">
        <f>IF($B202="","",IF($J202="Yes","100% Complete",IF($H202="","Planned",IF($I202="","In Progress","Finished"))))</f>
      </c>
      <c r="L202" s="143"/>
      <c r="M202" s="131"/>
      <c r="N202" s="155" t="str">
        <f>IFERROR(HYPERLINK(VLOOKUP($B202,'Hack Database'!$A:$J,9,FALSE),"Open Page"),"")</f>
      </c>
      <c r="O202" s="155" t="str">
        <f>IFERROR(HYPERLINK(VLOOKUP($B202,'Hack Database'!$A:$J,10,FALSE),"Download"),"")</f>
      </c>
      <c r="P202" s="149"/>
    </row>
    <row r="203" ht="23" customHeight="1">
      <c r="A203" s="92" t="str">
        <f>IF(C203="","",COUNTIF($C$2:C203,"&lt;&gt;"))</f>
      </c>
      <c r="B203" s="107"/>
      <c r="C203" s="113" t="str">
        <f>IFERROR(VLOOKUP($B203,'Hack Database'!$A:$J,2,FALSE),"")</f>
      </c>
      <c r="D203" s="113" t="str">
        <f>IFERROR(VLOOKUP($B203,'Hack Database'!$A:$J,3,FALSE),"")</f>
      </c>
      <c r="E203" s="125" t="str">
        <f>IFERROR(VLOOKUP($B203,'Hack Database'!$A:$J,4,FALSE),"")</f>
      </c>
      <c r="F203" s="125" t="str">
        <f>IFERROR(VLOOKUP($B203,'Hack Database'!$A:$J,5,FALSE),"")</f>
      </c>
      <c r="G203" s="113" t="str">
        <f>IFERROR(VLOOKUP($B203,'Hack Database'!$A:$J,6,FALSE),"")</f>
      </c>
      <c r="H203" s="137"/>
      <c r="I203" s="137"/>
      <c r="J203" s="131"/>
      <c r="K203" s="125" t="str">
        <f>IF($B203="","",IF($J203="Yes","100% Complete",IF($H203="","Planned",IF($I203="","In Progress","Finished"))))</f>
      </c>
      <c r="L203" s="143"/>
      <c r="M203" s="131"/>
      <c r="N203" s="155" t="str">
        <f>IFERROR(HYPERLINK(VLOOKUP($B203,'Hack Database'!$A:$J,9,FALSE),"Open Page"),"")</f>
      </c>
      <c r="O203" s="155" t="str">
        <f>IFERROR(HYPERLINK(VLOOKUP($B203,'Hack Database'!$A:$J,10,FALSE),"Download"),"")</f>
      </c>
      <c r="P203" s="149"/>
    </row>
    <row r="204" ht="23" customHeight="1">
      <c r="A204" s="92" t="str">
        <f>IF(C204="","",COUNTIF($C$2:C204,"&lt;&gt;"))</f>
      </c>
      <c r="B204" s="107"/>
      <c r="C204" s="113" t="str">
        <f>IFERROR(VLOOKUP($B204,'Hack Database'!$A:$J,2,FALSE),"")</f>
      </c>
      <c r="D204" s="113" t="str">
        <f>IFERROR(VLOOKUP($B204,'Hack Database'!$A:$J,3,FALSE),"")</f>
      </c>
      <c r="E204" s="125" t="str">
        <f>IFERROR(VLOOKUP($B204,'Hack Database'!$A:$J,4,FALSE),"")</f>
      </c>
      <c r="F204" s="125" t="str">
        <f>IFERROR(VLOOKUP($B204,'Hack Database'!$A:$J,5,FALSE),"")</f>
      </c>
      <c r="G204" s="113" t="str">
        <f>IFERROR(VLOOKUP($B204,'Hack Database'!$A:$J,6,FALSE),"")</f>
      </c>
      <c r="H204" s="137"/>
      <c r="I204" s="137"/>
      <c r="J204" s="131"/>
      <c r="K204" s="125" t="str">
        <f>IF($B204="","",IF($J204="Yes","100% Complete",IF($H204="","Planned",IF($I204="","In Progress","Finished"))))</f>
      </c>
      <c r="L204" s="143"/>
      <c r="M204" s="131"/>
      <c r="N204" s="155" t="str">
        <f>IFERROR(HYPERLINK(VLOOKUP($B204,'Hack Database'!$A:$J,9,FALSE),"Open Page"),"")</f>
      </c>
      <c r="O204" s="155" t="str">
        <f>IFERROR(HYPERLINK(VLOOKUP($B204,'Hack Database'!$A:$J,10,FALSE),"Download"),"")</f>
      </c>
      <c r="P204" s="149"/>
    </row>
    <row r="205" ht="23" customHeight="1">
      <c r="A205" s="92" t="str">
        <f>IF(C205="","",COUNTIF($C$2:C205,"&lt;&gt;"))</f>
      </c>
      <c r="B205" s="107"/>
      <c r="C205" s="113" t="str">
        <f>IFERROR(VLOOKUP($B205,'Hack Database'!$A:$J,2,FALSE),"")</f>
      </c>
      <c r="D205" s="113" t="str">
        <f>IFERROR(VLOOKUP($B205,'Hack Database'!$A:$J,3,FALSE),"")</f>
      </c>
      <c r="E205" s="125" t="str">
        <f>IFERROR(VLOOKUP($B205,'Hack Database'!$A:$J,4,FALSE),"")</f>
      </c>
      <c r="F205" s="125" t="str">
        <f>IFERROR(VLOOKUP($B205,'Hack Database'!$A:$J,5,FALSE),"")</f>
      </c>
      <c r="G205" s="113" t="str">
        <f>IFERROR(VLOOKUP($B205,'Hack Database'!$A:$J,6,FALSE),"")</f>
      </c>
      <c r="H205" s="137"/>
      <c r="I205" s="137"/>
      <c r="J205" s="131"/>
      <c r="K205" s="125" t="str">
        <f>IF($B205="","",IF($J205="Yes","100% Complete",IF($H205="","Planned",IF($I205="","In Progress","Finished"))))</f>
      </c>
      <c r="L205" s="143"/>
      <c r="M205" s="131"/>
      <c r="N205" s="155" t="str">
        <f>IFERROR(HYPERLINK(VLOOKUP($B205,'Hack Database'!$A:$J,9,FALSE),"Open Page"),"")</f>
      </c>
      <c r="O205" s="155" t="str">
        <f>IFERROR(HYPERLINK(VLOOKUP($B205,'Hack Database'!$A:$J,10,FALSE),"Download"),"")</f>
      </c>
      <c r="P205" s="149"/>
    </row>
    <row r="206" ht="23" customHeight="1">
      <c r="A206" s="92" t="str">
        <f>IF(C206="","",COUNTIF($C$2:C206,"&lt;&gt;"))</f>
      </c>
      <c r="B206" s="107"/>
      <c r="C206" s="113" t="str">
        <f>IFERROR(VLOOKUP($B206,'Hack Database'!$A:$J,2,FALSE),"")</f>
      </c>
      <c r="D206" s="113" t="str">
        <f>IFERROR(VLOOKUP($B206,'Hack Database'!$A:$J,3,FALSE),"")</f>
      </c>
      <c r="E206" s="125" t="str">
        <f>IFERROR(VLOOKUP($B206,'Hack Database'!$A:$J,4,FALSE),"")</f>
      </c>
      <c r="F206" s="125" t="str">
        <f>IFERROR(VLOOKUP($B206,'Hack Database'!$A:$J,5,FALSE),"")</f>
      </c>
      <c r="G206" s="113" t="str">
        <f>IFERROR(VLOOKUP($B206,'Hack Database'!$A:$J,6,FALSE),"")</f>
      </c>
      <c r="H206" s="137"/>
      <c r="I206" s="137"/>
      <c r="J206" s="131"/>
      <c r="K206" s="125" t="str">
        <f>IF($B206="","",IF($J206="Yes","100% Complete",IF($H206="","Planned",IF($I206="","In Progress","Finished"))))</f>
      </c>
      <c r="L206" s="143"/>
      <c r="M206" s="131"/>
      <c r="N206" s="155" t="str">
        <f>IFERROR(HYPERLINK(VLOOKUP($B206,'Hack Database'!$A:$J,9,FALSE),"Open Page"),"")</f>
      </c>
      <c r="O206" s="155" t="str">
        <f>IFERROR(HYPERLINK(VLOOKUP($B206,'Hack Database'!$A:$J,10,FALSE),"Download"),"")</f>
      </c>
      <c r="P206" s="149"/>
    </row>
    <row r="207" ht="23" customHeight="1">
      <c r="A207" s="92" t="str">
        <f>IF(C207="","",COUNTIF($C$2:C207,"&lt;&gt;"))</f>
      </c>
      <c r="B207" s="107"/>
      <c r="C207" s="113" t="str">
        <f>IFERROR(VLOOKUP($B207,'Hack Database'!$A:$J,2,FALSE),"")</f>
      </c>
      <c r="D207" s="113" t="str">
        <f>IFERROR(VLOOKUP($B207,'Hack Database'!$A:$J,3,FALSE),"")</f>
      </c>
      <c r="E207" s="125" t="str">
        <f>IFERROR(VLOOKUP($B207,'Hack Database'!$A:$J,4,FALSE),"")</f>
      </c>
      <c r="F207" s="125" t="str">
        <f>IFERROR(VLOOKUP($B207,'Hack Database'!$A:$J,5,FALSE),"")</f>
      </c>
      <c r="G207" s="113" t="str">
        <f>IFERROR(VLOOKUP($B207,'Hack Database'!$A:$J,6,FALSE),"")</f>
      </c>
      <c r="H207" s="137"/>
      <c r="I207" s="137"/>
      <c r="J207" s="131"/>
      <c r="K207" s="125" t="str">
        <f>IF($B207="","",IF($J207="Yes","100% Complete",IF($H207="","Planned",IF($I207="","In Progress","Finished"))))</f>
      </c>
      <c r="L207" s="143"/>
      <c r="M207" s="131"/>
      <c r="N207" s="155" t="str">
        <f>IFERROR(HYPERLINK(VLOOKUP($B207,'Hack Database'!$A:$J,9,FALSE),"Open Page"),"")</f>
      </c>
      <c r="O207" s="155" t="str">
        <f>IFERROR(HYPERLINK(VLOOKUP($B207,'Hack Database'!$A:$J,10,FALSE),"Download"),"")</f>
      </c>
      <c r="P207" s="149"/>
    </row>
    <row r="208" ht="23" customHeight="1">
      <c r="A208" s="92" t="str">
        <f>IF(C208="","",COUNTIF($C$2:C208,"&lt;&gt;"))</f>
      </c>
      <c r="B208" s="107"/>
      <c r="C208" s="113" t="str">
        <f>IFERROR(VLOOKUP($B208,'Hack Database'!$A:$J,2,FALSE),"")</f>
      </c>
      <c r="D208" s="113" t="str">
        <f>IFERROR(VLOOKUP($B208,'Hack Database'!$A:$J,3,FALSE),"")</f>
      </c>
      <c r="E208" s="125" t="str">
        <f>IFERROR(VLOOKUP($B208,'Hack Database'!$A:$J,4,FALSE),"")</f>
      </c>
      <c r="F208" s="125" t="str">
        <f>IFERROR(VLOOKUP($B208,'Hack Database'!$A:$J,5,FALSE),"")</f>
      </c>
      <c r="G208" s="113" t="str">
        <f>IFERROR(VLOOKUP($B208,'Hack Database'!$A:$J,6,FALSE),"")</f>
      </c>
      <c r="H208" s="137"/>
      <c r="I208" s="137"/>
      <c r="J208" s="131"/>
      <c r="K208" s="125" t="str">
        <f>IF($B208="","",IF($J208="Yes","100% Complete",IF($H208="","Planned",IF($I208="","In Progress","Finished"))))</f>
      </c>
      <c r="L208" s="143"/>
      <c r="M208" s="131"/>
      <c r="N208" s="155" t="str">
        <f>IFERROR(HYPERLINK(VLOOKUP($B208,'Hack Database'!$A:$J,9,FALSE),"Open Page"),"")</f>
      </c>
      <c r="O208" s="155" t="str">
        <f>IFERROR(HYPERLINK(VLOOKUP($B208,'Hack Database'!$A:$J,10,FALSE),"Download"),"")</f>
      </c>
      <c r="P208" s="149"/>
    </row>
    <row r="209" ht="23" customHeight="1">
      <c r="A209" s="92" t="str">
        <f>IF(C209="","",COUNTIF($C$2:C209,"&lt;&gt;"))</f>
      </c>
      <c r="B209" s="107"/>
      <c r="C209" s="113" t="str">
        <f>IFERROR(VLOOKUP($B209,'Hack Database'!$A:$J,2,FALSE),"")</f>
      </c>
      <c r="D209" s="113" t="str">
        <f>IFERROR(VLOOKUP($B209,'Hack Database'!$A:$J,3,FALSE),"")</f>
      </c>
      <c r="E209" s="125" t="str">
        <f>IFERROR(VLOOKUP($B209,'Hack Database'!$A:$J,4,FALSE),"")</f>
      </c>
      <c r="F209" s="125" t="str">
        <f>IFERROR(VLOOKUP($B209,'Hack Database'!$A:$J,5,FALSE),"")</f>
      </c>
      <c r="G209" s="113" t="str">
        <f>IFERROR(VLOOKUP($B209,'Hack Database'!$A:$J,6,FALSE),"")</f>
      </c>
      <c r="H209" s="137"/>
      <c r="I209" s="137"/>
      <c r="J209" s="131"/>
      <c r="K209" s="125" t="str">
        <f>IF($B209="","",IF($J209="Yes","100% Complete",IF($H209="","Planned",IF($I209="","In Progress","Finished"))))</f>
      </c>
      <c r="L209" s="143"/>
      <c r="M209" s="131"/>
      <c r="N209" s="155" t="str">
        <f>IFERROR(HYPERLINK(VLOOKUP($B209,'Hack Database'!$A:$J,9,FALSE),"Open Page"),"")</f>
      </c>
      <c r="O209" s="155" t="str">
        <f>IFERROR(HYPERLINK(VLOOKUP($B209,'Hack Database'!$A:$J,10,FALSE),"Download"),"")</f>
      </c>
      <c r="P209" s="149"/>
    </row>
    <row r="210" ht="23" customHeight="1">
      <c r="A210" s="92" t="str">
        <f>IF(C210="","",COUNTIF($C$2:C210,"&lt;&gt;"))</f>
      </c>
      <c r="B210" s="107"/>
      <c r="C210" s="113" t="str">
        <f>IFERROR(VLOOKUP($B210,'Hack Database'!$A:$J,2,FALSE),"")</f>
      </c>
      <c r="D210" s="113" t="str">
        <f>IFERROR(VLOOKUP($B210,'Hack Database'!$A:$J,3,FALSE),"")</f>
      </c>
      <c r="E210" s="125" t="str">
        <f>IFERROR(VLOOKUP($B210,'Hack Database'!$A:$J,4,FALSE),"")</f>
      </c>
      <c r="F210" s="125" t="str">
        <f>IFERROR(VLOOKUP($B210,'Hack Database'!$A:$J,5,FALSE),"")</f>
      </c>
      <c r="G210" s="113" t="str">
        <f>IFERROR(VLOOKUP($B210,'Hack Database'!$A:$J,6,FALSE),"")</f>
      </c>
      <c r="H210" s="137"/>
      <c r="I210" s="137"/>
      <c r="J210" s="131"/>
      <c r="K210" s="125" t="str">
        <f>IF($B210="","",IF($J210="Yes","100% Complete",IF($H210="","Planned",IF($I210="","In Progress","Finished"))))</f>
      </c>
      <c r="L210" s="143"/>
      <c r="M210" s="131"/>
      <c r="N210" s="155" t="str">
        <f>IFERROR(HYPERLINK(VLOOKUP($B210,'Hack Database'!$A:$J,9,FALSE),"Open Page"),"")</f>
      </c>
      <c r="O210" s="155" t="str">
        <f>IFERROR(HYPERLINK(VLOOKUP($B210,'Hack Database'!$A:$J,10,FALSE),"Download"),"")</f>
      </c>
      <c r="P210" s="149"/>
    </row>
    <row r="211" ht="23" customHeight="1">
      <c r="A211" s="92" t="str">
        <f>IF(C211="","",COUNTIF($C$2:C211,"&lt;&gt;"))</f>
      </c>
      <c r="B211" s="107"/>
      <c r="C211" s="113" t="str">
        <f>IFERROR(VLOOKUP($B211,'Hack Database'!$A:$J,2,FALSE),"")</f>
      </c>
      <c r="D211" s="113" t="str">
        <f>IFERROR(VLOOKUP($B211,'Hack Database'!$A:$J,3,FALSE),"")</f>
      </c>
      <c r="E211" s="125" t="str">
        <f>IFERROR(VLOOKUP($B211,'Hack Database'!$A:$J,4,FALSE),"")</f>
      </c>
      <c r="F211" s="125" t="str">
        <f>IFERROR(VLOOKUP($B211,'Hack Database'!$A:$J,5,FALSE),"")</f>
      </c>
      <c r="G211" s="113" t="str">
        <f>IFERROR(VLOOKUP($B211,'Hack Database'!$A:$J,6,FALSE),"")</f>
      </c>
      <c r="H211" s="137"/>
      <c r="I211" s="137"/>
      <c r="J211" s="131"/>
      <c r="K211" s="125" t="str">
        <f>IF($B211="","",IF($J211="Yes","100% Complete",IF($H211="","Planned",IF($I211="","In Progress","Finished"))))</f>
      </c>
      <c r="L211" s="143"/>
      <c r="M211" s="131"/>
      <c r="N211" s="155" t="str">
        <f>IFERROR(HYPERLINK(VLOOKUP($B211,'Hack Database'!$A:$J,9,FALSE),"Open Page"),"")</f>
      </c>
      <c r="O211" s="155" t="str">
        <f>IFERROR(HYPERLINK(VLOOKUP($B211,'Hack Database'!$A:$J,10,FALSE),"Download"),"")</f>
      </c>
      <c r="P211" s="149"/>
    </row>
    <row r="212" ht="23" customHeight="1">
      <c r="A212" s="92" t="str">
        <f>IF(C212="","",COUNTIF($C$2:C212,"&lt;&gt;"))</f>
      </c>
      <c r="B212" s="107"/>
      <c r="C212" s="113" t="str">
        <f>IFERROR(VLOOKUP($B212,'Hack Database'!$A:$J,2,FALSE),"")</f>
      </c>
      <c r="D212" s="113" t="str">
        <f>IFERROR(VLOOKUP($B212,'Hack Database'!$A:$J,3,FALSE),"")</f>
      </c>
      <c r="E212" s="125" t="str">
        <f>IFERROR(VLOOKUP($B212,'Hack Database'!$A:$J,4,FALSE),"")</f>
      </c>
      <c r="F212" s="125" t="str">
        <f>IFERROR(VLOOKUP($B212,'Hack Database'!$A:$J,5,FALSE),"")</f>
      </c>
      <c r="G212" s="113" t="str">
        <f>IFERROR(VLOOKUP($B212,'Hack Database'!$A:$J,6,FALSE),"")</f>
      </c>
      <c r="H212" s="137"/>
      <c r="I212" s="137"/>
      <c r="J212" s="131"/>
      <c r="K212" s="125" t="str">
        <f>IF($B212="","",IF($J212="Yes","100% Complete",IF($H212="","Planned",IF($I212="","In Progress","Finished"))))</f>
      </c>
      <c r="L212" s="143"/>
      <c r="M212" s="131"/>
      <c r="N212" s="155" t="str">
        <f>IFERROR(HYPERLINK(VLOOKUP($B212,'Hack Database'!$A:$J,9,FALSE),"Open Page"),"")</f>
      </c>
      <c r="O212" s="155" t="str">
        <f>IFERROR(HYPERLINK(VLOOKUP($B212,'Hack Database'!$A:$J,10,FALSE),"Download"),"")</f>
      </c>
      <c r="P212" s="149"/>
    </row>
    <row r="213" ht="23" customHeight="1">
      <c r="A213" s="92" t="str">
        <f>IF(C213="","",COUNTIF($C$2:C213,"&lt;&gt;"))</f>
      </c>
      <c r="B213" s="107"/>
      <c r="C213" s="113" t="str">
        <f>IFERROR(VLOOKUP($B213,'Hack Database'!$A:$J,2,FALSE),"")</f>
      </c>
      <c r="D213" s="113" t="str">
        <f>IFERROR(VLOOKUP($B213,'Hack Database'!$A:$J,3,FALSE),"")</f>
      </c>
      <c r="E213" s="125" t="str">
        <f>IFERROR(VLOOKUP($B213,'Hack Database'!$A:$J,4,FALSE),"")</f>
      </c>
      <c r="F213" s="125" t="str">
        <f>IFERROR(VLOOKUP($B213,'Hack Database'!$A:$J,5,FALSE),"")</f>
      </c>
      <c r="G213" s="113" t="str">
        <f>IFERROR(VLOOKUP($B213,'Hack Database'!$A:$J,6,FALSE),"")</f>
      </c>
      <c r="H213" s="137"/>
      <c r="I213" s="137"/>
      <c r="J213" s="131"/>
      <c r="K213" s="125" t="str">
        <f>IF($B213="","",IF($J213="Yes","100% Complete",IF($H213="","Planned",IF($I213="","In Progress","Finished"))))</f>
      </c>
      <c r="L213" s="143"/>
      <c r="M213" s="131"/>
      <c r="N213" s="155" t="str">
        <f>IFERROR(HYPERLINK(VLOOKUP($B213,'Hack Database'!$A:$J,9,FALSE),"Open Page"),"")</f>
      </c>
      <c r="O213" s="155" t="str">
        <f>IFERROR(HYPERLINK(VLOOKUP($B213,'Hack Database'!$A:$J,10,FALSE),"Download"),"")</f>
      </c>
      <c r="P213" s="149"/>
    </row>
    <row r="214" ht="23" customHeight="1">
      <c r="A214" s="92" t="str">
        <f>IF(C214="","",COUNTIF($C$2:C214,"&lt;&gt;"))</f>
      </c>
      <c r="B214" s="107"/>
      <c r="C214" s="113" t="str">
        <f>IFERROR(VLOOKUP($B214,'Hack Database'!$A:$J,2,FALSE),"")</f>
      </c>
      <c r="D214" s="113" t="str">
        <f>IFERROR(VLOOKUP($B214,'Hack Database'!$A:$J,3,FALSE),"")</f>
      </c>
      <c r="E214" s="125" t="str">
        <f>IFERROR(VLOOKUP($B214,'Hack Database'!$A:$J,4,FALSE),"")</f>
      </c>
      <c r="F214" s="125" t="str">
        <f>IFERROR(VLOOKUP($B214,'Hack Database'!$A:$J,5,FALSE),"")</f>
      </c>
      <c r="G214" s="113" t="str">
        <f>IFERROR(VLOOKUP($B214,'Hack Database'!$A:$J,6,FALSE),"")</f>
      </c>
      <c r="H214" s="137"/>
      <c r="I214" s="137"/>
      <c r="J214" s="131"/>
      <c r="K214" s="125" t="str">
        <f>IF($B214="","",IF($J214="Yes","100% Complete",IF($H214="","Planned",IF($I214="","In Progress","Finished"))))</f>
      </c>
      <c r="L214" s="143"/>
      <c r="M214" s="131"/>
      <c r="N214" s="155" t="str">
        <f>IFERROR(HYPERLINK(VLOOKUP($B214,'Hack Database'!$A:$J,9,FALSE),"Open Page"),"")</f>
      </c>
      <c r="O214" s="155" t="str">
        <f>IFERROR(HYPERLINK(VLOOKUP($B214,'Hack Database'!$A:$J,10,FALSE),"Download"),"")</f>
      </c>
      <c r="P214" s="149"/>
    </row>
    <row r="215" ht="23" customHeight="1">
      <c r="A215" s="92" t="str">
        <f>IF(C215="","",COUNTIF($C$2:C215,"&lt;&gt;"))</f>
      </c>
      <c r="B215" s="107"/>
      <c r="C215" s="113" t="str">
        <f>IFERROR(VLOOKUP($B215,'Hack Database'!$A:$J,2,FALSE),"")</f>
      </c>
      <c r="D215" s="113" t="str">
        <f>IFERROR(VLOOKUP($B215,'Hack Database'!$A:$J,3,FALSE),"")</f>
      </c>
      <c r="E215" s="125" t="str">
        <f>IFERROR(VLOOKUP($B215,'Hack Database'!$A:$J,4,FALSE),"")</f>
      </c>
      <c r="F215" s="125" t="str">
        <f>IFERROR(VLOOKUP($B215,'Hack Database'!$A:$J,5,FALSE),"")</f>
      </c>
      <c r="G215" s="113" t="str">
        <f>IFERROR(VLOOKUP($B215,'Hack Database'!$A:$J,6,FALSE),"")</f>
      </c>
      <c r="H215" s="137"/>
      <c r="I215" s="137"/>
      <c r="J215" s="131"/>
      <c r="K215" s="125" t="str">
        <f>IF($B215="","",IF($J215="Yes","100% Complete",IF($H215="","Planned",IF($I215="","In Progress","Finished"))))</f>
      </c>
      <c r="L215" s="143"/>
      <c r="M215" s="131"/>
      <c r="N215" s="155" t="str">
        <f>IFERROR(HYPERLINK(VLOOKUP($B215,'Hack Database'!$A:$J,9,FALSE),"Open Page"),"")</f>
      </c>
      <c r="O215" s="155" t="str">
        <f>IFERROR(HYPERLINK(VLOOKUP($B215,'Hack Database'!$A:$J,10,FALSE),"Download"),"")</f>
      </c>
      <c r="P215" s="149"/>
    </row>
    <row r="216" ht="23" customHeight="1">
      <c r="A216" s="92" t="str">
        <f>IF(C216="","",COUNTIF($C$2:C216,"&lt;&gt;"))</f>
      </c>
      <c r="B216" s="107"/>
      <c r="C216" s="113" t="str">
        <f>IFERROR(VLOOKUP($B216,'Hack Database'!$A:$J,2,FALSE),"")</f>
      </c>
      <c r="D216" s="113" t="str">
        <f>IFERROR(VLOOKUP($B216,'Hack Database'!$A:$J,3,FALSE),"")</f>
      </c>
      <c r="E216" s="125" t="str">
        <f>IFERROR(VLOOKUP($B216,'Hack Database'!$A:$J,4,FALSE),"")</f>
      </c>
      <c r="F216" s="125" t="str">
        <f>IFERROR(VLOOKUP($B216,'Hack Database'!$A:$J,5,FALSE),"")</f>
      </c>
      <c r="G216" s="113" t="str">
        <f>IFERROR(VLOOKUP($B216,'Hack Database'!$A:$J,6,FALSE),"")</f>
      </c>
      <c r="H216" s="137"/>
      <c r="I216" s="137"/>
      <c r="J216" s="131"/>
      <c r="K216" s="125" t="str">
        <f>IF($B216="","",IF($J216="Yes","100% Complete",IF($H216="","Planned",IF($I216="","In Progress","Finished"))))</f>
      </c>
      <c r="L216" s="143"/>
      <c r="M216" s="131"/>
      <c r="N216" s="155" t="str">
        <f>IFERROR(HYPERLINK(VLOOKUP($B216,'Hack Database'!$A:$J,9,FALSE),"Open Page"),"")</f>
      </c>
      <c r="O216" s="155" t="str">
        <f>IFERROR(HYPERLINK(VLOOKUP($B216,'Hack Database'!$A:$J,10,FALSE),"Download"),"")</f>
      </c>
      <c r="P216" s="149"/>
    </row>
    <row r="217" ht="23" customHeight="1">
      <c r="A217" s="92" t="str">
        <f>IF(C217="","",COUNTIF($C$2:C217,"&lt;&gt;"))</f>
      </c>
      <c r="B217" s="107"/>
      <c r="C217" s="113" t="str">
        <f>IFERROR(VLOOKUP($B217,'Hack Database'!$A:$J,2,FALSE),"")</f>
      </c>
      <c r="D217" s="113" t="str">
        <f>IFERROR(VLOOKUP($B217,'Hack Database'!$A:$J,3,FALSE),"")</f>
      </c>
      <c r="E217" s="125" t="str">
        <f>IFERROR(VLOOKUP($B217,'Hack Database'!$A:$J,4,FALSE),"")</f>
      </c>
      <c r="F217" s="125" t="str">
        <f>IFERROR(VLOOKUP($B217,'Hack Database'!$A:$J,5,FALSE),"")</f>
      </c>
      <c r="G217" s="113" t="str">
        <f>IFERROR(VLOOKUP($B217,'Hack Database'!$A:$J,6,FALSE),"")</f>
      </c>
      <c r="H217" s="137"/>
      <c r="I217" s="137"/>
      <c r="J217" s="131"/>
      <c r="K217" s="125" t="str">
        <f>IF($B217="","",IF($J217="Yes","100% Complete",IF($H217="","Planned",IF($I217="","In Progress","Finished"))))</f>
      </c>
      <c r="L217" s="143"/>
      <c r="M217" s="131"/>
      <c r="N217" s="155" t="str">
        <f>IFERROR(HYPERLINK(VLOOKUP($B217,'Hack Database'!$A:$J,9,FALSE),"Open Page"),"")</f>
      </c>
      <c r="O217" s="155" t="str">
        <f>IFERROR(HYPERLINK(VLOOKUP($B217,'Hack Database'!$A:$J,10,FALSE),"Download"),"")</f>
      </c>
      <c r="P217" s="149"/>
    </row>
    <row r="218" ht="23" customHeight="1">
      <c r="A218" s="92" t="str">
        <f>IF(C218="","",COUNTIF($C$2:C218,"&lt;&gt;"))</f>
      </c>
      <c r="B218" s="107"/>
      <c r="C218" s="113" t="str">
        <f>IFERROR(VLOOKUP($B218,'Hack Database'!$A:$J,2,FALSE),"")</f>
      </c>
      <c r="D218" s="113" t="str">
        <f>IFERROR(VLOOKUP($B218,'Hack Database'!$A:$J,3,FALSE),"")</f>
      </c>
      <c r="E218" s="125" t="str">
        <f>IFERROR(VLOOKUP($B218,'Hack Database'!$A:$J,4,FALSE),"")</f>
      </c>
      <c r="F218" s="125" t="str">
        <f>IFERROR(VLOOKUP($B218,'Hack Database'!$A:$J,5,FALSE),"")</f>
      </c>
      <c r="G218" s="113" t="str">
        <f>IFERROR(VLOOKUP($B218,'Hack Database'!$A:$J,6,FALSE),"")</f>
      </c>
      <c r="H218" s="137"/>
      <c r="I218" s="137"/>
      <c r="J218" s="131"/>
      <c r="K218" s="125" t="str">
        <f>IF($B218="","",IF($J218="Yes","100% Complete",IF($H218="","Planned",IF($I218="","In Progress","Finished"))))</f>
      </c>
      <c r="L218" s="143"/>
      <c r="M218" s="131"/>
      <c r="N218" s="155" t="str">
        <f>IFERROR(HYPERLINK(VLOOKUP($B218,'Hack Database'!$A:$J,9,FALSE),"Open Page"),"")</f>
      </c>
      <c r="O218" s="155" t="str">
        <f>IFERROR(HYPERLINK(VLOOKUP($B218,'Hack Database'!$A:$J,10,FALSE),"Download"),"")</f>
      </c>
      <c r="P218" s="149"/>
    </row>
    <row r="219" ht="23" customHeight="1">
      <c r="A219" s="92" t="str">
        <f>IF(C219="","",COUNTIF($C$2:C219,"&lt;&gt;"))</f>
      </c>
      <c r="B219" s="107"/>
      <c r="C219" s="113" t="str">
        <f>IFERROR(VLOOKUP($B219,'Hack Database'!$A:$J,2,FALSE),"")</f>
      </c>
      <c r="D219" s="113" t="str">
        <f>IFERROR(VLOOKUP($B219,'Hack Database'!$A:$J,3,FALSE),"")</f>
      </c>
      <c r="E219" s="125" t="str">
        <f>IFERROR(VLOOKUP($B219,'Hack Database'!$A:$J,4,FALSE),"")</f>
      </c>
      <c r="F219" s="125" t="str">
        <f>IFERROR(VLOOKUP($B219,'Hack Database'!$A:$J,5,FALSE),"")</f>
      </c>
      <c r="G219" s="113" t="str">
        <f>IFERROR(VLOOKUP($B219,'Hack Database'!$A:$J,6,FALSE),"")</f>
      </c>
      <c r="H219" s="137"/>
      <c r="I219" s="137"/>
      <c r="J219" s="131"/>
      <c r="K219" s="125" t="str">
        <f>IF($B219="","",IF($J219="Yes","100% Complete",IF($H219="","Planned",IF($I219="","In Progress","Finished"))))</f>
      </c>
      <c r="L219" s="143"/>
      <c r="M219" s="131"/>
      <c r="N219" s="155" t="str">
        <f>IFERROR(HYPERLINK(VLOOKUP($B219,'Hack Database'!$A:$J,9,FALSE),"Open Page"),"")</f>
      </c>
      <c r="O219" s="155" t="str">
        <f>IFERROR(HYPERLINK(VLOOKUP($B219,'Hack Database'!$A:$J,10,FALSE),"Download"),"")</f>
      </c>
      <c r="P219" s="149"/>
    </row>
    <row r="220" ht="23" customHeight="1">
      <c r="A220" s="92" t="str">
        <f>IF(C220="","",COUNTIF($C$2:C220,"&lt;&gt;"))</f>
      </c>
      <c r="B220" s="107"/>
      <c r="C220" s="113" t="str">
        <f>IFERROR(VLOOKUP($B220,'Hack Database'!$A:$J,2,FALSE),"")</f>
      </c>
      <c r="D220" s="113" t="str">
        <f>IFERROR(VLOOKUP($B220,'Hack Database'!$A:$J,3,FALSE),"")</f>
      </c>
      <c r="E220" s="125" t="str">
        <f>IFERROR(VLOOKUP($B220,'Hack Database'!$A:$J,4,FALSE),"")</f>
      </c>
      <c r="F220" s="125" t="str">
        <f>IFERROR(VLOOKUP($B220,'Hack Database'!$A:$J,5,FALSE),"")</f>
      </c>
      <c r="G220" s="113" t="str">
        <f>IFERROR(VLOOKUP($B220,'Hack Database'!$A:$J,6,FALSE),"")</f>
      </c>
      <c r="H220" s="137"/>
      <c r="I220" s="137"/>
      <c r="J220" s="131"/>
      <c r="K220" s="125" t="str">
        <f>IF($B220="","",IF($J220="Yes","100% Complete",IF($H220="","Planned",IF($I220="","In Progress","Finished"))))</f>
      </c>
      <c r="L220" s="143"/>
      <c r="M220" s="131"/>
      <c r="N220" s="155" t="str">
        <f>IFERROR(HYPERLINK(VLOOKUP($B220,'Hack Database'!$A:$J,9,FALSE),"Open Page"),"")</f>
      </c>
      <c r="O220" s="155" t="str">
        <f>IFERROR(HYPERLINK(VLOOKUP($B220,'Hack Database'!$A:$J,10,FALSE),"Download"),"")</f>
      </c>
      <c r="P220" s="149"/>
    </row>
    <row r="221" ht="23" customHeight="1">
      <c r="A221" s="92" t="str">
        <f>IF(C221="","",COUNTIF($C$2:C221,"&lt;&gt;"))</f>
      </c>
      <c r="B221" s="107"/>
      <c r="C221" s="113" t="str">
        <f>IFERROR(VLOOKUP($B221,'Hack Database'!$A:$J,2,FALSE),"")</f>
      </c>
      <c r="D221" s="113" t="str">
        <f>IFERROR(VLOOKUP($B221,'Hack Database'!$A:$J,3,FALSE),"")</f>
      </c>
      <c r="E221" s="125" t="str">
        <f>IFERROR(VLOOKUP($B221,'Hack Database'!$A:$J,4,FALSE),"")</f>
      </c>
      <c r="F221" s="125" t="str">
        <f>IFERROR(VLOOKUP($B221,'Hack Database'!$A:$J,5,FALSE),"")</f>
      </c>
      <c r="G221" s="113" t="str">
        <f>IFERROR(VLOOKUP($B221,'Hack Database'!$A:$J,6,FALSE),"")</f>
      </c>
      <c r="H221" s="137"/>
      <c r="I221" s="137"/>
      <c r="J221" s="131"/>
      <c r="K221" s="125" t="str">
        <f>IF($B221="","",IF($J221="Yes","100% Complete",IF($H221="","Planned",IF($I221="","In Progress","Finished"))))</f>
      </c>
      <c r="L221" s="143"/>
      <c r="M221" s="131"/>
      <c r="N221" s="155" t="str">
        <f>IFERROR(HYPERLINK(VLOOKUP($B221,'Hack Database'!$A:$J,9,FALSE),"Open Page"),"")</f>
      </c>
      <c r="O221" s="155" t="str">
        <f>IFERROR(HYPERLINK(VLOOKUP($B221,'Hack Database'!$A:$J,10,FALSE),"Download"),"")</f>
      </c>
      <c r="P221" s="149"/>
    </row>
    <row r="222" ht="23" customHeight="1">
      <c r="A222" s="92" t="str">
        <f>IF(C222="","",COUNTIF($C$2:C222,"&lt;&gt;"))</f>
      </c>
      <c r="B222" s="107"/>
      <c r="C222" s="113" t="str">
        <f>IFERROR(VLOOKUP($B222,'Hack Database'!$A:$J,2,FALSE),"")</f>
      </c>
      <c r="D222" s="113" t="str">
        <f>IFERROR(VLOOKUP($B222,'Hack Database'!$A:$J,3,FALSE),"")</f>
      </c>
      <c r="E222" s="125" t="str">
        <f>IFERROR(VLOOKUP($B222,'Hack Database'!$A:$J,4,FALSE),"")</f>
      </c>
      <c r="F222" s="125" t="str">
        <f>IFERROR(VLOOKUP($B222,'Hack Database'!$A:$J,5,FALSE),"")</f>
      </c>
      <c r="G222" s="113" t="str">
        <f>IFERROR(VLOOKUP($B222,'Hack Database'!$A:$J,6,FALSE),"")</f>
      </c>
      <c r="H222" s="137"/>
      <c r="I222" s="137"/>
      <c r="J222" s="131"/>
      <c r="K222" s="125" t="str">
        <f>IF($B222="","",IF($J222="Yes","100% Complete",IF($H222="","Planned",IF($I222="","In Progress","Finished"))))</f>
      </c>
      <c r="L222" s="143"/>
      <c r="M222" s="131"/>
      <c r="N222" s="155" t="str">
        <f>IFERROR(HYPERLINK(VLOOKUP($B222,'Hack Database'!$A:$J,9,FALSE),"Open Page"),"")</f>
      </c>
      <c r="O222" s="155" t="str">
        <f>IFERROR(HYPERLINK(VLOOKUP($B222,'Hack Database'!$A:$J,10,FALSE),"Download"),"")</f>
      </c>
      <c r="P222" s="149"/>
    </row>
    <row r="223" ht="23" customHeight="1">
      <c r="A223" s="92" t="str">
        <f>IF(C223="","",COUNTIF($C$2:C223,"&lt;&gt;"))</f>
      </c>
      <c r="B223" s="107"/>
      <c r="C223" s="113" t="str">
        <f>IFERROR(VLOOKUP($B223,'Hack Database'!$A:$J,2,FALSE),"")</f>
      </c>
      <c r="D223" s="113" t="str">
        <f>IFERROR(VLOOKUP($B223,'Hack Database'!$A:$J,3,FALSE),"")</f>
      </c>
      <c r="E223" s="125" t="str">
        <f>IFERROR(VLOOKUP($B223,'Hack Database'!$A:$J,4,FALSE),"")</f>
      </c>
      <c r="F223" s="125" t="str">
        <f>IFERROR(VLOOKUP($B223,'Hack Database'!$A:$J,5,FALSE),"")</f>
      </c>
      <c r="G223" s="113" t="str">
        <f>IFERROR(VLOOKUP($B223,'Hack Database'!$A:$J,6,FALSE),"")</f>
      </c>
      <c r="H223" s="137"/>
      <c r="I223" s="137"/>
      <c r="J223" s="131"/>
      <c r="K223" s="125" t="str">
        <f>IF($B223="","",IF($J223="Yes","100% Complete",IF($H223="","Planned",IF($I223="","In Progress","Finished"))))</f>
      </c>
      <c r="L223" s="143"/>
      <c r="M223" s="131"/>
      <c r="N223" s="155" t="str">
        <f>IFERROR(HYPERLINK(VLOOKUP($B223,'Hack Database'!$A:$J,9,FALSE),"Open Page"),"")</f>
      </c>
      <c r="O223" s="155" t="str">
        <f>IFERROR(HYPERLINK(VLOOKUP($B223,'Hack Database'!$A:$J,10,FALSE),"Download"),"")</f>
      </c>
      <c r="P223" s="149"/>
    </row>
    <row r="224" ht="23" customHeight="1">
      <c r="A224" s="92" t="str">
        <f>IF(C224="","",COUNTIF($C$2:C224,"&lt;&gt;"))</f>
      </c>
      <c r="B224" s="107"/>
      <c r="C224" s="113" t="str">
        <f>IFERROR(VLOOKUP($B224,'Hack Database'!$A:$J,2,FALSE),"")</f>
      </c>
      <c r="D224" s="113" t="str">
        <f>IFERROR(VLOOKUP($B224,'Hack Database'!$A:$J,3,FALSE),"")</f>
      </c>
      <c r="E224" s="125" t="str">
        <f>IFERROR(VLOOKUP($B224,'Hack Database'!$A:$J,4,FALSE),"")</f>
      </c>
      <c r="F224" s="125" t="str">
        <f>IFERROR(VLOOKUP($B224,'Hack Database'!$A:$J,5,FALSE),"")</f>
      </c>
      <c r="G224" s="113" t="str">
        <f>IFERROR(VLOOKUP($B224,'Hack Database'!$A:$J,6,FALSE),"")</f>
      </c>
      <c r="H224" s="137"/>
      <c r="I224" s="137"/>
      <c r="J224" s="131"/>
      <c r="K224" s="125" t="str">
        <f>IF($B224="","",IF($J224="Yes","100% Complete",IF($H224="","Planned",IF($I224="","In Progress","Finished"))))</f>
      </c>
      <c r="L224" s="143"/>
      <c r="M224" s="131"/>
      <c r="N224" s="155" t="str">
        <f>IFERROR(HYPERLINK(VLOOKUP($B224,'Hack Database'!$A:$J,9,FALSE),"Open Page"),"")</f>
      </c>
      <c r="O224" s="155" t="str">
        <f>IFERROR(HYPERLINK(VLOOKUP($B224,'Hack Database'!$A:$J,10,FALSE),"Download"),"")</f>
      </c>
      <c r="P224" s="149"/>
    </row>
    <row r="225" ht="23" customHeight="1">
      <c r="A225" s="92" t="str">
        <f>IF(C225="","",COUNTIF($C$2:C225,"&lt;&gt;"))</f>
      </c>
      <c r="B225" s="107"/>
      <c r="C225" s="113" t="str">
        <f>IFERROR(VLOOKUP($B225,'Hack Database'!$A:$J,2,FALSE),"")</f>
      </c>
      <c r="D225" s="113" t="str">
        <f>IFERROR(VLOOKUP($B225,'Hack Database'!$A:$J,3,FALSE),"")</f>
      </c>
      <c r="E225" s="125" t="str">
        <f>IFERROR(VLOOKUP($B225,'Hack Database'!$A:$J,4,FALSE),"")</f>
      </c>
      <c r="F225" s="125" t="str">
        <f>IFERROR(VLOOKUP($B225,'Hack Database'!$A:$J,5,FALSE),"")</f>
      </c>
      <c r="G225" s="113" t="str">
        <f>IFERROR(VLOOKUP($B225,'Hack Database'!$A:$J,6,FALSE),"")</f>
      </c>
      <c r="H225" s="137"/>
      <c r="I225" s="137"/>
      <c r="J225" s="131"/>
      <c r="K225" s="125" t="str">
        <f>IF($B225="","",IF($J225="Yes","100% Complete",IF($H225="","Planned",IF($I225="","In Progress","Finished"))))</f>
      </c>
      <c r="L225" s="143"/>
      <c r="M225" s="131"/>
      <c r="N225" s="155" t="str">
        <f>IFERROR(HYPERLINK(VLOOKUP($B225,'Hack Database'!$A:$J,9,FALSE),"Open Page"),"")</f>
      </c>
      <c r="O225" s="155" t="str">
        <f>IFERROR(HYPERLINK(VLOOKUP($B225,'Hack Database'!$A:$J,10,FALSE),"Download"),"")</f>
      </c>
      <c r="P225" s="149"/>
    </row>
    <row r="226" ht="23" customHeight="1">
      <c r="A226" s="92" t="str">
        <f>IF(C226="","",COUNTIF($C$2:C226,"&lt;&gt;"))</f>
      </c>
      <c r="B226" s="107"/>
      <c r="C226" s="113" t="str">
        <f>IFERROR(VLOOKUP($B226,'Hack Database'!$A:$J,2,FALSE),"")</f>
      </c>
      <c r="D226" s="113" t="str">
        <f>IFERROR(VLOOKUP($B226,'Hack Database'!$A:$J,3,FALSE),"")</f>
      </c>
      <c r="E226" s="125" t="str">
        <f>IFERROR(VLOOKUP($B226,'Hack Database'!$A:$J,4,FALSE),"")</f>
      </c>
      <c r="F226" s="125" t="str">
        <f>IFERROR(VLOOKUP($B226,'Hack Database'!$A:$J,5,FALSE),"")</f>
      </c>
      <c r="G226" s="113" t="str">
        <f>IFERROR(VLOOKUP($B226,'Hack Database'!$A:$J,6,FALSE),"")</f>
      </c>
      <c r="H226" s="137"/>
      <c r="I226" s="137"/>
      <c r="J226" s="131"/>
      <c r="K226" s="125" t="str">
        <f>IF($B226="","",IF($J226="Yes","100% Complete",IF($H226="","Planned",IF($I226="","In Progress","Finished"))))</f>
      </c>
      <c r="L226" s="143"/>
      <c r="M226" s="131"/>
      <c r="N226" s="155" t="str">
        <f>IFERROR(HYPERLINK(VLOOKUP($B226,'Hack Database'!$A:$J,9,FALSE),"Open Page"),"")</f>
      </c>
      <c r="O226" s="155" t="str">
        <f>IFERROR(HYPERLINK(VLOOKUP($B226,'Hack Database'!$A:$J,10,FALSE),"Download"),"")</f>
      </c>
      <c r="P226" s="149"/>
    </row>
    <row r="227" ht="23" customHeight="1">
      <c r="A227" s="92" t="str">
        <f>IF(C227="","",COUNTIF($C$2:C227,"&lt;&gt;"))</f>
      </c>
      <c r="B227" s="107"/>
      <c r="C227" s="113" t="str">
        <f>IFERROR(VLOOKUP($B227,'Hack Database'!$A:$J,2,FALSE),"")</f>
      </c>
      <c r="D227" s="113" t="str">
        <f>IFERROR(VLOOKUP($B227,'Hack Database'!$A:$J,3,FALSE),"")</f>
      </c>
      <c r="E227" s="125" t="str">
        <f>IFERROR(VLOOKUP($B227,'Hack Database'!$A:$J,4,FALSE),"")</f>
      </c>
      <c r="F227" s="125" t="str">
        <f>IFERROR(VLOOKUP($B227,'Hack Database'!$A:$J,5,FALSE),"")</f>
      </c>
      <c r="G227" s="113" t="str">
        <f>IFERROR(VLOOKUP($B227,'Hack Database'!$A:$J,6,FALSE),"")</f>
      </c>
      <c r="H227" s="137"/>
      <c r="I227" s="137"/>
      <c r="J227" s="131"/>
      <c r="K227" s="125" t="str">
        <f>IF($B227="","",IF($J227="Yes","100% Complete",IF($H227="","Planned",IF($I227="","In Progress","Finished"))))</f>
      </c>
      <c r="L227" s="143"/>
      <c r="M227" s="131"/>
      <c r="N227" s="155" t="str">
        <f>IFERROR(HYPERLINK(VLOOKUP($B227,'Hack Database'!$A:$J,9,FALSE),"Open Page"),"")</f>
      </c>
      <c r="O227" s="155" t="str">
        <f>IFERROR(HYPERLINK(VLOOKUP($B227,'Hack Database'!$A:$J,10,FALSE),"Download"),"")</f>
      </c>
      <c r="P227" s="149"/>
    </row>
    <row r="228" ht="23" customHeight="1">
      <c r="A228" s="92" t="str">
        <f>IF(C228="","",COUNTIF($C$2:C228,"&lt;&gt;"))</f>
      </c>
      <c r="B228" s="107"/>
      <c r="C228" s="113" t="str">
        <f>IFERROR(VLOOKUP($B228,'Hack Database'!$A:$J,2,FALSE),"")</f>
      </c>
      <c r="D228" s="113" t="str">
        <f>IFERROR(VLOOKUP($B228,'Hack Database'!$A:$J,3,FALSE),"")</f>
      </c>
      <c r="E228" s="125" t="str">
        <f>IFERROR(VLOOKUP($B228,'Hack Database'!$A:$J,4,FALSE),"")</f>
      </c>
      <c r="F228" s="125" t="str">
        <f>IFERROR(VLOOKUP($B228,'Hack Database'!$A:$J,5,FALSE),"")</f>
      </c>
      <c r="G228" s="113" t="str">
        <f>IFERROR(VLOOKUP($B228,'Hack Database'!$A:$J,6,FALSE),"")</f>
      </c>
      <c r="H228" s="137"/>
      <c r="I228" s="137"/>
      <c r="J228" s="131"/>
      <c r="K228" s="125" t="str">
        <f>IF($B228="","",IF($J228="Yes","100% Complete",IF($H228="","Planned",IF($I228="","In Progress","Finished"))))</f>
      </c>
      <c r="L228" s="143"/>
      <c r="M228" s="131"/>
      <c r="N228" s="155" t="str">
        <f>IFERROR(HYPERLINK(VLOOKUP($B228,'Hack Database'!$A:$J,9,FALSE),"Open Page"),"")</f>
      </c>
      <c r="O228" s="155" t="str">
        <f>IFERROR(HYPERLINK(VLOOKUP($B228,'Hack Database'!$A:$J,10,FALSE),"Download"),"")</f>
      </c>
      <c r="P228" s="149"/>
    </row>
    <row r="229" ht="23" customHeight="1">
      <c r="A229" s="92" t="str">
        <f>IF(C229="","",COUNTIF($C$2:C229,"&lt;&gt;"))</f>
      </c>
      <c r="B229" s="107"/>
      <c r="C229" s="113" t="str">
        <f>IFERROR(VLOOKUP($B229,'Hack Database'!$A:$J,2,FALSE),"")</f>
      </c>
      <c r="D229" s="113" t="str">
        <f>IFERROR(VLOOKUP($B229,'Hack Database'!$A:$J,3,FALSE),"")</f>
      </c>
      <c r="E229" s="125" t="str">
        <f>IFERROR(VLOOKUP($B229,'Hack Database'!$A:$J,4,FALSE),"")</f>
      </c>
      <c r="F229" s="125" t="str">
        <f>IFERROR(VLOOKUP($B229,'Hack Database'!$A:$J,5,FALSE),"")</f>
      </c>
      <c r="G229" s="113" t="str">
        <f>IFERROR(VLOOKUP($B229,'Hack Database'!$A:$J,6,FALSE),"")</f>
      </c>
      <c r="H229" s="137"/>
      <c r="I229" s="137"/>
      <c r="J229" s="131"/>
      <c r="K229" s="125" t="str">
        <f>IF($B229="","",IF($J229="Yes","100% Complete",IF($H229="","Planned",IF($I229="","In Progress","Finished"))))</f>
      </c>
      <c r="L229" s="143"/>
      <c r="M229" s="131"/>
      <c r="N229" s="155" t="str">
        <f>IFERROR(HYPERLINK(VLOOKUP($B229,'Hack Database'!$A:$J,9,FALSE),"Open Page"),"")</f>
      </c>
      <c r="O229" s="155" t="str">
        <f>IFERROR(HYPERLINK(VLOOKUP($B229,'Hack Database'!$A:$J,10,FALSE),"Download"),"")</f>
      </c>
      <c r="P229" s="149"/>
    </row>
    <row r="230" ht="23" customHeight="1">
      <c r="A230" s="92" t="str">
        <f>IF(C230="","",COUNTIF($C$2:C230,"&lt;&gt;"))</f>
      </c>
      <c r="B230" s="107"/>
      <c r="C230" s="113" t="str">
        <f>IFERROR(VLOOKUP($B230,'Hack Database'!$A:$J,2,FALSE),"")</f>
      </c>
      <c r="D230" s="113" t="str">
        <f>IFERROR(VLOOKUP($B230,'Hack Database'!$A:$J,3,FALSE),"")</f>
      </c>
      <c r="E230" s="125" t="str">
        <f>IFERROR(VLOOKUP($B230,'Hack Database'!$A:$J,4,FALSE),"")</f>
      </c>
      <c r="F230" s="125" t="str">
        <f>IFERROR(VLOOKUP($B230,'Hack Database'!$A:$J,5,FALSE),"")</f>
      </c>
      <c r="G230" s="113" t="str">
        <f>IFERROR(VLOOKUP($B230,'Hack Database'!$A:$J,6,FALSE),"")</f>
      </c>
      <c r="H230" s="137"/>
      <c r="I230" s="137"/>
      <c r="J230" s="131"/>
      <c r="K230" s="125" t="str">
        <f>IF($B230="","",IF($J230="Yes","100% Complete",IF($H230="","Planned",IF($I230="","In Progress","Finished"))))</f>
      </c>
      <c r="L230" s="143"/>
      <c r="M230" s="131"/>
      <c r="N230" s="155" t="str">
        <f>IFERROR(HYPERLINK(VLOOKUP($B230,'Hack Database'!$A:$J,9,FALSE),"Open Page"),"")</f>
      </c>
      <c r="O230" s="155" t="str">
        <f>IFERROR(HYPERLINK(VLOOKUP($B230,'Hack Database'!$A:$J,10,FALSE),"Download"),"")</f>
      </c>
      <c r="P230" s="149"/>
    </row>
    <row r="231" ht="23" customHeight="1">
      <c r="A231" s="92" t="str">
        <f>IF(C231="","",COUNTIF($C$2:C231,"&lt;&gt;"))</f>
      </c>
      <c r="B231" s="107"/>
      <c r="C231" s="113" t="str">
        <f>IFERROR(VLOOKUP($B231,'Hack Database'!$A:$J,2,FALSE),"")</f>
      </c>
      <c r="D231" s="113" t="str">
        <f>IFERROR(VLOOKUP($B231,'Hack Database'!$A:$J,3,FALSE),"")</f>
      </c>
      <c r="E231" s="125" t="str">
        <f>IFERROR(VLOOKUP($B231,'Hack Database'!$A:$J,4,FALSE),"")</f>
      </c>
      <c r="F231" s="125" t="str">
        <f>IFERROR(VLOOKUP($B231,'Hack Database'!$A:$J,5,FALSE),"")</f>
      </c>
      <c r="G231" s="113" t="str">
        <f>IFERROR(VLOOKUP($B231,'Hack Database'!$A:$J,6,FALSE),"")</f>
      </c>
      <c r="H231" s="137"/>
      <c r="I231" s="137"/>
      <c r="J231" s="131"/>
      <c r="K231" s="125" t="str">
        <f>IF($B231="","",IF($J231="Yes","100% Complete",IF($H231="","Planned",IF($I231="","In Progress","Finished"))))</f>
      </c>
      <c r="L231" s="143"/>
      <c r="M231" s="131"/>
      <c r="N231" s="155" t="str">
        <f>IFERROR(HYPERLINK(VLOOKUP($B231,'Hack Database'!$A:$J,9,FALSE),"Open Page"),"")</f>
      </c>
      <c r="O231" s="155" t="str">
        <f>IFERROR(HYPERLINK(VLOOKUP($B231,'Hack Database'!$A:$J,10,FALSE),"Download"),"")</f>
      </c>
      <c r="P231" s="149"/>
    </row>
    <row r="232" ht="23" customHeight="1">
      <c r="A232" s="92" t="str">
        <f>IF(C232="","",COUNTIF($C$2:C232,"&lt;&gt;"))</f>
      </c>
      <c r="B232" s="107"/>
      <c r="C232" s="113" t="str">
        <f>IFERROR(VLOOKUP($B232,'Hack Database'!$A:$J,2,FALSE),"")</f>
      </c>
      <c r="D232" s="113" t="str">
        <f>IFERROR(VLOOKUP($B232,'Hack Database'!$A:$J,3,FALSE),"")</f>
      </c>
      <c r="E232" s="125" t="str">
        <f>IFERROR(VLOOKUP($B232,'Hack Database'!$A:$J,4,FALSE),"")</f>
      </c>
      <c r="F232" s="125" t="str">
        <f>IFERROR(VLOOKUP($B232,'Hack Database'!$A:$J,5,FALSE),"")</f>
      </c>
      <c r="G232" s="113" t="str">
        <f>IFERROR(VLOOKUP($B232,'Hack Database'!$A:$J,6,FALSE),"")</f>
      </c>
      <c r="H232" s="137"/>
      <c r="I232" s="137"/>
      <c r="J232" s="131"/>
      <c r="K232" s="125" t="str">
        <f>IF($B232="","",IF($J232="Yes","100% Complete",IF($H232="","Planned",IF($I232="","In Progress","Finished"))))</f>
      </c>
      <c r="L232" s="143"/>
      <c r="M232" s="131"/>
      <c r="N232" s="155" t="str">
        <f>IFERROR(HYPERLINK(VLOOKUP($B232,'Hack Database'!$A:$J,9,FALSE),"Open Page"),"")</f>
      </c>
      <c r="O232" s="155" t="str">
        <f>IFERROR(HYPERLINK(VLOOKUP($B232,'Hack Database'!$A:$J,10,FALSE),"Download"),"")</f>
      </c>
      <c r="P232" s="149"/>
    </row>
    <row r="233" ht="23" customHeight="1">
      <c r="A233" s="92" t="str">
        <f>IF(C233="","",COUNTIF($C$2:C233,"&lt;&gt;"))</f>
      </c>
      <c r="B233" s="107"/>
      <c r="C233" s="113" t="str">
        <f>IFERROR(VLOOKUP($B233,'Hack Database'!$A:$J,2,FALSE),"")</f>
      </c>
      <c r="D233" s="113" t="str">
        <f>IFERROR(VLOOKUP($B233,'Hack Database'!$A:$J,3,FALSE),"")</f>
      </c>
      <c r="E233" s="125" t="str">
        <f>IFERROR(VLOOKUP($B233,'Hack Database'!$A:$J,4,FALSE),"")</f>
      </c>
      <c r="F233" s="125" t="str">
        <f>IFERROR(VLOOKUP($B233,'Hack Database'!$A:$J,5,FALSE),"")</f>
      </c>
      <c r="G233" s="113" t="str">
        <f>IFERROR(VLOOKUP($B233,'Hack Database'!$A:$J,6,FALSE),"")</f>
      </c>
      <c r="H233" s="137"/>
      <c r="I233" s="137"/>
      <c r="J233" s="131"/>
      <c r="K233" s="125" t="str">
        <f>IF($B233="","",IF($J233="Yes","100% Complete",IF($H233="","Planned",IF($I233="","In Progress","Finished"))))</f>
      </c>
      <c r="L233" s="143"/>
      <c r="M233" s="131"/>
      <c r="N233" s="155" t="str">
        <f>IFERROR(HYPERLINK(VLOOKUP($B233,'Hack Database'!$A:$J,9,FALSE),"Open Page"),"")</f>
      </c>
      <c r="O233" s="155" t="str">
        <f>IFERROR(HYPERLINK(VLOOKUP($B233,'Hack Database'!$A:$J,10,FALSE),"Download"),"")</f>
      </c>
      <c r="P233" s="149"/>
    </row>
    <row r="234" ht="23" customHeight="1">
      <c r="A234" s="92" t="str">
        <f>IF(C234="","",COUNTIF($C$2:C234,"&lt;&gt;"))</f>
      </c>
      <c r="B234" s="107"/>
      <c r="C234" s="113" t="str">
        <f>IFERROR(VLOOKUP($B234,'Hack Database'!$A:$J,2,FALSE),"")</f>
      </c>
      <c r="D234" s="113" t="str">
        <f>IFERROR(VLOOKUP($B234,'Hack Database'!$A:$J,3,FALSE),"")</f>
      </c>
      <c r="E234" s="125" t="str">
        <f>IFERROR(VLOOKUP($B234,'Hack Database'!$A:$J,4,FALSE),"")</f>
      </c>
      <c r="F234" s="125" t="str">
        <f>IFERROR(VLOOKUP($B234,'Hack Database'!$A:$J,5,FALSE),"")</f>
      </c>
      <c r="G234" s="113" t="str">
        <f>IFERROR(VLOOKUP($B234,'Hack Database'!$A:$J,6,FALSE),"")</f>
      </c>
      <c r="H234" s="137"/>
      <c r="I234" s="137"/>
      <c r="J234" s="131"/>
      <c r="K234" s="125" t="str">
        <f>IF($B234="","",IF($J234="Yes","100% Complete",IF($H234="","Planned",IF($I234="","In Progress","Finished"))))</f>
      </c>
      <c r="L234" s="143"/>
      <c r="M234" s="131"/>
      <c r="N234" s="155" t="str">
        <f>IFERROR(HYPERLINK(VLOOKUP($B234,'Hack Database'!$A:$J,9,FALSE),"Open Page"),"")</f>
      </c>
      <c r="O234" s="155" t="str">
        <f>IFERROR(HYPERLINK(VLOOKUP($B234,'Hack Database'!$A:$J,10,FALSE),"Download"),"")</f>
      </c>
      <c r="P234" s="149"/>
    </row>
    <row r="235" ht="23" customHeight="1">
      <c r="A235" s="92" t="str">
        <f>IF(C235="","",COUNTIF($C$2:C235,"&lt;&gt;"))</f>
      </c>
      <c r="B235" s="107"/>
      <c r="C235" s="113" t="str">
        <f>IFERROR(VLOOKUP($B235,'Hack Database'!$A:$J,2,FALSE),"")</f>
      </c>
      <c r="D235" s="113" t="str">
        <f>IFERROR(VLOOKUP($B235,'Hack Database'!$A:$J,3,FALSE),"")</f>
      </c>
      <c r="E235" s="125" t="str">
        <f>IFERROR(VLOOKUP($B235,'Hack Database'!$A:$J,4,FALSE),"")</f>
      </c>
      <c r="F235" s="125" t="str">
        <f>IFERROR(VLOOKUP($B235,'Hack Database'!$A:$J,5,FALSE),"")</f>
      </c>
      <c r="G235" s="113" t="str">
        <f>IFERROR(VLOOKUP($B235,'Hack Database'!$A:$J,6,FALSE),"")</f>
      </c>
      <c r="H235" s="137"/>
      <c r="I235" s="137"/>
      <c r="J235" s="131"/>
      <c r="K235" s="125" t="str">
        <f>IF($B235="","",IF($J235="Yes","100% Complete",IF($H235="","Planned",IF($I235="","In Progress","Finished"))))</f>
      </c>
      <c r="L235" s="143"/>
      <c r="M235" s="131"/>
      <c r="N235" s="155" t="str">
        <f>IFERROR(HYPERLINK(VLOOKUP($B235,'Hack Database'!$A:$J,9,FALSE),"Open Page"),"")</f>
      </c>
      <c r="O235" s="155" t="str">
        <f>IFERROR(HYPERLINK(VLOOKUP($B235,'Hack Database'!$A:$J,10,FALSE),"Download"),"")</f>
      </c>
      <c r="P235" s="149"/>
    </row>
    <row r="236" ht="23" customHeight="1">
      <c r="A236" s="92" t="str">
        <f>IF(C236="","",COUNTIF($C$2:C236,"&lt;&gt;"))</f>
      </c>
      <c r="B236" s="107"/>
      <c r="C236" s="113" t="str">
        <f>IFERROR(VLOOKUP($B236,'Hack Database'!$A:$J,2,FALSE),"")</f>
      </c>
      <c r="D236" s="113" t="str">
        <f>IFERROR(VLOOKUP($B236,'Hack Database'!$A:$J,3,FALSE),"")</f>
      </c>
      <c r="E236" s="125" t="str">
        <f>IFERROR(VLOOKUP($B236,'Hack Database'!$A:$J,4,FALSE),"")</f>
      </c>
      <c r="F236" s="125" t="str">
        <f>IFERROR(VLOOKUP($B236,'Hack Database'!$A:$J,5,FALSE),"")</f>
      </c>
      <c r="G236" s="113" t="str">
        <f>IFERROR(VLOOKUP($B236,'Hack Database'!$A:$J,6,FALSE),"")</f>
      </c>
      <c r="H236" s="137"/>
      <c r="I236" s="137"/>
      <c r="J236" s="131"/>
      <c r="K236" s="125" t="str">
        <f>IF($B236="","",IF($J236="Yes","100% Complete",IF($H236="","Planned",IF($I236="","In Progress","Finished"))))</f>
      </c>
      <c r="L236" s="143"/>
      <c r="M236" s="131"/>
      <c r="N236" s="155" t="str">
        <f>IFERROR(HYPERLINK(VLOOKUP($B236,'Hack Database'!$A:$J,9,FALSE),"Open Page"),"")</f>
      </c>
      <c r="O236" s="155" t="str">
        <f>IFERROR(HYPERLINK(VLOOKUP($B236,'Hack Database'!$A:$J,10,FALSE),"Download"),"")</f>
      </c>
      <c r="P236" s="149"/>
    </row>
    <row r="237" ht="23" customHeight="1">
      <c r="A237" s="92" t="str">
        <f>IF(C237="","",COUNTIF($C$2:C237,"&lt;&gt;"))</f>
      </c>
      <c r="B237" s="107"/>
      <c r="C237" s="113" t="str">
        <f>IFERROR(VLOOKUP($B237,'Hack Database'!$A:$J,2,FALSE),"")</f>
      </c>
      <c r="D237" s="113" t="str">
        <f>IFERROR(VLOOKUP($B237,'Hack Database'!$A:$J,3,FALSE),"")</f>
      </c>
      <c r="E237" s="125" t="str">
        <f>IFERROR(VLOOKUP($B237,'Hack Database'!$A:$J,4,FALSE),"")</f>
      </c>
      <c r="F237" s="125" t="str">
        <f>IFERROR(VLOOKUP($B237,'Hack Database'!$A:$J,5,FALSE),"")</f>
      </c>
      <c r="G237" s="113" t="str">
        <f>IFERROR(VLOOKUP($B237,'Hack Database'!$A:$J,6,FALSE),"")</f>
      </c>
      <c r="H237" s="137"/>
      <c r="I237" s="137"/>
      <c r="J237" s="131"/>
      <c r="K237" s="125" t="str">
        <f>IF($B237="","",IF($J237="Yes","100% Complete",IF($H237="","Planned",IF($I237="","In Progress","Finished"))))</f>
      </c>
      <c r="L237" s="143"/>
      <c r="M237" s="131"/>
      <c r="N237" s="155" t="str">
        <f>IFERROR(HYPERLINK(VLOOKUP($B237,'Hack Database'!$A:$J,9,FALSE),"Open Page"),"")</f>
      </c>
      <c r="O237" s="155" t="str">
        <f>IFERROR(HYPERLINK(VLOOKUP($B237,'Hack Database'!$A:$J,10,FALSE),"Download"),"")</f>
      </c>
      <c r="P237" s="149"/>
    </row>
    <row r="238" ht="23" customHeight="1">
      <c r="A238" s="92" t="str">
        <f>IF(C238="","",COUNTIF($C$2:C238,"&lt;&gt;"))</f>
      </c>
      <c r="B238" s="107"/>
      <c r="C238" s="113" t="str">
        <f>IFERROR(VLOOKUP($B238,'Hack Database'!$A:$J,2,FALSE),"")</f>
      </c>
      <c r="D238" s="113" t="str">
        <f>IFERROR(VLOOKUP($B238,'Hack Database'!$A:$J,3,FALSE),"")</f>
      </c>
      <c r="E238" s="125" t="str">
        <f>IFERROR(VLOOKUP($B238,'Hack Database'!$A:$J,4,FALSE),"")</f>
      </c>
      <c r="F238" s="125" t="str">
        <f>IFERROR(VLOOKUP($B238,'Hack Database'!$A:$J,5,FALSE),"")</f>
      </c>
      <c r="G238" s="113" t="str">
        <f>IFERROR(VLOOKUP($B238,'Hack Database'!$A:$J,6,FALSE),"")</f>
      </c>
      <c r="H238" s="137"/>
      <c r="I238" s="137"/>
      <c r="J238" s="131"/>
      <c r="K238" s="125" t="str">
        <f>IF($B238="","",IF($J238="Yes","100% Complete",IF($H238="","Planned",IF($I238="","In Progress","Finished"))))</f>
      </c>
      <c r="L238" s="143"/>
      <c r="M238" s="131"/>
      <c r="N238" s="155" t="str">
        <f>IFERROR(HYPERLINK(VLOOKUP($B238,'Hack Database'!$A:$J,9,FALSE),"Open Page"),"")</f>
      </c>
      <c r="O238" s="155" t="str">
        <f>IFERROR(HYPERLINK(VLOOKUP($B238,'Hack Database'!$A:$J,10,FALSE),"Download"),"")</f>
      </c>
      <c r="P238" s="149"/>
    </row>
    <row r="239" ht="23" customHeight="1">
      <c r="A239" s="92" t="str">
        <f>IF(C239="","",COUNTIF($C$2:C239,"&lt;&gt;"))</f>
      </c>
      <c r="B239" s="107"/>
      <c r="C239" s="113" t="str">
        <f>IFERROR(VLOOKUP($B239,'Hack Database'!$A:$J,2,FALSE),"")</f>
      </c>
      <c r="D239" s="113" t="str">
        <f>IFERROR(VLOOKUP($B239,'Hack Database'!$A:$J,3,FALSE),"")</f>
      </c>
      <c r="E239" s="125" t="str">
        <f>IFERROR(VLOOKUP($B239,'Hack Database'!$A:$J,4,FALSE),"")</f>
      </c>
      <c r="F239" s="125" t="str">
        <f>IFERROR(VLOOKUP($B239,'Hack Database'!$A:$J,5,FALSE),"")</f>
      </c>
      <c r="G239" s="113" t="str">
        <f>IFERROR(VLOOKUP($B239,'Hack Database'!$A:$J,6,FALSE),"")</f>
      </c>
      <c r="H239" s="137"/>
      <c r="I239" s="137"/>
      <c r="J239" s="131"/>
      <c r="K239" s="125" t="str">
        <f>IF($B239="","",IF($J239="Yes","100% Complete",IF($H239="","Planned",IF($I239="","In Progress","Finished"))))</f>
      </c>
      <c r="L239" s="143"/>
      <c r="M239" s="131"/>
      <c r="N239" s="155" t="str">
        <f>IFERROR(HYPERLINK(VLOOKUP($B239,'Hack Database'!$A:$J,9,FALSE),"Open Page"),"")</f>
      </c>
      <c r="O239" s="155" t="str">
        <f>IFERROR(HYPERLINK(VLOOKUP($B239,'Hack Database'!$A:$J,10,FALSE),"Download"),"")</f>
      </c>
      <c r="P239" s="149"/>
    </row>
    <row r="240" ht="23" customHeight="1">
      <c r="A240" s="92" t="str">
        <f>IF(C240="","",COUNTIF($C$2:C240,"&lt;&gt;"))</f>
      </c>
      <c r="B240" s="107"/>
      <c r="C240" s="113" t="str">
        <f>IFERROR(VLOOKUP($B240,'Hack Database'!$A:$J,2,FALSE),"")</f>
      </c>
      <c r="D240" s="113" t="str">
        <f>IFERROR(VLOOKUP($B240,'Hack Database'!$A:$J,3,FALSE),"")</f>
      </c>
      <c r="E240" s="125" t="str">
        <f>IFERROR(VLOOKUP($B240,'Hack Database'!$A:$J,4,FALSE),"")</f>
      </c>
      <c r="F240" s="125" t="str">
        <f>IFERROR(VLOOKUP($B240,'Hack Database'!$A:$J,5,FALSE),"")</f>
      </c>
      <c r="G240" s="113" t="str">
        <f>IFERROR(VLOOKUP($B240,'Hack Database'!$A:$J,6,FALSE),"")</f>
      </c>
      <c r="H240" s="137"/>
      <c r="I240" s="137"/>
      <c r="J240" s="131"/>
      <c r="K240" s="125" t="str">
        <f>IF($B240="","",IF($J240="Yes","100% Complete",IF($H240="","Planned",IF($I240="","In Progress","Finished"))))</f>
      </c>
      <c r="L240" s="143"/>
      <c r="M240" s="131"/>
      <c r="N240" s="155" t="str">
        <f>IFERROR(HYPERLINK(VLOOKUP($B240,'Hack Database'!$A:$J,9,FALSE),"Open Page"),"")</f>
      </c>
      <c r="O240" s="155" t="str">
        <f>IFERROR(HYPERLINK(VLOOKUP($B240,'Hack Database'!$A:$J,10,FALSE),"Download"),"")</f>
      </c>
      <c r="P240" s="149"/>
    </row>
    <row r="241" ht="23" customHeight="1">
      <c r="A241" s="92" t="str">
        <f>IF(C241="","",COUNTIF($C$2:C241,"&lt;&gt;"))</f>
      </c>
      <c r="B241" s="107"/>
      <c r="C241" s="113" t="str">
        <f>IFERROR(VLOOKUP($B241,'Hack Database'!$A:$J,2,FALSE),"")</f>
      </c>
      <c r="D241" s="113" t="str">
        <f>IFERROR(VLOOKUP($B241,'Hack Database'!$A:$J,3,FALSE),"")</f>
      </c>
      <c r="E241" s="125" t="str">
        <f>IFERROR(VLOOKUP($B241,'Hack Database'!$A:$J,4,FALSE),"")</f>
      </c>
      <c r="F241" s="125" t="str">
        <f>IFERROR(VLOOKUP($B241,'Hack Database'!$A:$J,5,FALSE),"")</f>
      </c>
      <c r="G241" s="113" t="str">
        <f>IFERROR(VLOOKUP($B241,'Hack Database'!$A:$J,6,FALSE),"")</f>
      </c>
      <c r="H241" s="137"/>
      <c r="I241" s="137"/>
      <c r="J241" s="131"/>
      <c r="K241" s="125" t="str">
        <f>IF($B241="","",IF($J241="Yes","100% Complete",IF($H241="","Planned",IF($I241="","In Progress","Finished"))))</f>
      </c>
      <c r="L241" s="143"/>
      <c r="M241" s="131"/>
      <c r="N241" s="155" t="str">
        <f>IFERROR(HYPERLINK(VLOOKUP($B241,'Hack Database'!$A:$J,9,FALSE),"Open Page"),"")</f>
      </c>
      <c r="O241" s="155" t="str">
        <f>IFERROR(HYPERLINK(VLOOKUP($B241,'Hack Database'!$A:$J,10,FALSE),"Download"),"")</f>
      </c>
      <c r="P241" s="149"/>
    </row>
    <row r="242" ht="23" customHeight="1">
      <c r="A242" s="92" t="str">
        <f>IF(C242="","",COUNTIF($C$2:C242,"&lt;&gt;"))</f>
      </c>
      <c r="B242" s="107"/>
      <c r="C242" s="113" t="str">
        <f>IFERROR(VLOOKUP($B242,'Hack Database'!$A:$J,2,FALSE),"")</f>
      </c>
      <c r="D242" s="113" t="str">
        <f>IFERROR(VLOOKUP($B242,'Hack Database'!$A:$J,3,FALSE),"")</f>
      </c>
      <c r="E242" s="125" t="str">
        <f>IFERROR(VLOOKUP($B242,'Hack Database'!$A:$J,4,FALSE),"")</f>
      </c>
      <c r="F242" s="125" t="str">
        <f>IFERROR(VLOOKUP($B242,'Hack Database'!$A:$J,5,FALSE),"")</f>
      </c>
      <c r="G242" s="113" t="str">
        <f>IFERROR(VLOOKUP($B242,'Hack Database'!$A:$J,6,FALSE),"")</f>
      </c>
      <c r="H242" s="137"/>
      <c r="I242" s="137"/>
      <c r="J242" s="131"/>
      <c r="K242" s="125" t="str">
        <f>IF($B242="","",IF($J242="Yes","100% Complete",IF($H242="","Planned",IF($I242="","In Progress","Finished"))))</f>
      </c>
      <c r="L242" s="143"/>
      <c r="M242" s="131"/>
      <c r="N242" s="155" t="str">
        <f>IFERROR(HYPERLINK(VLOOKUP($B242,'Hack Database'!$A:$J,9,FALSE),"Open Page"),"")</f>
      </c>
      <c r="O242" s="155" t="str">
        <f>IFERROR(HYPERLINK(VLOOKUP($B242,'Hack Database'!$A:$J,10,FALSE),"Download"),"")</f>
      </c>
      <c r="P242" s="149"/>
    </row>
    <row r="243" ht="23" customHeight="1">
      <c r="A243" s="92" t="str">
        <f>IF(C243="","",COUNTIF($C$2:C243,"&lt;&gt;"))</f>
      </c>
      <c r="B243" s="107"/>
      <c r="C243" s="113" t="str">
        <f>IFERROR(VLOOKUP($B243,'Hack Database'!$A:$J,2,FALSE),"")</f>
      </c>
      <c r="D243" s="113" t="str">
        <f>IFERROR(VLOOKUP($B243,'Hack Database'!$A:$J,3,FALSE),"")</f>
      </c>
      <c r="E243" s="125" t="str">
        <f>IFERROR(VLOOKUP($B243,'Hack Database'!$A:$J,4,FALSE),"")</f>
      </c>
      <c r="F243" s="125" t="str">
        <f>IFERROR(VLOOKUP($B243,'Hack Database'!$A:$J,5,FALSE),"")</f>
      </c>
      <c r="G243" s="113" t="str">
        <f>IFERROR(VLOOKUP($B243,'Hack Database'!$A:$J,6,FALSE),"")</f>
      </c>
      <c r="H243" s="137"/>
      <c r="I243" s="137"/>
      <c r="J243" s="131"/>
      <c r="K243" s="125" t="str">
        <f>IF($B243="","",IF($J243="Yes","100% Complete",IF($H243="","Planned",IF($I243="","In Progress","Finished"))))</f>
      </c>
      <c r="L243" s="143"/>
      <c r="M243" s="131"/>
      <c r="N243" s="155" t="str">
        <f>IFERROR(HYPERLINK(VLOOKUP($B243,'Hack Database'!$A:$J,9,FALSE),"Open Page"),"")</f>
      </c>
      <c r="O243" s="155" t="str">
        <f>IFERROR(HYPERLINK(VLOOKUP($B243,'Hack Database'!$A:$J,10,FALSE),"Download"),"")</f>
      </c>
      <c r="P243" s="149"/>
    </row>
    <row r="244" ht="23" customHeight="1">
      <c r="A244" s="92" t="str">
        <f>IF(C244="","",COUNTIF($C$2:C244,"&lt;&gt;"))</f>
      </c>
      <c r="B244" s="107"/>
      <c r="C244" s="113" t="str">
        <f>IFERROR(VLOOKUP($B244,'Hack Database'!$A:$J,2,FALSE),"")</f>
      </c>
      <c r="D244" s="113" t="str">
        <f>IFERROR(VLOOKUP($B244,'Hack Database'!$A:$J,3,FALSE),"")</f>
      </c>
      <c r="E244" s="125" t="str">
        <f>IFERROR(VLOOKUP($B244,'Hack Database'!$A:$J,4,FALSE),"")</f>
      </c>
      <c r="F244" s="125" t="str">
        <f>IFERROR(VLOOKUP($B244,'Hack Database'!$A:$J,5,FALSE),"")</f>
      </c>
      <c r="G244" s="113" t="str">
        <f>IFERROR(VLOOKUP($B244,'Hack Database'!$A:$J,6,FALSE),"")</f>
      </c>
      <c r="H244" s="137"/>
      <c r="I244" s="137"/>
      <c r="J244" s="131"/>
      <c r="K244" s="125" t="str">
        <f>IF($B244="","",IF($J244="Yes","100% Complete",IF($H244="","Planned",IF($I244="","In Progress","Finished"))))</f>
      </c>
      <c r="L244" s="143"/>
      <c r="M244" s="131"/>
      <c r="N244" s="155" t="str">
        <f>IFERROR(HYPERLINK(VLOOKUP($B244,'Hack Database'!$A:$J,9,FALSE),"Open Page"),"")</f>
      </c>
      <c r="O244" s="155" t="str">
        <f>IFERROR(HYPERLINK(VLOOKUP($B244,'Hack Database'!$A:$J,10,FALSE),"Download"),"")</f>
      </c>
      <c r="P244" s="149"/>
    </row>
    <row r="245" ht="23" customHeight="1">
      <c r="A245" s="92" t="str">
        <f>IF(C245="","",COUNTIF($C$2:C245,"&lt;&gt;"))</f>
      </c>
      <c r="B245" s="107"/>
      <c r="C245" s="113" t="str">
        <f>IFERROR(VLOOKUP($B245,'Hack Database'!$A:$J,2,FALSE),"")</f>
      </c>
      <c r="D245" s="113" t="str">
        <f>IFERROR(VLOOKUP($B245,'Hack Database'!$A:$J,3,FALSE),"")</f>
      </c>
      <c r="E245" s="125" t="str">
        <f>IFERROR(VLOOKUP($B245,'Hack Database'!$A:$J,4,FALSE),"")</f>
      </c>
      <c r="F245" s="125" t="str">
        <f>IFERROR(VLOOKUP($B245,'Hack Database'!$A:$J,5,FALSE),"")</f>
      </c>
      <c r="G245" s="113" t="str">
        <f>IFERROR(VLOOKUP($B245,'Hack Database'!$A:$J,6,FALSE),"")</f>
      </c>
      <c r="H245" s="137"/>
      <c r="I245" s="137"/>
      <c r="J245" s="131"/>
      <c r="K245" s="125" t="str">
        <f>IF($B245="","",IF($J245="Yes","100% Complete",IF($H245="","Planned",IF($I245="","In Progress","Finished"))))</f>
      </c>
      <c r="L245" s="143"/>
      <c r="M245" s="131"/>
      <c r="N245" s="155" t="str">
        <f>IFERROR(HYPERLINK(VLOOKUP($B245,'Hack Database'!$A:$J,9,FALSE),"Open Page"),"")</f>
      </c>
      <c r="O245" s="155" t="str">
        <f>IFERROR(HYPERLINK(VLOOKUP($B245,'Hack Database'!$A:$J,10,FALSE),"Download"),"")</f>
      </c>
      <c r="P245" s="149"/>
    </row>
    <row r="246" ht="23" customHeight="1">
      <c r="A246" s="92" t="str">
        <f>IF(C246="","",COUNTIF($C$2:C246,"&lt;&gt;"))</f>
      </c>
      <c r="B246" s="107"/>
      <c r="C246" s="113" t="str">
        <f>IFERROR(VLOOKUP($B246,'Hack Database'!$A:$J,2,FALSE),"")</f>
      </c>
      <c r="D246" s="113" t="str">
        <f>IFERROR(VLOOKUP($B246,'Hack Database'!$A:$J,3,FALSE),"")</f>
      </c>
      <c r="E246" s="125" t="str">
        <f>IFERROR(VLOOKUP($B246,'Hack Database'!$A:$J,4,FALSE),"")</f>
      </c>
      <c r="F246" s="125" t="str">
        <f>IFERROR(VLOOKUP($B246,'Hack Database'!$A:$J,5,FALSE),"")</f>
      </c>
      <c r="G246" s="113" t="str">
        <f>IFERROR(VLOOKUP($B246,'Hack Database'!$A:$J,6,FALSE),"")</f>
      </c>
      <c r="H246" s="137"/>
      <c r="I246" s="137"/>
      <c r="J246" s="131"/>
      <c r="K246" s="125" t="str">
        <f>IF($B246="","",IF($J246="Yes","100% Complete",IF($H246="","Planned",IF($I246="","In Progress","Finished"))))</f>
      </c>
      <c r="L246" s="143"/>
      <c r="M246" s="131"/>
      <c r="N246" s="155" t="str">
        <f>IFERROR(HYPERLINK(VLOOKUP($B246,'Hack Database'!$A:$J,9,FALSE),"Open Page"),"")</f>
      </c>
      <c r="O246" s="155" t="str">
        <f>IFERROR(HYPERLINK(VLOOKUP($B246,'Hack Database'!$A:$J,10,FALSE),"Download"),"")</f>
      </c>
      <c r="P246" s="149"/>
    </row>
    <row r="247" ht="23" customHeight="1">
      <c r="A247" s="92" t="str">
        <f>IF(C247="","",COUNTIF($C$2:C247,"&lt;&gt;"))</f>
      </c>
      <c r="B247" s="107"/>
      <c r="C247" s="113" t="str">
        <f>IFERROR(VLOOKUP($B247,'Hack Database'!$A:$J,2,FALSE),"")</f>
      </c>
      <c r="D247" s="113" t="str">
        <f>IFERROR(VLOOKUP($B247,'Hack Database'!$A:$J,3,FALSE),"")</f>
      </c>
      <c r="E247" s="125" t="str">
        <f>IFERROR(VLOOKUP($B247,'Hack Database'!$A:$J,4,FALSE),"")</f>
      </c>
      <c r="F247" s="125" t="str">
        <f>IFERROR(VLOOKUP($B247,'Hack Database'!$A:$J,5,FALSE),"")</f>
      </c>
      <c r="G247" s="113" t="str">
        <f>IFERROR(VLOOKUP($B247,'Hack Database'!$A:$J,6,FALSE),"")</f>
      </c>
      <c r="H247" s="137"/>
      <c r="I247" s="137"/>
      <c r="J247" s="131"/>
      <c r="K247" s="125" t="str">
        <f>IF($B247="","",IF($J247="Yes","100% Complete",IF($H247="","Planned",IF($I247="","In Progress","Finished"))))</f>
      </c>
      <c r="L247" s="143"/>
      <c r="M247" s="131"/>
      <c r="N247" s="155" t="str">
        <f>IFERROR(HYPERLINK(VLOOKUP($B247,'Hack Database'!$A:$J,9,FALSE),"Open Page"),"")</f>
      </c>
      <c r="O247" s="155" t="str">
        <f>IFERROR(HYPERLINK(VLOOKUP($B247,'Hack Database'!$A:$J,10,FALSE),"Download"),"")</f>
      </c>
      <c r="P247" s="149"/>
    </row>
    <row r="248" ht="23" customHeight="1">
      <c r="A248" s="92" t="str">
        <f>IF(C248="","",COUNTIF($C$2:C248,"&lt;&gt;"))</f>
      </c>
      <c r="B248" s="107"/>
      <c r="C248" s="113" t="str">
        <f>IFERROR(VLOOKUP($B248,'Hack Database'!$A:$J,2,FALSE),"")</f>
      </c>
      <c r="D248" s="113" t="str">
        <f>IFERROR(VLOOKUP($B248,'Hack Database'!$A:$J,3,FALSE),"")</f>
      </c>
      <c r="E248" s="125" t="str">
        <f>IFERROR(VLOOKUP($B248,'Hack Database'!$A:$J,4,FALSE),"")</f>
      </c>
      <c r="F248" s="125" t="str">
        <f>IFERROR(VLOOKUP($B248,'Hack Database'!$A:$J,5,FALSE),"")</f>
      </c>
      <c r="G248" s="113" t="str">
        <f>IFERROR(VLOOKUP($B248,'Hack Database'!$A:$J,6,FALSE),"")</f>
      </c>
      <c r="H248" s="137"/>
      <c r="I248" s="137"/>
      <c r="J248" s="131"/>
      <c r="K248" s="125" t="str">
        <f>IF($B248="","",IF($J248="Yes","100% Complete",IF($H248="","Planned",IF($I248="","In Progress","Finished"))))</f>
      </c>
      <c r="L248" s="143"/>
      <c r="M248" s="131"/>
      <c r="N248" s="155" t="str">
        <f>IFERROR(HYPERLINK(VLOOKUP($B248,'Hack Database'!$A:$J,9,FALSE),"Open Page"),"")</f>
      </c>
      <c r="O248" s="155" t="str">
        <f>IFERROR(HYPERLINK(VLOOKUP($B248,'Hack Database'!$A:$J,10,FALSE),"Download"),"")</f>
      </c>
      <c r="P248" s="149"/>
    </row>
    <row r="249" ht="23" customHeight="1">
      <c r="A249" s="92" t="str">
        <f>IF(C249="","",COUNTIF($C$2:C249,"&lt;&gt;"))</f>
      </c>
      <c r="B249" s="107"/>
      <c r="C249" s="113" t="str">
        <f>IFERROR(VLOOKUP($B249,'Hack Database'!$A:$J,2,FALSE),"")</f>
      </c>
      <c r="D249" s="113" t="str">
        <f>IFERROR(VLOOKUP($B249,'Hack Database'!$A:$J,3,FALSE),"")</f>
      </c>
      <c r="E249" s="125" t="str">
        <f>IFERROR(VLOOKUP($B249,'Hack Database'!$A:$J,4,FALSE),"")</f>
      </c>
      <c r="F249" s="125" t="str">
        <f>IFERROR(VLOOKUP($B249,'Hack Database'!$A:$J,5,FALSE),"")</f>
      </c>
      <c r="G249" s="113" t="str">
        <f>IFERROR(VLOOKUP($B249,'Hack Database'!$A:$J,6,FALSE),"")</f>
      </c>
      <c r="H249" s="137"/>
      <c r="I249" s="137"/>
      <c r="J249" s="131"/>
      <c r="K249" s="125" t="str">
        <f>IF($B249="","",IF($J249="Yes","100% Complete",IF($H249="","Planned",IF($I249="","In Progress","Finished"))))</f>
      </c>
      <c r="L249" s="143"/>
      <c r="M249" s="131"/>
      <c r="N249" s="155" t="str">
        <f>IFERROR(HYPERLINK(VLOOKUP($B249,'Hack Database'!$A:$J,9,FALSE),"Open Page"),"")</f>
      </c>
      <c r="O249" s="155" t="str">
        <f>IFERROR(HYPERLINK(VLOOKUP($B249,'Hack Database'!$A:$J,10,FALSE),"Download"),"")</f>
      </c>
      <c r="P249" s="149"/>
    </row>
    <row r="250" ht="23" customHeight="1">
      <c r="A250" s="92" t="str">
        <f>IF(C250="","",COUNTIF($C$2:C250,"&lt;&gt;"))</f>
      </c>
      <c r="B250" s="107"/>
      <c r="C250" s="113" t="str">
        <f>IFERROR(VLOOKUP($B250,'Hack Database'!$A:$J,2,FALSE),"")</f>
      </c>
      <c r="D250" s="113" t="str">
        <f>IFERROR(VLOOKUP($B250,'Hack Database'!$A:$J,3,FALSE),"")</f>
      </c>
      <c r="E250" s="125" t="str">
        <f>IFERROR(VLOOKUP($B250,'Hack Database'!$A:$J,4,FALSE),"")</f>
      </c>
      <c r="F250" s="125" t="str">
        <f>IFERROR(VLOOKUP($B250,'Hack Database'!$A:$J,5,FALSE),"")</f>
      </c>
      <c r="G250" s="113" t="str">
        <f>IFERROR(VLOOKUP($B250,'Hack Database'!$A:$J,6,FALSE),"")</f>
      </c>
      <c r="H250" s="137"/>
      <c r="I250" s="137"/>
      <c r="J250" s="131"/>
      <c r="K250" s="125" t="str">
        <f>IF($B250="","",IF($J250="Yes","100% Complete",IF($H250="","Planned",IF($I250="","In Progress","Finished"))))</f>
      </c>
      <c r="L250" s="143"/>
      <c r="M250" s="131"/>
      <c r="N250" s="155" t="str">
        <f>IFERROR(HYPERLINK(VLOOKUP($B250,'Hack Database'!$A:$J,9,FALSE),"Open Page"),"")</f>
      </c>
      <c r="O250" s="155" t="str">
        <f>IFERROR(HYPERLINK(VLOOKUP($B250,'Hack Database'!$A:$J,10,FALSE),"Download"),"")</f>
      </c>
      <c r="P250" s="149"/>
    </row>
    <row r="251" ht="23" customHeight="1">
      <c r="A251" s="92" t="str">
        <f>IF(C251="","",COUNTIF($C$2:C251,"&lt;&gt;"))</f>
      </c>
      <c r="B251" s="107"/>
      <c r="C251" s="113" t="str">
        <f>IFERROR(VLOOKUP($B251,'Hack Database'!$A:$J,2,FALSE),"")</f>
      </c>
      <c r="D251" s="113" t="str">
        <f>IFERROR(VLOOKUP($B251,'Hack Database'!$A:$J,3,FALSE),"")</f>
      </c>
      <c r="E251" s="125" t="str">
        <f>IFERROR(VLOOKUP($B251,'Hack Database'!$A:$J,4,FALSE),"")</f>
      </c>
      <c r="F251" s="125" t="str">
        <f>IFERROR(VLOOKUP($B251,'Hack Database'!$A:$J,5,FALSE),"")</f>
      </c>
      <c r="G251" s="113" t="str">
        <f>IFERROR(VLOOKUP($B251,'Hack Database'!$A:$J,6,FALSE),"")</f>
      </c>
      <c r="H251" s="137"/>
      <c r="I251" s="137"/>
      <c r="J251" s="131"/>
      <c r="K251" s="125" t="str">
        <f>IF($B251="","",IF($J251="Yes","100% Complete",IF($H251="","Planned",IF($I251="","In Progress","Finished"))))</f>
      </c>
      <c r="L251" s="143"/>
      <c r="M251" s="131"/>
      <c r="N251" s="155" t="str">
        <f>IFERROR(HYPERLINK(VLOOKUP($B251,'Hack Database'!$A:$J,9,FALSE),"Open Page"),"")</f>
      </c>
      <c r="O251" s="155" t="str">
        <f>IFERROR(HYPERLINK(VLOOKUP($B251,'Hack Database'!$A:$J,10,FALSE),"Download"),"")</f>
      </c>
      <c r="P251" s="149"/>
    </row>
    <row r="252" ht="23" customHeight="1">
      <c r="A252" s="92" t="str">
        <f>IF(C252="","",COUNTIF($C$2:C252,"&lt;&gt;"))</f>
      </c>
      <c r="B252" s="107"/>
      <c r="C252" s="113" t="str">
        <f>IFERROR(VLOOKUP($B252,'Hack Database'!$A:$J,2,FALSE),"")</f>
      </c>
      <c r="D252" s="113" t="str">
        <f>IFERROR(VLOOKUP($B252,'Hack Database'!$A:$J,3,FALSE),"")</f>
      </c>
      <c r="E252" s="125" t="str">
        <f>IFERROR(VLOOKUP($B252,'Hack Database'!$A:$J,4,FALSE),"")</f>
      </c>
      <c r="F252" s="125" t="str">
        <f>IFERROR(VLOOKUP($B252,'Hack Database'!$A:$J,5,FALSE),"")</f>
      </c>
      <c r="G252" s="113" t="str">
        <f>IFERROR(VLOOKUP($B252,'Hack Database'!$A:$J,6,FALSE),"")</f>
      </c>
      <c r="H252" s="137"/>
      <c r="I252" s="137"/>
      <c r="J252" s="131"/>
      <c r="K252" s="125" t="str">
        <f>IF($B252="","",IF($J252="Yes","100% Complete",IF($H252="","Planned",IF($I252="","In Progress","Finished"))))</f>
      </c>
      <c r="L252" s="143"/>
      <c r="M252" s="131"/>
      <c r="N252" s="155" t="str">
        <f>IFERROR(HYPERLINK(VLOOKUP($B252,'Hack Database'!$A:$J,9,FALSE),"Open Page"),"")</f>
      </c>
      <c r="O252" s="155" t="str">
        <f>IFERROR(HYPERLINK(VLOOKUP($B252,'Hack Database'!$A:$J,10,FALSE),"Download"),"")</f>
      </c>
      <c r="P252" s="149"/>
    </row>
    <row r="253" ht="23" customHeight="1">
      <c r="A253" s="92" t="str">
        <f>IF(C253="","",COUNTIF($C$2:C253,"&lt;&gt;"))</f>
      </c>
      <c r="B253" s="107"/>
      <c r="C253" s="113" t="str">
        <f>IFERROR(VLOOKUP($B253,'Hack Database'!$A:$J,2,FALSE),"")</f>
      </c>
      <c r="D253" s="113" t="str">
        <f>IFERROR(VLOOKUP($B253,'Hack Database'!$A:$J,3,FALSE),"")</f>
      </c>
      <c r="E253" s="125" t="str">
        <f>IFERROR(VLOOKUP($B253,'Hack Database'!$A:$J,4,FALSE),"")</f>
      </c>
      <c r="F253" s="125" t="str">
        <f>IFERROR(VLOOKUP($B253,'Hack Database'!$A:$J,5,FALSE),"")</f>
      </c>
      <c r="G253" s="113" t="str">
        <f>IFERROR(VLOOKUP($B253,'Hack Database'!$A:$J,6,FALSE),"")</f>
      </c>
      <c r="H253" s="137"/>
      <c r="I253" s="137"/>
      <c r="J253" s="131"/>
      <c r="K253" s="125" t="str">
        <f>IF($B253="","",IF($J253="Yes","100% Complete",IF($H253="","Planned",IF($I253="","In Progress","Finished"))))</f>
      </c>
      <c r="L253" s="143"/>
      <c r="M253" s="131"/>
      <c r="N253" s="155" t="str">
        <f>IFERROR(HYPERLINK(VLOOKUP($B253,'Hack Database'!$A:$J,9,FALSE),"Open Page"),"")</f>
      </c>
      <c r="O253" s="155" t="str">
        <f>IFERROR(HYPERLINK(VLOOKUP($B253,'Hack Database'!$A:$J,10,FALSE),"Download"),"")</f>
      </c>
      <c r="P253" s="149"/>
    </row>
    <row r="254" ht="23" customHeight="1">
      <c r="A254" s="92" t="str">
        <f>IF(C254="","",COUNTIF($C$2:C254,"&lt;&gt;"))</f>
      </c>
      <c r="B254" s="107"/>
      <c r="C254" s="113" t="str">
        <f>IFERROR(VLOOKUP($B254,'Hack Database'!$A:$J,2,FALSE),"")</f>
      </c>
      <c r="D254" s="113" t="str">
        <f>IFERROR(VLOOKUP($B254,'Hack Database'!$A:$J,3,FALSE),"")</f>
      </c>
      <c r="E254" s="125" t="str">
        <f>IFERROR(VLOOKUP($B254,'Hack Database'!$A:$J,4,FALSE),"")</f>
      </c>
      <c r="F254" s="125" t="str">
        <f>IFERROR(VLOOKUP($B254,'Hack Database'!$A:$J,5,FALSE),"")</f>
      </c>
      <c r="G254" s="113" t="str">
        <f>IFERROR(VLOOKUP($B254,'Hack Database'!$A:$J,6,FALSE),"")</f>
      </c>
      <c r="H254" s="137"/>
      <c r="I254" s="137"/>
      <c r="J254" s="131"/>
      <c r="K254" s="125" t="str">
        <f>IF($B254="","",IF($J254="Yes","100% Complete",IF($H254="","Planned",IF($I254="","In Progress","Finished"))))</f>
      </c>
      <c r="L254" s="143"/>
      <c r="M254" s="131"/>
      <c r="N254" s="155" t="str">
        <f>IFERROR(HYPERLINK(VLOOKUP($B254,'Hack Database'!$A:$J,9,FALSE),"Open Page"),"")</f>
      </c>
      <c r="O254" s="155" t="str">
        <f>IFERROR(HYPERLINK(VLOOKUP($B254,'Hack Database'!$A:$J,10,FALSE),"Download"),"")</f>
      </c>
      <c r="P254" s="149"/>
    </row>
    <row r="255" ht="23" customHeight="1">
      <c r="A255" s="92" t="str">
        <f>IF(C255="","",COUNTIF($C$2:C255,"&lt;&gt;"))</f>
      </c>
      <c r="B255" s="107"/>
      <c r="C255" s="113" t="str">
        <f>IFERROR(VLOOKUP($B255,'Hack Database'!$A:$J,2,FALSE),"")</f>
      </c>
      <c r="D255" s="113" t="str">
        <f>IFERROR(VLOOKUP($B255,'Hack Database'!$A:$J,3,FALSE),"")</f>
      </c>
      <c r="E255" s="125" t="str">
        <f>IFERROR(VLOOKUP($B255,'Hack Database'!$A:$J,4,FALSE),"")</f>
      </c>
      <c r="F255" s="125" t="str">
        <f>IFERROR(VLOOKUP($B255,'Hack Database'!$A:$J,5,FALSE),"")</f>
      </c>
      <c r="G255" s="113" t="str">
        <f>IFERROR(VLOOKUP($B255,'Hack Database'!$A:$J,6,FALSE),"")</f>
      </c>
      <c r="H255" s="137"/>
      <c r="I255" s="137"/>
      <c r="J255" s="131"/>
      <c r="K255" s="125" t="str">
        <f>IF($B255="","",IF($J255="Yes","100% Complete",IF($H255="","Planned",IF($I255="","In Progress","Finished"))))</f>
      </c>
      <c r="L255" s="143"/>
      <c r="M255" s="131"/>
      <c r="N255" s="155" t="str">
        <f>IFERROR(HYPERLINK(VLOOKUP($B255,'Hack Database'!$A:$J,9,FALSE),"Open Page"),"")</f>
      </c>
      <c r="O255" s="155" t="str">
        <f>IFERROR(HYPERLINK(VLOOKUP($B255,'Hack Database'!$A:$J,10,FALSE),"Download"),"")</f>
      </c>
      <c r="P255" s="149"/>
    </row>
    <row r="256" ht="23" customHeight="1">
      <c r="A256" s="92" t="str">
        <f>IF(C256="","",COUNTIF($C$2:C256,"&lt;&gt;"))</f>
      </c>
      <c r="B256" s="107"/>
      <c r="C256" s="113" t="str">
        <f>IFERROR(VLOOKUP($B256,'Hack Database'!$A:$J,2,FALSE),"")</f>
      </c>
      <c r="D256" s="113" t="str">
        <f>IFERROR(VLOOKUP($B256,'Hack Database'!$A:$J,3,FALSE),"")</f>
      </c>
      <c r="E256" s="125" t="str">
        <f>IFERROR(VLOOKUP($B256,'Hack Database'!$A:$J,4,FALSE),"")</f>
      </c>
      <c r="F256" s="125" t="str">
        <f>IFERROR(VLOOKUP($B256,'Hack Database'!$A:$J,5,FALSE),"")</f>
      </c>
      <c r="G256" s="113" t="str">
        <f>IFERROR(VLOOKUP($B256,'Hack Database'!$A:$J,6,FALSE),"")</f>
      </c>
      <c r="H256" s="137"/>
      <c r="I256" s="137"/>
      <c r="J256" s="131"/>
      <c r="K256" s="125" t="str">
        <f>IF($B256="","",IF($J256="Yes","100% Complete",IF($H256="","Planned",IF($I256="","In Progress","Finished"))))</f>
      </c>
      <c r="L256" s="143"/>
      <c r="M256" s="131"/>
      <c r="N256" s="155" t="str">
        <f>IFERROR(HYPERLINK(VLOOKUP($B256,'Hack Database'!$A:$J,9,FALSE),"Open Page"),"")</f>
      </c>
      <c r="O256" s="155" t="str">
        <f>IFERROR(HYPERLINK(VLOOKUP($B256,'Hack Database'!$A:$J,10,FALSE),"Download"),"")</f>
      </c>
      <c r="P256" s="149"/>
    </row>
    <row r="257" ht="23" customHeight="1">
      <c r="A257" s="92" t="str">
        <f>IF(C257="","",COUNTIF($C$2:C257,"&lt;&gt;"))</f>
      </c>
      <c r="B257" s="107"/>
      <c r="C257" s="113" t="str">
        <f>IFERROR(VLOOKUP($B257,'Hack Database'!$A:$J,2,FALSE),"")</f>
      </c>
      <c r="D257" s="113" t="str">
        <f>IFERROR(VLOOKUP($B257,'Hack Database'!$A:$J,3,FALSE),"")</f>
      </c>
      <c r="E257" s="125" t="str">
        <f>IFERROR(VLOOKUP($B257,'Hack Database'!$A:$J,4,FALSE),"")</f>
      </c>
      <c r="F257" s="125" t="str">
        <f>IFERROR(VLOOKUP($B257,'Hack Database'!$A:$J,5,FALSE),"")</f>
      </c>
      <c r="G257" s="113" t="str">
        <f>IFERROR(VLOOKUP($B257,'Hack Database'!$A:$J,6,FALSE),"")</f>
      </c>
      <c r="H257" s="137"/>
      <c r="I257" s="137"/>
      <c r="J257" s="131"/>
      <c r="K257" s="125" t="str">
        <f>IF($B257="","",IF($J257="Yes","100% Complete",IF($H257="","Planned",IF($I257="","In Progress","Finished"))))</f>
      </c>
      <c r="L257" s="143"/>
      <c r="M257" s="131"/>
      <c r="N257" s="155" t="str">
        <f>IFERROR(HYPERLINK(VLOOKUP($B257,'Hack Database'!$A:$J,9,FALSE),"Open Page"),"")</f>
      </c>
      <c r="O257" s="155" t="str">
        <f>IFERROR(HYPERLINK(VLOOKUP($B257,'Hack Database'!$A:$J,10,FALSE),"Download"),"")</f>
      </c>
      <c r="P257" s="149"/>
    </row>
    <row r="258" ht="23" customHeight="1">
      <c r="A258" s="92" t="str">
        <f>IF(C258="","",COUNTIF($C$2:C258,"&lt;&gt;"))</f>
      </c>
      <c r="B258" s="107"/>
      <c r="C258" s="113" t="str">
        <f>IFERROR(VLOOKUP($B258,'Hack Database'!$A:$J,2,FALSE),"")</f>
      </c>
      <c r="D258" s="113" t="str">
        <f>IFERROR(VLOOKUP($B258,'Hack Database'!$A:$J,3,FALSE),"")</f>
      </c>
      <c r="E258" s="125" t="str">
        <f>IFERROR(VLOOKUP($B258,'Hack Database'!$A:$J,4,FALSE),"")</f>
      </c>
      <c r="F258" s="125" t="str">
        <f>IFERROR(VLOOKUP($B258,'Hack Database'!$A:$J,5,FALSE),"")</f>
      </c>
      <c r="G258" s="113" t="str">
        <f>IFERROR(VLOOKUP($B258,'Hack Database'!$A:$J,6,FALSE),"")</f>
      </c>
      <c r="H258" s="137"/>
      <c r="I258" s="137"/>
      <c r="J258" s="131"/>
      <c r="K258" s="125" t="str">
        <f>IF($B258="","",IF($J258="Yes","100% Complete",IF($H258="","Planned",IF($I258="","In Progress","Finished"))))</f>
      </c>
      <c r="L258" s="143"/>
      <c r="M258" s="131"/>
      <c r="N258" s="155" t="str">
        <f>IFERROR(HYPERLINK(VLOOKUP($B258,'Hack Database'!$A:$J,9,FALSE),"Open Page"),"")</f>
      </c>
      <c r="O258" s="155" t="str">
        <f>IFERROR(HYPERLINK(VLOOKUP($B258,'Hack Database'!$A:$J,10,FALSE),"Download"),"")</f>
      </c>
      <c r="P258" s="149"/>
    </row>
    <row r="259" ht="23" customHeight="1">
      <c r="A259" s="92" t="str">
        <f>IF(C259="","",COUNTIF($C$2:C259,"&lt;&gt;"))</f>
      </c>
      <c r="B259" s="107"/>
      <c r="C259" s="113" t="str">
        <f>IFERROR(VLOOKUP($B259,'Hack Database'!$A:$J,2,FALSE),"")</f>
      </c>
      <c r="D259" s="113" t="str">
        <f>IFERROR(VLOOKUP($B259,'Hack Database'!$A:$J,3,FALSE),"")</f>
      </c>
      <c r="E259" s="125" t="str">
        <f>IFERROR(VLOOKUP($B259,'Hack Database'!$A:$J,4,FALSE),"")</f>
      </c>
      <c r="F259" s="125" t="str">
        <f>IFERROR(VLOOKUP($B259,'Hack Database'!$A:$J,5,FALSE),"")</f>
      </c>
      <c r="G259" s="113" t="str">
        <f>IFERROR(VLOOKUP($B259,'Hack Database'!$A:$J,6,FALSE),"")</f>
      </c>
      <c r="H259" s="137"/>
      <c r="I259" s="137"/>
      <c r="J259" s="131"/>
      <c r="K259" s="125" t="str">
        <f>IF($B259="","",IF($J259="Yes","100% Complete",IF($H259="","Planned",IF($I259="","In Progress","Finished"))))</f>
      </c>
      <c r="L259" s="143"/>
      <c r="M259" s="131"/>
      <c r="N259" s="155" t="str">
        <f>IFERROR(HYPERLINK(VLOOKUP($B259,'Hack Database'!$A:$J,9,FALSE),"Open Page"),"")</f>
      </c>
      <c r="O259" s="155" t="str">
        <f>IFERROR(HYPERLINK(VLOOKUP($B259,'Hack Database'!$A:$J,10,FALSE),"Download"),"")</f>
      </c>
      <c r="P259" s="149"/>
    </row>
    <row r="260" ht="23" customHeight="1">
      <c r="A260" s="92" t="str">
        <f>IF(C260="","",COUNTIF($C$2:C260,"&lt;&gt;"))</f>
      </c>
      <c r="B260" s="107"/>
      <c r="C260" s="113" t="str">
        <f>IFERROR(VLOOKUP($B260,'Hack Database'!$A:$J,2,FALSE),"")</f>
      </c>
      <c r="D260" s="113" t="str">
        <f>IFERROR(VLOOKUP($B260,'Hack Database'!$A:$J,3,FALSE),"")</f>
      </c>
      <c r="E260" s="125" t="str">
        <f>IFERROR(VLOOKUP($B260,'Hack Database'!$A:$J,4,FALSE),"")</f>
      </c>
      <c r="F260" s="125" t="str">
        <f>IFERROR(VLOOKUP($B260,'Hack Database'!$A:$J,5,FALSE),"")</f>
      </c>
      <c r="G260" s="113" t="str">
        <f>IFERROR(VLOOKUP($B260,'Hack Database'!$A:$J,6,FALSE),"")</f>
      </c>
      <c r="H260" s="137"/>
      <c r="I260" s="137"/>
      <c r="J260" s="131"/>
      <c r="K260" s="125" t="str">
        <f>IF($B260="","",IF($J260="Yes","100% Complete",IF($H260="","Planned",IF($I260="","In Progress","Finished"))))</f>
      </c>
      <c r="L260" s="143"/>
      <c r="M260" s="131"/>
      <c r="N260" s="155" t="str">
        <f>IFERROR(HYPERLINK(VLOOKUP($B260,'Hack Database'!$A:$J,9,FALSE),"Open Page"),"")</f>
      </c>
      <c r="O260" s="155" t="str">
        <f>IFERROR(HYPERLINK(VLOOKUP($B260,'Hack Database'!$A:$J,10,FALSE),"Download"),"")</f>
      </c>
      <c r="P260" s="149"/>
    </row>
    <row r="261" ht="23" customHeight="1">
      <c r="A261" s="92" t="str">
        <f>IF(C261="","",COUNTIF($C$2:C261,"&lt;&gt;"))</f>
      </c>
      <c r="B261" s="107"/>
      <c r="C261" s="113" t="str">
        <f>IFERROR(VLOOKUP($B261,'Hack Database'!$A:$J,2,FALSE),"")</f>
      </c>
      <c r="D261" s="113" t="str">
        <f>IFERROR(VLOOKUP($B261,'Hack Database'!$A:$J,3,FALSE),"")</f>
      </c>
      <c r="E261" s="125" t="str">
        <f>IFERROR(VLOOKUP($B261,'Hack Database'!$A:$J,4,FALSE),"")</f>
      </c>
      <c r="F261" s="125" t="str">
        <f>IFERROR(VLOOKUP($B261,'Hack Database'!$A:$J,5,FALSE),"")</f>
      </c>
      <c r="G261" s="113" t="str">
        <f>IFERROR(VLOOKUP($B261,'Hack Database'!$A:$J,6,FALSE),"")</f>
      </c>
      <c r="H261" s="137"/>
      <c r="I261" s="137"/>
      <c r="J261" s="131"/>
      <c r="K261" s="125" t="str">
        <f>IF($B261="","",IF($J261="Yes","100% Complete",IF($H261="","Planned",IF($I261="","In Progress","Finished"))))</f>
      </c>
      <c r="L261" s="143"/>
      <c r="M261" s="131"/>
      <c r="N261" s="155" t="str">
        <f>IFERROR(HYPERLINK(VLOOKUP($B261,'Hack Database'!$A:$J,9,FALSE),"Open Page"),"")</f>
      </c>
      <c r="O261" s="155" t="str">
        <f>IFERROR(HYPERLINK(VLOOKUP($B261,'Hack Database'!$A:$J,10,FALSE),"Download"),"")</f>
      </c>
      <c r="P261" s="149"/>
    </row>
    <row r="262" ht="23" customHeight="1">
      <c r="A262" s="92" t="str">
        <f>IF(C262="","",COUNTIF($C$2:C262,"&lt;&gt;"))</f>
      </c>
      <c r="B262" s="107"/>
      <c r="C262" s="113" t="str">
        <f>IFERROR(VLOOKUP($B262,'Hack Database'!$A:$J,2,FALSE),"")</f>
      </c>
      <c r="D262" s="113" t="str">
        <f>IFERROR(VLOOKUP($B262,'Hack Database'!$A:$J,3,FALSE),"")</f>
      </c>
      <c r="E262" s="125" t="str">
        <f>IFERROR(VLOOKUP($B262,'Hack Database'!$A:$J,4,FALSE),"")</f>
      </c>
      <c r="F262" s="125" t="str">
        <f>IFERROR(VLOOKUP($B262,'Hack Database'!$A:$J,5,FALSE),"")</f>
      </c>
      <c r="G262" s="113" t="str">
        <f>IFERROR(VLOOKUP($B262,'Hack Database'!$A:$J,6,FALSE),"")</f>
      </c>
      <c r="H262" s="137"/>
      <c r="I262" s="137"/>
      <c r="J262" s="131"/>
      <c r="K262" s="125" t="str">
        <f>IF($B262="","",IF($J262="Yes","100% Complete",IF($H262="","Planned",IF($I262="","In Progress","Finished"))))</f>
      </c>
      <c r="L262" s="143"/>
      <c r="M262" s="131"/>
      <c r="N262" s="155" t="str">
        <f>IFERROR(HYPERLINK(VLOOKUP($B262,'Hack Database'!$A:$J,9,FALSE),"Open Page"),"")</f>
      </c>
      <c r="O262" s="155" t="str">
        <f>IFERROR(HYPERLINK(VLOOKUP($B262,'Hack Database'!$A:$J,10,FALSE),"Download"),"")</f>
      </c>
      <c r="P262" s="149"/>
    </row>
    <row r="263" ht="23" customHeight="1">
      <c r="A263" s="92" t="str">
        <f>IF(C263="","",COUNTIF($C$2:C263,"&lt;&gt;"))</f>
      </c>
      <c r="B263" s="107"/>
      <c r="C263" s="113" t="str">
        <f>IFERROR(VLOOKUP($B263,'Hack Database'!$A:$J,2,FALSE),"")</f>
      </c>
      <c r="D263" s="113" t="str">
        <f>IFERROR(VLOOKUP($B263,'Hack Database'!$A:$J,3,FALSE),"")</f>
      </c>
      <c r="E263" s="125" t="str">
        <f>IFERROR(VLOOKUP($B263,'Hack Database'!$A:$J,4,FALSE),"")</f>
      </c>
      <c r="F263" s="125" t="str">
        <f>IFERROR(VLOOKUP($B263,'Hack Database'!$A:$J,5,FALSE),"")</f>
      </c>
      <c r="G263" s="113" t="str">
        <f>IFERROR(VLOOKUP($B263,'Hack Database'!$A:$J,6,FALSE),"")</f>
      </c>
      <c r="H263" s="137"/>
      <c r="I263" s="137"/>
      <c r="J263" s="131"/>
      <c r="K263" s="125" t="str">
        <f>IF($B263="","",IF($J263="Yes","100% Complete",IF($H263="","Planned",IF($I263="","In Progress","Finished"))))</f>
      </c>
      <c r="L263" s="143"/>
      <c r="M263" s="131"/>
      <c r="N263" s="155" t="str">
        <f>IFERROR(HYPERLINK(VLOOKUP($B263,'Hack Database'!$A:$J,9,FALSE),"Open Page"),"")</f>
      </c>
      <c r="O263" s="155" t="str">
        <f>IFERROR(HYPERLINK(VLOOKUP($B263,'Hack Database'!$A:$J,10,FALSE),"Download"),"")</f>
      </c>
      <c r="P263" s="149"/>
    </row>
    <row r="264" ht="23" customHeight="1">
      <c r="A264" s="92" t="str">
        <f>IF(C264="","",COUNTIF($C$2:C264,"&lt;&gt;"))</f>
      </c>
      <c r="B264" s="107"/>
      <c r="C264" s="113" t="str">
        <f>IFERROR(VLOOKUP($B264,'Hack Database'!$A:$J,2,FALSE),"")</f>
      </c>
      <c r="D264" s="113" t="str">
        <f>IFERROR(VLOOKUP($B264,'Hack Database'!$A:$J,3,FALSE),"")</f>
      </c>
      <c r="E264" s="125" t="str">
        <f>IFERROR(VLOOKUP($B264,'Hack Database'!$A:$J,4,FALSE),"")</f>
      </c>
      <c r="F264" s="125" t="str">
        <f>IFERROR(VLOOKUP($B264,'Hack Database'!$A:$J,5,FALSE),"")</f>
      </c>
      <c r="G264" s="113" t="str">
        <f>IFERROR(VLOOKUP($B264,'Hack Database'!$A:$J,6,FALSE),"")</f>
      </c>
      <c r="H264" s="137"/>
      <c r="I264" s="137"/>
      <c r="J264" s="131"/>
      <c r="K264" s="125" t="str">
        <f>IF($B264="","",IF($J264="Yes","100% Complete",IF($H264="","Planned",IF($I264="","In Progress","Finished"))))</f>
      </c>
      <c r="L264" s="143"/>
      <c r="M264" s="131"/>
      <c r="N264" s="155" t="str">
        <f>IFERROR(HYPERLINK(VLOOKUP($B264,'Hack Database'!$A:$J,9,FALSE),"Open Page"),"")</f>
      </c>
      <c r="O264" s="155" t="str">
        <f>IFERROR(HYPERLINK(VLOOKUP($B264,'Hack Database'!$A:$J,10,FALSE),"Download"),"")</f>
      </c>
      <c r="P264" s="149"/>
    </row>
    <row r="265" ht="23" customHeight="1">
      <c r="A265" s="92" t="str">
        <f>IF(C265="","",COUNTIF($C$2:C265,"&lt;&gt;"))</f>
      </c>
      <c r="B265" s="107"/>
      <c r="C265" s="113" t="str">
        <f>IFERROR(VLOOKUP($B265,'Hack Database'!$A:$J,2,FALSE),"")</f>
      </c>
      <c r="D265" s="113" t="str">
        <f>IFERROR(VLOOKUP($B265,'Hack Database'!$A:$J,3,FALSE),"")</f>
      </c>
      <c r="E265" s="125" t="str">
        <f>IFERROR(VLOOKUP($B265,'Hack Database'!$A:$J,4,FALSE),"")</f>
      </c>
      <c r="F265" s="125" t="str">
        <f>IFERROR(VLOOKUP($B265,'Hack Database'!$A:$J,5,FALSE),"")</f>
      </c>
      <c r="G265" s="113" t="str">
        <f>IFERROR(VLOOKUP($B265,'Hack Database'!$A:$J,6,FALSE),"")</f>
      </c>
      <c r="H265" s="137"/>
      <c r="I265" s="137"/>
      <c r="J265" s="131"/>
      <c r="K265" s="125" t="str">
        <f>IF($B265="","",IF($J265="Yes","100% Complete",IF($H265="","Planned",IF($I265="","In Progress","Finished"))))</f>
      </c>
      <c r="L265" s="143"/>
      <c r="M265" s="131"/>
      <c r="N265" s="155" t="str">
        <f>IFERROR(HYPERLINK(VLOOKUP($B265,'Hack Database'!$A:$J,9,FALSE),"Open Page"),"")</f>
      </c>
      <c r="O265" s="155" t="str">
        <f>IFERROR(HYPERLINK(VLOOKUP($B265,'Hack Database'!$A:$J,10,FALSE),"Download"),"")</f>
      </c>
      <c r="P265" s="149"/>
    </row>
    <row r="266" ht="23" customHeight="1">
      <c r="A266" s="92" t="str">
        <f>IF(C266="","",COUNTIF($C$2:C266,"&lt;&gt;"))</f>
      </c>
      <c r="B266" s="107"/>
      <c r="C266" s="113" t="str">
        <f>IFERROR(VLOOKUP($B266,'Hack Database'!$A:$J,2,FALSE),"")</f>
      </c>
      <c r="D266" s="113" t="str">
        <f>IFERROR(VLOOKUP($B266,'Hack Database'!$A:$J,3,FALSE),"")</f>
      </c>
      <c r="E266" s="125" t="str">
        <f>IFERROR(VLOOKUP($B266,'Hack Database'!$A:$J,4,FALSE),"")</f>
      </c>
      <c r="F266" s="125" t="str">
        <f>IFERROR(VLOOKUP($B266,'Hack Database'!$A:$J,5,FALSE),"")</f>
      </c>
      <c r="G266" s="113" t="str">
        <f>IFERROR(VLOOKUP($B266,'Hack Database'!$A:$J,6,FALSE),"")</f>
      </c>
      <c r="H266" s="137"/>
      <c r="I266" s="137"/>
      <c r="J266" s="131"/>
      <c r="K266" s="125" t="str">
        <f>IF($B266="","",IF($J266="Yes","100% Complete",IF($H266="","Planned",IF($I266="","In Progress","Finished"))))</f>
      </c>
      <c r="L266" s="143"/>
      <c r="M266" s="131"/>
      <c r="N266" s="155" t="str">
        <f>IFERROR(HYPERLINK(VLOOKUP($B266,'Hack Database'!$A:$J,9,FALSE),"Open Page"),"")</f>
      </c>
      <c r="O266" s="155" t="str">
        <f>IFERROR(HYPERLINK(VLOOKUP($B266,'Hack Database'!$A:$J,10,FALSE),"Download"),"")</f>
      </c>
      <c r="P266" s="149"/>
    </row>
    <row r="267" ht="23" customHeight="1">
      <c r="A267" s="92" t="str">
        <f>IF(C267="","",COUNTIF($C$2:C267,"&lt;&gt;"))</f>
      </c>
      <c r="B267" s="107"/>
      <c r="C267" s="113" t="str">
        <f>IFERROR(VLOOKUP($B267,'Hack Database'!$A:$J,2,FALSE),"")</f>
      </c>
      <c r="D267" s="113" t="str">
        <f>IFERROR(VLOOKUP($B267,'Hack Database'!$A:$J,3,FALSE),"")</f>
      </c>
      <c r="E267" s="125" t="str">
        <f>IFERROR(VLOOKUP($B267,'Hack Database'!$A:$J,4,FALSE),"")</f>
      </c>
      <c r="F267" s="125" t="str">
        <f>IFERROR(VLOOKUP($B267,'Hack Database'!$A:$J,5,FALSE),"")</f>
      </c>
      <c r="G267" s="113" t="str">
        <f>IFERROR(VLOOKUP($B267,'Hack Database'!$A:$J,6,FALSE),"")</f>
      </c>
      <c r="H267" s="137"/>
      <c r="I267" s="137"/>
      <c r="J267" s="131"/>
      <c r="K267" s="125" t="str">
        <f>IF($B267="","",IF($J267="Yes","100% Complete",IF($H267="","Planned",IF($I267="","In Progress","Finished"))))</f>
      </c>
      <c r="L267" s="143"/>
      <c r="M267" s="131"/>
      <c r="N267" s="155" t="str">
        <f>IFERROR(HYPERLINK(VLOOKUP($B267,'Hack Database'!$A:$J,9,FALSE),"Open Page"),"")</f>
      </c>
      <c r="O267" s="155" t="str">
        <f>IFERROR(HYPERLINK(VLOOKUP($B267,'Hack Database'!$A:$J,10,FALSE),"Download"),"")</f>
      </c>
      <c r="P267" s="149"/>
    </row>
    <row r="268" ht="23" customHeight="1">
      <c r="A268" s="92" t="str">
        <f>IF(C268="","",COUNTIF($C$2:C268,"&lt;&gt;"))</f>
      </c>
      <c r="B268" s="107"/>
      <c r="C268" s="113" t="str">
        <f>IFERROR(VLOOKUP($B268,'Hack Database'!$A:$J,2,FALSE),"")</f>
      </c>
      <c r="D268" s="113" t="str">
        <f>IFERROR(VLOOKUP($B268,'Hack Database'!$A:$J,3,FALSE),"")</f>
      </c>
      <c r="E268" s="125" t="str">
        <f>IFERROR(VLOOKUP($B268,'Hack Database'!$A:$J,4,FALSE),"")</f>
      </c>
      <c r="F268" s="125" t="str">
        <f>IFERROR(VLOOKUP($B268,'Hack Database'!$A:$J,5,FALSE),"")</f>
      </c>
      <c r="G268" s="113" t="str">
        <f>IFERROR(VLOOKUP($B268,'Hack Database'!$A:$J,6,FALSE),"")</f>
      </c>
      <c r="H268" s="137"/>
      <c r="I268" s="137"/>
      <c r="J268" s="131"/>
      <c r="K268" s="125" t="str">
        <f>IF($B268="","",IF($J268="Yes","100% Complete",IF($H268="","Planned",IF($I268="","In Progress","Finished"))))</f>
      </c>
      <c r="L268" s="143"/>
      <c r="M268" s="131"/>
      <c r="N268" s="155" t="str">
        <f>IFERROR(HYPERLINK(VLOOKUP($B268,'Hack Database'!$A:$J,9,FALSE),"Open Page"),"")</f>
      </c>
      <c r="O268" s="155" t="str">
        <f>IFERROR(HYPERLINK(VLOOKUP($B268,'Hack Database'!$A:$J,10,FALSE),"Download"),"")</f>
      </c>
      <c r="P268" s="149"/>
    </row>
    <row r="269" ht="23" customHeight="1">
      <c r="A269" s="92" t="str">
        <f>IF(C269="","",COUNTIF($C$2:C269,"&lt;&gt;"))</f>
      </c>
      <c r="B269" s="107"/>
      <c r="C269" s="113" t="str">
        <f>IFERROR(VLOOKUP($B269,'Hack Database'!$A:$J,2,FALSE),"")</f>
      </c>
      <c r="D269" s="113" t="str">
        <f>IFERROR(VLOOKUP($B269,'Hack Database'!$A:$J,3,FALSE),"")</f>
      </c>
      <c r="E269" s="125" t="str">
        <f>IFERROR(VLOOKUP($B269,'Hack Database'!$A:$J,4,FALSE),"")</f>
      </c>
      <c r="F269" s="125" t="str">
        <f>IFERROR(VLOOKUP($B269,'Hack Database'!$A:$J,5,FALSE),"")</f>
      </c>
      <c r="G269" s="113" t="str">
        <f>IFERROR(VLOOKUP($B269,'Hack Database'!$A:$J,6,FALSE),"")</f>
      </c>
      <c r="H269" s="137"/>
      <c r="I269" s="137"/>
      <c r="J269" s="131"/>
      <c r="K269" s="125" t="str">
        <f>IF($B269="","",IF($J269="Yes","100% Complete",IF($H269="","Planned",IF($I269="","In Progress","Finished"))))</f>
      </c>
      <c r="L269" s="143"/>
      <c r="M269" s="131"/>
      <c r="N269" s="155" t="str">
        <f>IFERROR(HYPERLINK(VLOOKUP($B269,'Hack Database'!$A:$J,9,FALSE),"Open Page"),"")</f>
      </c>
      <c r="O269" s="155" t="str">
        <f>IFERROR(HYPERLINK(VLOOKUP($B269,'Hack Database'!$A:$J,10,FALSE),"Download"),"")</f>
      </c>
      <c r="P269" s="149"/>
    </row>
    <row r="270" ht="23" customHeight="1">
      <c r="A270" s="92" t="str">
        <f>IF(C270="","",COUNTIF($C$2:C270,"&lt;&gt;"))</f>
      </c>
      <c r="B270" s="107"/>
      <c r="C270" s="113" t="str">
        <f>IFERROR(VLOOKUP($B270,'Hack Database'!$A:$J,2,FALSE),"")</f>
      </c>
      <c r="D270" s="113" t="str">
        <f>IFERROR(VLOOKUP($B270,'Hack Database'!$A:$J,3,FALSE),"")</f>
      </c>
      <c r="E270" s="125" t="str">
        <f>IFERROR(VLOOKUP($B270,'Hack Database'!$A:$J,4,FALSE),"")</f>
      </c>
      <c r="F270" s="125" t="str">
        <f>IFERROR(VLOOKUP($B270,'Hack Database'!$A:$J,5,FALSE),"")</f>
      </c>
      <c r="G270" s="113" t="str">
        <f>IFERROR(VLOOKUP($B270,'Hack Database'!$A:$J,6,FALSE),"")</f>
      </c>
      <c r="H270" s="137"/>
      <c r="I270" s="137"/>
      <c r="J270" s="131"/>
      <c r="K270" s="125" t="str">
        <f>IF($B270="","",IF($J270="Yes","100% Complete",IF($H270="","Planned",IF($I270="","In Progress","Finished"))))</f>
      </c>
      <c r="L270" s="143"/>
      <c r="M270" s="131"/>
      <c r="N270" s="155" t="str">
        <f>IFERROR(HYPERLINK(VLOOKUP($B270,'Hack Database'!$A:$J,9,FALSE),"Open Page"),"")</f>
      </c>
      <c r="O270" s="155" t="str">
        <f>IFERROR(HYPERLINK(VLOOKUP($B270,'Hack Database'!$A:$J,10,FALSE),"Download"),"")</f>
      </c>
      <c r="P270" s="149"/>
    </row>
    <row r="271" ht="23" customHeight="1">
      <c r="A271" s="92" t="str">
        <f>IF(C271="","",COUNTIF($C$2:C271,"&lt;&gt;"))</f>
      </c>
      <c r="B271" s="107"/>
      <c r="C271" s="113" t="str">
        <f>IFERROR(VLOOKUP($B271,'Hack Database'!$A:$J,2,FALSE),"")</f>
      </c>
      <c r="D271" s="113" t="str">
        <f>IFERROR(VLOOKUP($B271,'Hack Database'!$A:$J,3,FALSE),"")</f>
      </c>
      <c r="E271" s="125" t="str">
        <f>IFERROR(VLOOKUP($B271,'Hack Database'!$A:$J,4,FALSE),"")</f>
      </c>
      <c r="F271" s="125" t="str">
        <f>IFERROR(VLOOKUP($B271,'Hack Database'!$A:$J,5,FALSE),"")</f>
      </c>
      <c r="G271" s="113" t="str">
        <f>IFERROR(VLOOKUP($B271,'Hack Database'!$A:$J,6,FALSE),"")</f>
      </c>
      <c r="H271" s="137"/>
      <c r="I271" s="137"/>
      <c r="J271" s="131"/>
      <c r="K271" s="125" t="str">
        <f>IF($B271="","",IF($J271="Yes","100% Complete",IF($H271="","Planned",IF($I271="","In Progress","Finished"))))</f>
      </c>
      <c r="L271" s="143"/>
      <c r="M271" s="131"/>
      <c r="N271" s="155" t="str">
        <f>IFERROR(HYPERLINK(VLOOKUP($B271,'Hack Database'!$A:$J,9,FALSE),"Open Page"),"")</f>
      </c>
      <c r="O271" s="155" t="str">
        <f>IFERROR(HYPERLINK(VLOOKUP($B271,'Hack Database'!$A:$J,10,FALSE),"Download"),"")</f>
      </c>
      <c r="P271" s="149"/>
    </row>
    <row r="272" ht="23" customHeight="1">
      <c r="A272" s="92" t="str">
        <f>IF(C272="","",COUNTIF($C$2:C272,"&lt;&gt;"))</f>
      </c>
      <c r="B272" s="107"/>
      <c r="C272" s="113" t="str">
        <f>IFERROR(VLOOKUP($B272,'Hack Database'!$A:$J,2,FALSE),"")</f>
      </c>
      <c r="D272" s="113" t="str">
        <f>IFERROR(VLOOKUP($B272,'Hack Database'!$A:$J,3,FALSE),"")</f>
      </c>
      <c r="E272" s="125" t="str">
        <f>IFERROR(VLOOKUP($B272,'Hack Database'!$A:$J,4,FALSE),"")</f>
      </c>
      <c r="F272" s="125" t="str">
        <f>IFERROR(VLOOKUP($B272,'Hack Database'!$A:$J,5,FALSE),"")</f>
      </c>
      <c r="G272" s="113" t="str">
        <f>IFERROR(VLOOKUP($B272,'Hack Database'!$A:$J,6,FALSE),"")</f>
      </c>
      <c r="H272" s="137"/>
      <c r="I272" s="137"/>
      <c r="J272" s="131"/>
      <c r="K272" s="125" t="str">
        <f>IF($B272="","",IF($J272="Yes","100% Complete",IF($H272="","Planned",IF($I272="","In Progress","Finished"))))</f>
      </c>
      <c r="L272" s="143"/>
      <c r="M272" s="131"/>
      <c r="N272" s="155" t="str">
        <f>IFERROR(HYPERLINK(VLOOKUP($B272,'Hack Database'!$A:$J,9,FALSE),"Open Page"),"")</f>
      </c>
      <c r="O272" s="155" t="str">
        <f>IFERROR(HYPERLINK(VLOOKUP($B272,'Hack Database'!$A:$J,10,FALSE),"Download"),"")</f>
      </c>
      <c r="P272" s="149"/>
    </row>
    <row r="273" ht="23" customHeight="1">
      <c r="A273" s="92" t="str">
        <f>IF(C273="","",COUNTIF($C$2:C273,"&lt;&gt;"))</f>
      </c>
      <c r="B273" s="107"/>
      <c r="C273" s="113" t="str">
        <f>IFERROR(VLOOKUP($B273,'Hack Database'!$A:$J,2,FALSE),"")</f>
      </c>
      <c r="D273" s="113" t="str">
        <f>IFERROR(VLOOKUP($B273,'Hack Database'!$A:$J,3,FALSE),"")</f>
      </c>
      <c r="E273" s="125" t="str">
        <f>IFERROR(VLOOKUP($B273,'Hack Database'!$A:$J,4,FALSE),"")</f>
      </c>
      <c r="F273" s="125" t="str">
        <f>IFERROR(VLOOKUP($B273,'Hack Database'!$A:$J,5,FALSE),"")</f>
      </c>
      <c r="G273" s="113" t="str">
        <f>IFERROR(VLOOKUP($B273,'Hack Database'!$A:$J,6,FALSE),"")</f>
      </c>
      <c r="H273" s="137"/>
      <c r="I273" s="137"/>
      <c r="J273" s="131"/>
      <c r="K273" s="125" t="str">
        <f>IF($B273="","",IF($J273="Yes","100% Complete",IF($H273="","Planned",IF($I273="","In Progress","Finished"))))</f>
      </c>
      <c r="L273" s="143"/>
      <c r="M273" s="131"/>
      <c r="N273" s="155" t="str">
        <f>IFERROR(HYPERLINK(VLOOKUP($B273,'Hack Database'!$A:$J,9,FALSE),"Open Page"),"")</f>
      </c>
      <c r="O273" s="155" t="str">
        <f>IFERROR(HYPERLINK(VLOOKUP($B273,'Hack Database'!$A:$J,10,FALSE),"Download"),"")</f>
      </c>
      <c r="P273" s="149"/>
    </row>
    <row r="274" ht="23" customHeight="1">
      <c r="A274" s="92" t="str">
        <f>IF(C274="","",COUNTIF($C$2:C274,"&lt;&gt;"))</f>
      </c>
      <c r="B274" s="107"/>
      <c r="C274" s="113" t="str">
        <f>IFERROR(VLOOKUP($B274,'Hack Database'!$A:$J,2,FALSE),"")</f>
      </c>
      <c r="D274" s="113" t="str">
        <f>IFERROR(VLOOKUP($B274,'Hack Database'!$A:$J,3,FALSE),"")</f>
      </c>
      <c r="E274" s="125" t="str">
        <f>IFERROR(VLOOKUP($B274,'Hack Database'!$A:$J,4,FALSE),"")</f>
      </c>
      <c r="F274" s="125" t="str">
        <f>IFERROR(VLOOKUP($B274,'Hack Database'!$A:$J,5,FALSE),"")</f>
      </c>
      <c r="G274" s="113" t="str">
        <f>IFERROR(VLOOKUP($B274,'Hack Database'!$A:$J,6,FALSE),"")</f>
      </c>
      <c r="H274" s="137"/>
      <c r="I274" s="137"/>
      <c r="J274" s="131"/>
      <c r="K274" s="125" t="str">
        <f>IF($B274="","",IF($J274="Yes","100% Complete",IF($H274="","Planned",IF($I274="","In Progress","Finished"))))</f>
      </c>
      <c r="L274" s="143"/>
      <c r="M274" s="131"/>
      <c r="N274" s="155" t="str">
        <f>IFERROR(HYPERLINK(VLOOKUP($B274,'Hack Database'!$A:$J,9,FALSE),"Open Page"),"")</f>
      </c>
      <c r="O274" s="155" t="str">
        <f>IFERROR(HYPERLINK(VLOOKUP($B274,'Hack Database'!$A:$J,10,FALSE),"Download"),"")</f>
      </c>
      <c r="P274" s="149"/>
    </row>
    <row r="275" ht="23" customHeight="1">
      <c r="A275" s="92" t="str">
        <f>IF(C275="","",COUNTIF($C$2:C275,"&lt;&gt;"))</f>
      </c>
      <c r="B275" s="107"/>
      <c r="C275" s="113" t="str">
        <f>IFERROR(VLOOKUP($B275,'Hack Database'!$A:$J,2,FALSE),"")</f>
      </c>
      <c r="D275" s="113" t="str">
        <f>IFERROR(VLOOKUP($B275,'Hack Database'!$A:$J,3,FALSE),"")</f>
      </c>
      <c r="E275" s="125" t="str">
        <f>IFERROR(VLOOKUP($B275,'Hack Database'!$A:$J,4,FALSE),"")</f>
      </c>
      <c r="F275" s="125" t="str">
        <f>IFERROR(VLOOKUP($B275,'Hack Database'!$A:$J,5,FALSE),"")</f>
      </c>
      <c r="G275" s="113" t="str">
        <f>IFERROR(VLOOKUP($B275,'Hack Database'!$A:$J,6,FALSE),"")</f>
      </c>
      <c r="H275" s="137"/>
      <c r="I275" s="137"/>
      <c r="J275" s="131"/>
      <c r="K275" s="125" t="str">
        <f>IF($B275="","",IF($J275="Yes","100% Complete",IF($H275="","Planned",IF($I275="","In Progress","Finished"))))</f>
      </c>
      <c r="L275" s="143"/>
      <c r="M275" s="131"/>
      <c r="N275" s="155" t="str">
        <f>IFERROR(HYPERLINK(VLOOKUP($B275,'Hack Database'!$A:$J,9,FALSE),"Open Page"),"")</f>
      </c>
      <c r="O275" s="155" t="str">
        <f>IFERROR(HYPERLINK(VLOOKUP($B275,'Hack Database'!$A:$J,10,FALSE),"Download"),"")</f>
      </c>
      <c r="P275" s="149"/>
    </row>
    <row r="276" ht="23" customHeight="1">
      <c r="A276" s="92" t="str">
        <f>IF(C276="","",COUNTIF($C$2:C276,"&lt;&gt;"))</f>
      </c>
      <c r="B276" s="107"/>
      <c r="C276" s="113" t="str">
        <f>IFERROR(VLOOKUP($B276,'Hack Database'!$A:$J,2,FALSE),"")</f>
      </c>
      <c r="D276" s="113" t="str">
        <f>IFERROR(VLOOKUP($B276,'Hack Database'!$A:$J,3,FALSE),"")</f>
      </c>
      <c r="E276" s="125" t="str">
        <f>IFERROR(VLOOKUP($B276,'Hack Database'!$A:$J,4,FALSE),"")</f>
      </c>
      <c r="F276" s="125" t="str">
        <f>IFERROR(VLOOKUP($B276,'Hack Database'!$A:$J,5,FALSE),"")</f>
      </c>
      <c r="G276" s="113" t="str">
        <f>IFERROR(VLOOKUP($B276,'Hack Database'!$A:$J,6,FALSE),"")</f>
      </c>
      <c r="H276" s="137"/>
      <c r="I276" s="137"/>
      <c r="J276" s="131"/>
      <c r="K276" s="125" t="str">
        <f>IF($B276="","",IF($J276="Yes","100% Complete",IF($H276="","Planned",IF($I276="","In Progress","Finished"))))</f>
      </c>
      <c r="L276" s="143"/>
      <c r="M276" s="131"/>
      <c r="N276" s="155" t="str">
        <f>IFERROR(HYPERLINK(VLOOKUP($B276,'Hack Database'!$A:$J,9,FALSE),"Open Page"),"")</f>
      </c>
      <c r="O276" s="155" t="str">
        <f>IFERROR(HYPERLINK(VLOOKUP($B276,'Hack Database'!$A:$J,10,FALSE),"Download"),"")</f>
      </c>
      <c r="P276" s="149"/>
    </row>
    <row r="277" ht="23" customHeight="1">
      <c r="A277" s="92" t="str">
        <f>IF(C277="","",COUNTIF($C$2:C277,"&lt;&gt;"))</f>
      </c>
      <c r="B277" s="107"/>
      <c r="C277" s="113" t="str">
        <f>IFERROR(VLOOKUP($B277,'Hack Database'!$A:$J,2,FALSE),"")</f>
      </c>
      <c r="D277" s="113" t="str">
        <f>IFERROR(VLOOKUP($B277,'Hack Database'!$A:$J,3,FALSE),"")</f>
      </c>
      <c r="E277" s="125" t="str">
        <f>IFERROR(VLOOKUP($B277,'Hack Database'!$A:$J,4,FALSE),"")</f>
      </c>
      <c r="F277" s="125" t="str">
        <f>IFERROR(VLOOKUP($B277,'Hack Database'!$A:$J,5,FALSE),"")</f>
      </c>
      <c r="G277" s="113" t="str">
        <f>IFERROR(VLOOKUP($B277,'Hack Database'!$A:$J,6,FALSE),"")</f>
      </c>
      <c r="H277" s="137"/>
      <c r="I277" s="137"/>
      <c r="J277" s="131"/>
      <c r="K277" s="125" t="str">
        <f>IF($B277="","",IF($J277="Yes","100% Complete",IF($H277="","Planned",IF($I277="","In Progress","Finished"))))</f>
      </c>
      <c r="L277" s="143"/>
      <c r="M277" s="131"/>
      <c r="N277" s="155" t="str">
        <f>IFERROR(HYPERLINK(VLOOKUP($B277,'Hack Database'!$A:$J,9,FALSE),"Open Page"),"")</f>
      </c>
      <c r="O277" s="155" t="str">
        <f>IFERROR(HYPERLINK(VLOOKUP($B277,'Hack Database'!$A:$J,10,FALSE),"Download"),"")</f>
      </c>
      <c r="P277" s="149"/>
    </row>
    <row r="278" ht="23" customHeight="1">
      <c r="A278" s="92" t="str">
        <f>IF(C278="","",COUNTIF($C$2:C278,"&lt;&gt;"))</f>
      </c>
      <c r="B278" s="107"/>
      <c r="C278" s="113" t="str">
        <f>IFERROR(VLOOKUP($B278,'Hack Database'!$A:$J,2,FALSE),"")</f>
      </c>
      <c r="D278" s="113" t="str">
        <f>IFERROR(VLOOKUP($B278,'Hack Database'!$A:$J,3,FALSE),"")</f>
      </c>
      <c r="E278" s="125" t="str">
        <f>IFERROR(VLOOKUP($B278,'Hack Database'!$A:$J,4,FALSE),"")</f>
      </c>
      <c r="F278" s="125" t="str">
        <f>IFERROR(VLOOKUP($B278,'Hack Database'!$A:$J,5,FALSE),"")</f>
      </c>
      <c r="G278" s="113" t="str">
        <f>IFERROR(VLOOKUP($B278,'Hack Database'!$A:$J,6,FALSE),"")</f>
      </c>
      <c r="H278" s="137"/>
      <c r="I278" s="137"/>
      <c r="J278" s="131"/>
      <c r="K278" s="125" t="str">
        <f>IF($B278="","",IF($J278="Yes","100% Complete",IF($H278="","Planned",IF($I278="","In Progress","Finished"))))</f>
      </c>
      <c r="L278" s="143"/>
      <c r="M278" s="131"/>
      <c r="N278" s="155" t="str">
        <f>IFERROR(HYPERLINK(VLOOKUP($B278,'Hack Database'!$A:$J,9,FALSE),"Open Page"),"")</f>
      </c>
      <c r="O278" s="155" t="str">
        <f>IFERROR(HYPERLINK(VLOOKUP($B278,'Hack Database'!$A:$J,10,FALSE),"Download"),"")</f>
      </c>
      <c r="P278" s="149"/>
    </row>
    <row r="279" ht="23" customHeight="1">
      <c r="A279" s="92" t="str">
        <f>IF(C279="","",COUNTIF($C$2:C279,"&lt;&gt;"))</f>
      </c>
      <c r="B279" s="107"/>
      <c r="C279" s="113" t="str">
        <f>IFERROR(VLOOKUP($B279,'Hack Database'!$A:$J,2,FALSE),"")</f>
      </c>
      <c r="D279" s="113" t="str">
        <f>IFERROR(VLOOKUP($B279,'Hack Database'!$A:$J,3,FALSE),"")</f>
      </c>
      <c r="E279" s="125" t="str">
        <f>IFERROR(VLOOKUP($B279,'Hack Database'!$A:$J,4,FALSE),"")</f>
      </c>
      <c r="F279" s="125" t="str">
        <f>IFERROR(VLOOKUP($B279,'Hack Database'!$A:$J,5,FALSE),"")</f>
      </c>
      <c r="G279" s="113" t="str">
        <f>IFERROR(VLOOKUP($B279,'Hack Database'!$A:$J,6,FALSE),"")</f>
      </c>
      <c r="H279" s="137"/>
      <c r="I279" s="137"/>
      <c r="J279" s="131"/>
      <c r="K279" s="125" t="str">
        <f>IF($B279="","",IF($J279="Yes","100% Complete",IF($H279="","Planned",IF($I279="","In Progress","Finished"))))</f>
      </c>
      <c r="L279" s="143"/>
      <c r="M279" s="131"/>
      <c r="N279" s="155" t="str">
        <f>IFERROR(HYPERLINK(VLOOKUP($B279,'Hack Database'!$A:$J,9,FALSE),"Open Page"),"")</f>
      </c>
      <c r="O279" s="155" t="str">
        <f>IFERROR(HYPERLINK(VLOOKUP($B279,'Hack Database'!$A:$J,10,FALSE),"Download"),"")</f>
      </c>
      <c r="P279" s="149"/>
    </row>
    <row r="280" ht="23" customHeight="1">
      <c r="A280" s="92" t="str">
        <f>IF(C280="","",COUNTIF($C$2:C280,"&lt;&gt;"))</f>
      </c>
      <c r="B280" s="107"/>
      <c r="C280" s="113" t="str">
        <f>IFERROR(VLOOKUP($B280,'Hack Database'!$A:$J,2,FALSE),"")</f>
      </c>
      <c r="D280" s="113" t="str">
        <f>IFERROR(VLOOKUP($B280,'Hack Database'!$A:$J,3,FALSE),"")</f>
      </c>
      <c r="E280" s="125" t="str">
        <f>IFERROR(VLOOKUP($B280,'Hack Database'!$A:$J,4,FALSE),"")</f>
      </c>
      <c r="F280" s="125" t="str">
        <f>IFERROR(VLOOKUP($B280,'Hack Database'!$A:$J,5,FALSE),"")</f>
      </c>
      <c r="G280" s="113" t="str">
        <f>IFERROR(VLOOKUP($B280,'Hack Database'!$A:$J,6,FALSE),"")</f>
      </c>
      <c r="H280" s="137"/>
      <c r="I280" s="137"/>
      <c r="J280" s="131"/>
      <c r="K280" s="125" t="str">
        <f>IF($B280="","",IF($J280="Yes","100% Complete",IF($H280="","Planned",IF($I280="","In Progress","Finished"))))</f>
      </c>
      <c r="L280" s="143"/>
      <c r="M280" s="131"/>
      <c r="N280" s="155" t="str">
        <f>IFERROR(HYPERLINK(VLOOKUP($B280,'Hack Database'!$A:$J,9,FALSE),"Open Page"),"")</f>
      </c>
      <c r="O280" s="155" t="str">
        <f>IFERROR(HYPERLINK(VLOOKUP($B280,'Hack Database'!$A:$J,10,FALSE),"Download"),"")</f>
      </c>
      <c r="P280" s="149"/>
    </row>
    <row r="281" ht="23" customHeight="1">
      <c r="A281" s="92" t="str">
        <f>IF(C281="","",COUNTIF($C$2:C281,"&lt;&gt;"))</f>
      </c>
      <c r="B281" s="107"/>
      <c r="C281" s="113" t="str">
        <f>IFERROR(VLOOKUP($B281,'Hack Database'!$A:$J,2,FALSE),"")</f>
      </c>
      <c r="D281" s="113" t="str">
        <f>IFERROR(VLOOKUP($B281,'Hack Database'!$A:$J,3,FALSE),"")</f>
      </c>
      <c r="E281" s="125" t="str">
        <f>IFERROR(VLOOKUP($B281,'Hack Database'!$A:$J,4,FALSE),"")</f>
      </c>
      <c r="F281" s="125" t="str">
        <f>IFERROR(VLOOKUP($B281,'Hack Database'!$A:$J,5,FALSE),"")</f>
      </c>
      <c r="G281" s="113" t="str">
        <f>IFERROR(VLOOKUP($B281,'Hack Database'!$A:$J,6,FALSE),"")</f>
      </c>
      <c r="H281" s="137"/>
      <c r="I281" s="137"/>
      <c r="J281" s="131"/>
      <c r="K281" s="125" t="str">
        <f>IF($B281="","",IF($J281="Yes","100% Complete",IF($H281="","Planned",IF($I281="","In Progress","Finished"))))</f>
      </c>
      <c r="L281" s="143"/>
      <c r="M281" s="131"/>
      <c r="N281" s="155" t="str">
        <f>IFERROR(HYPERLINK(VLOOKUP($B281,'Hack Database'!$A:$J,9,FALSE),"Open Page"),"")</f>
      </c>
      <c r="O281" s="155" t="str">
        <f>IFERROR(HYPERLINK(VLOOKUP($B281,'Hack Database'!$A:$J,10,FALSE),"Download"),"")</f>
      </c>
      <c r="P281" s="149"/>
    </row>
    <row r="282" ht="23" customHeight="1">
      <c r="A282" s="92" t="str">
        <f>IF(C282="","",COUNTIF($C$2:C282,"&lt;&gt;"))</f>
      </c>
      <c r="B282" s="107"/>
      <c r="C282" s="113" t="str">
        <f>IFERROR(VLOOKUP($B282,'Hack Database'!$A:$J,2,FALSE),"")</f>
      </c>
      <c r="D282" s="113" t="str">
        <f>IFERROR(VLOOKUP($B282,'Hack Database'!$A:$J,3,FALSE),"")</f>
      </c>
      <c r="E282" s="125" t="str">
        <f>IFERROR(VLOOKUP($B282,'Hack Database'!$A:$J,4,FALSE),"")</f>
      </c>
      <c r="F282" s="125" t="str">
        <f>IFERROR(VLOOKUP($B282,'Hack Database'!$A:$J,5,FALSE),"")</f>
      </c>
      <c r="G282" s="113" t="str">
        <f>IFERROR(VLOOKUP($B282,'Hack Database'!$A:$J,6,FALSE),"")</f>
      </c>
      <c r="H282" s="137"/>
      <c r="I282" s="137"/>
      <c r="J282" s="131"/>
      <c r="K282" s="125" t="str">
        <f>IF($B282="","",IF($J282="Yes","100% Complete",IF($H282="","Planned",IF($I282="","In Progress","Finished"))))</f>
      </c>
      <c r="L282" s="143"/>
      <c r="M282" s="131"/>
      <c r="N282" s="155" t="str">
        <f>IFERROR(HYPERLINK(VLOOKUP($B282,'Hack Database'!$A:$J,9,FALSE),"Open Page"),"")</f>
      </c>
      <c r="O282" s="155" t="str">
        <f>IFERROR(HYPERLINK(VLOOKUP($B282,'Hack Database'!$A:$J,10,FALSE),"Download"),"")</f>
      </c>
      <c r="P282" s="149"/>
    </row>
    <row r="283" ht="23" customHeight="1">
      <c r="A283" s="92" t="str">
        <f>IF(C283="","",COUNTIF($C$2:C283,"&lt;&gt;"))</f>
      </c>
      <c r="B283" s="107"/>
      <c r="C283" s="113" t="str">
        <f>IFERROR(VLOOKUP($B283,'Hack Database'!$A:$J,2,FALSE),"")</f>
      </c>
      <c r="D283" s="113" t="str">
        <f>IFERROR(VLOOKUP($B283,'Hack Database'!$A:$J,3,FALSE),"")</f>
      </c>
      <c r="E283" s="125" t="str">
        <f>IFERROR(VLOOKUP($B283,'Hack Database'!$A:$J,4,FALSE),"")</f>
      </c>
      <c r="F283" s="125" t="str">
        <f>IFERROR(VLOOKUP($B283,'Hack Database'!$A:$J,5,FALSE),"")</f>
      </c>
      <c r="G283" s="113" t="str">
        <f>IFERROR(VLOOKUP($B283,'Hack Database'!$A:$J,6,FALSE),"")</f>
      </c>
      <c r="H283" s="137"/>
      <c r="I283" s="137"/>
      <c r="J283" s="131"/>
      <c r="K283" s="125" t="str">
        <f>IF($B283="","",IF($J283="Yes","100% Complete",IF($H283="","Planned",IF($I283="","In Progress","Finished"))))</f>
      </c>
      <c r="L283" s="143"/>
      <c r="M283" s="131"/>
      <c r="N283" s="155" t="str">
        <f>IFERROR(HYPERLINK(VLOOKUP($B283,'Hack Database'!$A:$J,9,FALSE),"Open Page"),"")</f>
      </c>
      <c r="O283" s="155" t="str">
        <f>IFERROR(HYPERLINK(VLOOKUP($B283,'Hack Database'!$A:$J,10,FALSE),"Download"),"")</f>
      </c>
      <c r="P283" s="149"/>
    </row>
    <row r="284" ht="23" customHeight="1">
      <c r="A284" s="92" t="str">
        <f>IF(C284="","",COUNTIF($C$2:C284,"&lt;&gt;"))</f>
      </c>
      <c r="B284" s="107"/>
      <c r="C284" s="113" t="str">
        <f>IFERROR(VLOOKUP($B284,'Hack Database'!$A:$J,2,FALSE),"")</f>
      </c>
      <c r="D284" s="113" t="str">
        <f>IFERROR(VLOOKUP($B284,'Hack Database'!$A:$J,3,FALSE),"")</f>
      </c>
      <c r="E284" s="125" t="str">
        <f>IFERROR(VLOOKUP($B284,'Hack Database'!$A:$J,4,FALSE),"")</f>
      </c>
      <c r="F284" s="125" t="str">
        <f>IFERROR(VLOOKUP($B284,'Hack Database'!$A:$J,5,FALSE),"")</f>
      </c>
      <c r="G284" s="113" t="str">
        <f>IFERROR(VLOOKUP($B284,'Hack Database'!$A:$J,6,FALSE),"")</f>
      </c>
      <c r="H284" s="137"/>
      <c r="I284" s="137"/>
      <c r="J284" s="131"/>
      <c r="K284" s="125" t="str">
        <f>IF($B284="","",IF($J284="Yes","100% Complete",IF($H284="","Planned",IF($I284="","In Progress","Finished"))))</f>
      </c>
      <c r="L284" s="143"/>
      <c r="M284" s="131"/>
      <c r="N284" s="155" t="str">
        <f>IFERROR(HYPERLINK(VLOOKUP($B284,'Hack Database'!$A:$J,9,FALSE),"Open Page"),"")</f>
      </c>
      <c r="O284" s="155" t="str">
        <f>IFERROR(HYPERLINK(VLOOKUP($B284,'Hack Database'!$A:$J,10,FALSE),"Download"),"")</f>
      </c>
      <c r="P284" s="149"/>
    </row>
    <row r="285" ht="23" customHeight="1">
      <c r="A285" s="92" t="str">
        <f>IF(C285="","",COUNTIF($C$2:C285,"&lt;&gt;"))</f>
      </c>
      <c r="B285" s="107"/>
      <c r="C285" s="113" t="str">
        <f>IFERROR(VLOOKUP($B285,'Hack Database'!$A:$J,2,FALSE),"")</f>
      </c>
      <c r="D285" s="113" t="str">
        <f>IFERROR(VLOOKUP($B285,'Hack Database'!$A:$J,3,FALSE),"")</f>
      </c>
      <c r="E285" s="125" t="str">
        <f>IFERROR(VLOOKUP($B285,'Hack Database'!$A:$J,4,FALSE),"")</f>
      </c>
      <c r="F285" s="125" t="str">
        <f>IFERROR(VLOOKUP($B285,'Hack Database'!$A:$J,5,FALSE),"")</f>
      </c>
      <c r="G285" s="113" t="str">
        <f>IFERROR(VLOOKUP($B285,'Hack Database'!$A:$J,6,FALSE),"")</f>
      </c>
      <c r="H285" s="137"/>
      <c r="I285" s="137"/>
      <c r="J285" s="131"/>
      <c r="K285" s="125" t="str">
        <f>IF($B285="","",IF($J285="Yes","100% Complete",IF($H285="","Planned",IF($I285="","In Progress","Finished"))))</f>
      </c>
      <c r="L285" s="143"/>
      <c r="M285" s="131"/>
      <c r="N285" s="155" t="str">
        <f>IFERROR(HYPERLINK(VLOOKUP($B285,'Hack Database'!$A:$J,9,FALSE),"Open Page"),"")</f>
      </c>
      <c r="O285" s="155" t="str">
        <f>IFERROR(HYPERLINK(VLOOKUP($B285,'Hack Database'!$A:$J,10,FALSE),"Download"),"")</f>
      </c>
      <c r="P285" s="149"/>
    </row>
    <row r="286" ht="23" customHeight="1">
      <c r="A286" s="92" t="str">
        <f>IF(C286="","",COUNTIF($C$2:C286,"&lt;&gt;"))</f>
      </c>
      <c r="B286" s="107"/>
      <c r="C286" s="113" t="str">
        <f>IFERROR(VLOOKUP($B286,'Hack Database'!$A:$J,2,FALSE),"")</f>
      </c>
      <c r="D286" s="113" t="str">
        <f>IFERROR(VLOOKUP($B286,'Hack Database'!$A:$J,3,FALSE),"")</f>
      </c>
      <c r="E286" s="125" t="str">
        <f>IFERROR(VLOOKUP($B286,'Hack Database'!$A:$J,4,FALSE),"")</f>
      </c>
      <c r="F286" s="125" t="str">
        <f>IFERROR(VLOOKUP($B286,'Hack Database'!$A:$J,5,FALSE),"")</f>
      </c>
      <c r="G286" s="113" t="str">
        <f>IFERROR(VLOOKUP($B286,'Hack Database'!$A:$J,6,FALSE),"")</f>
      </c>
      <c r="H286" s="137"/>
      <c r="I286" s="137"/>
      <c r="J286" s="131"/>
      <c r="K286" s="125" t="str">
        <f>IF($B286="","",IF($J286="Yes","100% Complete",IF($H286="","Planned",IF($I286="","In Progress","Finished"))))</f>
      </c>
      <c r="L286" s="143"/>
      <c r="M286" s="131"/>
      <c r="N286" s="155" t="str">
        <f>IFERROR(HYPERLINK(VLOOKUP($B286,'Hack Database'!$A:$J,9,FALSE),"Open Page"),"")</f>
      </c>
      <c r="O286" s="155" t="str">
        <f>IFERROR(HYPERLINK(VLOOKUP($B286,'Hack Database'!$A:$J,10,FALSE),"Download"),"")</f>
      </c>
      <c r="P286" s="149"/>
    </row>
    <row r="287" ht="23" customHeight="1">
      <c r="A287" s="92" t="str">
        <f>IF(C287="","",COUNTIF($C$2:C287,"&lt;&gt;"))</f>
      </c>
      <c r="B287" s="107"/>
      <c r="C287" s="113" t="str">
        <f>IFERROR(VLOOKUP($B287,'Hack Database'!$A:$J,2,FALSE),"")</f>
      </c>
      <c r="D287" s="113" t="str">
        <f>IFERROR(VLOOKUP($B287,'Hack Database'!$A:$J,3,FALSE),"")</f>
      </c>
      <c r="E287" s="125" t="str">
        <f>IFERROR(VLOOKUP($B287,'Hack Database'!$A:$J,4,FALSE),"")</f>
      </c>
      <c r="F287" s="125" t="str">
        <f>IFERROR(VLOOKUP($B287,'Hack Database'!$A:$J,5,FALSE),"")</f>
      </c>
      <c r="G287" s="113" t="str">
        <f>IFERROR(VLOOKUP($B287,'Hack Database'!$A:$J,6,FALSE),"")</f>
      </c>
      <c r="H287" s="137"/>
      <c r="I287" s="137"/>
      <c r="J287" s="131"/>
      <c r="K287" s="125" t="str">
        <f>IF($B287="","",IF($J287="Yes","100% Complete",IF($H287="","Planned",IF($I287="","In Progress","Finished"))))</f>
      </c>
      <c r="L287" s="143"/>
      <c r="M287" s="131"/>
      <c r="N287" s="155" t="str">
        <f>IFERROR(HYPERLINK(VLOOKUP($B287,'Hack Database'!$A:$J,9,FALSE),"Open Page"),"")</f>
      </c>
      <c r="O287" s="155" t="str">
        <f>IFERROR(HYPERLINK(VLOOKUP($B287,'Hack Database'!$A:$J,10,FALSE),"Download"),"")</f>
      </c>
      <c r="P287" s="149"/>
    </row>
    <row r="288" ht="23" customHeight="1">
      <c r="A288" s="92" t="str">
        <f>IF(C288="","",COUNTIF($C$2:C288,"&lt;&gt;"))</f>
      </c>
      <c r="B288" s="107"/>
      <c r="C288" s="113" t="str">
        <f>IFERROR(VLOOKUP($B288,'Hack Database'!$A:$J,2,FALSE),"")</f>
      </c>
      <c r="D288" s="113" t="str">
        <f>IFERROR(VLOOKUP($B288,'Hack Database'!$A:$J,3,FALSE),"")</f>
      </c>
      <c r="E288" s="125" t="str">
        <f>IFERROR(VLOOKUP($B288,'Hack Database'!$A:$J,4,FALSE),"")</f>
      </c>
      <c r="F288" s="125" t="str">
        <f>IFERROR(VLOOKUP($B288,'Hack Database'!$A:$J,5,FALSE),"")</f>
      </c>
      <c r="G288" s="113" t="str">
        <f>IFERROR(VLOOKUP($B288,'Hack Database'!$A:$J,6,FALSE),"")</f>
      </c>
      <c r="H288" s="137"/>
      <c r="I288" s="137"/>
      <c r="J288" s="131"/>
      <c r="K288" s="125" t="str">
        <f>IF($B288="","",IF($J288="Yes","100% Complete",IF($H288="","Planned",IF($I288="","In Progress","Finished"))))</f>
      </c>
      <c r="L288" s="143"/>
      <c r="M288" s="131"/>
      <c r="N288" s="155" t="str">
        <f>IFERROR(HYPERLINK(VLOOKUP($B288,'Hack Database'!$A:$J,9,FALSE),"Open Page"),"")</f>
      </c>
      <c r="O288" s="155" t="str">
        <f>IFERROR(HYPERLINK(VLOOKUP($B288,'Hack Database'!$A:$J,10,FALSE),"Download"),"")</f>
      </c>
      <c r="P288" s="149"/>
    </row>
    <row r="289" ht="23" customHeight="1">
      <c r="A289" s="92" t="str">
        <f>IF(C289="","",COUNTIF($C$2:C289,"&lt;&gt;"))</f>
      </c>
      <c r="B289" s="107"/>
      <c r="C289" s="113" t="str">
        <f>IFERROR(VLOOKUP($B289,'Hack Database'!$A:$J,2,FALSE),"")</f>
      </c>
      <c r="D289" s="113" t="str">
        <f>IFERROR(VLOOKUP($B289,'Hack Database'!$A:$J,3,FALSE),"")</f>
      </c>
      <c r="E289" s="125" t="str">
        <f>IFERROR(VLOOKUP($B289,'Hack Database'!$A:$J,4,FALSE),"")</f>
      </c>
      <c r="F289" s="125" t="str">
        <f>IFERROR(VLOOKUP($B289,'Hack Database'!$A:$J,5,FALSE),"")</f>
      </c>
      <c r="G289" s="113" t="str">
        <f>IFERROR(VLOOKUP($B289,'Hack Database'!$A:$J,6,FALSE),"")</f>
      </c>
      <c r="H289" s="137"/>
      <c r="I289" s="137"/>
      <c r="J289" s="131"/>
      <c r="K289" s="125" t="str">
        <f>IF($B289="","",IF($J289="Yes","100% Complete",IF($H289="","Planned",IF($I289="","In Progress","Finished"))))</f>
      </c>
      <c r="L289" s="143"/>
      <c r="M289" s="131"/>
      <c r="N289" s="155" t="str">
        <f>IFERROR(HYPERLINK(VLOOKUP($B289,'Hack Database'!$A:$J,9,FALSE),"Open Page"),"")</f>
      </c>
      <c r="O289" s="155" t="str">
        <f>IFERROR(HYPERLINK(VLOOKUP($B289,'Hack Database'!$A:$J,10,FALSE),"Download"),"")</f>
      </c>
      <c r="P289" s="149"/>
    </row>
    <row r="290" ht="23" customHeight="1">
      <c r="A290" s="92" t="str">
        <f>IF(C290="","",COUNTIF($C$2:C290,"&lt;&gt;"))</f>
      </c>
      <c r="B290" s="107"/>
      <c r="C290" s="113" t="str">
        <f>IFERROR(VLOOKUP($B290,'Hack Database'!$A:$J,2,FALSE),"")</f>
      </c>
      <c r="D290" s="113" t="str">
        <f>IFERROR(VLOOKUP($B290,'Hack Database'!$A:$J,3,FALSE),"")</f>
      </c>
      <c r="E290" s="125" t="str">
        <f>IFERROR(VLOOKUP($B290,'Hack Database'!$A:$J,4,FALSE),"")</f>
      </c>
      <c r="F290" s="125" t="str">
        <f>IFERROR(VLOOKUP($B290,'Hack Database'!$A:$J,5,FALSE),"")</f>
      </c>
      <c r="G290" s="113" t="str">
        <f>IFERROR(VLOOKUP($B290,'Hack Database'!$A:$J,6,FALSE),"")</f>
      </c>
      <c r="H290" s="137"/>
      <c r="I290" s="137"/>
      <c r="J290" s="131"/>
      <c r="K290" s="125" t="str">
        <f>IF($B290="","",IF($J290="Yes","100% Complete",IF($H290="","Planned",IF($I290="","In Progress","Finished"))))</f>
      </c>
      <c r="L290" s="143"/>
      <c r="M290" s="131"/>
      <c r="N290" s="155" t="str">
        <f>IFERROR(HYPERLINK(VLOOKUP($B290,'Hack Database'!$A:$J,9,FALSE),"Open Page"),"")</f>
      </c>
      <c r="O290" s="155" t="str">
        <f>IFERROR(HYPERLINK(VLOOKUP($B290,'Hack Database'!$A:$J,10,FALSE),"Download"),"")</f>
      </c>
      <c r="P290" s="149"/>
    </row>
    <row r="291" ht="23" customHeight="1">
      <c r="A291" s="92" t="str">
        <f>IF(C291="","",COUNTIF($C$2:C291,"&lt;&gt;"))</f>
      </c>
      <c r="B291" s="107"/>
      <c r="C291" s="113" t="str">
        <f>IFERROR(VLOOKUP($B291,'Hack Database'!$A:$J,2,FALSE),"")</f>
      </c>
      <c r="D291" s="113" t="str">
        <f>IFERROR(VLOOKUP($B291,'Hack Database'!$A:$J,3,FALSE),"")</f>
      </c>
      <c r="E291" s="125" t="str">
        <f>IFERROR(VLOOKUP($B291,'Hack Database'!$A:$J,4,FALSE),"")</f>
      </c>
      <c r="F291" s="125" t="str">
        <f>IFERROR(VLOOKUP($B291,'Hack Database'!$A:$J,5,FALSE),"")</f>
      </c>
      <c r="G291" s="113" t="str">
        <f>IFERROR(VLOOKUP($B291,'Hack Database'!$A:$J,6,FALSE),"")</f>
      </c>
      <c r="H291" s="137"/>
      <c r="I291" s="137"/>
      <c r="J291" s="131"/>
      <c r="K291" s="125" t="str">
        <f>IF($B291="","",IF($J291="Yes","100% Complete",IF($H291="","Planned",IF($I291="","In Progress","Finished"))))</f>
      </c>
      <c r="L291" s="143"/>
      <c r="M291" s="131"/>
      <c r="N291" s="155" t="str">
        <f>IFERROR(HYPERLINK(VLOOKUP($B291,'Hack Database'!$A:$J,9,FALSE),"Open Page"),"")</f>
      </c>
      <c r="O291" s="155" t="str">
        <f>IFERROR(HYPERLINK(VLOOKUP($B291,'Hack Database'!$A:$J,10,FALSE),"Download"),"")</f>
      </c>
      <c r="P291" s="149"/>
    </row>
    <row r="292" ht="23" customHeight="1">
      <c r="A292" s="92" t="str">
        <f>IF(C292="","",COUNTIF($C$2:C292,"&lt;&gt;"))</f>
      </c>
      <c r="B292" s="107"/>
      <c r="C292" s="113" t="str">
        <f>IFERROR(VLOOKUP($B292,'Hack Database'!$A:$J,2,FALSE),"")</f>
      </c>
      <c r="D292" s="113" t="str">
        <f>IFERROR(VLOOKUP($B292,'Hack Database'!$A:$J,3,FALSE),"")</f>
      </c>
      <c r="E292" s="125" t="str">
        <f>IFERROR(VLOOKUP($B292,'Hack Database'!$A:$J,4,FALSE),"")</f>
      </c>
      <c r="F292" s="125" t="str">
        <f>IFERROR(VLOOKUP($B292,'Hack Database'!$A:$J,5,FALSE),"")</f>
      </c>
      <c r="G292" s="113" t="str">
        <f>IFERROR(VLOOKUP($B292,'Hack Database'!$A:$J,6,FALSE),"")</f>
      </c>
      <c r="H292" s="137"/>
      <c r="I292" s="137"/>
      <c r="J292" s="131"/>
      <c r="K292" s="125" t="str">
        <f>IF($B292="","",IF($J292="Yes","100% Complete",IF($H292="","Planned",IF($I292="","In Progress","Finished"))))</f>
      </c>
      <c r="L292" s="143"/>
      <c r="M292" s="131"/>
      <c r="N292" s="155" t="str">
        <f>IFERROR(HYPERLINK(VLOOKUP($B292,'Hack Database'!$A:$J,9,FALSE),"Open Page"),"")</f>
      </c>
      <c r="O292" s="155" t="str">
        <f>IFERROR(HYPERLINK(VLOOKUP($B292,'Hack Database'!$A:$J,10,FALSE),"Download"),"")</f>
      </c>
      <c r="P292" s="149"/>
    </row>
    <row r="293" ht="23" customHeight="1">
      <c r="A293" s="92" t="str">
        <f>IF(C293="","",COUNTIF($C$2:C293,"&lt;&gt;"))</f>
      </c>
      <c r="B293" s="107"/>
      <c r="C293" s="113" t="str">
        <f>IFERROR(VLOOKUP($B293,'Hack Database'!$A:$J,2,FALSE),"")</f>
      </c>
      <c r="D293" s="113" t="str">
        <f>IFERROR(VLOOKUP($B293,'Hack Database'!$A:$J,3,FALSE),"")</f>
      </c>
      <c r="E293" s="125" t="str">
        <f>IFERROR(VLOOKUP($B293,'Hack Database'!$A:$J,4,FALSE),"")</f>
      </c>
      <c r="F293" s="125" t="str">
        <f>IFERROR(VLOOKUP($B293,'Hack Database'!$A:$J,5,FALSE),"")</f>
      </c>
      <c r="G293" s="113" t="str">
        <f>IFERROR(VLOOKUP($B293,'Hack Database'!$A:$J,6,FALSE),"")</f>
      </c>
      <c r="H293" s="137"/>
      <c r="I293" s="137"/>
      <c r="J293" s="131"/>
      <c r="K293" s="125" t="str">
        <f>IF($B293="","",IF($J293="Yes","100% Complete",IF($H293="","Planned",IF($I293="","In Progress","Finished"))))</f>
      </c>
      <c r="L293" s="143"/>
      <c r="M293" s="131"/>
      <c r="N293" s="155" t="str">
        <f>IFERROR(HYPERLINK(VLOOKUP($B293,'Hack Database'!$A:$J,9,FALSE),"Open Page"),"")</f>
      </c>
      <c r="O293" s="155" t="str">
        <f>IFERROR(HYPERLINK(VLOOKUP($B293,'Hack Database'!$A:$J,10,FALSE),"Download"),"")</f>
      </c>
      <c r="P293" s="149"/>
    </row>
    <row r="294" ht="23" customHeight="1">
      <c r="A294" s="92" t="str">
        <f>IF(C294="","",COUNTIF($C$2:C294,"&lt;&gt;"))</f>
      </c>
      <c r="B294" s="107"/>
      <c r="C294" s="113" t="str">
        <f>IFERROR(VLOOKUP($B294,'Hack Database'!$A:$J,2,FALSE),"")</f>
      </c>
      <c r="D294" s="113" t="str">
        <f>IFERROR(VLOOKUP($B294,'Hack Database'!$A:$J,3,FALSE),"")</f>
      </c>
      <c r="E294" s="125" t="str">
        <f>IFERROR(VLOOKUP($B294,'Hack Database'!$A:$J,4,FALSE),"")</f>
      </c>
      <c r="F294" s="125" t="str">
        <f>IFERROR(VLOOKUP($B294,'Hack Database'!$A:$J,5,FALSE),"")</f>
      </c>
      <c r="G294" s="113" t="str">
        <f>IFERROR(VLOOKUP($B294,'Hack Database'!$A:$J,6,FALSE),"")</f>
      </c>
      <c r="H294" s="137"/>
      <c r="I294" s="137"/>
      <c r="J294" s="131"/>
      <c r="K294" s="125" t="str">
        <f>IF($B294="","",IF($J294="Yes","100% Complete",IF($H294="","Planned",IF($I294="","In Progress","Finished"))))</f>
      </c>
      <c r="L294" s="143"/>
      <c r="M294" s="131"/>
      <c r="N294" s="155" t="str">
        <f>IFERROR(HYPERLINK(VLOOKUP($B294,'Hack Database'!$A:$J,9,FALSE),"Open Page"),"")</f>
      </c>
      <c r="O294" s="155" t="str">
        <f>IFERROR(HYPERLINK(VLOOKUP($B294,'Hack Database'!$A:$J,10,FALSE),"Download"),"")</f>
      </c>
      <c r="P294" s="149"/>
    </row>
    <row r="295" ht="23" customHeight="1">
      <c r="A295" s="92" t="str">
        <f>IF(C295="","",COUNTIF($C$2:C295,"&lt;&gt;"))</f>
      </c>
      <c r="B295" s="107"/>
      <c r="C295" s="113" t="str">
        <f>IFERROR(VLOOKUP($B295,'Hack Database'!$A:$J,2,FALSE),"")</f>
      </c>
      <c r="D295" s="113" t="str">
        <f>IFERROR(VLOOKUP($B295,'Hack Database'!$A:$J,3,FALSE),"")</f>
      </c>
      <c r="E295" s="125" t="str">
        <f>IFERROR(VLOOKUP($B295,'Hack Database'!$A:$J,4,FALSE),"")</f>
      </c>
      <c r="F295" s="125" t="str">
        <f>IFERROR(VLOOKUP($B295,'Hack Database'!$A:$J,5,FALSE),"")</f>
      </c>
      <c r="G295" s="113" t="str">
        <f>IFERROR(VLOOKUP($B295,'Hack Database'!$A:$J,6,FALSE),"")</f>
      </c>
      <c r="H295" s="137"/>
      <c r="I295" s="137"/>
      <c r="J295" s="131"/>
      <c r="K295" s="125" t="str">
        <f>IF($B295="","",IF($J295="Yes","100% Complete",IF($H295="","Planned",IF($I295="","In Progress","Finished"))))</f>
      </c>
      <c r="L295" s="143"/>
      <c r="M295" s="131"/>
      <c r="N295" s="155" t="str">
        <f>IFERROR(HYPERLINK(VLOOKUP($B295,'Hack Database'!$A:$J,9,FALSE),"Open Page"),"")</f>
      </c>
      <c r="O295" s="155" t="str">
        <f>IFERROR(HYPERLINK(VLOOKUP($B295,'Hack Database'!$A:$J,10,FALSE),"Download"),"")</f>
      </c>
      <c r="P295" s="149"/>
    </row>
    <row r="296" ht="23" customHeight="1">
      <c r="A296" s="92" t="str">
        <f>IF(C296="","",COUNTIF($C$2:C296,"&lt;&gt;"))</f>
      </c>
      <c r="B296" s="107"/>
      <c r="C296" s="113" t="str">
        <f>IFERROR(VLOOKUP($B296,'Hack Database'!$A:$J,2,FALSE),"")</f>
      </c>
      <c r="D296" s="113" t="str">
        <f>IFERROR(VLOOKUP($B296,'Hack Database'!$A:$J,3,FALSE),"")</f>
      </c>
      <c r="E296" s="125" t="str">
        <f>IFERROR(VLOOKUP($B296,'Hack Database'!$A:$J,4,FALSE),"")</f>
      </c>
      <c r="F296" s="125" t="str">
        <f>IFERROR(VLOOKUP($B296,'Hack Database'!$A:$J,5,FALSE),"")</f>
      </c>
      <c r="G296" s="113" t="str">
        <f>IFERROR(VLOOKUP($B296,'Hack Database'!$A:$J,6,FALSE),"")</f>
      </c>
      <c r="H296" s="137"/>
      <c r="I296" s="137"/>
      <c r="J296" s="131"/>
      <c r="K296" s="125" t="str">
        <f>IF($B296="","",IF($J296="Yes","100% Complete",IF($H296="","Planned",IF($I296="","In Progress","Finished"))))</f>
      </c>
      <c r="L296" s="143"/>
      <c r="M296" s="131"/>
      <c r="N296" s="155" t="str">
        <f>IFERROR(HYPERLINK(VLOOKUP($B296,'Hack Database'!$A:$J,9,FALSE),"Open Page"),"")</f>
      </c>
      <c r="O296" s="155" t="str">
        <f>IFERROR(HYPERLINK(VLOOKUP($B296,'Hack Database'!$A:$J,10,FALSE),"Download"),"")</f>
      </c>
      <c r="P296" s="149"/>
    </row>
    <row r="297" ht="23" customHeight="1">
      <c r="A297" s="92" t="str">
        <f>IF(C297="","",COUNTIF($C$2:C297,"&lt;&gt;"))</f>
      </c>
      <c r="B297" s="107"/>
      <c r="C297" s="113" t="str">
        <f>IFERROR(VLOOKUP($B297,'Hack Database'!$A:$J,2,FALSE),"")</f>
      </c>
      <c r="D297" s="113" t="str">
        <f>IFERROR(VLOOKUP($B297,'Hack Database'!$A:$J,3,FALSE),"")</f>
      </c>
      <c r="E297" s="125" t="str">
        <f>IFERROR(VLOOKUP($B297,'Hack Database'!$A:$J,4,FALSE),"")</f>
      </c>
      <c r="F297" s="125" t="str">
        <f>IFERROR(VLOOKUP($B297,'Hack Database'!$A:$J,5,FALSE),"")</f>
      </c>
      <c r="G297" s="113" t="str">
        <f>IFERROR(VLOOKUP($B297,'Hack Database'!$A:$J,6,FALSE),"")</f>
      </c>
      <c r="H297" s="137"/>
      <c r="I297" s="137"/>
      <c r="J297" s="131"/>
      <c r="K297" s="125" t="str">
        <f>IF($B297="","",IF($J297="Yes","100% Complete",IF($H297="","Planned",IF($I297="","In Progress","Finished"))))</f>
      </c>
      <c r="L297" s="143"/>
      <c r="M297" s="131"/>
      <c r="N297" s="155" t="str">
        <f>IFERROR(HYPERLINK(VLOOKUP($B297,'Hack Database'!$A:$J,9,FALSE),"Open Page"),"")</f>
      </c>
      <c r="O297" s="155" t="str">
        <f>IFERROR(HYPERLINK(VLOOKUP($B297,'Hack Database'!$A:$J,10,FALSE),"Download"),"")</f>
      </c>
      <c r="P297" s="149"/>
    </row>
    <row r="298" ht="23" customHeight="1">
      <c r="A298" s="92" t="str">
        <f>IF(C298="","",COUNTIF($C$2:C298,"&lt;&gt;"))</f>
      </c>
      <c r="B298" s="107"/>
      <c r="C298" s="113" t="str">
        <f>IFERROR(VLOOKUP($B298,'Hack Database'!$A:$J,2,FALSE),"")</f>
      </c>
      <c r="D298" s="113" t="str">
        <f>IFERROR(VLOOKUP($B298,'Hack Database'!$A:$J,3,FALSE),"")</f>
      </c>
      <c r="E298" s="125" t="str">
        <f>IFERROR(VLOOKUP($B298,'Hack Database'!$A:$J,4,FALSE),"")</f>
      </c>
      <c r="F298" s="125" t="str">
        <f>IFERROR(VLOOKUP($B298,'Hack Database'!$A:$J,5,FALSE),"")</f>
      </c>
      <c r="G298" s="113" t="str">
        <f>IFERROR(VLOOKUP($B298,'Hack Database'!$A:$J,6,FALSE),"")</f>
      </c>
      <c r="H298" s="137"/>
      <c r="I298" s="137"/>
      <c r="J298" s="131"/>
      <c r="K298" s="125" t="str">
        <f>IF($B298="","",IF($J298="Yes","100% Complete",IF($H298="","Planned",IF($I298="","In Progress","Finished"))))</f>
      </c>
      <c r="L298" s="143"/>
      <c r="M298" s="131"/>
      <c r="N298" s="155" t="str">
        <f>IFERROR(HYPERLINK(VLOOKUP($B298,'Hack Database'!$A:$J,9,FALSE),"Open Page"),"")</f>
      </c>
      <c r="O298" s="155" t="str">
        <f>IFERROR(HYPERLINK(VLOOKUP($B298,'Hack Database'!$A:$J,10,FALSE),"Download"),"")</f>
      </c>
      <c r="P298" s="149"/>
    </row>
    <row r="299" ht="23" customHeight="1">
      <c r="A299" s="92" t="str">
        <f>IF(C299="","",COUNTIF($C$2:C299,"&lt;&gt;"))</f>
      </c>
      <c r="B299" s="107"/>
      <c r="C299" s="113" t="str">
        <f>IFERROR(VLOOKUP($B299,'Hack Database'!$A:$J,2,FALSE),"")</f>
      </c>
      <c r="D299" s="113" t="str">
        <f>IFERROR(VLOOKUP($B299,'Hack Database'!$A:$J,3,FALSE),"")</f>
      </c>
      <c r="E299" s="125" t="str">
        <f>IFERROR(VLOOKUP($B299,'Hack Database'!$A:$J,4,FALSE),"")</f>
      </c>
      <c r="F299" s="125" t="str">
        <f>IFERROR(VLOOKUP($B299,'Hack Database'!$A:$J,5,FALSE),"")</f>
      </c>
      <c r="G299" s="113" t="str">
        <f>IFERROR(VLOOKUP($B299,'Hack Database'!$A:$J,6,FALSE),"")</f>
      </c>
      <c r="H299" s="137"/>
      <c r="I299" s="137"/>
      <c r="J299" s="131"/>
      <c r="K299" s="125" t="str">
        <f>IF($B299="","",IF($J299="Yes","100% Complete",IF($H299="","Planned",IF($I299="","In Progress","Finished"))))</f>
      </c>
      <c r="L299" s="143"/>
      <c r="M299" s="131"/>
      <c r="N299" s="155" t="str">
        <f>IFERROR(HYPERLINK(VLOOKUP($B299,'Hack Database'!$A:$J,9,FALSE),"Open Page"),"")</f>
      </c>
      <c r="O299" s="155" t="str">
        <f>IFERROR(HYPERLINK(VLOOKUP($B299,'Hack Database'!$A:$J,10,FALSE),"Download"),"")</f>
      </c>
      <c r="P299" s="149"/>
    </row>
    <row r="300" ht="23" customHeight="1">
      <c r="A300" s="92" t="str">
        <f>IF(C300="","",COUNTIF($C$2:C300,"&lt;&gt;"))</f>
      </c>
      <c r="B300" s="107"/>
      <c r="C300" s="113" t="str">
        <f>IFERROR(VLOOKUP($B300,'Hack Database'!$A:$J,2,FALSE),"")</f>
      </c>
      <c r="D300" s="113" t="str">
        <f>IFERROR(VLOOKUP($B300,'Hack Database'!$A:$J,3,FALSE),"")</f>
      </c>
      <c r="E300" s="125" t="str">
        <f>IFERROR(VLOOKUP($B300,'Hack Database'!$A:$J,4,FALSE),"")</f>
      </c>
      <c r="F300" s="125" t="str">
        <f>IFERROR(VLOOKUP($B300,'Hack Database'!$A:$J,5,FALSE),"")</f>
      </c>
      <c r="G300" s="113" t="str">
        <f>IFERROR(VLOOKUP($B300,'Hack Database'!$A:$J,6,FALSE),"")</f>
      </c>
      <c r="H300" s="137"/>
      <c r="I300" s="137"/>
      <c r="J300" s="131"/>
      <c r="K300" s="125" t="str">
        <f>IF($B300="","",IF($J300="Yes","100% Complete",IF($H300="","Planned",IF($I300="","In Progress","Finished"))))</f>
      </c>
      <c r="L300" s="143"/>
      <c r="M300" s="131"/>
      <c r="N300" s="155" t="str">
        <f>IFERROR(HYPERLINK(VLOOKUP($B300,'Hack Database'!$A:$J,9,FALSE),"Open Page"),"")</f>
      </c>
      <c r="O300" s="155" t="str">
        <f>IFERROR(HYPERLINK(VLOOKUP($B300,'Hack Database'!$A:$J,10,FALSE),"Download"),"")</f>
      </c>
      <c r="P300" s="149"/>
    </row>
    <row r="301" ht="23" customHeight="1">
      <c r="A301" s="92" t="str">
        <f>IF(C301="","",COUNTIF($C$2:C301,"&lt;&gt;"))</f>
      </c>
      <c r="B301" s="107"/>
      <c r="C301" s="113" t="str">
        <f>IFERROR(VLOOKUP($B301,'Hack Database'!$A:$J,2,FALSE),"")</f>
      </c>
      <c r="D301" s="113" t="str">
        <f>IFERROR(VLOOKUP($B301,'Hack Database'!$A:$J,3,FALSE),"")</f>
      </c>
      <c r="E301" s="125" t="str">
        <f>IFERROR(VLOOKUP($B301,'Hack Database'!$A:$J,4,FALSE),"")</f>
      </c>
      <c r="F301" s="125" t="str">
        <f>IFERROR(VLOOKUP($B301,'Hack Database'!$A:$J,5,FALSE),"")</f>
      </c>
      <c r="G301" s="113" t="str">
        <f>IFERROR(VLOOKUP($B301,'Hack Database'!$A:$J,6,FALSE),"")</f>
      </c>
      <c r="H301" s="137"/>
      <c r="I301" s="137"/>
      <c r="J301" s="131"/>
      <c r="K301" s="125" t="str">
        <f>IF($B301="","",IF($J301="Yes","100% Complete",IF($H301="","Planned",IF($I301="","In Progress","Finished"))))</f>
      </c>
      <c r="L301" s="143"/>
      <c r="M301" s="131"/>
      <c r="N301" s="155" t="str">
        <f>IFERROR(HYPERLINK(VLOOKUP($B301,'Hack Database'!$A:$J,9,FALSE),"Open Page"),"")</f>
      </c>
      <c r="O301" s="155" t="str">
        <f>IFERROR(HYPERLINK(VLOOKUP($B301,'Hack Database'!$A:$J,10,FALSE),"Download"),"")</f>
      </c>
      <c r="P301" s="149"/>
    </row>
    <row r="302" ht="23" customHeight="1">
      <c r="A302" s="92" t="str">
        <f>IF(C302="","",COUNTIF($C$2:C302,"&lt;&gt;"))</f>
      </c>
      <c r="B302" s="107"/>
      <c r="C302" s="113" t="str">
        <f>IFERROR(VLOOKUP($B302,'Hack Database'!$A:$J,2,FALSE),"")</f>
      </c>
      <c r="D302" s="113" t="str">
        <f>IFERROR(VLOOKUP($B302,'Hack Database'!$A:$J,3,FALSE),"")</f>
      </c>
      <c r="E302" s="125" t="str">
        <f>IFERROR(VLOOKUP($B302,'Hack Database'!$A:$J,4,FALSE),"")</f>
      </c>
      <c r="F302" s="125" t="str">
        <f>IFERROR(VLOOKUP($B302,'Hack Database'!$A:$J,5,FALSE),"")</f>
      </c>
      <c r="G302" s="113" t="str">
        <f>IFERROR(VLOOKUP($B302,'Hack Database'!$A:$J,6,FALSE),"")</f>
      </c>
      <c r="H302" s="137"/>
      <c r="I302" s="137"/>
      <c r="J302" s="131"/>
      <c r="K302" s="125" t="str">
        <f>IF($B302="","",IF($J302="Yes","100% Complete",IF($H302="","Planned",IF($I302="","In Progress","Finished"))))</f>
      </c>
      <c r="L302" s="143"/>
      <c r="M302" s="131"/>
      <c r="N302" s="155" t="str">
        <f>IFERROR(HYPERLINK(VLOOKUP($B302,'Hack Database'!$A:$J,9,FALSE),"Open Page"),"")</f>
      </c>
      <c r="O302" s="155" t="str">
        <f>IFERROR(HYPERLINK(VLOOKUP($B302,'Hack Database'!$A:$J,10,FALSE),"Download"),"")</f>
      </c>
      <c r="P302" s="149"/>
    </row>
    <row r="303" ht="23" customHeight="1">
      <c r="A303" s="92" t="str">
        <f>IF(C303="","",COUNTIF($C$2:C303,"&lt;&gt;"))</f>
      </c>
      <c r="B303" s="107"/>
      <c r="C303" s="113" t="str">
        <f>IFERROR(VLOOKUP($B303,'Hack Database'!$A:$J,2,FALSE),"")</f>
      </c>
      <c r="D303" s="113" t="str">
        <f>IFERROR(VLOOKUP($B303,'Hack Database'!$A:$J,3,FALSE),"")</f>
      </c>
      <c r="E303" s="125" t="str">
        <f>IFERROR(VLOOKUP($B303,'Hack Database'!$A:$J,4,FALSE),"")</f>
      </c>
      <c r="F303" s="125" t="str">
        <f>IFERROR(VLOOKUP($B303,'Hack Database'!$A:$J,5,FALSE),"")</f>
      </c>
      <c r="G303" s="113" t="str">
        <f>IFERROR(VLOOKUP($B303,'Hack Database'!$A:$J,6,FALSE),"")</f>
      </c>
      <c r="H303" s="137"/>
      <c r="I303" s="137"/>
      <c r="J303" s="131"/>
      <c r="K303" s="125" t="str">
        <f>IF($B303="","",IF($J303="Yes","100% Complete",IF($H303="","Planned",IF($I303="","In Progress","Finished"))))</f>
      </c>
      <c r="L303" s="143"/>
      <c r="M303" s="131"/>
      <c r="N303" s="155" t="str">
        <f>IFERROR(HYPERLINK(VLOOKUP($B303,'Hack Database'!$A:$J,9,FALSE),"Open Page"),"")</f>
      </c>
      <c r="O303" s="155" t="str">
        <f>IFERROR(HYPERLINK(VLOOKUP($B303,'Hack Database'!$A:$J,10,FALSE),"Download"),"")</f>
      </c>
      <c r="P303" s="149"/>
    </row>
    <row r="304" ht="23" customHeight="1">
      <c r="A304" s="92" t="str">
        <f>IF(C304="","",COUNTIF($C$2:C304,"&lt;&gt;"))</f>
      </c>
      <c r="B304" s="107"/>
      <c r="C304" s="113" t="str">
        <f>IFERROR(VLOOKUP($B304,'Hack Database'!$A:$J,2,FALSE),"")</f>
      </c>
      <c r="D304" s="113" t="str">
        <f>IFERROR(VLOOKUP($B304,'Hack Database'!$A:$J,3,FALSE),"")</f>
      </c>
      <c r="E304" s="125" t="str">
        <f>IFERROR(VLOOKUP($B304,'Hack Database'!$A:$J,4,FALSE),"")</f>
      </c>
      <c r="F304" s="125" t="str">
        <f>IFERROR(VLOOKUP($B304,'Hack Database'!$A:$J,5,FALSE),"")</f>
      </c>
      <c r="G304" s="113" t="str">
        <f>IFERROR(VLOOKUP($B304,'Hack Database'!$A:$J,6,FALSE),"")</f>
      </c>
      <c r="H304" s="137"/>
      <c r="I304" s="137"/>
      <c r="J304" s="131"/>
      <c r="K304" s="125" t="str">
        <f>IF($B304="","",IF($J304="Yes","100% Complete",IF($H304="","Planned",IF($I304="","In Progress","Finished"))))</f>
      </c>
      <c r="L304" s="143"/>
      <c r="M304" s="131"/>
      <c r="N304" s="155" t="str">
        <f>IFERROR(HYPERLINK(VLOOKUP($B304,'Hack Database'!$A:$J,9,FALSE),"Open Page"),"")</f>
      </c>
      <c r="O304" s="155" t="str">
        <f>IFERROR(HYPERLINK(VLOOKUP($B304,'Hack Database'!$A:$J,10,FALSE),"Download"),"")</f>
      </c>
      <c r="P304" s="149"/>
    </row>
    <row r="305" ht="23" customHeight="1">
      <c r="A305" s="92" t="str">
        <f>IF(C305="","",COUNTIF($C$2:C305,"&lt;&gt;"))</f>
      </c>
      <c r="B305" s="107"/>
      <c r="C305" s="113" t="str">
        <f>IFERROR(VLOOKUP($B305,'Hack Database'!$A:$J,2,FALSE),"")</f>
      </c>
      <c r="D305" s="113" t="str">
        <f>IFERROR(VLOOKUP($B305,'Hack Database'!$A:$J,3,FALSE),"")</f>
      </c>
      <c r="E305" s="125" t="str">
        <f>IFERROR(VLOOKUP($B305,'Hack Database'!$A:$J,4,FALSE),"")</f>
      </c>
      <c r="F305" s="125" t="str">
        <f>IFERROR(VLOOKUP($B305,'Hack Database'!$A:$J,5,FALSE),"")</f>
      </c>
      <c r="G305" s="113" t="str">
        <f>IFERROR(VLOOKUP($B305,'Hack Database'!$A:$J,6,FALSE),"")</f>
      </c>
      <c r="H305" s="137"/>
      <c r="I305" s="137"/>
      <c r="J305" s="131"/>
      <c r="K305" s="125" t="str">
        <f>IF($B305="","",IF($J305="Yes","100% Complete",IF($H305="","Planned",IF($I305="","In Progress","Finished"))))</f>
      </c>
      <c r="L305" s="143"/>
      <c r="M305" s="131"/>
      <c r="N305" s="155" t="str">
        <f>IFERROR(HYPERLINK(VLOOKUP($B305,'Hack Database'!$A:$J,9,FALSE),"Open Page"),"")</f>
      </c>
      <c r="O305" s="155" t="str">
        <f>IFERROR(HYPERLINK(VLOOKUP($B305,'Hack Database'!$A:$J,10,FALSE),"Download"),"")</f>
      </c>
      <c r="P305" s="149"/>
    </row>
    <row r="306" ht="23" customHeight="1">
      <c r="A306" s="92" t="str">
        <f>IF(C306="","",COUNTIF($C$2:C306,"&lt;&gt;"))</f>
      </c>
      <c r="B306" s="107"/>
      <c r="C306" s="113" t="str">
        <f>IFERROR(VLOOKUP($B306,'Hack Database'!$A:$J,2,FALSE),"")</f>
      </c>
      <c r="D306" s="113" t="str">
        <f>IFERROR(VLOOKUP($B306,'Hack Database'!$A:$J,3,FALSE),"")</f>
      </c>
      <c r="E306" s="125" t="str">
        <f>IFERROR(VLOOKUP($B306,'Hack Database'!$A:$J,4,FALSE),"")</f>
      </c>
      <c r="F306" s="125" t="str">
        <f>IFERROR(VLOOKUP($B306,'Hack Database'!$A:$J,5,FALSE),"")</f>
      </c>
      <c r="G306" s="113" t="str">
        <f>IFERROR(VLOOKUP($B306,'Hack Database'!$A:$J,6,FALSE),"")</f>
      </c>
      <c r="H306" s="137"/>
      <c r="I306" s="137"/>
      <c r="J306" s="131"/>
      <c r="K306" s="125" t="str">
        <f>IF($B306="","",IF($J306="Yes","100% Complete",IF($H306="","Planned",IF($I306="","In Progress","Finished"))))</f>
      </c>
      <c r="L306" s="143"/>
      <c r="M306" s="131"/>
      <c r="N306" s="155" t="str">
        <f>IFERROR(HYPERLINK(VLOOKUP($B306,'Hack Database'!$A:$J,9,FALSE),"Open Page"),"")</f>
      </c>
      <c r="O306" s="155" t="str">
        <f>IFERROR(HYPERLINK(VLOOKUP($B306,'Hack Database'!$A:$J,10,FALSE),"Download"),"")</f>
      </c>
      <c r="P306" s="149"/>
    </row>
    <row r="307" ht="23" customHeight="1">
      <c r="A307" s="92" t="str">
        <f>IF(C307="","",COUNTIF($C$2:C307,"&lt;&gt;"))</f>
      </c>
      <c r="B307" s="107"/>
      <c r="C307" s="113" t="str">
        <f>IFERROR(VLOOKUP($B307,'Hack Database'!$A:$J,2,FALSE),"")</f>
      </c>
      <c r="D307" s="113" t="str">
        <f>IFERROR(VLOOKUP($B307,'Hack Database'!$A:$J,3,FALSE),"")</f>
      </c>
      <c r="E307" s="125" t="str">
        <f>IFERROR(VLOOKUP($B307,'Hack Database'!$A:$J,4,FALSE),"")</f>
      </c>
      <c r="F307" s="125" t="str">
        <f>IFERROR(VLOOKUP($B307,'Hack Database'!$A:$J,5,FALSE),"")</f>
      </c>
      <c r="G307" s="113" t="str">
        <f>IFERROR(VLOOKUP($B307,'Hack Database'!$A:$J,6,FALSE),"")</f>
      </c>
      <c r="H307" s="137"/>
      <c r="I307" s="137"/>
      <c r="J307" s="131"/>
      <c r="K307" s="125" t="str">
        <f>IF($B307="","",IF($J307="Yes","100% Complete",IF($H307="","Planned",IF($I307="","In Progress","Finished"))))</f>
      </c>
      <c r="L307" s="143"/>
      <c r="M307" s="131"/>
      <c r="N307" s="155" t="str">
        <f>IFERROR(HYPERLINK(VLOOKUP($B307,'Hack Database'!$A:$J,9,FALSE),"Open Page"),"")</f>
      </c>
      <c r="O307" s="155" t="str">
        <f>IFERROR(HYPERLINK(VLOOKUP($B307,'Hack Database'!$A:$J,10,FALSE),"Download"),"")</f>
      </c>
      <c r="P307" s="149"/>
    </row>
    <row r="308" ht="23" customHeight="1">
      <c r="A308" s="92" t="str">
        <f>IF(C308="","",COUNTIF($C$2:C308,"&lt;&gt;"))</f>
      </c>
      <c r="B308" s="107"/>
      <c r="C308" s="113" t="str">
        <f>IFERROR(VLOOKUP($B308,'Hack Database'!$A:$J,2,FALSE),"")</f>
      </c>
      <c r="D308" s="113" t="str">
        <f>IFERROR(VLOOKUP($B308,'Hack Database'!$A:$J,3,FALSE),"")</f>
      </c>
      <c r="E308" s="125" t="str">
        <f>IFERROR(VLOOKUP($B308,'Hack Database'!$A:$J,4,FALSE),"")</f>
      </c>
      <c r="F308" s="125" t="str">
        <f>IFERROR(VLOOKUP($B308,'Hack Database'!$A:$J,5,FALSE),"")</f>
      </c>
      <c r="G308" s="113" t="str">
        <f>IFERROR(VLOOKUP($B308,'Hack Database'!$A:$J,6,FALSE),"")</f>
      </c>
      <c r="H308" s="137"/>
      <c r="I308" s="137"/>
      <c r="J308" s="131"/>
      <c r="K308" s="125" t="str">
        <f>IF($B308="","",IF($J308="Yes","100% Complete",IF($H308="","Planned",IF($I308="","In Progress","Finished"))))</f>
      </c>
      <c r="L308" s="143"/>
      <c r="M308" s="131"/>
      <c r="N308" s="155" t="str">
        <f>IFERROR(HYPERLINK(VLOOKUP($B308,'Hack Database'!$A:$J,9,FALSE),"Open Page"),"")</f>
      </c>
      <c r="O308" s="155" t="str">
        <f>IFERROR(HYPERLINK(VLOOKUP($B308,'Hack Database'!$A:$J,10,FALSE),"Download"),"")</f>
      </c>
      <c r="P308" s="149"/>
    </row>
    <row r="309" ht="23" customHeight="1">
      <c r="A309" s="92" t="str">
        <f>IF(C309="","",COUNTIF($C$2:C309,"&lt;&gt;"))</f>
      </c>
      <c r="B309" s="107"/>
      <c r="C309" s="113" t="str">
        <f>IFERROR(VLOOKUP($B309,'Hack Database'!$A:$J,2,FALSE),"")</f>
      </c>
      <c r="D309" s="113" t="str">
        <f>IFERROR(VLOOKUP($B309,'Hack Database'!$A:$J,3,FALSE),"")</f>
      </c>
      <c r="E309" s="125" t="str">
        <f>IFERROR(VLOOKUP($B309,'Hack Database'!$A:$J,4,FALSE),"")</f>
      </c>
      <c r="F309" s="125" t="str">
        <f>IFERROR(VLOOKUP($B309,'Hack Database'!$A:$J,5,FALSE),"")</f>
      </c>
      <c r="G309" s="113" t="str">
        <f>IFERROR(VLOOKUP($B309,'Hack Database'!$A:$J,6,FALSE),"")</f>
      </c>
      <c r="H309" s="137"/>
      <c r="I309" s="137"/>
      <c r="J309" s="131"/>
      <c r="K309" s="125" t="str">
        <f>IF($B309="","",IF($J309="Yes","100% Complete",IF($H309="","Planned",IF($I309="","In Progress","Finished"))))</f>
      </c>
      <c r="L309" s="143"/>
      <c r="M309" s="131"/>
      <c r="N309" s="155" t="str">
        <f>IFERROR(HYPERLINK(VLOOKUP($B309,'Hack Database'!$A:$J,9,FALSE),"Open Page"),"")</f>
      </c>
      <c r="O309" s="155" t="str">
        <f>IFERROR(HYPERLINK(VLOOKUP($B309,'Hack Database'!$A:$J,10,FALSE),"Download"),"")</f>
      </c>
      <c r="P309" s="149"/>
    </row>
    <row r="310" ht="23" customHeight="1">
      <c r="A310" s="92" t="str">
        <f>IF(C310="","",COUNTIF($C$2:C310,"&lt;&gt;"))</f>
      </c>
      <c r="B310" s="107"/>
      <c r="C310" s="113" t="str">
        <f>IFERROR(VLOOKUP($B310,'Hack Database'!$A:$J,2,FALSE),"")</f>
      </c>
      <c r="D310" s="113" t="str">
        <f>IFERROR(VLOOKUP($B310,'Hack Database'!$A:$J,3,FALSE),"")</f>
      </c>
      <c r="E310" s="125" t="str">
        <f>IFERROR(VLOOKUP($B310,'Hack Database'!$A:$J,4,FALSE),"")</f>
      </c>
      <c r="F310" s="125" t="str">
        <f>IFERROR(VLOOKUP($B310,'Hack Database'!$A:$J,5,FALSE),"")</f>
      </c>
      <c r="G310" s="113" t="str">
        <f>IFERROR(VLOOKUP($B310,'Hack Database'!$A:$J,6,FALSE),"")</f>
      </c>
      <c r="H310" s="137"/>
      <c r="I310" s="137"/>
      <c r="J310" s="131"/>
      <c r="K310" s="125" t="str">
        <f>IF($B310="","",IF($J310="Yes","100% Complete",IF($H310="","Planned",IF($I310="","In Progress","Finished"))))</f>
      </c>
      <c r="L310" s="143"/>
      <c r="M310" s="131"/>
      <c r="N310" s="155" t="str">
        <f>IFERROR(HYPERLINK(VLOOKUP($B310,'Hack Database'!$A:$J,9,FALSE),"Open Page"),"")</f>
      </c>
      <c r="O310" s="155" t="str">
        <f>IFERROR(HYPERLINK(VLOOKUP($B310,'Hack Database'!$A:$J,10,FALSE),"Download"),"")</f>
      </c>
      <c r="P310" s="149"/>
    </row>
    <row r="311" ht="23" customHeight="1">
      <c r="A311" s="92" t="str">
        <f>IF(C311="","",COUNTIF($C$2:C311,"&lt;&gt;"))</f>
      </c>
      <c r="B311" s="107"/>
      <c r="C311" s="113" t="str">
        <f>IFERROR(VLOOKUP($B311,'Hack Database'!$A:$J,2,FALSE),"")</f>
      </c>
      <c r="D311" s="113" t="str">
        <f>IFERROR(VLOOKUP($B311,'Hack Database'!$A:$J,3,FALSE),"")</f>
      </c>
      <c r="E311" s="125" t="str">
        <f>IFERROR(VLOOKUP($B311,'Hack Database'!$A:$J,4,FALSE),"")</f>
      </c>
      <c r="F311" s="125" t="str">
        <f>IFERROR(VLOOKUP($B311,'Hack Database'!$A:$J,5,FALSE),"")</f>
      </c>
      <c r="G311" s="113" t="str">
        <f>IFERROR(VLOOKUP($B311,'Hack Database'!$A:$J,6,FALSE),"")</f>
      </c>
      <c r="H311" s="137"/>
      <c r="I311" s="137"/>
      <c r="J311" s="131"/>
      <c r="K311" s="125" t="str">
        <f>IF($B311="","",IF($J311="Yes","100% Complete",IF($H311="","Planned",IF($I311="","In Progress","Finished"))))</f>
      </c>
      <c r="L311" s="143"/>
      <c r="M311" s="131"/>
      <c r="N311" s="155" t="str">
        <f>IFERROR(HYPERLINK(VLOOKUP($B311,'Hack Database'!$A:$J,9,FALSE),"Open Page"),"")</f>
      </c>
      <c r="O311" s="155" t="str">
        <f>IFERROR(HYPERLINK(VLOOKUP($B311,'Hack Database'!$A:$J,10,FALSE),"Download"),"")</f>
      </c>
      <c r="P311" s="149"/>
    </row>
    <row r="312" ht="23" customHeight="1">
      <c r="A312" s="92" t="str">
        <f>IF(C312="","",COUNTIF($C$2:C312,"&lt;&gt;"))</f>
      </c>
      <c r="B312" s="107"/>
      <c r="C312" s="113" t="str">
        <f>IFERROR(VLOOKUP($B312,'Hack Database'!$A:$J,2,FALSE),"")</f>
      </c>
      <c r="D312" s="113" t="str">
        <f>IFERROR(VLOOKUP($B312,'Hack Database'!$A:$J,3,FALSE),"")</f>
      </c>
      <c r="E312" s="125" t="str">
        <f>IFERROR(VLOOKUP($B312,'Hack Database'!$A:$J,4,FALSE),"")</f>
      </c>
      <c r="F312" s="125" t="str">
        <f>IFERROR(VLOOKUP($B312,'Hack Database'!$A:$J,5,FALSE),"")</f>
      </c>
      <c r="G312" s="113" t="str">
        <f>IFERROR(VLOOKUP($B312,'Hack Database'!$A:$J,6,FALSE),"")</f>
      </c>
      <c r="H312" s="137"/>
      <c r="I312" s="137"/>
      <c r="J312" s="131"/>
      <c r="K312" s="125" t="str">
        <f>IF($B312="","",IF($J312="Yes","100% Complete",IF($H312="","Planned",IF($I312="","In Progress","Finished"))))</f>
      </c>
      <c r="L312" s="143"/>
      <c r="M312" s="131"/>
      <c r="N312" s="155" t="str">
        <f>IFERROR(HYPERLINK(VLOOKUP($B312,'Hack Database'!$A:$J,9,FALSE),"Open Page"),"")</f>
      </c>
      <c r="O312" s="155" t="str">
        <f>IFERROR(HYPERLINK(VLOOKUP($B312,'Hack Database'!$A:$J,10,FALSE),"Download"),"")</f>
      </c>
      <c r="P312" s="149"/>
    </row>
    <row r="313" ht="23" customHeight="1">
      <c r="A313" s="92" t="str">
        <f>IF(C313="","",COUNTIF($C$2:C313,"&lt;&gt;"))</f>
      </c>
      <c r="B313" s="107"/>
      <c r="C313" s="113" t="str">
        <f>IFERROR(VLOOKUP($B313,'Hack Database'!$A:$J,2,FALSE),"")</f>
      </c>
      <c r="D313" s="113" t="str">
        <f>IFERROR(VLOOKUP($B313,'Hack Database'!$A:$J,3,FALSE),"")</f>
      </c>
      <c r="E313" s="125" t="str">
        <f>IFERROR(VLOOKUP($B313,'Hack Database'!$A:$J,4,FALSE),"")</f>
      </c>
      <c r="F313" s="125" t="str">
        <f>IFERROR(VLOOKUP($B313,'Hack Database'!$A:$J,5,FALSE),"")</f>
      </c>
      <c r="G313" s="113" t="str">
        <f>IFERROR(VLOOKUP($B313,'Hack Database'!$A:$J,6,FALSE),"")</f>
      </c>
      <c r="H313" s="137"/>
      <c r="I313" s="137"/>
      <c r="J313" s="131"/>
      <c r="K313" s="125" t="str">
        <f>IF($B313="","",IF($J313="Yes","100% Complete",IF($H313="","Planned",IF($I313="","In Progress","Finished"))))</f>
      </c>
      <c r="L313" s="143"/>
      <c r="M313" s="131"/>
      <c r="N313" s="155" t="str">
        <f>IFERROR(HYPERLINK(VLOOKUP($B313,'Hack Database'!$A:$J,9,FALSE),"Open Page"),"")</f>
      </c>
      <c r="O313" s="155" t="str">
        <f>IFERROR(HYPERLINK(VLOOKUP($B313,'Hack Database'!$A:$J,10,FALSE),"Download"),"")</f>
      </c>
      <c r="P313" s="149"/>
    </row>
    <row r="314" ht="23" customHeight="1">
      <c r="A314" s="92" t="str">
        <f>IF(C314="","",COUNTIF($C$2:C314,"&lt;&gt;"))</f>
      </c>
      <c r="B314" s="107"/>
      <c r="C314" s="113" t="str">
        <f>IFERROR(VLOOKUP($B314,'Hack Database'!$A:$J,2,FALSE),"")</f>
      </c>
      <c r="D314" s="113" t="str">
        <f>IFERROR(VLOOKUP($B314,'Hack Database'!$A:$J,3,FALSE),"")</f>
      </c>
      <c r="E314" s="125" t="str">
        <f>IFERROR(VLOOKUP($B314,'Hack Database'!$A:$J,4,FALSE),"")</f>
      </c>
      <c r="F314" s="125" t="str">
        <f>IFERROR(VLOOKUP($B314,'Hack Database'!$A:$J,5,FALSE),"")</f>
      </c>
      <c r="G314" s="113" t="str">
        <f>IFERROR(VLOOKUP($B314,'Hack Database'!$A:$J,6,FALSE),"")</f>
      </c>
      <c r="H314" s="137"/>
      <c r="I314" s="137"/>
      <c r="J314" s="131"/>
      <c r="K314" s="125" t="str">
        <f>IF($B314="","",IF($J314="Yes","100% Complete",IF($H314="","Planned",IF($I314="","In Progress","Finished"))))</f>
      </c>
      <c r="L314" s="143"/>
      <c r="M314" s="131"/>
      <c r="N314" s="155" t="str">
        <f>IFERROR(HYPERLINK(VLOOKUP($B314,'Hack Database'!$A:$J,9,FALSE),"Open Page"),"")</f>
      </c>
      <c r="O314" s="155" t="str">
        <f>IFERROR(HYPERLINK(VLOOKUP($B314,'Hack Database'!$A:$J,10,FALSE),"Download"),"")</f>
      </c>
      <c r="P314" s="149"/>
    </row>
    <row r="315" ht="23" customHeight="1">
      <c r="A315" s="92" t="str">
        <f>IF(C315="","",COUNTIF($C$2:C315,"&lt;&gt;"))</f>
      </c>
      <c r="B315" s="107"/>
      <c r="C315" s="113" t="str">
        <f>IFERROR(VLOOKUP($B315,'Hack Database'!$A:$J,2,FALSE),"")</f>
      </c>
      <c r="D315" s="113" t="str">
        <f>IFERROR(VLOOKUP($B315,'Hack Database'!$A:$J,3,FALSE),"")</f>
      </c>
      <c r="E315" s="125" t="str">
        <f>IFERROR(VLOOKUP($B315,'Hack Database'!$A:$J,4,FALSE),"")</f>
      </c>
      <c r="F315" s="125" t="str">
        <f>IFERROR(VLOOKUP($B315,'Hack Database'!$A:$J,5,FALSE),"")</f>
      </c>
      <c r="G315" s="113" t="str">
        <f>IFERROR(VLOOKUP($B315,'Hack Database'!$A:$J,6,FALSE),"")</f>
      </c>
      <c r="H315" s="137"/>
      <c r="I315" s="137"/>
      <c r="J315" s="131"/>
      <c r="K315" s="125" t="str">
        <f>IF($B315="","",IF($J315="Yes","100% Complete",IF($H315="","Planned",IF($I315="","In Progress","Finished"))))</f>
      </c>
      <c r="L315" s="143"/>
      <c r="M315" s="131"/>
      <c r="N315" s="155" t="str">
        <f>IFERROR(HYPERLINK(VLOOKUP($B315,'Hack Database'!$A:$J,9,FALSE),"Open Page"),"")</f>
      </c>
      <c r="O315" s="155" t="str">
        <f>IFERROR(HYPERLINK(VLOOKUP($B315,'Hack Database'!$A:$J,10,FALSE),"Download"),"")</f>
      </c>
      <c r="P315" s="149"/>
    </row>
    <row r="316" ht="23" customHeight="1">
      <c r="A316" s="92" t="str">
        <f>IF(C316="","",COUNTIF($C$2:C316,"&lt;&gt;"))</f>
      </c>
      <c r="B316" s="107"/>
      <c r="C316" s="113" t="str">
        <f>IFERROR(VLOOKUP($B316,'Hack Database'!$A:$J,2,FALSE),"")</f>
      </c>
      <c r="D316" s="113" t="str">
        <f>IFERROR(VLOOKUP($B316,'Hack Database'!$A:$J,3,FALSE),"")</f>
      </c>
      <c r="E316" s="125" t="str">
        <f>IFERROR(VLOOKUP($B316,'Hack Database'!$A:$J,4,FALSE),"")</f>
      </c>
      <c r="F316" s="125" t="str">
        <f>IFERROR(VLOOKUP($B316,'Hack Database'!$A:$J,5,FALSE),"")</f>
      </c>
      <c r="G316" s="113" t="str">
        <f>IFERROR(VLOOKUP($B316,'Hack Database'!$A:$J,6,FALSE),"")</f>
      </c>
      <c r="H316" s="137"/>
      <c r="I316" s="137"/>
      <c r="J316" s="131"/>
      <c r="K316" s="125" t="str">
        <f>IF($B316="","",IF($J316="Yes","100% Complete",IF($H316="","Planned",IF($I316="","In Progress","Finished"))))</f>
      </c>
      <c r="L316" s="143"/>
      <c r="M316" s="131"/>
      <c r="N316" s="155" t="str">
        <f>IFERROR(HYPERLINK(VLOOKUP($B316,'Hack Database'!$A:$J,9,FALSE),"Open Page"),"")</f>
      </c>
      <c r="O316" s="155" t="str">
        <f>IFERROR(HYPERLINK(VLOOKUP($B316,'Hack Database'!$A:$J,10,FALSE),"Download"),"")</f>
      </c>
      <c r="P316" s="149"/>
    </row>
    <row r="317" ht="23" customHeight="1">
      <c r="A317" s="92" t="str">
        <f>IF(C317="","",COUNTIF($C$2:C317,"&lt;&gt;"))</f>
      </c>
      <c r="B317" s="107"/>
      <c r="C317" s="113" t="str">
        <f>IFERROR(VLOOKUP($B317,'Hack Database'!$A:$J,2,FALSE),"")</f>
      </c>
      <c r="D317" s="113" t="str">
        <f>IFERROR(VLOOKUP($B317,'Hack Database'!$A:$J,3,FALSE),"")</f>
      </c>
      <c r="E317" s="125" t="str">
        <f>IFERROR(VLOOKUP($B317,'Hack Database'!$A:$J,4,FALSE),"")</f>
      </c>
      <c r="F317" s="125" t="str">
        <f>IFERROR(VLOOKUP($B317,'Hack Database'!$A:$J,5,FALSE),"")</f>
      </c>
      <c r="G317" s="113" t="str">
        <f>IFERROR(VLOOKUP($B317,'Hack Database'!$A:$J,6,FALSE),"")</f>
      </c>
      <c r="H317" s="137"/>
      <c r="I317" s="137"/>
      <c r="J317" s="131"/>
      <c r="K317" s="125" t="str">
        <f>IF($B317="","",IF($J317="Yes","100% Complete",IF($H317="","Planned",IF($I317="","In Progress","Finished"))))</f>
      </c>
      <c r="L317" s="143"/>
      <c r="M317" s="131"/>
      <c r="N317" s="155" t="str">
        <f>IFERROR(HYPERLINK(VLOOKUP($B317,'Hack Database'!$A:$J,9,FALSE),"Open Page"),"")</f>
      </c>
      <c r="O317" s="155" t="str">
        <f>IFERROR(HYPERLINK(VLOOKUP($B317,'Hack Database'!$A:$J,10,FALSE),"Download"),"")</f>
      </c>
      <c r="P317" s="149"/>
    </row>
    <row r="318" ht="23" customHeight="1">
      <c r="A318" s="92" t="str">
        <f>IF(C318="","",COUNTIF($C$2:C318,"&lt;&gt;"))</f>
      </c>
      <c r="B318" s="107"/>
      <c r="C318" s="113" t="str">
        <f>IFERROR(VLOOKUP($B318,'Hack Database'!$A:$J,2,FALSE),"")</f>
      </c>
      <c r="D318" s="113" t="str">
        <f>IFERROR(VLOOKUP($B318,'Hack Database'!$A:$J,3,FALSE),"")</f>
      </c>
      <c r="E318" s="125" t="str">
        <f>IFERROR(VLOOKUP($B318,'Hack Database'!$A:$J,4,FALSE),"")</f>
      </c>
      <c r="F318" s="125" t="str">
        <f>IFERROR(VLOOKUP($B318,'Hack Database'!$A:$J,5,FALSE),"")</f>
      </c>
      <c r="G318" s="113" t="str">
        <f>IFERROR(VLOOKUP($B318,'Hack Database'!$A:$J,6,FALSE),"")</f>
      </c>
      <c r="H318" s="137"/>
      <c r="I318" s="137"/>
      <c r="J318" s="131"/>
      <c r="K318" s="125" t="str">
        <f>IF($B318="","",IF($J318="Yes","100% Complete",IF($H318="","Planned",IF($I318="","In Progress","Finished"))))</f>
      </c>
      <c r="L318" s="143"/>
      <c r="M318" s="131"/>
      <c r="N318" s="155" t="str">
        <f>IFERROR(HYPERLINK(VLOOKUP($B318,'Hack Database'!$A:$J,9,FALSE),"Open Page"),"")</f>
      </c>
      <c r="O318" s="155" t="str">
        <f>IFERROR(HYPERLINK(VLOOKUP($B318,'Hack Database'!$A:$J,10,FALSE),"Download"),"")</f>
      </c>
      <c r="P318" s="149"/>
    </row>
    <row r="319" ht="23" customHeight="1">
      <c r="A319" s="92" t="str">
        <f>IF(C319="","",COUNTIF($C$2:C319,"&lt;&gt;"))</f>
      </c>
      <c r="B319" s="107"/>
      <c r="C319" s="113" t="str">
        <f>IFERROR(VLOOKUP($B319,'Hack Database'!$A:$J,2,FALSE),"")</f>
      </c>
      <c r="D319" s="113" t="str">
        <f>IFERROR(VLOOKUP($B319,'Hack Database'!$A:$J,3,FALSE),"")</f>
      </c>
      <c r="E319" s="125" t="str">
        <f>IFERROR(VLOOKUP($B319,'Hack Database'!$A:$J,4,FALSE),"")</f>
      </c>
      <c r="F319" s="125" t="str">
        <f>IFERROR(VLOOKUP($B319,'Hack Database'!$A:$J,5,FALSE),"")</f>
      </c>
      <c r="G319" s="113" t="str">
        <f>IFERROR(VLOOKUP($B319,'Hack Database'!$A:$J,6,FALSE),"")</f>
      </c>
      <c r="H319" s="137"/>
      <c r="I319" s="137"/>
      <c r="J319" s="131"/>
      <c r="K319" s="125" t="str">
        <f>IF($B319="","",IF($J319="Yes","100% Complete",IF($H319="","Planned",IF($I319="","In Progress","Finished"))))</f>
      </c>
      <c r="L319" s="143"/>
      <c r="M319" s="131"/>
      <c r="N319" s="155" t="str">
        <f>IFERROR(HYPERLINK(VLOOKUP($B319,'Hack Database'!$A:$J,9,FALSE),"Open Page"),"")</f>
      </c>
      <c r="O319" s="155" t="str">
        <f>IFERROR(HYPERLINK(VLOOKUP($B319,'Hack Database'!$A:$J,10,FALSE),"Download"),"")</f>
      </c>
      <c r="P319" s="149"/>
    </row>
    <row r="320" ht="23" customHeight="1">
      <c r="A320" s="92" t="str">
        <f>IF(C320="","",COUNTIF($C$2:C320,"&lt;&gt;"))</f>
      </c>
      <c r="B320" s="107"/>
      <c r="C320" s="113" t="str">
        <f>IFERROR(VLOOKUP($B320,'Hack Database'!$A:$J,2,FALSE),"")</f>
      </c>
      <c r="D320" s="113" t="str">
        <f>IFERROR(VLOOKUP($B320,'Hack Database'!$A:$J,3,FALSE),"")</f>
      </c>
      <c r="E320" s="125" t="str">
        <f>IFERROR(VLOOKUP($B320,'Hack Database'!$A:$J,4,FALSE),"")</f>
      </c>
      <c r="F320" s="125" t="str">
        <f>IFERROR(VLOOKUP($B320,'Hack Database'!$A:$J,5,FALSE),"")</f>
      </c>
      <c r="G320" s="113" t="str">
        <f>IFERROR(VLOOKUP($B320,'Hack Database'!$A:$J,6,FALSE),"")</f>
      </c>
      <c r="H320" s="137"/>
      <c r="I320" s="137"/>
      <c r="J320" s="131"/>
      <c r="K320" s="125" t="str">
        <f>IF($B320="","",IF($J320="Yes","100% Complete",IF($H320="","Planned",IF($I320="","In Progress","Finished"))))</f>
      </c>
      <c r="L320" s="143"/>
      <c r="M320" s="131"/>
      <c r="N320" s="155" t="str">
        <f>IFERROR(HYPERLINK(VLOOKUP($B320,'Hack Database'!$A:$J,9,FALSE),"Open Page"),"")</f>
      </c>
      <c r="O320" s="155" t="str">
        <f>IFERROR(HYPERLINK(VLOOKUP($B320,'Hack Database'!$A:$J,10,FALSE),"Download"),"")</f>
      </c>
      <c r="P320" s="149"/>
    </row>
    <row r="321" ht="23" customHeight="1">
      <c r="A321" s="92" t="str">
        <f>IF(C321="","",COUNTIF($C$2:C321,"&lt;&gt;"))</f>
      </c>
      <c r="B321" s="107"/>
      <c r="C321" s="113" t="str">
        <f>IFERROR(VLOOKUP($B321,'Hack Database'!$A:$J,2,FALSE),"")</f>
      </c>
      <c r="D321" s="113" t="str">
        <f>IFERROR(VLOOKUP($B321,'Hack Database'!$A:$J,3,FALSE),"")</f>
      </c>
      <c r="E321" s="125" t="str">
        <f>IFERROR(VLOOKUP($B321,'Hack Database'!$A:$J,4,FALSE),"")</f>
      </c>
      <c r="F321" s="125" t="str">
        <f>IFERROR(VLOOKUP($B321,'Hack Database'!$A:$J,5,FALSE),"")</f>
      </c>
      <c r="G321" s="113" t="str">
        <f>IFERROR(VLOOKUP($B321,'Hack Database'!$A:$J,6,FALSE),"")</f>
      </c>
      <c r="H321" s="137"/>
      <c r="I321" s="137"/>
      <c r="J321" s="131"/>
      <c r="K321" s="125" t="str">
        <f>IF($B321="","",IF($J321="Yes","100% Complete",IF($H321="","Planned",IF($I321="","In Progress","Finished"))))</f>
      </c>
      <c r="L321" s="143"/>
      <c r="M321" s="131"/>
      <c r="N321" s="155" t="str">
        <f>IFERROR(HYPERLINK(VLOOKUP($B321,'Hack Database'!$A:$J,9,FALSE),"Open Page"),"")</f>
      </c>
      <c r="O321" s="155" t="str">
        <f>IFERROR(HYPERLINK(VLOOKUP($B321,'Hack Database'!$A:$J,10,FALSE),"Download"),"")</f>
      </c>
      <c r="P321" s="149"/>
    </row>
    <row r="322" ht="23" customHeight="1">
      <c r="A322" s="92" t="str">
        <f>IF(C322="","",COUNTIF($C$2:C322,"&lt;&gt;"))</f>
      </c>
      <c r="B322" s="107"/>
      <c r="C322" s="113" t="str">
        <f>IFERROR(VLOOKUP($B322,'Hack Database'!$A:$J,2,FALSE),"")</f>
      </c>
      <c r="D322" s="113" t="str">
        <f>IFERROR(VLOOKUP($B322,'Hack Database'!$A:$J,3,FALSE),"")</f>
      </c>
      <c r="E322" s="125" t="str">
        <f>IFERROR(VLOOKUP($B322,'Hack Database'!$A:$J,4,FALSE),"")</f>
      </c>
      <c r="F322" s="125" t="str">
        <f>IFERROR(VLOOKUP($B322,'Hack Database'!$A:$J,5,FALSE),"")</f>
      </c>
      <c r="G322" s="113" t="str">
        <f>IFERROR(VLOOKUP($B322,'Hack Database'!$A:$J,6,FALSE),"")</f>
      </c>
      <c r="H322" s="137"/>
      <c r="I322" s="137"/>
      <c r="J322" s="131"/>
      <c r="K322" s="125" t="str">
        <f>IF($B322="","",IF($J322="Yes","100% Complete",IF($H322="","Planned",IF($I322="","In Progress","Finished"))))</f>
      </c>
      <c r="L322" s="143"/>
      <c r="M322" s="131"/>
      <c r="N322" s="155" t="str">
        <f>IFERROR(HYPERLINK(VLOOKUP($B322,'Hack Database'!$A:$J,9,FALSE),"Open Page"),"")</f>
      </c>
      <c r="O322" s="155" t="str">
        <f>IFERROR(HYPERLINK(VLOOKUP($B322,'Hack Database'!$A:$J,10,FALSE),"Download"),"")</f>
      </c>
      <c r="P322" s="149"/>
    </row>
    <row r="323" ht="23" customHeight="1">
      <c r="A323" s="92" t="str">
        <f>IF(C323="","",COUNTIF($C$2:C323,"&lt;&gt;"))</f>
      </c>
      <c r="B323" s="107"/>
      <c r="C323" s="113" t="str">
        <f>IFERROR(VLOOKUP($B323,'Hack Database'!$A:$J,2,FALSE),"")</f>
      </c>
      <c r="D323" s="113" t="str">
        <f>IFERROR(VLOOKUP($B323,'Hack Database'!$A:$J,3,FALSE),"")</f>
      </c>
      <c r="E323" s="125" t="str">
        <f>IFERROR(VLOOKUP($B323,'Hack Database'!$A:$J,4,FALSE),"")</f>
      </c>
      <c r="F323" s="125" t="str">
        <f>IFERROR(VLOOKUP($B323,'Hack Database'!$A:$J,5,FALSE),"")</f>
      </c>
      <c r="G323" s="113" t="str">
        <f>IFERROR(VLOOKUP($B323,'Hack Database'!$A:$J,6,FALSE),"")</f>
      </c>
      <c r="H323" s="137"/>
      <c r="I323" s="137"/>
      <c r="J323" s="131"/>
      <c r="K323" s="125" t="str">
        <f>IF($B323="","",IF($J323="Yes","100% Complete",IF($H323="","Planned",IF($I323="","In Progress","Finished"))))</f>
      </c>
      <c r="L323" s="143"/>
      <c r="M323" s="131"/>
      <c r="N323" s="155" t="str">
        <f>IFERROR(HYPERLINK(VLOOKUP($B323,'Hack Database'!$A:$J,9,FALSE),"Open Page"),"")</f>
      </c>
      <c r="O323" s="155" t="str">
        <f>IFERROR(HYPERLINK(VLOOKUP($B323,'Hack Database'!$A:$J,10,FALSE),"Download"),"")</f>
      </c>
      <c r="P323" s="149"/>
    </row>
    <row r="324" ht="23" customHeight="1">
      <c r="A324" s="92" t="str">
        <f>IF(C324="","",COUNTIF($C$2:C324,"&lt;&gt;"))</f>
      </c>
      <c r="B324" s="107"/>
      <c r="C324" s="113" t="str">
        <f>IFERROR(VLOOKUP($B324,'Hack Database'!$A:$J,2,FALSE),"")</f>
      </c>
      <c r="D324" s="113" t="str">
        <f>IFERROR(VLOOKUP($B324,'Hack Database'!$A:$J,3,FALSE),"")</f>
      </c>
      <c r="E324" s="125" t="str">
        <f>IFERROR(VLOOKUP($B324,'Hack Database'!$A:$J,4,FALSE),"")</f>
      </c>
      <c r="F324" s="125" t="str">
        <f>IFERROR(VLOOKUP($B324,'Hack Database'!$A:$J,5,FALSE),"")</f>
      </c>
      <c r="G324" s="113" t="str">
        <f>IFERROR(VLOOKUP($B324,'Hack Database'!$A:$J,6,FALSE),"")</f>
      </c>
      <c r="H324" s="137"/>
      <c r="I324" s="137"/>
      <c r="J324" s="131"/>
      <c r="K324" s="125" t="str">
        <f>IF($B324="","",IF($J324="Yes","100% Complete",IF($H324="","Planned",IF($I324="","In Progress","Finished"))))</f>
      </c>
      <c r="L324" s="143"/>
      <c r="M324" s="131"/>
      <c r="N324" s="155" t="str">
        <f>IFERROR(HYPERLINK(VLOOKUP($B324,'Hack Database'!$A:$J,9,FALSE),"Open Page"),"")</f>
      </c>
      <c r="O324" s="155" t="str">
        <f>IFERROR(HYPERLINK(VLOOKUP($B324,'Hack Database'!$A:$J,10,FALSE),"Download"),"")</f>
      </c>
      <c r="P324" s="149"/>
    </row>
    <row r="325" ht="23" customHeight="1">
      <c r="A325" s="92" t="str">
        <f>IF(C325="","",COUNTIF($C$2:C325,"&lt;&gt;"))</f>
      </c>
      <c r="B325" s="107"/>
      <c r="C325" s="113" t="str">
        <f>IFERROR(VLOOKUP($B325,'Hack Database'!$A:$J,2,FALSE),"")</f>
      </c>
      <c r="D325" s="113" t="str">
        <f>IFERROR(VLOOKUP($B325,'Hack Database'!$A:$J,3,FALSE),"")</f>
      </c>
      <c r="E325" s="125" t="str">
        <f>IFERROR(VLOOKUP($B325,'Hack Database'!$A:$J,4,FALSE),"")</f>
      </c>
      <c r="F325" s="125" t="str">
        <f>IFERROR(VLOOKUP($B325,'Hack Database'!$A:$J,5,FALSE),"")</f>
      </c>
      <c r="G325" s="113" t="str">
        <f>IFERROR(VLOOKUP($B325,'Hack Database'!$A:$J,6,FALSE),"")</f>
      </c>
      <c r="H325" s="137"/>
      <c r="I325" s="137"/>
      <c r="J325" s="131"/>
      <c r="K325" s="125" t="str">
        <f>IF($B325="","",IF($J325="Yes","100% Complete",IF($H325="","Planned",IF($I325="","In Progress","Finished"))))</f>
      </c>
      <c r="L325" s="143"/>
      <c r="M325" s="131"/>
      <c r="N325" s="155" t="str">
        <f>IFERROR(HYPERLINK(VLOOKUP($B325,'Hack Database'!$A:$J,9,FALSE),"Open Page"),"")</f>
      </c>
      <c r="O325" s="155" t="str">
        <f>IFERROR(HYPERLINK(VLOOKUP($B325,'Hack Database'!$A:$J,10,FALSE),"Download"),"")</f>
      </c>
      <c r="P325" s="149"/>
    </row>
    <row r="326" ht="23" customHeight="1">
      <c r="A326" s="92" t="str">
        <f>IF(C326="","",COUNTIF($C$2:C326,"&lt;&gt;"))</f>
      </c>
      <c r="B326" s="107"/>
      <c r="C326" s="113" t="str">
        <f>IFERROR(VLOOKUP($B326,'Hack Database'!$A:$J,2,FALSE),"")</f>
      </c>
      <c r="D326" s="113" t="str">
        <f>IFERROR(VLOOKUP($B326,'Hack Database'!$A:$J,3,FALSE),"")</f>
      </c>
      <c r="E326" s="125" t="str">
        <f>IFERROR(VLOOKUP($B326,'Hack Database'!$A:$J,4,FALSE),"")</f>
      </c>
      <c r="F326" s="125" t="str">
        <f>IFERROR(VLOOKUP($B326,'Hack Database'!$A:$J,5,FALSE),"")</f>
      </c>
      <c r="G326" s="113" t="str">
        <f>IFERROR(VLOOKUP($B326,'Hack Database'!$A:$J,6,FALSE),"")</f>
      </c>
      <c r="H326" s="137"/>
      <c r="I326" s="137"/>
      <c r="J326" s="131"/>
      <c r="K326" s="125" t="str">
        <f>IF($B326="","",IF($J326="Yes","100% Complete",IF($H326="","Planned",IF($I326="","In Progress","Finished"))))</f>
      </c>
      <c r="L326" s="143"/>
      <c r="M326" s="131"/>
      <c r="N326" s="155" t="str">
        <f>IFERROR(HYPERLINK(VLOOKUP($B326,'Hack Database'!$A:$J,9,FALSE),"Open Page"),"")</f>
      </c>
      <c r="O326" s="155" t="str">
        <f>IFERROR(HYPERLINK(VLOOKUP($B326,'Hack Database'!$A:$J,10,FALSE),"Download"),"")</f>
      </c>
      <c r="P326" s="149"/>
    </row>
    <row r="327" ht="23" customHeight="1">
      <c r="A327" s="92" t="str">
        <f>IF(C327="","",COUNTIF($C$2:C327,"&lt;&gt;"))</f>
      </c>
      <c r="B327" s="107"/>
      <c r="C327" s="113" t="str">
        <f>IFERROR(VLOOKUP($B327,'Hack Database'!$A:$J,2,FALSE),"")</f>
      </c>
      <c r="D327" s="113" t="str">
        <f>IFERROR(VLOOKUP($B327,'Hack Database'!$A:$J,3,FALSE),"")</f>
      </c>
      <c r="E327" s="125" t="str">
        <f>IFERROR(VLOOKUP($B327,'Hack Database'!$A:$J,4,FALSE),"")</f>
      </c>
      <c r="F327" s="125" t="str">
        <f>IFERROR(VLOOKUP($B327,'Hack Database'!$A:$J,5,FALSE),"")</f>
      </c>
      <c r="G327" s="113" t="str">
        <f>IFERROR(VLOOKUP($B327,'Hack Database'!$A:$J,6,FALSE),"")</f>
      </c>
      <c r="H327" s="137"/>
      <c r="I327" s="137"/>
      <c r="J327" s="131"/>
      <c r="K327" s="125" t="str">
        <f>IF($B327="","",IF($J327="Yes","100% Complete",IF($H327="","Planned",IF($I327="","In Progress","Finished"))))</f>
      </c>
      <c r="L327" s="143"/>
      <c r="M327" s="131"/>
      <c r="N327" s="155" t="str">
        <f>IFERROR(HYPERLINK(VLOOKUP($B327,'Hack Database'!$A:$J,9,FALSE),"Open Page"),"")</f>
      </c>
      <c r="O327" s="155" t="str">
        <f>IFERROR(HYPERLINK(VLOOKUP($B327,'Hack Database'!$A:$J,10,FALSE),"Download"),"")</f>
      </c>
      <c r="P327" s="149"/>
    </row>
    <row r="328" ht="23" customHeight="1">
      <c r="A328" s="92" t="str">
        <f>IF(C328="","",COUNTIF($C$2:C328,"&lt;&gt;"))</f>
      </c>
      <c r="B328" s="107"/>
      <c r="C328" s="113" t="str">
        <f>IFERROR(VLOOKUP($B328,'Hack Database'!$A:$J,2,FALSE),"")</f>
      </c>
      <c r="D328" s="113" t="str">
        <f>IFERROR(VLOOKUP($B328,'Hack Database'!$A:$J,3,FALSE),"")</f>
      </c>
      <c r="E328" s="125" t="str">
        <f>IFERROR(VLOOKUP($B328,'Hack Database'!$A:$J,4,FALSE),"")</f>
      </c>
      <c r="F328" s="125" t="str">
        <f>IFERROR(VLOOKUP($B328,'Hack Database'!$A:$J,5,FALSE),"")</f>
      </c>
      <c r="G328" s="113" t="str">
        <f>IFERROR(VLOOKUP($B328,'Hack Database'!$A:$J,6,FALSE),"")</f>
      </c>
      <c r="H328" s="137"/>
      <c r="I328" s="137"/>
      <c r="J328" s="131"/>
      <c r="K328" s="125" t="str">
        <f>IF($B328="","",IF($J328="Yes","100% Complete",IF($H328="","Planned",IF($I328="","In Progress","Finished"))))</f>
      </c>
      <c r="L328" s="143"/>
      <c r="M328" s="131"/>
      <c r="N328" s="155" t="str">
        <f>IFERROR(HYPERLINK(VLOOKUP($B328,'Hack Database'!$A:$J,9,FALSE),"Open Page"),"")</f>
      </c>
      <c r="O328" s="155" t="str">
        <f>IFERROR(HYPERLINK(VLOOKUP($B328,'Hack Database'!$A:$J,10,FALSE),"Download"),"")</f>
      </c>
      <c r="P328" s="149"/>
    </row>
    <row r="329" ht="23" customHeight="1">
      <c r="A329" s="92" t="str">
        <f>IF(C329="","",COUNTIF($C$2:C329,"&lt;&gt;"))</f>
      </c>
      <c r="B329" s="107"/>
      <c r="C329" s="113" t="str">
        <f>IFERROR(VLOOKUP($B329,'Hack Database'!$A:$J,2,FALSE),"")</f>
      </c>
      <c r="D329" s="113" t="str">
        <f>IFERROR(VLOOKUP($B329,'Hack Database'!$A:$J,3,FALSE),"")</f>
      </c>
      <c r="E329" s="125" t="str">
        <f>IFERROR(VLOOKUP($B329,'Hack Database'!$A:$J,4,FALSE),"")</f>
      </c>
      <c r="F329" s="125" t="str">
        <f>IFERROR(VLOOKUP($B329,'Hack Database'!$A:$J,5,FALSE),"")</f>
      </c>
      <c r="G329" s="113" t="str">
        <f>IFERROR(VLOOKUP($B329,'Hack Database'!$A:$J,6,FALSE),"")</f>
      </c>
      <c r="H329" s="137"/>
      <c r="I329" s="137"/>
      <c r="J329" s="131"/>
      <c r="K329" s="125" t="str">
        <f>IF($B329="","",IF($J329="Yes","100% Complete",IF($H329="","Planned",IF($I329="","In Progress","Finished"))))</f>
      </c>
      <c r="L329" s="143"/>
      <c r="M329" s="131"/>
      <c r="N329" s="155" t="str">
        <f>IFERROR(HYPERLINK(VLOOKUP($B329,'Hack Database'!$A:$J,9,FALSE),"Open Page"),"")</f>
      </c>
      <c r="O329" s="155" t="str">
        <f>IFERROR(HYPERLINK(VLOOKUP($B329,'Hack Database'!$A:$J,10,FALSE),"Download"),"")</f>
      </c>
      <c r="P329" s="149"/>
    </row>
    <row r="330" ht="23" customHeight="1">
      <c r="A330" s="92" t="str">
        <f>IF(C330="","",COUNTIF($C$2:C330,"&lt;&gt;"))</f>
      </c>
      <c r="B330" s="107"/>
      <c r="C330" s="113" t="str">
        <f>IFERROR(VLOOKUP($B330,'Hack Database'!$A:$J,2,FALSE),"")</f>
      </c>
      <c r="D330" s="113" t="str">
        <f>IFERROR(VLOOKUP($B330,'Hack Database'!$A:$J,3,FALSE),"")</f>
      </c>
      <c r="E330" s="125" t="str">
        <f>IFERROR(VLOOKUP($B330,'Hack Database'!$A:$J,4,FALSE),"")</f>
      </c>
      <c r="F330" s="125" t="str">
        <f>IFERROR(VLOOKUP($B330,'Hack Database'!$A:$J,5,FALSE),"")</f>
      </c>
      <c r="G330" s="113" t="str">
        <f>IFERROR(VLOOKUP($B330,'Hack Database'!$A:$J,6,FALSE),"")</f>
      </c>
      <c r="H330" s="137"/>
      <c r="I330" s="137"/>
      <c r="J330" s="131"/>
      <c r="K330" s="125" t="str">
        <f>IF($B330="","",IF($J330="Yes","100% Complete",IF($H330="","Planned",IF($I330="","In Progress","Finished"))))</f>
      </c>
      <c r="L330" s="143"/>
      <c r="M330" s="131"/>
      <c r="N330" s="155" t="str">
        <f>IFERROR(HYPERLINK(VLOOKUP($B330,'Hack Database'!$A:$J,9,FALSE),"Open Page"),"")</f>
      </c>
      <c r="O330" s="155" t="str">
        <f>IFERROR(HYPERLINK(VLOOKUP($B330,'Hack Database'!$A:$J,10,FALSE),"Download"),"")</f>
      </c>
      <c r="P330" s="149"/>
    </row>
    <row r="331" ht="23" customHeight="1">
      <c r="A331" s="92" t="str">
        <f>IF(C331="","",COUNTIF($C$2:C331,"&lt;&gt;"))</f>
      </c>
      <c r="B331" s="107"/>
      <c r="C331" s="113" t="str">
        <f>IFERROR(VLOOKUP($B331,'Hack Database'!$A:$J,2,FALSE),"")</f>
      </c>
      <c r="D331" s="113" t="str">
        <f>IFERROR(VLOOKUP($B331,'Hack Database'!$A:$J,3,FALSE),"")</f>
      </c>
      <c r="E331" s="125" t="str">
        <f>IFERROR(VLOOKUP($B331,'Hack Database'!$A:$J,4,FALSE),"")</f>
      </c>
      <c r="F331" s="125" t="str">
        <f>IFERROR(VLOOKUP($B331,'Hack Database'!$A:$J,5,FALSE),"")</f>
      </c>
      <c r="G331" s="113" t="str">
        <f>IFERROR(VLOOKUP($B331,'Hack Database'!$A:$J,6,FALSE),"")</f>
      </c>
      <c r="H331" s="137"/>
      <c r="I331" s="137"/>
      <c r="J331" s="131"/>
      <c r="K331" s="125" t="str">
        <f>IF($B331="","",IF($J331="Yes","100% Complete",IF($H331="","Planned",IF($I331="","In Progress","Finished"))))</f>
      </c>
      <c r="L331" s="143"/>
      <c r="M331" s="131"/>
      <c r="N331" s="155" t="str">
        <f>IFERROR(HYPERLINK(VLOOKUP($B331,'Hack Database'!$A:$J,9,FALSE),"Open Page"),"")</f>
      </c>
      <c r="O331" s="155" t="str">
        <f>IFERROR(HYPERLINK(VLOOKUP($B331,'Hack Database'!$A:$J,10,FALSE),"Download"),"")</f>
      </c>
      <c r="P331" s="149"/>
    </row>
    <row r="332" ht="23" customHeight="1">
      <c r="A332" s="92" t="str">
        <f>IF(C332="","",COUNTIF($C$2:C332,"&lt;&gt;"))</f>
      </c>
      <c r="B332" s="107"/>
      <c r="C332" s="113" t="str">
        <f>IFERROR(VLOOKUP($B332,'Hack Database'!$A:$J,2,FALSE),"")</f>
      </c>
      <c r="D332" s="113" t="str">
        <f>IFERROR(VLOOKUP($B332,'Hack Database'!$A:$J,3,FALSE),"")</f>
      </c>
      <c r="E332" s="125" t="str">
        <f>IFERROR(VLOOKUP($B332,'Hack Database'!$A:$J,4,FALSE),"")</f>
      </c>
      <c r="F332" s="125" t="str">
        <f>IFERROR(VLOOKUP($B332,'Hack Database'!$A:$J,5,FALSE),"")</f>
      </c>
      <c r="G332" s="113" t="str">
        <f>IFERROR(VLOOKUP($B332,'Hack Database'!$A:$J,6,FALSE),"")</f>
      </c>
      <c r="H332" s="137"/>
      <c r="I332" s="137"/>
      <c r="J332" s="131"/>
      <c r="K332" s="125" t="str">
        <f>IF($B332="","",IF($J332="Yes","100% Complete",IF($H332="","Planned",IF($I332="","In Progress","Finished"))))</f>
      </c>
      <c r="L332" s="143"/>
      <c r="M332" s="131"/>
      <c r="N332" s="155" t="str">
        <f>IFERROR(HYPERLINK(VLOOKUP($B332,'Hack Database'!$A:$J,9,FALSE),"Open Page"),"")</f>
      </c>
      <c r="O332" s="155" t="str">
        <f>IFERROR(HYPERLINK(VLOOKUP($B332,'Hack Database'!$A:$J,10,FALSE),"Download"),"")</f>
      </c>
      <c r="P332" s="149"/>
    </row>
    <row r="333" ht="23" customHeight="1">
      <c r="A333" s="92" t="str">
        <f>IF(C333="","",COUNTIF($C$2:C333,"&lt;&gt;"))</f>
      </c>
      <c r="B333" s="107"/>
      <c r="C333" s="113" t="str">
        <f>IFERROR(VLOOKUP($B333,'Hack Database'!$A:$J,2,FALSE),"")</f>
      </c>
      <c r="D333" s="113" t="str">
        <f>IFERROR(VLOOKUP($B333,'Hack Database'!$A:$J,3,FALSE),"")</f>
      </c>
      <c r="E333" s="125" t="str">
        <f>IFERROR(VLOOKUP($B333,'Hack Database'!$A:$J,4,FALSE),"")</f>
      </c>
      <c r="F333" s="125" t="str">
        <f>IFERROR(VLOOKUP($B333,'Hack Database'!$A:$J,5,FALSE),"")</f>
      </c>
      <c r="G333" s="113" t="str">
        <f>IFERROR(VLOOKUP($B333,'Hack Database'!$A:$J,6,FALSE),"")</f>
      </c>
      <c r="H333" s="137"/>
      <c r="I333" s="137"/>
      <c r="J333" s="131"/>
      <c r="K333" s="125" t="str">
        <f>IF($B333="","",IF($J333="Yes","100% Complete",IF($H333="","Planned",IF($I333="","In Progress","Finished"))))</f>
      </c>
      <c r="L333" s="143"/>
      <c r="M333" s="131"/>
      <c r="N333" s="155" t="str">
        <f>IFERROR(HYPERLINK(VLOOKUP($B333,'Hack Database'!$A:$J,9,FALSE),"Open Page"),"")</f>
      </c>
      <c r="O333" s="155" t="str">
        <f>IFERROR(HYPERLINK(VLOOKUP($B333,'Hack Database'!$A:$J,10,FALSE),"Download"),"")</f>
      </c>
      <c r="P333" s="149"/>
    </row>
    <row r="334" ht="23" customHeight="1">
      <c r="A334" s="92" t="str">
        <f>IF(C334="","",COUNTIF($C$2:C334,"&lt;&gt;"))</f>
      </c>
      <c r="B334" s="107"/>
      <c r="C334" s="113" t="str">
        <f>IFERROR(VLOOKUP($B334,'Hack Database'!$A:$J,2,FALSE),"")</f>
      </c>
      <c r="D334" s="113" t="str">
        <f>IFERROR(VLOOKUP($B334,'Hack Database'!$A:$J,3,FALSE),"")</f>
      </c>
      <c r="E334" s="125" t="str">
        <f>IFERROR(VLOOKUP($B334,'Hack Database'!$A:$J,4,FALSE),"")</f>
      </c>
      <c r="F334" s="125" t="str">
        <f>IFERROR(VLOOKUP($B334,'Hack Database'!$A:$J,5,FALSE),"")</f>
      </c>
      <c r="G334" s="113" t="str">
        <f>IFERROR(VLOOKUP($B334,'Hack Database'!$A:$J,6,FALSE),"")</f>
      </c>
      <c r="H334" s="137"/>
      <c r="I334" s="137"/>
      <c r="J334" s="131"/>
      <c r="K334" s="125" t="str">
        <f>IF($B334="","",IF($J334="Yes","100% Complete",IF($H334="","Planned",IF($I334="","In Progress","Finished"))))</f>
      </c>
      <c r="L334" s="143"/>
      <c r="M334" s="131"/>
      <c r="N334" s="155" t="str">
        <f>IFERROR(HYPERLINK(VLOOKUP($B334,'Hack Database'!$A:$J,9,FALSE),"Open Page"),"")</f>
      </c>
      <c r="O334" s="155" t="str">
        <f>IFERROR(HYPERLINK(VLOOKUP($B334,'Hack Database'!$A:$J,10,FALSE),"Download"),"")</f>
      </c>
      <c r="P334" s="149"/>
    </row>
    <row r="335" ht="23" customHeight="1">
      <c r="A335" s="92" t="str">
        <f>IF(C335="","",COUNTIF($C$2:C335,"&lt;&gt;"))</f>
      </c>
      <c r="B335" s="107"/>
      <c r="C335" s="113" t="str">
        <f>IFERROR(VLOOKUP($B335,'Hack Database'!$A:$J,2,FALSE),"")</f>
      </c>
      <c r="D335" s="113" t="str">
        <f>IFERROR(VLOOKUP($B335,'Hack Database'!$A:$J,3,FALSE),"")</f>
      </c>
      <c r="E335" s="125" t="str">
        <f>IFERROR(VLOOKUP($B335,'Hack Database'!$A:$J,4,FALSE),"")</f>
      </c>
      <c r="F335" s="125" t="str">
        <f>IFERROR(VLOOKUP($B335,'Hack Database'!$A:$J,5,FALSE),"")</f>
      </c>
      <c r="G335" s="113" t="str">
        <f>IFERROR(VLOOKUP($B335,'Hack Database'!$A:$J,6,FALSE),"")</f>
      </c>
      <c r="H335" s="137"/>
      <c r="I335" s="137"/>
      <c r="J335" s="131"/>
      <c r="K335" s="125" t="str">
        <f>IF($B335="","",IF($J335="Yes","100% Complete",IF($H335="","Planned",IF($I335="","In Progress","Finished"))))</f>
      </c>
      <c r="L335" s="143"/>
      <c r="M335" s="131"/>
      <c r="N335" s="155" t="str">
        <f>IFERROR(HYPERLINK(VLOOKUP($B335,'Hack Database'!$A:$J,9,FALSE),"Open Page"),"")</f>
      </c>
      <c r="O335" s="155" t="str">
        <f>IFERROR(HYPERLINK(VLOOKUP($B335,'Hack Database'!$A:$J,10,FALSE),"Download"),"")</f>
      </c>
      <c r="P335" s="149"/>
    </row>
    <row r="336" ht="23" customHeight="1">
      <c r="A336" s="92" t="str">
        <f>IF(C336="","",COUNTIF($C$2:C336,"&lt;&gt;"))</f>
      </c>
      <c r="B336" s="107"/>
      <c r="C336" s="113" t="str">
        <f>IFERROR(VLOOKUP($B336,'Hack Database'!$A:$J,2,FALSE),"")</f>
      </c>
      <c r="D336" s="113" t="str">
        <f>IFERROR(VLOOKUP($B336,'Hack Database'!$A:$J,3,FALSE),"")</f>
      </c>
      <c r="E336" s="125" t="str">
        <f>IFERROR(VLOOKUP($B336,'Hack Database'!$A:$J,4,FALSE),"")</f>
      </c>
      <c r="F336" s="125" t="str">
        <f>IFERROR(VLOOKUP($B336,'Hack Database'!$A:$J,5,FALSE),"")</f>
      </c>
      <c r="G336" s="113" t="str">
        <f>IFERROR(VLOOKUP($B336,'Hack Database'!$A:$J,6,FALSE),"")</f>
      </c>
      <c r="H336" s="137"/>
      <c r="I336" s="137"/>
      <c r="J336" s="131"/>
      <c r="K336" s="125" t="str">
        <f>IF($B336="","",IF($J336="Yes","100% Complete",IF($H336="","Planned",IF($I336="","In Progress","Finished"))))</f>
      </c>
      <c r="L336" s="143"/>
      <c r="M336" s="131"/>
      <c r="N336" s="155" t="str">
        <f>IFERROR(HYPERLINK(VLOOKUP($B336,'Hack Database'!$A:$J,9,FALSE),"Open Page"),"")</f>
      </c>
      <c r="O336" s="155" t="str">
        <f>IFERROR(HYPERLINK(VLOOKUP($B336,'Hack Database'!$A:$J,10,FALSE),"Download"),"")</f>
      </c>
      <c r="P336" s="149"/>
    </row>
    <row r="337" ht="23" customHeight="1">
      <c r="A337" s="92" t="str">
        <f>IF(C337="","",COUNTIF($C$2:C337,"&lt;&gt;"))</f>
      </c>
      <c r="B337" s="107"/>
      <c r="C337" s="113" t="str">
        <f>IFERROR(VLOOKUP($B337,'Hack Database'!$A:$J,2,FALSE),"")</f>
      </c>
      <c r="D337" s="113" t="str">
        <f>IFERROR(VLOOKUP($B337,'Hack Database'!$A:$J,3,FALSE),"")</f>
      </c>
      <c r="E337" s="125" t="str">
        <f>IFERROR(VLOOKUP($B337,'Hack Database'!$A:$J,4,FALSE),"")</f>
      </c>
      <c r="F337" s="125" t="str">
        <f>IFERROR(VLOOKUP($B337,'Hack Database'!$A:$J,5,FALSE),"")</f>
      </c>
      <c r="G337" s="113" t="str">
        <f>IFERROR(VLOOKUP($B337,'Hack Database'!$A:$J,6,FALSE),"")</f>
      </c>
      <c r="H337" s="137"/>
      <c r="I337" s="137"/>
      <c r="J337" s="131"/>
      <c r="K337" s="125" t="str">
        <f>IF($B337="","",IF($J337="Yes","100% Complete",IF($H337="","Planned",IF($I337="","In Progress","Finished"))))</f>
      </c>
      <c r="L337" s="143"/>
      <c r="M337" s="131"/>
      <c r="N337" s="155" t="str">
        <f>IFERROR(HYPERLINK(VLOOKUP($B337,'Hack Database'!$A:$J,9,FALSE),"Open Page"),"")</f>
      </c>
      <c r="O337" s="155" t="str">
        <f>IFERROR(HYPERLINK(VLOOKUP($B337,'Hack Database'!$A:$J,10,FALSE),"Download"),"")</f>
      </c>
      <c r="P337" s="149"/>
    </row>
    <row r="338" ht="23" customHeight="1">
      <c r="A338" s="92" t="str">
        <f>IF(C338="","",COUNTIF($C$2:C338,"&lt;&gt;"))</f>
      </c>
      <c r="B338" s="107"/>
      <c r="C338" s="113" t="str">
        <f>IFERROR(VLOOKUP($B338,'Hack Database'!$A:$J,2,FALSE),"")</f>
      </c>
      <c r="D338" s="113" t="str">
        <f>IFERROR(VLOOKUP($B338,'Hack Database'!$A:$J,3,FALSE),"")</f>
      </c>
      <c r="E338" s="125" t="str">
        <f>IFERROR(VLOOKUP($B338,'Hack Database'!$A:$J,4,FALSE),"")</f>
      </c>
      <c r="F338" s="125" t="str">
        <f>IFERROR(VLOOKUP($B338,'Hack Database'!$A:$J,5,FALSE),"")</f>
      </c>
      <c r="G338" s="113" t="str">
        <f>IFERROR(VLOOKUP($B338,'Hack Database'!$A:$J,6,FALSE),"")</f>
      </c>
      <c r="H338" s="137"/>
      <c r="I338" s="137"/>
      <c r="J338" s="131"/>
      <c r="K338" s="125" t="str">
        <f>IF($B338="","",IF($J338="Yes","100% Complete",IF($H338="","Planned",IF($I338="","In Progress","Finished"))))</f>
      </c>
      <c r="L338" s="143"/>
      <c r="M338" s="131"/>
      <c r="N338" s="155" t="str">
        <f>IFERROR(HYPERLINK(VLOOKUP($B338,'Hack Database'!$A:$J,9,FALSE),"Open Page"),"")</f>
      </c>
      <c r="O338" s="155" t="str">
        <f>IFERROR(HYPERLINK(VLOOKUP($B338,'Hack Database'!$A:$J,10,FALSE),"Download"),"")</f>
      </c>
      <c r="P338" s="149"/>
    </row>
    <row r="339" ht="23" customHeight="1">
      <c r="A339" s="92" t="str">
        <f>IF(C339="","",COUNTIF($C$2:C339,"&lt;&gt;"))</f>
      </c>
      <c r="B339" s="107"/>
      <c r="C339" s="113" t="str">
        <f>IFERROR(VLOOKUP($B339,'Hack Database'!$A:$J,2,FALSE),"")</f>
      </c>
      <c r="D339" s="113" t="str">
        <f>IFERROR(VLOOKUP($B339,'Hack Database'!$A:$J,3,FALSE),"")</f>
      </c>
      <c r="E339" s="125" t="str">
        <f>IFERROR(VLOOKUP($B339,'Hack Database'!$A:$J,4,FALSE),"")</f>
      </c>
      <c r="F339" s="125" t="str">
        <f>IFERROR(VLOOKUP($B339,'Hack Database'!$A:$J,5,FALSE),"")</f>
      </c>
      <c r="G339" s="113" t="str">
        <f>IFERROR(VLOOKUP($B339,'Hack Database'!$A:$J,6,FALSE),"")</f>
      </c>
      <c r="H339" s="137"/>
      <c r="I339" s="137"/>
      <c r="J339" s="131"/>
      <c r="K339" s="125" t="str">
        <f>IF($B339="","",IF($J339="Yes","100% Complete",IF($H339="","Planned",IF($I339="","In Progress","Finished"))))</f>
      </c>
      <c r="L339" s="143"/>
      <c r="M339" s="131"/>
      <c r="N339" s="155" t="str">
        <f>IFERROR(HYPERLINK(VLOOKUP($B339,'Hack Database'!$A:$J,9,FALSE),"Open Page"),"")</f>
      </c>
      <c r="O339" s="155" t="str">
        <f>IFERROR(HYPERLINK(VLOOKUP($B339,'Hack Database'!$A:$J,10,FALSE),"Download"),"")</f>
      </c>
      <c r="P339" s="149"/>
    </row>
    <row r="340" ht="23" customHeight="1">
      <c r="A340" s="92" t="str">
        <f>IF(C340="","",COUNTIF($C$2:C340,"&lt;&gt;"))</f>
      </c>
      <c r="B340" s="107"/>
      <c r="C340" s="113" t="str">
        <f>IFERROR(VLOOKUP($B340,'Hack Database'!$A:$J,2,FALSE),"")</f>
      </c>
      <c r="D340" s="113" t="str">
        <f>IFERROR(VLOOKUP($B340,'Hack Database'!$A:$J,3,FALSE),"")</f>
      </c>
      <c r="E340" s="125" t="str">
        <f>IFERROR(VLOOKUP($B340,'Hack Database'!$A:$J,4,FALSE),"")</f>
      </c>
      <c r="F340" s="125" t="str">
        <f>IFERROR(VLOOKUP($B340,'Hack Database'!$A:$J,5,FALSE),"")</f>
      </c>
      <c r="G340" s="113" t="str">
        <f>IFERROR(VLOOKUP($B340,'Hack Database'!$A:$J,6,FALSE),"")</f>
      </c>
      <c r="H340" s="137"/>
      <c r="I340" s="137"/>
      <c r="J340" s="131"/>
      <c r="K340" s="125" t="str">
        <f>IF($B340="","",IF($J340="Yes","100% Complete",IF($H340="","Planned",IF($I340="","In Progress","Finished"))))</f>
      </c>
      <c r="L340" s="143"/>
      <c r="M340" s="131"/>
      <c r="N340" s="155" t="str">
        <f>IFERROR(HYPERLINK(VLOOKUP($B340,'Hack Database'!$A:$J,9,FALSE),"Open Page"),"")</f>
      </c>
      <c r="O340" s="155" t="str">
        <f>IFERROR(HYPERLINK(VLOOKUP($B340,'Hack Database'!$A:$J,10,FALSE),"Download"),"")</f>
      </c>
      <c r="P340" s="149"/>
    </row>
    <row r="341" ht="23" customHeight="1">
      <c r="A341" s="92" t="str">
        <f>IF(C341="","",COUNTIF($C$2:C341,"&lt;&gt;"))</f>
      </c>
      <c r="B341" s="107"/>
      <c r="C341" s="113" t="str">
        <f>IFERROR(VLOOKUP($B341,'Hack Database'!$A:$J,2,FALSE),"")</f>
      </c>
      <c r="D341" s="113" t="str">
        <f>IFERROR(VLOOKUP($B341,'Hack Database'!$A:$J,3,FALSE),"")</f>
      </c>
      <c r="E341" s="125" t="str">
        <f>IFERROR(VLOOKUP($B341,'Hack Database'!$A:$J,4,FALSE),"")</f>
      </c>
      <c r="F341" s="125" t="str">
        <f>IFERROR(VLOOKUP($B341,'Hack Database'!$A:$J,5,FALSE),"")</f>
      </c>
      <c r="G341" s="113" t="str">
        <f>IFERROR(VLOOKUP($B341,'Hack Database'!$A:$J,6,FALSE),"")</f>
      </c>
      <c r="H341" s="137"/>
      <c r="I341" s="137"/>
      <c r="J341" s="131"/>
      <c r="K341" s="125" t="str">
        <f>IF($B341="","",IF($J341="Yes","100% Complete",IF($H341="","Planned",IF($I341="","In Progress","Finished"))))</f>
      </c>
      <c r="L341" s="143"/>
      <c r="M341" s="131"/>
      <c r="N341" s="155" t="str">
        <f>IFERROR(HYPERLINK(VLOOKUP($B341,'Hack Database'!$A:$J,9,FALSE),"Open Page"),"")</f>
      </c>
      <c r="O341" s="155" t="str">
        <f>IFERROR(HYPERLINK(VLOOKUP($B341,'Hack Database'!$A:$J,10,FALSE),"Download"),"")</f>
      </c>
      <c r="P341" s="149"/>
    </row>
    <row r="342" ht="23" customHeight="1">
      <c r="A342" s="92" t="str">
        <f>IF(C342="","",COUNTIF($C$2:C342,"&lt;&gt;"))</f>
      </c>
      <c r="B342" s="107"/>
      <c r="C342" s="113" t="str">
        <f>IFERROR(VLOOKUP($B342,'Hack Database'!$A:$J,2,FALSE),"")</f>
      </c>
      <c r="D342" s="113" t="str">
        <f>IFERROR(VLOOKUP($B342,'Hack Database'!$A:$J,3,FALSE),"")</f>
      </c>
      <c r="E342" s="125" t="str">
        <f>IFERROR(VLOOKUP($B342,'Hack Database'!$A:$J,4,FALSE),"")</f>
      </c>
      <c r="F342" s="125" t="str">
        <f>IFERROR(VLOOKUP($B342,'Hack Database'!$A:$J,5,FALSE),"")</f>
      </c>
      <c r="G342" s="113" t="str">
        <f>IFERROR(VLOOKUP($B342,'Hack Database'!$A:$J,6,FALSE),"")</f>
      </c>
      <c r="H342" s="137"/>
      <c r="I342" s="137"/>
      <c r="J342" s="131"/>
      <c r="K342" s="125" t="str">
        <f>IF($B342="","",IF($J342="Yes","100% Complete",IF($H342="","Planned",IF($I342="","In Progress","Finished"))))</f>
      </c>
      <c r="L342" s="143"/>
      <c r="M342" s="131"/>
      <c r="N342" s="155" t="str">
        <f>IFERROR(HYPERLINK(VLOOKUP($B342,'Hack Database'!$A:$J,9,FALSE),"Open Page"),"")</f>
      </c>
      <c r="O342" s="155" t="str">
        <f>IFERROR(HYPERLINK(VLOOKUP($B342,'Hack Database'!$A:$J,10,FALSE),"Download"),"")</f>
      </c>
      <c r="P342" s="149"/>
    </row>
    <row r="343" ht="23" customHeight="1">
      <c r="A343" s="92" t="str">
        <f>IF(C343="","",COUNTIF($C$2:C343,"&lt;&gt;"))</f>
      </c>
      <c r="B343" s="107"/>
      <c r="C343" s="113" t="str">
        <f>IFERROR(VLOOKUP($B343,'Hack Database'!$A:$J,2,FALSE),"")</f>
      </c>
      <c r="D343" s="113" t="str">
        <f>IFERROR(VLOOKUP($B343,'Hack Database'!$A:$J,3,FALSE),"")</f>
      </c>
      <c r="E343" s="125" t="str">
        <f>IFERROR(VLOOKUP($B343,'Hack Database'!$A:$J,4,FALSE),"")</f>
      </c>
      <c r="F343" s="125" t="str">
        <f>IFERROR(VLOOKUP($B343,'Hack Database'!$A:$J,5,FALSE),"")</f>
      </c>
      <c r="G343" s="113" t="str">
        <f>IFERROR(VLOOKUP($B343,'Hack Database'!$A:$J,6,FALSE),"")</f>
      </c>
      <c r="H343" s="137"/>
      <c r="I343" s="137"/>
      <c r="J343" s="131"/>
      <c r="K343" s="125" t="str">
        <f>IF($B343="","",IF($J343="Yes","100% Complete",IF($H343="","Planned",IF($I343="","In Progress","Finished"))))</f>
      </c>
      <c r="L343" s="143"/>
      <c r="M343" s="131"/>
      <c r="N343" s="155" t="str">
        <f>IFERROR(HYPERLINK(VLOOKUP($B343,'Hack Database'!$A:$J,9,FALSE),"Open Page"),"")</f>
      </c>
      <c r="O343" s="155" t="str">
        <f>IFERROR(HYPERLINK(VLOOKUP($B343,'Hack Database'!$A:$J,10,FALSE),"Download"),"")</f>
      </c>
      <c r="P343" s="149"/>
    </row>
    <row r="344" ht="23" customHeight="1">
      <c r="A344" s="92" t="str">
        <f>IF(C344="","",COUNTIF($C$2:C344,"&lt;&gt;"))</f>
      </c>
      <c r="B344" s="107"/>
      <c r="C344" s="113" t="str">
        <f>IFERROR(VLOOKUP($B344,'Hack Database'!$A:$J,2,FALSE),"")</f>
      </c>
      <c r="D344" s="113" t="str">
        <f>IFERROR(VLOOKUP($B344,'Hack Database'!$A:$J,3,FALSE),"")</f>
      </c>
      <c r="E344" s="125" t="str">
        <f>IFERROR(VLOOKUP($B344,'Hack Database'!$A:$J,4,FALSE),"")</f>
      </c>
      <c r="F344" s="125" t="str">
        <f>IFERROR(VLOOKUP($B344,'Hack Database'!$A:$J,5,FALSE),"")</f>
      </c>
      <c r="G344" s="113" t="str">
        <f>IFERROR(VLOOKUP($B344,'Hack Database'!$A:$J,6,FALSE),"")</f>
      </c>
      <c r="H344" s="137"/>
      <c r="I344" s="137"/>
      <c r="J344" s="131"/>
      <c r="K344" s="125" t="str">
        <f>IF($B344="","",IF($J344="Yes","100% Complete",IF($H344="","Planned",IF($I344="","In Progress","Finished"))))</f>
      </c>
      <c r="L344" s="143"/>
      <c r="M344" s="131"/>
      <c r="N344" s="155" t="str">
        <f>IFERROR(HYPERLINK(VLOOKUP($B344,'Hack Database'!$A:$J,9,FALSE),"Open Page"),"")</f>
      </c>
      <c r="O344" s="155" t="str">
        <f>IFERROR(HYPERLINK(VLOOKUP($B344,'Hack Database'!$A:$J,10,FALSE),"Download"),"")</f>
      </c>
      <c r="P344" s="149"/>
    </row>
    <row r="345" ht="23" customHeight="1">
      <c r="A345" s="92" t="str">
        <f>IF(C345="","",COUNTIF($C$2:C345,"&lt;&gt;"))</f>
      </c>
      <c r="B345" s="107"/>
      <c r="C345" s="113" t="str">
        <f>IFERROR(VLOOKUP($B345,'Hack Database'!$A:$J,2,FALSE),"")</f>
      </c>
      <c r="D345" s="113" t="str">
        <f>IFERROR(VLOOKUP($B345,'Hack Database'!$A:$J,3,FALSE),"")</f>
      </c>
      <c r="E345" s="125" t="str">
        <f>IFERROR(VLOOKUP($B345,'Hack Database'!$A:$J,4,FALSE),"")</f>
      </c>
      <c r="F345" s="125" t="str">
        <f>IFERROR(VLOOKUP($B345,'Hack Database'!$A:$J,5,FALSE),"")</f>
      </c>
      <c r="G345" s="113" t="str">
        <f>IFERROR(VLOOKUP($B345,'Hack Database'!$A:$J,6,FALSE),"")</f>
      </c>
      <c r="H345" s="137"/>
      <c r="I345" s="137"/>
      <c r="J345" s="131"/>
      <c r="K345" s="125" t="str">
        <f>IF($B345="","",IF($J345="Yes","100% Complete",IF($H345="","Planned",IF($I345="","In Progress","Finished"))))</f>
      </c>
      <c r="L345" s="143"/>
      <c r="M345" s="131"/>
      <c r="N345" s="155" t="str">
        <f>IFERROR(HYPERLINK(VLOOKUP($B345,'Hack Database'!$A:$J,9,FALSE),"Open Page"),"")</f>
      </c>
      <c r="O345" s="155" t="str">
        <f>IFERROR(HYPERLINK(VLOOKUP($B345,'Hack Database'!$A:$J,10,FALSE),"Download"),"")</f>
      </c>
      <c r="P345" s="149"/>
    </row>
    <row r="346" ht="23" customHeight="1">
      <c r="A346" s="92" t="str">
        <f>IF(C346="","",COUNTIF($C$2:C346,"&lt;&gt;"))</f>
      </c>
      <c r="B346" s="107"/>
      <c r="C346" s="113" t="str">
        <f>IFERROR(VLOOKUP($B346,'Hack Database'!$A:$J,2,FALSE),"")</f>
      </c>
      <c r="D346" s="113" t="str">
        <f>IFERROR(VLOOKUP($B346,'Hack Database'!$A:$J,3,FALSE),"")</f>
      </c>
      <c r="E346" s="125" t="str">
        <f>IFERROR(VLOOKUP($B346,'Hack Database'!$A:$J,4,FALSE),"")</f>
      </c>
      <c r="F346" s="125" t="str">
        <f>IFERROR(VLOOKUP($B346,'Hack Database'!$A:$J,5,FALSE),"")</f>
      </c>
      <c r="G346" s="113" t="str">
        <f>IFERROR(VLOOKUP($B346,'Hack Database'!$A:$J,6,FALSE),"")</f>
      </c>
      <c r="H346" s="137"/>
      <c r="I346" s="137"/>
      <c r="J346" s="131"/>
      <c r="K346" s="125" t="str">
        <f>IF($B346="","",IF($J346="Yes","100% Complete",IF($H346="","Planned",IF($I346="","In Progress","Finished"))))</f>
      </c>
      <c r="L346" s="143"/>
      <c r="M346" s="131"/>
      <c r="N346" s="155" t="str">
        <f>IFERROR(HYPERLINK(VLOOKUP($B346,'Hack Database'!$A:$J,9,FALSE),"Open Page"),"")</f>
      </c>
      <c r="O346" s="155" t="str">
        <f>IFERROR(HYPERLINK(VLOOKUP($B346,'Hack Database'!$A:$J,10,FALSE),"Download"),"")</f>
      </c>
      <c r="P346" s="149"/>
    </row>
    <row r="347" ht="23" customHeight="1">
      <c r="A347" s="92" t="str">
        <f>IF(C347="","",COUNTIF($C$2:C347,"&lt;&gt;"))</f>
      </c>
      <c r="B347" s="107"/>
      <c r="C347" s="113" t="str">
        <f>IFERROR(VLOOKUP($B347,'Hack Database'!$A:$J,2,FALSE),"")</f>
      </c>
      <c r="D347" s="113" t="str">
        <f>IFERROR(VLOOKUP($B347,'Hack Database'!$A:$J,3,FALSE),"")</f>
      </c>
      <c r="E347" s="125" t="str">
        <f>IFERROR(VLOOKUP($B347,'Hack Database'!$A:$J,4,FALSE),"")</f>
      </c>
      <c r="F347" s="125" t="str">
        <f>IFERROR(VLOOKUP($B347,'Hack Database'!$A:$J,5,FALSE),"")</f>
      </c>
      <c r="G347" s="113" t="str">
        <f>IFERROR(VLOOKUP($B347,'Hack Database'!$A:$J,6,FALSE),"")</f>
      </c>
      <c r="H347" s="137"/>
      <c r="I347" s="137"/>
      <c r="J347" s="131"/>
      <c r="K347" s="125" t="str">
        <f>IF($B347="","",IF($J347="Yes","100% Complete",IF($H347="","Planned",IF($I347="","In Progress","Finished"))))</f>
      </c>
      <c r="L347" s="143"/>
      <c r="M347" s="131"/>
      <c r="N347" s="155" t="str">
        <f>IFERROR(HYPERLINK(VLOOKUP($B347,'Hack Database'!$A:$J,9,FALSE),"Open Page"),"")</f>
      </c>
      <c r="O347" s="155" t="str">
        <f>IFERROR(HYPERLINK(VLOOKUP($B347,'Hack Database'!$A:$J,10,FALSE),"Download"),"")</f>
      </c>
      <c r="P347" s="149"/>
    </row>
    <row r="348" ht="23" customHeight="1">
      <c r="A348" s="92" t="str">
        <f>IF(C348="","",COUNTIF($C$2:C348,"&lt;&gt;"))</f>
      </c>
      <c r="B348" s="107"/>
      <c r="C348" s="113" t="str">
        <f>IFERROR(VLOOKUP($B348,'Hack Database'!$A:$J,2,FALSE),"")</f>
      </c>
      <c r="D348" s="113" t="str">
        <f>IFERROR(VLOOKUP($B348,'Hack Database'!$A:$J,3,FALSE),"")</f>
      </c>
      <c r="E348" s="125" t="str">
        <f>IFERROR(VLOOKUP($B348,'Hack Database'!$A:$J,4,FALSE),"")</f>
      </c>
      <c r="F348" s="125" t="str">
        <f>IFERROR(VLOOKUP($B348,'Hack Database'!$A:$J,5,FALSE),"")</f>
      </c>
      <c r="G348" s="113" t="str">
        <f>IFERROR(VLOOKUP($B348,'Hack Database'!$A:$J,6,FALSE),"")</f>
      </c>
      <c r="H348" s="137"/>
      <c r="I348" s="137"/>
      <c r="J348" s="131"/>
      <c r="K348" s="125" t="str">
        <f>IF($B348="","",IF($J348="Yes","100% Complete",IF($H348="","Planned",IF($I348="","In Progress","Finished"))))</f>
      </c>
      <c r="L348" s="143"/>
      <c r="M348" s="131"/>
      <c r="N348" s="155" t="str">
        <f>IFERROR(HYPERLINK(VLOOKUP($B348,'Hack Database'!$A:$J,9,FALSE),"Open Page"),"")</f>
      </c>
      <c r="O348" s="155" t="str">
        <f>IFERROR(HYPERLINK(VLOOKUP($B348,'Hack Database'!$A:$J,10,FALSE),"Download"),"")</f>
      </c>
      <c r="P348" s="149"/>
    </row>
    <row r="349" ht="23" customHeight="1">
      <c r="A349" s="92" t="str">
        <f>IF(C349="","",COUNTIF($C$2:C349,"&lt;&gt;"))</f>
      </c>
      <c r="B349" s="107"/>
      <c r="C349" s="113" t="str">
        <f>IFERROR(VLOOKUP($B349,'Hack Database'!$A:$J,2,FALSE),"")</f>
      </c>
      <c r="D349" s="113" t="str">
        <f>IFERROR(VLOOKUP($B349,'Hack Database'!$A:$J,3,FALSE),"")</f>
      </c>
      <c r="E349" s="125" t="str">
        <f>IFERROR(VLOOKUP($B349,'Hack Database'!$A:$J,4,FALSE),"")</f>
      </c>
      <c r="F349" s="125" t="str">
        <f>IFERROR(VLOOKUP($B349,'Hack Database'!$A:$J,5,FALSE),"")</f>
      </c>
      <c r="G349" s="113" t="str">
        <f>IFERROR(VLOOKUP($B349,'Hack Database'!$A:$J,6,FALSE),"")</f>
      </c>
      <c r="H349" s="137"/>
      <c r="I349" s="137"/>
      <c r="J349" s="131"/>
      <c r="K349" s="125" t="str">
        <f>IF($B349="","",IF($J349="Yes","100% Complete",IF($H349="","Planned",IF($I349="","In Progress","Finished"))))</f>
      </c>
      <c r="L349" s="143"/>
      <c r="M349" s="131"/>
      <c r="N349" s="155" t="str">
        <f>IFERROR(HYPERLINK(VLOOKUP($B349,'Hack Database'!$A:$J,9,FALSE),"Open Page"),"")</f>
      </c>
      <c r="O349" s="155" t="str">
        <f>IFERROR(HYPERLINK(VLOOKUP($B349,'Hack Database'!$A:$J,10,FALSE),"Download"),"")</f>
      </c>
      <c r="P349" s="149"/>
    </row>
    <row r="350" ht="23" customHeight="1">
      <c r="A350" s="92" t="str">
        <f>IF(C350="","",COUNTIF($C$2:C350,"&lt;&gt;"))</f>
      </c>
      <c r="B350" s="107"/>
      <c r="C350" s="113" t="str">
        <f>IFERROR(VLOOKUP($B350,'Hack Database'!$A:$J,2,FALSE),"")</f>
      </c>
      <c r="D350" s="113" t="str">
        <f>IFERROR(VLOOKUP($B350,'Hack Database'!$A:$J,3,FALSE),"")</f>
      </c>
      <c r="E350" s="125" t="str">
        <f>IFERROR(VLOOKUP($B350,'Hack Database'!$A:$J,4,FALSE),"")</f>
      </c>
      <c r="F350" s="125" t="str">
        <f>IFERROR(VLOOKUP($B350,'Hack Database'!$A:$J,5,FALSE),"")</f>
      </c>
      <c r="G350" s="113" t="str">
        <f>IFERROR(VLOOKUP($B350,'Hack Database'!$A:$J,6,FALSE),"")</f>
      </c>
      <c r="H350" s="137"/>
      <c r="I350" s="137"/>
      <c r="J350" s="131"/>
      <c r="K350" s="125" t="str">
        <f>IF($B350="","",IF($J350="Yes","100% Complete",IF($H350="","Planned",IF($I350="","In Progress","Finished"))))</f>
      </c>
      <c r="L350" s="143"/>
      <c r="M350" s="131"/>
      <c r="N350" s="155" t="str">
        <f>IFERROR(HYPERLINK(VLOOKUP($B350,'Hack Database'!$A:$J,9,FALSE),"Open Page"),"")</f>
      </c>
      <c r="O350" s="155" t="str">
        <f>IFERROR(HYPERLINK(VLOOKUP($B350,'Hack Database'!$A:$J,10,FALSE),"Download"),"")</f>
      </c>
      <c r="P350" s="149"/>
    </row>
    <row r="351" ht="23" customHeight="1">
      <c r="A351" s="92" t="str">
        <f>IF(C351="","",COUNTIF($C$2:C351,"&lt;&gt;"))</f>
      </c>
      <c r="B351" s="107"/>
      <c r="C351" s="113" t="str">
        <f>IFERROR(VLOOKUP($B351,'Hack Database'!$A:$J,2,FALSE),"")</f>
      </c>
      <c r="D351" s="113" t="str">
        <f>IFERROR(VLOOKUP($B351,'Hack Database'!$A:$J,3,FALSE),"")</f>
      </c>
      <c r="E351" s="125" t="str">
        <f>IFERROR(VLOOKUP($B351,'Hack Database'!$A:$J,4,FALSE),"")</f>
      </c>
      <c r="F351" s="125" t="str">
        <f>IFERROR(VLOOKUP($B351,'Hack Database'!$A:$J,5,FALSE),"")</f>
      </c>
      <c r="G351" s="113" t="str">
        <f>IFERROR(VLOOKUP($B351,'Hack Database'!$A:$J,6,FALSE),"")</f>
      </c>
      <c r="H351" s="137"/>
      <c r="I351" s="137"/>
      <c r="J351" s="131"/>
      <c r="K351" s="125" t="str">
        <f>IF($B351="","",IF($J351="Yes","100% Complete",IF($H351="","Planned",IF($I351="","In Progress","Finished"))))</f>
      </c>
      <c r="L351" s="143"/>
      <c r="M351" s="131"/>
      <c r="N351" s="155" t="str">
        <f>IFERROR(HYPERLINK(VLOOKUP($B351,'Hack Database'!$A:$J,9,FALSE),"Open Page"),"")</f>
      </c>
      <c r="O351" s="155" t="str">
        <f>IFERROR(HYPERLINK(VLOOKUP($B351,'Hack Database'!$A:$J,10,FALSE),"Download"),"")</f>
      </c>
      <c r="P351" s="149"/>
    </row>
    <row r="352" ht="23" customHeight="1">
      <c r="A352" s="92" t="str">
        <f>IF(C352="","",COUNTIF($C$2:C352,"&lt;&gt;"))</f>
      </c>
      <c r="B352" s="107"/>
      <c r="C352" s="113" t="str">
        <f>IFERROR(VLOOKUP($B352,'Hack Database'!$A:$J,2,FALSE),"")</f>
      </c>
      <c r="D352" s="113" t="str">
        <f>IFERROR(VLOOKUP($B352,'Hack Database'!$A:$J,3,FALSE),"")</f>
      </c>
      <c r="E352" s="125" t="str">
        <f>IFERROR(VLOOKUP($B352,'Hack Database'!$A:$J,4,FALSE),"")</f>
      </c>
      <c r="F352" s="125" t="str">
        <f>IFERROR(VLOOKUP($B352,'Hack Database'!$A:$J,5,FALSE),"")</f>
      </c>
      <c r="G352" s="113" t="str">
        <f>IFERROR(VLOOKUP($B352,'Hack Database'!$A:$J,6,FALSE),"")</f>
      </c>
      <c r="H352" s="137"/>
      <c r="I352" s="137"/>
      <c r="J352" s="131"/>
      <c r="K352" s="125" t="str">
        <f>IF($B352="","",IF($J352="Yes","100% Complete",IF($H352="","Planned",IF($I352="","In Progress","Finished"))))</f>
      </c>
      <c r="L352" s="143"/>
      <c r="M352" s="131"/>
      <c r="N352" s="155" t="str">
        <f>IFERROR(HYPERLINK(VLOOKUP($B352,'Hack Database'!$A:$J,9,FALSE),"Open Page"),"")</f>
      </c>
      <c r="O352" s="155" t="str">
        <f>IFERROR(HYPERLINK(VLOOKUP($B352,'Hack Database'!$A:$J,10,FALSE),"Download"),"")</f>
      </c>
      <c r="P352" s="149"/>
    </row>
    <row r="353" ht="23" customHeight="1">
      <c r="A353" s="92" t="str">
        <f>IF(C353="","",COUNTIF($C$2:C353,"&lt;&gt;"))</f>
      </c>
      <c r="B353" s="107"/>
      <c r="C353" s="113" t="str">
        <f>IFERROR(VLOOKUP($B353,'Hack Database'!$A:$J,2,FALSE),"")</f>
      </c>
      <c r="D353" s="113" t="str">
        <f>IFERROR(VLOOKUP($B353,'Hack Database'!$A:$J,3,FALSE),"")</f>
      </c>
      <c r="E353" s="125" t="str">
        <f>IFERROR(VLOOKUP($B353,'Hack Database'!$A:$J,4,FALSE),"")</f>
      </c>
      <c r="F353" s="125" t="str">
        <f>IFERROR(VLOOKUP($B353,'Hack Database'!$A:$J,5,FALSE),"")</f>
      </c>
      <c r="G353" s="113" t="str">
        <f>IFERROR(VLOOKUP($B353,'Hack Database'!$A:$J,6,FALSE),"")</f>
      </c>
      <c r="H353" s="137"/>
      <c r="I353" s="137"/>
      <c r="J353" s="131"/>
      <c r="K353" s="125" t="str">
        <f>IF($B353="","",IF($J353="Yes","100% Complete",IF($H353="","Planned",IF($I353="","In Progress","Finished"))))</f>
      </c>
      <c r="L353" s="143"/>
      <c r="M353" s="131"/>
      <c r="N353" s="155" t="str">
        <f>IFERROR(HYPERLINK(VLOOKUP($B353,'Hack Database'!$A:$J,9,FALSE),"Open Page"),"")</f>
      </c>
      <c r="O353" s="155" t="str">
        <f>IFERROR(HYPERLINK(VLOOKUP($B353,'Hack Database'!$A:$J,10,FALSE),"Download"),"")</f>
      </c>
      <c r="P353" s="149"/>
    </row>
    <row r="354" ht="23" customHeight="1">
      <c r="A354" s="92" t="str">
        <f>IF(C354="","",COUNTIF($C$2:C354,"&lt;&gt;"))</f>
      </c>
      <c r="B354" s="107"/>
      <c r="C354" s="113" t="str">
        <f>IFERROR(VLOOKUP($B354,'Hack Database'!$A:$J,2,FALSE),"")</f>
      </c>
      <c r="D354" s="113" t="str">
        <f>IFERROR(VLOOKUP($B354,'Hack Database'!$A:$J,3,FALSE),"")</f>
      </c>
      <c r="E354" s="125" t="str">
        <f>IFERROR(VLOOKUP($B354,'Hack Database'!$A:$J,4,FALSE),"")</f>
      </c>
      <c r="F354" s="125" t="str">
        <f>IFERROR(VLOOKUP($B354,'Hack Database'!$A:$J,5,FALSE),"")</f>
      </c>
      <c r="G354" s="113" t="str">
        <f>IFERROR(VLOOKUP($B354,'Hack Database'!$A:$J,6,FALSE),"")</f>
      </c>
      <c r="H354" s="137"/>
      <c r="I354" s="137"/>
      <c r="J354" s="131"/>
      <c r="K354" s="125" t="str">
        <f>IF($B354="","",IF($J354="Yes","100% Complete",IF($H354="","Planned",IF($I354="","In Progress","Finished"))))</f>
      </c>
      <c r="L354" s="143"/>
      <c r="M354" s="131"/>
      <c r="N354" s="155" t="str">
        <f>IFERROR(HYPERLINK(VLOOKUP($B354,'Hack Database'!$A:$J,9,FALSE),"Open Page"),"")</f>
      </c>
      <c r="O354" s="155" t="str">
        <f>IFERROR(HYPERLINK(VLOOKUP($B354,'Hack Database'!$A:$J,10,FALSE),"Download"),"")</f>
      </c>
      <c r="P354" s="149"/>
    </row>
    <row r="355" ht="23" customHeight="1">
      <c r="A355" s="92" t="str">
        <f>IF(C355="","",COUNTIF($C$2:C355,"&lt;&gt;"))</f>
      </c>
      <c r="B355" s="107"/>
      <c r="C355" s="113" t="str">
        <f>IFERROR(VLOOKUP($B355,'Hack Database'!$A:$J,2,FALSE),"")</f>
      </c>
      <c r="D355" s="113" t="str">
        <f>IFERROR(VLOOKUP($B355,'Hack Database'!$A:$J,3,FALSE),"")</f>
      </c>
      <c r="E355" s="125" t="str">
        <f>IFERROR(VLOOKUP($B355,'Hack Database'!$A:$J,4,FALSE),"")</f>
      </c>
      <c r="F355" s="125" t="str">
        <f>IFERROR(VLOOKUP($B355,'Hack Database'!$A:$J,5,FALSE),"")</f>
      </c>
      <c r="G355" s="113" t="str">
        <f>IFERROR(VLOOKUP($B355,'Hack Database'!$A:$J,6,FALSE),"")</f>
      </c>
      <c r="H355" s="137"/>
      <c r="I355" s="137"/>
      <c r="J355" s="131"/>
      <c r="K355" s="125" t="str">
        <f>IF($B355="","",IF($J355="Yes","100% Complete",IF($H355="","Planned",IF($I355="","In Progress","Finished"))))</f>
      </c>
      <c r="L355" s="143"/>
      <c r="M355" s="131"/>
      <c r="N355" s="155" t="str">
        <f>IFERROR(HYPERLINK(VLOOKUP($B355,'Hack Database'!$A:$J,9,FALSE),"Open Page"),"")</f>
      </c>
      <c r="O355" s="155" t="str">
        <f>IFERROR(HYPERLINK(VLOOKUP($B355,'Hack Database'!$A:$J,10,FALSE),"Download"),"")</f>
      </c>
      <c r="P355" s="149"/>
    </row>
    <row r="356" ht="23" customHeight="1">
      <c r="A356" s="92" t="str">
        <f>IF(C356="","",COUNTIF($C$2:C356,"&lt;&gt;"))</f>
      </c>
      <c r="B356" s="107"/>
      <c r="C356" s="113" t="str">
        <f>IFERROR(VLOOKUP($B356,'Hack Database'!$A:$J,2,FALSE),"")</f>
      </c>
      <c r="D356" s="113" t="str">
        <f>IFERROR(VLOOKUP($B356,'Hack Database'!$A:$J,3,FALSE),"")</f>
      </c>
      <c r="E356" s="125" t="str">
        <f>IFERROR(VLOOKUP($B356,'Hack Database'!$A:$J,4,FALSE),"")</f>
      </c>
      <c r="F356" s="125" t="str">
        <f>IFERROR(VLOOKUP($B356,'Hack Database'!$A:$J,5,FALSE),"")</f>
      </c>
      <c r="G356" s="113" t="str">
        <f>IFERROR(VLOOKUP($B356,'Hack Database'!$A:$J,6,FALSE),"")</f>
      </c>
      <c r="H356" s="137"/>
      <c r="I356" s="137"/>
      <c r="J356" s="131"/>
      <c r="K356" s="125" t="str">
        <f>IF($B356="","",IF($J356="Yes","100% Complete",IF($H356="","Planned",IF($I356="","In Progress","Finished"))))</f>
      </c>
      <c r="L356" s="143"/>
      <c r="M356" s="131"/>
      <c r="N356" s="155" t="str">
        <f>IFERROR(HYPERLINK(VLOOKUP($B356,'Hack Database'!$A:$J,9,FALSE),"Open Page"),"")</f>
      </c>
      <c r="O356" s="155" t="str">
        <f>IFERROR(HYPERLINK(VLOOKUP($B356,'Hack Database'!$A:$J,10,FALSE),"Download"),"")</f>
      </c>
      <c r="P356" s="149"/>
    </row>
    <row r="357" ht="23" customHeight="1">
      <c r="A357" s="92" t="str">
        <f>IF(C357="","",COUNTIF($C$2:C357,"&lt;&gt;"))</f>
      </c>
      <c r="B357" s="107"/>
      <c r="C357" s="113" t="str">
        <f>IFERROR(VLOOKUP($B357,'Hack Database'!$A:$J,2,FALSE),"")</f>
      </c>
      <c r="D357" s="113" t="str">
        <f>IFERROR(VLOOKUP($B357,'Hack Database'!$A:$J,3,FALSE),"")</f>
      </c>
      <c r="E357" s="125" t="str">
        <f>IFERROR(VLOOKUP($B357,'Hack Database'!$A:$J,4,FALSE),"")</f>
      </c>
      <c r="F357" s="125" t="str">
        <f>IFERROR(VLOOKUP($B357,'Hack Database'!$A:$J,5,FALSE),"")</f>
      </c>
      <c r="G357" s="113" t="str">
        <f>IFERROR(VLOOKUP($B357,'Hack Database'!$A:$J,6,FALSE),"")</f>
      </c>
      <c r="H357" s="137"/>
      <c r="I357" s="137"/>
      <c r="J357" s="131"/>
      <c r="K357" s="125" t="str">
        <f>IF($B357="","",IF($J357="Yes","100% Complete",IF($H357="","Planned",IF($I357="","In Progress","Finished"))))</f>
      </c>
      <c r="L357" s="143"/>
      <c r="M357" s="131"/>
      <c r="N357" s="155" t="str">
        <f>IFERROR(HYPERLINK(VLOOKUP($B357,'Hack Database'!$A:$J,9,FALSE),"Open Page"),"")</f>
      </c>
      <c r="O357" s="155" t="str">
        <f>IFERROR(HYPERLINK(VLOOKUP($B357,'Hack Database'!$A:$J,10,FALSE),"Download"),"")</f>
      </c>
      <c r="P357" s="149"/>
    </row>
    <row r="358" ht="23" customHeight="1">
      <c r="A358" s="92" t="str">
        <f>IF(C358="","",COUNTIF($C$2:C358,"&lt;&gt;"))</f>
      </c>
      <c r="B358" s="107"/>
      <c r="C358" s="113" t="str">
        <f>IFERROR(VLOOKUP($B358,'Hack Database'!$A:$J,2,FALSE),"")</f>
      </c>
      <c r="D358" s="113" t="str">
        <f>IFERROR(VLOOKUP($B358,'Hack Database'!$A:$J,3,FALSE),"")</f>
      </c>
      <c r="E358" s="125" t="str">
        <f>IFERROR(VLOOKUP($B358,'Hack Database'!$A:$J,4,FALSE),"")</f>
      </c>
      <c r="F358" s="125" t="str">
        <f>IFERROR(VLOOKUP($B358,'Hack Database'!$A:$J,5,FALSE),"")</f>
      </c>
      <c r="G358" s="113" t="str">
        <f>IFERROR(VLOOKUP($B358,'Hack Database'!$A:$J,6,FALSE),"")</f>
      </c>
      <c r="H358" s="137"/>
      <c r="I358" s="137"/>
      <c r="J358" s="131"/>
      <c r="K358" s="125" t="str">
        <f>IF($B358="","",IF($J358="Yes","100% Complete",IF($H358="","Planned",IF($I358="","In Progress","Finished"))))</f>
      </c>
      <c r="L358" s="143"/>
      <c r="M358" s="131"/>
      <c r="N358" s="155" t="str">
        <f>IFERROR(HYPERLINK(VLOOKUP($B358,'Hack Database'!$A:$J,9,FALSE),"Open Page"),"")</f>
      </c>
      <c r="O358" s="155" t="str">
        <f>IFERROR(HYPERLINK(VLOOKUP($B358,'Hack Database'!$A:$J,10,FALSE),"Download"),"")</f>
      </c>
      <c r="P358" s="149"/>
    </row>
    <row r="359" ht="23" customHeight="1">
      <c r="A359" s="92" t="str">
        <f>IF(C359="","",COUNTIF($C$2:C359,"&lt;&gt;"))</f>
      </c>
      <c r="B359" s="107"/>
      <c r="C359" s="113" t="str">
        <f>IFERROR(VLOOKUP($B359,'Hack Database'!$A:$J,2,FALSE),"")</f>
      </c>
      <c r="D359" s="113" t="str">
        <f>IFERROR(VLOOKUP($B359,'Hack Database'!$A:$J,3,FALSE),"")</f>
      </c>
      <c r="E359" s="125" t="str">
        <f>IFERROR(VLOOKUP($B359,'Hack Database'!$A:$J,4,FALSE),"")</f>
      </c>
      <c r="F359" s="125" t="str">
        <f>IFERROR(VLOOKUP($B359,'Hack Database'!$A:$J,5,FALSE),"")</f>
      </c>
      <c r="G359" s="113" t="str">
        <f>IFERROR(VLOOKUP($B359,'Hack Database'!$A:$J,6,FALSE),"")</f>
      </c>
      <c r="H359" s="137"/>
      <c r="I359" s="137"/>
      <c r="J359" s="131"/>
      <c r="K359" s="125" t="str">
        <f>IF($B359="","",IF($J359="Yes","100% Complete",IF($H359="","Planned",IF($I359="","In Progress","Finished"))))</f>
      </c>
      <c r="L359" s="143"/>
      <c r="M359" s="131"/>
      <c r="N359" s="155" t="str">
        <f>IFERROR(HYPERLINK(VLOOKUP($B359,'Hack Database'!$A:$J,9,FALSE),"Open Page"),"")</f>
      </c>
      <c r="O359" s="155" t="str">
        <f>IFERROR(HYPERLINK(VLOOKUP($B359,'Hack Database'!$A:$J,10,FALSE),"Download"),"")</f>
      </c>
      <c r="P359" s="149"/>
    </row>
    <row r="360" ht="23" customHeight="1">
      <c r="A360" s="92" t="str">
        <f>IF(C360="","",COUNTIF($C$2:C360,"&lt;&gt;"))</f>
      </c>
      <c r="B360" s="107"/>
      <c r="C360" s="113" t="str">
        <f>IFERROR(VLOOKUP($B360,'Hack Database'!$A:$J,2,FALSE),"")</f>
      </c>
      <c r="D360" s="113" t="str">
        <f>IFERROR(VLOOKUP($B360,'Hack Database'!$A:$J,3,FALSE),"")</f>
      </c>
      <c r="E360" s="125" t="str">
        <f>IFERROR(VLOOKUP($B360,'Hack Database'!$A:$J,4,FALSE),"")</f>
      </c>
      <c r="F360" s="125" t="str">
        <f>IFERROR(VLOOKUP($B360,'Hack Database'!$A:$J,5,FALSE),"")</f>
      </c>
      <c r="G360" s="113" t="str">
        <f>IFERROR(VLOOKUP($B360,'Hack Database'!$A:$J,6,FALSE),"")</f>
      </c>
      <c r="H360" s="137"/>
      <c r="I360" s="137"/>
      <c r="J360" s="131"/>
      <c r="K360" s="125" t="str">
        <f>IF($B360="","",IF($J360="Yes","100% Complete",IF($H360="","Planned",IF($I360="","In Progress","Finished"))))</f>
      </c>
      <c r="L360" s="143"/>
      <c r="M360" s="131"/>
      <c r="N360" s="155" t="str">
        <f>IFERROR(HYPERLINK(VLOOKUP($B360,'Hack Database'!$A:$J,9,FALSE),"Open Page"),"")</f>
      </c>
      <c r="O360" s="155" t="str">
        <f>IFERROR(HYPERLINK(VLOOKUP($B360,'Hack Database'!$A:$J,10,FALSE),"Download"),"")</f>
      </c>
      <c r="P360" s="149"/>
    </row>
    <row r="361" ht="23" customHeight="1">
      <c r="A361" s="92" t="str">
        <f>IF(C361="","",COUNTIF($C$2:C361,"&lt;&gt;"))</f>
      </c>
      <c r="B361" s="107"/>
      <c r="C361" s="113" t="str">
        <f>IFERROR(VLOOKUP($B361,'Hack Database'!$A:$J,2,FALSE),"")</f>
      </c>
      <c r="D361" s="113" t="str">
        <f>IFERROR(VLOOKUP($B361,'Hack Database'!$A:$J,3,FALSE),"")</f>
      </c>
      <c r="E361" s="125" t="str">
        <f>IFERROR(VLOOKUP($B361,'Hack Database'!$A:$J,4,FALSE),"")</f>
      </c>
      <c r="F361" s="125" t="str">
        <f>IFERROR(VLOOKUP($B361,'Hack Database'!$A:$J,5,FALSE),"")</f>
      </c>
      <c r="G361" s="113" t="str">
        <f>IFERROR(VLOOKUP($B361,'Hack Database'!$A:$J,6,FALSE),"")</f>
      </c>
      <c r="H361" s="137"/>
      <c r="I361" s="137"/>
      <c r="J361" s="131"/>
      <c r="K361" s="125" t="str">
        <f>IF($B361="","",IF($J361="Yes","100% Complete",IF($H361="","Planned",IF($I361="","In Progress","Finished"))))</f>
      </c>
      <c r="L361" s="143"/>
      <c r="M361" s="131"/>
      <c r="N361" s="155" t="str">
        <f>IFERROR(HYPERLINK(VLOOKUP($B361,'Hack Database'!$A:$J,9,FALSE),"Open Page"),"")</f>
      </c>
      <c r="O361" s="155" t="str">
        <f>IFERROR(HYPERLINK(VLOOKUP($B361,'Hack Database'!$A:$J,10,FALSE),"Download"),"")</f>
      </c>
      <c r="P361" s="149"/>
    </row>
    <row r="362" ht="23" customHeight="1">
      <c r="A362" s="92" t="str">
        <f>IF(C362="","",COUNTIF($C$2:C362,"&lt;&gt;"))</f>
      </c>
      <c r="B362" s="107"/>
      <c r="C362" s="113" t="str">
        <f>IFERROR(VLOOKUP($B362,'Hack Database'!$A:$J,2,FALSE),"")</f>
      </c>
      <c r="D362" s="113" t="str">
        <f>IFERROR(VLOOKUP($B362,'Hack Database'!$A:$J,3,FALSE),"")</f>
      </c>
      <c r="E362" s="125" t="str">
        <f>IFERROR(VLOOKUP($B362,'Hack Database'!$A:$J,4,FALSE),"")</f>
      </c>
      <c r="F362" s="125" t="str">
        <f>IFERROR(VLOOKUP($B362,'Hack Database'!$A:$J,5,FALSE),"")</f>
      </c>
      <c r="G362" s="113" t="str">
        <f>IFERROR(VLOOKUP($B362,'Hack Database'!$A:$J,6,FALSE),"")</f>
      </c>
      <c r="H362" s="137"/>
      <c r="I362" s="137"/>
      <c r="J362" s="131"/>
      <c r="K362" s="125" t="str">
        <f>IF($B362="","",IF($J362="Yes","100% Complete",IF($H362="","Planned",IF($I362="","In Progress","Finished"))))</f>
      </c>
      <c r="L362" s="143"/>
      <c r="M362" s="131"/>
      <c r="N362" s="155" t="str">
        <f>IFERROR(HYPERLINK(VLOOKUP($B362,'Hack Database'!$A:$J,9,FALSE),"Open Page"),"")</f>
      </c>
      <c r="O362" s="155" t="str">
        <f>IFERROR(HYPERLINK(VLOOKUP($B362,'Hack Database'!$A:$J,10,FALSE),"Download"),"")</f>
      </c>
      <c r="P362" s="149"/>
    </row>
    <row r="363" ht="23" customHeight="1">
      <c r="A363" s="92" t="str">
        <f>IF(C363="","",COUNTIF($C$2:C363,"&lt;&gt;"))</f>
      </c>
      <c r="B363" s="107"/>
      <c r="C363" s="113" t="str">
        <f>IFERROR(VLOOKUP($B363,'Hack Database'!$A:$J,2,FALSE),"")</f>
      </c>
      <c r="D363" s="113" t="str">
        <f>IFERROR(VLOOKUP($B363,'Hack Database'!$A:$J,3,FALSE),"")</f>
      </c>
      <c r="E363" s="125" t="str">
        <f>IFERROR(VLOOKUP($B363,'Hack Database'!$A:$J,4,FALSE),"")</f>
      </c>
      <c r="F363" s="125" t="str">
        <f>IFERROR(VLOOKUP($B363,'Hack Database'!$A:$J,5,FALSE),"")</f>
      </c>
      <c r="G363" s="113" t="str">
        <f>IFERROR(VLOOKUP($B363,'Hack Database'!$A:$J,6,FALSE),"")</f>
      </c>
      <c r="H363" s="137"/>
      <c r="I363" s="137"/>
      <c r="J363" s="131"/>
      <c r="K363" s="125" t="str">
        <f>IF($B363="","",IF($J363="Yes","100% Complete",IF($H363="","Planned",IF($I363="","In Progress","Finished"))))</f>
      </c>
      <c r="L363" s="143"/>
      <c r="M363" s="131"/>
      <c r="N363" s="155" t="str">
        <f>IFERROR(HYPERLINK(VLOOKUP($B363,'Hack Database'!$A:$J,9,FALSE),"Open Page"),"")</f>
      </c>
      <c r="O363" s="155" t="str">
        <f>IFERROR(HYPERLINK(VLOOKUP($B363,'Hack Database'!$A:$J,10,FALSE),"Download"),"")</f>
      </c>
      <c r="P363" s="149"/>
    </row>
    <row r="364" ht="23" customHeight="1">
      <c r="A364" s="92" t="str">
        <f>IF(C364="","",COUNTIF($C$2:C364,"&lt;&gt;"))</f>
      </c>
      <c r="B364" s="107"/>
      <c r="C364" s="113" t="str">
        <f>IFERROR(VLOOKUP($B364,'Hack Database'!$A:$J,2,FALSE),"")</f>
      </c>
      <c r="D364" s="113" t="str">
        <f>IFERROR(VLOOKUP($B364,'Hack Database'!$A:$J,3,FALSE),"")</f>
      </c>
      <c r="E364" s="125" t="str">
        <f>IFERROR(VLOOKUP($B364,'Hack Database'!$A:$J,4,FALSE),"")</f>
      </c>
      <c r="F364" s="125" t="str">
        <f>IFERROR(VLOOKUP($B364,'Hack Database'!$A:$J,5,FALSE),"")</f>
      </c>
      <c r="G364" s="113" t="str">
        <f>IFERROR(VLOOKUP($B364,'Hack Database'!$A:$J,6,FALSE),"")</f>
      </c>
      <c r="H364" s="137"/>
      <c r="I364" s="137"/>
      <c r="J364" s="131"/>
      <c r="K364" s="125" t="str">
        <f>IF($B364="","",IF($J364="Yes","100% Complete",IF($H364="","Planned",IF($I364="","In Progress","Finished"))))</f>
      </c>
      <c r="L364" s="143"/>
      <c r="M364" s="131"/>
      <c r="N364" s="155" t="str">
        <f>IFERROR(HYPERLINK(VLOOKUP($B364,'Hack Database'!$A:$J,9,FALSE),"Open Page"),"")</f>
      </c>
      <c r="O364" s="155" t="str">
        <f>IFERROR(HYPERLINK(VLOOKUP($B364,'Hack Database'!$A:$J,10,FALSE),"Download"),"")</f>
      </c>
      <c r="P364" s="149"/>
    </row>
    <row r="365" ht="23" customHeight="1">
      <c r="A365" s="92" t="str">
        <f>IF(C365="","",COUNTIF($C$2:C365,"&lt;&gt;"))</f>
      </c>
      <c r="B365" s="107"/>
      <c r="C365" s="113" t="str">
        <f>IFERROR(VLOOKUP($B365,'Hack Database'!$A:$J,2,FALSE),"")</f>
      </c>
      <c r="D365" s="113" t="str">
        <f>IFERROR(VLOOKUP($B365,'Hack Database'!$A:$J,3,FALSE),"")</f>
      </c>
      <c r="E365" s="125" t="str">
        <f>IFERROR(VLOOKUP($B365,'Hack Database'!$A:$J,4,FALSE),"")</f>
      </c>
      <c r="F365" s="125" t="str">
        <f>IFERROR(VLOOKUP($B365,'Hack Database'!$A:$J,5,FALSE),"")</f>
      </c>
      <c r="G365" s="113" t="str">
        <f>IFERROR(VLOOKUP($B365,'Hack Database'!$A:$J,6,FALSE),"")</f>
      </c>
      <c r="H365" s="137"/>
      <c r="I365" s="137"/>
      <c r="J365" s="131"/>
      <c r="K365" s="125" t="str">
        <f>IF($B365="","",IF($J365="Yes","100% Complete",IF($H365="","Planned",IF($I365="","In Progress","Finished"))))</f>
      </c>
      <c r="L365" s="143"/>
      <c r="M365" s="131"/>
      <c r="N365" s="155" t="str">
        <f>IFERROR(HYPERLINK(VLOOKUP($B365,'Hack Database'!$A:$J,9,FALSE),"Open Page"),"")</f>
      </c>
      <c r="O365" s="155" t="str">
        <f>IFERROR(HYPERLINK(VLOOKUP($B365,'Hack Database'!$A:$J,10,FALSE),"Download"),"")</f>
      </c>
      <c r="P365" s="149"/>
    </row>
    <row r="366" ht="23" customHeight="1">
      <c r="A366" s="92" t="str">
        <f>IF(C366="","",COUNTIF($C$2:C366,"&lt;&gt;"))</f>
      </c>
      <c r="B366" s="107"/>
      <c r="C366" s="113" t="str">
        <f>IFERROR(VLOOKUP($B366,'Hack Database'!$A:$J,2,FALSE),"")</f>
      </c>
      <c r="D366" s="113" t="str">
        <f>IFERROR(VLOOKUP($B366,'Hack Database'!$A:$J,3,FALSE),"")</f>
      </c>
      <c r="E366" s="125" t="str">
        <f>IFERROR(VLOOKUP($B366,'Hack Database'!$A:$J,4,FALSE),"")</f>
      </c>
      <c r="F366" s="125" t="str">
        <f>IFERROR(VLOOKUP($B366,'Hack Database'!$A:$J,5,FALSE),"")</f>
      </c>
      <c r="G366" s="113" t="str">
        <f>IFERROR(VLOOKUP($B366,'Hack Database'!$A:$J,6,FALSE),"")</f>
      </c>
      <c r="H366" s="137"/>
      <c r="I366" s="137"/>
      <c r="J366" s="131"/>
      <c r="K366" s="125" t="str">
        <f>IF($B366="","",IF($J366="Yes","100% Complete",IF($H366="","Planned",IF($I366="","In Progress","Finished"))))</f>
      </c>
      <c r="L366" s="143"/>
      <c r="M366" s="131"/>
      <c r="N366" s="155" t="str">
        <f>IFERROR(HYPERLINK(VLOOKUP($B366,'Hack Database'!$A:$J,9,FALSE),"Open Page"),"")</f>
      </c>
      <c r="O366" s="155" t="str">
        <f>IFERROR(HYPERLINK(VLOOKUP($B366,'Hack Database'!$A:$J,10,FALSE),"Download"),"")</f>
      </c>
      <c r="P366" s="149"/>
    </row>
    <row r="367" ht="23" customHeight="1">
      <c r="A367" s="92" t="str">
        <f>IF(C367="","",COUNTIF($C$2:C367,"&lt;&gt;"))</f>
      </c>
      <c r="B367" s="107"/>
      <c r="C367" s="113" t="str">
        <f>IFERROR(VLOOKUP($B367,'Hack Database'!$A:$J,2,FALSE),"")</f>
      </c>
      <c r="D367" s="113" t="str">
        <f>IFERROR(VLOOKUP($B367,'Hack Database'!$A:$J,3,FALSE),"")</f>
      </c>
      <c r="E367" s="125" t="str">
        <f>IFERROR(VLOOKUP($B367,'Hack Database'!$A:$J,4,FALSE),"")</f>
      </c>
      <c r="F367" s="125" t="str">
        <f>IFERROR(VLOOKUP($B367,'Hack Database'!$A:$J,5,FALSE),"")</f>
      </c>
      <c r="G367" s="113" t="str">
        <f>IFERROR(VLOOKUP($B367,'Hack Database'!$A:$J,6,FALSE),"")</f>
      </c>
      <c r="H367" s="137"/>
      <c r="I367" s="137"/>
      <c r="J367" s="131"/>
      <c r="K367" s="125" t="str">
        <f>IF($B367="","",IF($J367="Yes","100% Complete",IF($H367="","Planned",IF($I367="","In Progress","Finished"))))</f>
      </c>
      <c r="L367" s="143"/>
      <c r="M367" s="131"/>
      <c r="N367" s="155" t="str">
        <f>IFERROR(HYPERLINK(VLOOKUP($B367,'Hack Database'!$A:$J,9,FALSE),"Open Page"),"")</f>
      </c>
      <c r="O367" s="155" t="str">
        <f>IFERROR(HYPERLINK(VLOOKUP($B367,'Hack Database'!$A:$J,10,FALSE),"Download"),"")</f>
      </c>
      <c r="P367" s="149"/>
    </row>
    <row r="368" ht="23" customHeight="1">
      <c r="A368" s="92" t="str">
        <f>IF(C368="","",COUNTIF($C$2:C368,"&lt;&gt;"))</f>
      </c>
      <c r="B368" s="107"/>
      <c r="C368" s="113" t="str">
        <f>IFERROR(VLOOKUP($B368,'Hack Database'!$A:$J,2,FALSE),"")</f>
      </c>
      <c r="D368" s="113" t="str">
        <f>IFERROR(VLOOKUP($B368,'Hack Database'!$A:$J,3,FALSE),"")</f>
      </c>
      <c r="E368" s="125" t="str">
        <f>IFERROR(VLOOKUP($B368,'Hack Database'!$A:$J,4,FALSE),"")</f>
      </c>
      <c r="F368" s="125" t="str">
        <f>IFERROR(VLOOKUP($B368,'Hack Database'!$A:$J,5,FALSE),"")</f>
      </c>
      <c r="G368" s="113" t="str">
        <f>IFERROR(VLOOKUP($B368,'Hack Database'!$A:$J,6,FALSE),"")</f>
      </c>
      <c r="H368" s="137"/>
      <c r="I368" s="137"/>
      <c r="J368" s="131"/>
      <c r="K368" s="125" t="str">
        <f>IF($B368="","",IF($J368="Yes","100% Complete",IF($H368="","Planned",IF($I368="","In Progress","Finished"))))</f>
      </c>
      <c r="L368" s="143"/>
      <c r="M368" s="131"/>
      <c r="N368" s="155" t="str">
        <f>IFERROR(HYPERLINK(VLOOKUP($B368,'Hack Database'!$A:$J,9,FALSE),"Open Page"),"")</f>
      </c>
      <c r="O368" s="155" t="str">
        <f>IFERROR(HYPERLINK(VLOOKUP($B368,'Hack Database'!$A:$J,10,FALSE),"Download"),"")</f>
      </c>
      <c r="P368" s="149"/>
    </row>
    <row r="369" ht="23" customHeight="1">
      <c r="A369" s="92" t="str">
        <f>IF(C369="","",COUNTIF($C$2:C369,"&lt;&gt;"))</f>
      </c>
      <c r="B369" s="107"/>
      <c r="C369" s="113" t="str">
        <f>IFERROR(VLOOKUP($B369,'Hack Database'!$A:$J,2,FALSE),"")</f>
      </c>
      <c r="D369" s="113" t="str">
        <f>IFERROR(VLOOKUP($B369,'Hack Database'!$A:$J,3,FALSE),"")</f>
      </c>
      <c r="E369" s="125" t="str">
        <f>IFERROR(VLOOKUP($B369,'Hack Database'!$A:$J,4,FALSE),"")</f>
      </c>
      <c r="F369" s="125" t="str">
        <f>IFERROR(VLOOKUP($B369,'Hack Database'!$A:$J,5,FALSE),"")</f>
      </c>
      <c r="G369" s="113" t="str">
        <f>IFERROR(VLOOKUP($B369,'Hack Database'!$A:$J,6,FALSE),"")</f>
      </c>
      <c r="H369" s="137"/>
      <c r="I369" s="137"/>
      <c r="J369" s="131"/>
      <c r="K369" s="125" t="str">
        <f>IF($B369="","",IF($J369="Yes","100% Complete",IF($H369="","Planned",IF($I369="","In Progress","Finished"))))</f>
      </c>
      <c r="L369" s="143"/>
      <c r="M369" s="131"/>
      <c r="N369" s="155" t="str">
        <f>IFERROR(HYPERLINK(VLOOKUP($B369,'Hack Database'!$A:$J,9,FALSE),"Open Page"),"")</f>
      </c>
      <c r="O369" s="155" t="str">
        <f>IFERROR(HYPERLINK(VLOOKUP($B369,'Hack Database'!$A:$J,10,FALSE),"Download"),"")</f>
      </c>
      <c r="P369" s="149"/>
    </row>
    <row r="370" ht="23" customHeight="1">
      <c r="A370" s="92" t="str">
        <f>IF(C370="","",COUNTIF($C$2:C370,"&lt;&gt;"))</f>
      </c>
      <c r="B370" s="107"/>
      <c r="C370" s="113" t="str">
        <f>IFERROR(VLOOKUP($B370,'Hack Database'!$A:$J,2,FALSE),"")</f>
      </c>
      <c r="D370" s="113" t="str">
        <f>IFERROR(VLOOKUP($B370,'Hack Database'!$A:$J,3,FALSE),"")</f>
      </c>
      <c r="E370" s="125" t="str">
        <f>IFERROR(VLOOKUP($B370,'Hack Database'!$A:$J,4,FALSE),"")</f>
      </c>
      <c r="F370" s="125" t="str">
        <f>IFERROR(VLOOKUP($B370,'Hack Database'!$A:$J,5,FALSE),"")</f>
      </c>
      <c r="G370" s="113" t="str">
        <f>IFERROR(VLOOKUP($B370,'Hack Database'!$A:$J,6,FALSE),"")</f>
      </c>
      <c r="H370" s="137"/>
      <c r="I370" s="137"/>
      <c r="J370" s="131"/>
      <c r="K370" s="125" t="str">
        <f>IF($B370="","",IF($J370="Yes","100% Complete",IF($H370="","Planned",IF($I370="","In Progress","Finished"))))</f>
      </c>
      <c r="L370" s="143"/>
      <c r="M370" s="131"/>
      <c r="N370" s="155" t="str">
        <f>IFERROR(HYPERLINK(VLOOKUP($B370,'Hack Database'!$A:$J,9,FALSE),"Open Page"),"")</f>
      </c>
      <c r="O370" s="155" t="str">
        <f>IFERROR(HYPERLINK(VLOOKUP($B370,'Hack Database'!$A:$J,10,FALSE),"Download"),"")</f>
      </c>
      <c r="P370" s="149"/>
    </row>
    <row r="371" ht="23" customHeight="1">
      <c r="A371" s="92" t="str">
        <f>IF(C371="","",COUNTIF($C$2:C371,"&lt;&gt;"))</f>
      </c>
      <c r="B371" s="107"/>
      <c r="C371" s="113" t="str">
        <f>IFERROR(VLOOKUP($B371,'Hack Database'!$A:$J,2,FALSE),"")</f>
      </c>
      <c r="D371" s="113" t="str">
        <f>IFERROR(VLOOKUP($B371,'Hack Database'!$A:$J,3,FALSE),"")</f>
      </c>
      <c r="E371" s="125" t="str">
        <f>IFERROR(VLOOKUP($B371,'Hack Database'!$A:$J,4,FALSE),"")</f>
      </c>
      <c r="F371" s="125" t="str">
        <f>IFERROR(VLOOKUP($B371,'Hack Database'!$A:$J,5,FALSE),"")</f>
      </c>
      <c r="G371" s="113" t="str">
        <f>IFERROR(VLOOKUP($B371,'Hack Database'!$A:$J,6,FALSE),"")</f>
      </c>
      <c r="H371" s="137"/>
      <c r="I371" s="137"/>
      <c r="J371" s="131"/>
      <c r="K371" s="125" t="str">
        <f>IF($B371="","",IF($J371="Yes","100% Complete",IF($H371="","Planned",IF($I371="","In Progress","Finished"))))</f>
      </c>
      <c r="L371" s="143"/>
      <c r="M371" s="131"/>
      <c r="N371" s="155" t="str">
        <f>IFERROR(HYPERLINK(VLOOKUP($B371,'Hack Database'!$A:$J,9,FALSE),"Open Page"),"")</f>
      </c>
      <c r="O371" s="155" t="str">
        <f>IFERROR(HYPERLINK(VLOOKUP($B371,'Hack Database'!$A:$J,10,FALSE),"Download"),"")</f>
      </c>
      <c r="P371" s="149"/>
    </row>
    <row r="372" ht="23" customHeight="1">
      <c r="A372" s="92" t="str">
        <f>IF(C372="","",COUNTIF($C$2:C372,"&lt;&gt;"))</f>
      </c>
      <c r="B372" s="107"/>
      <c r="C372" s="113" t="str">
        <f>IFERROR(VLOOKUP($B372,'Hack Database'!$A:$J,2,FALSE),"")</f>
      </c>
      <c r="D372" s="113" t="str">
        <f>IFERROR(VLOOKUP($B372,'Hack Database'!$A:$J,3,FALSE),"")</f>
      </c>
      <c r="E372" s="125" t="str">
        <f>IFERROR(VLOOKUP($B372,'Hack Database'!$A:$J,4,FALSE),"")</f>
      </c>
      <c r="F372" s="125" t="str">
        <f>IFERROR(VLOOKUP($B372,'Hack Database'!$A:$J,5,FALSE),"")</f>
      </c>
      <c r="G372" s="113" t="str">
        <f>IFERROR(VLOOKUP($B372,'Hack Database'!$A:$J,6,FALSE),"")</f>
      </c>
      <c r="H372" s="137"/>
      <c r="I372" s="137"/>
      <c r="J372" s="131"/>
      <c r="K372" s="125" t="str">
        <f>IF($B372="","",IF($J372="Yes","100% Complete",IF($H372="","Planned",IF($I372="","In Progress","Finished"))))</f>
      </c>
      <c r="L372" s="143"/>
      <c r="M372" s="131"/>
      <c r="N372" s="155" t="str">
        <f>IFERROR(HYPERLINK(VLOOKUP($B372,'Hack Database'!$A:$J,9,FALSE),"Open Page"),"")</f>
      </c>
      <c r="O372" s="155" t="str">
        <f>IFERROR(HYPERLINK(VLOOKUP($B372,'Hack Database'!$A:$J,10,FALSE),"Download"),"")</f>
      </c>
      <c r="P372" s="149"/>
    </row>
    <row r="373" ht="23" customHeight="1">
      <c r="A373" s="92" t="str">
        <f>IF(C373="","",COUNTIF($C$2:C373,"&lt;&gt;"))</f>
      </c>
      <c r="B373" s="107"/>
      <c r="C373" s="113" t="str">
        <f>IFERROR(VLOOKUP($B373,'Hack Database'!$A:$J,2,FALSE),"")</f>
      </c>
      <c r="D373" s="113" t="str">
        <f>IFERROR(VLOOKUP($B373,'Hack Database'!$A:$J,3,FALSE),"")</f>
      </c>
      <c r="E373" s="125" t="str">
        <f>IFERROR(VLOOKUP($B373,'Hack Database'!$A:$J,4,FALSE),"")</f>
      </c>
      <c r="F373" s="125" t="str">
        <f>IFERROR(VLOOKUP($B373,'Hack Database'!$A:$J,5,FALSE),"")</f>
      </c>
      <c r="G373" s="113" t="str">
        <f>IFERROR(VLOOKUP($B373,'Hack Database'!$A:$J,6,FALSE),"")</f>
      </c>
      <c r="H373" s="137"/>
      <c r="I373" s="137"/>
      <c r="J373" s="131"/>
      <c r="K373" s="125" t="str">
        <f>IF($B373="","",IF($J373="Yes","100% Complete",IF($H373="","Planned",IF($I373="","In Progress","Finished"))))</f>
      </c>
      <c r="L373" s="143"/>
      <c r="M373" s="131"/>
      <c r="N373" s="155" t="str">
        <f>IFERROR(HYPERLINK(VLOOKUP($B373,'Hack Database'!$A:$J,9,FALSE),"Open Page"),"")</f>
      </c>
      <c r="O373" s="155" t="str">
        <f>IFERROR(HYPERLINK(VLOOKUP($B373,'Hack Database'!$A:$J,10,FALSE),"Download"),"")</f>
      </c>
      <c r="P373" s="149"/>
    </row>
    <row r="374" ht="23" customHeight="1">
      <c r="A374" s="92" t="str">
        <f>IF(C374="","",COUNTIF($C$2:C374,"&lt;&gt;"))</f>
      </c>
      <c r="B374" s="107"/>
      <c r="C374" s="113" t="str">
        <f>IFERROR(VLOOKUP($B374,'Hack Database'!$A:$J,2,FALSE),"")</f>
      </c>
      <c r="D374" s="113" t="str">
        <f>IFERROR(VLOOKUP($B374,'Hack Database'!$A:$J,3,FALSE),"")</f>
      </c>
      <c r="E374" s="125" t="str">
        <f>IFERROR(VLOOKUP($B374,'Hack Database'!$A:$J,4,FALSE),"")</f>
      </c>
      <c r="F374" s="125" t="str">
        <f>IFERROR(VLOOKUP($B374,'Hack Database'!$A:$J,5,FALSE),"")</f>
      </c>
      <c r="G374" s="113" t="str">
        <f>IFERROR(VLOOKUP($B374,'Hack Database'!$A:$J,6,FALSE),"")</f>
      </c>
      <c r="H374" s="137"/>
      <c r="I374" s="137"/>
      <c r="J374" s="131"/>
      <c r="K374" s="125" t="str">
        <f>IF($B374="","",IF($J374="Yes","100% Complete",IF($H374="","Planned",IF($I374="","In Progress","Finished"))))</f>
      </c>
      <c r="L374" s="143"/>
      <c r="M374" s="131"/>
      <c r="N374" s="155" t="str">
        <f>IFERROR(HYPERLINK(VLOOKUP($B374,'Hack Database'!$A:$J,9,FALSE),"Open Page"),"")</f>
      </c>
      <c r="O374" s="155" t="str">
        <f>IFERROR(HYPERLINK(VLOOKUP($B374,'Hack Database'!$A:$J,10,FALSE),"Download"),"")</f>
      </c>
      <c r="P374" s="149"/>
    </row>
    <row r="375" ht="23" customHeight="1">
      <c r="A375" s="92" t="str">
        <f>IF(C375="","",COUNTIF($C$2:C375,"&lt;&gt;"))</f>
      </c>
      <c r="B375" s="107"/>
      <c r="C375" s="113" t="str">
        <f>IFERROR(VLOOKUP($B375,'Hack Database'!$A:$J,2,FALSE),"")</f>
      </c>
      <c r="D375" s="113" t="str">
        <f>IFERROR(VLOOKUP($B375,'Hack Database'!$A:$J,3,FALSE),"")</f>
      </c>
      <c r="E375" s="125" t="str">
        <f>IFERROR(VLOOKUP($B375,'Hack Database'!$A:$J,4,FALSE),"")</f>
      </c>
      <c r="F375" s="125" t="str">
        <f>IFERROR(VLOOKUP($B375,'Hack Database'!$A:$J,5,FALSE),"")</f>
      </c>
      <c r="G375" s="113" t="str">
        <f>IFERROR(VLOOKUP($B375,'Hack Database'!$A:$J,6,FALSE),"")</f>
      </c>
      <c r="H375" s="137"/>
      <c r="I375" s="137"/>
      <c r="J375" s="131"/>
      <c r="K375" s="125" t="str">
        <f>IF($B375="","",IF($J375="Yes","100% Complete",IF($H375="","Planned",IF($I375="","In Progress","Finished"))))</f>
      </c>
      <c r="L375" s="143"/>
      <c r="M375" s="131"/>
      <c r="N375" s="155" t="str">
        <f>IFERROR(HYPERLINK(VLOOKUP($B375,'Hack Database'!$A:$J,9,FALSE),"Open Page"),"")</f>
      </c>
      <c r="O375" s="155" t="str">
        <f>IFERROR(HYPERLINK(VLOOKUP($B375,'Hack Database'!$A:$J,10,FALSE),"Download"),"")</f>
      </c>
      <c r="P375" s="149"/>
    </row>
    <row r="376" ht="23" customHeight="1">
      <c r="A376" s="92" t="str">
        <f>IF(C376="","",COUNTIF($C$2:C376,"&lt;&gt;"))</f>
      </c>
      <c r="B376" s="107"/>
      <c r="C376" s="113" t="str">
        <f>IFERROR(VLOOKUP($B376,'Hack Database'!$A:$J,2,FALSE),"")</f>
      </c>
      <c r="D376" s="113" t="str">
        <f>IFERROR(VLOOKUP($B376,'Hack Database'!$A:$J,3,FALSE),"")</f>
      </c>
      <c r="E376" s="125" t="str">
        <f>IFERROR(VLOOKUP($B376,'Hack Database'!$A:$J,4,FALSE),"")</f>
      </c>
      <c r="F376" s="125" t="str">
        <f>IFERROR(VLOOKUP($B376,'Hack Database'!$A:$J,5,FALSE),"")</f>
      </c>
      <c r="G376" s="113" t="str">
        <f>IFERROR(VLOOKUP($B376,'Hack Database'!$A:$J,6,FALSE),"")</f>
      </c>
      <c r="H376" s="137"/>
      <c r="I376" s="137"/>
      <c r="J376" s="131"/>
      <c r="K376" s="125" t="str">
        <f>IF($B376="","",IF($J376="Yes","100% Complete",IF($H376="","Planned",IF($I376="","In Progress","Finished"))))</f>
      </c>
      <c r="L376" s="143"/>
      <c r="M376" s="131"/>
      <c r="N376" s="155" t="str">
        <f>IFERROR(HYPERLINK(VLOOKUP($B376,'Hack Database'!$A:$J,9,FALSE),"Open Page"),"")</f>
      </c>
      <c r="O376" s="155" t="str">
        <f>IFERROR(HYPERLINK(VLOOKUP($B376,'Hack Database'!$A:$J,10,FALSE),"Download"),"")</f>
      </c>
      <c r="P376" s="149"/>
    </row>
    <row r="377" ht="23" customHeight="1">
      <c r="A377" s="92" t="str">
        <f>IF(C377="","",COUNTIF($C$2:C377,"&lt;&gt;"))</f>
      </c>
      <c r="B377" s="107"/>
      <c r="C377" s="113" t="str">
        <f>IFERROR(VLOOKUP($B377,'Hack Database'!$A:$J,2,FALSE),"")</f>
      </c>
      <c r="D377" s="113" t="str">
        <f>IFERROR(VLOOKUP($B377,'Hack Database'!$A:$J,3,FALSE),"")</f>
      </c>
      <c r="E377" s="125" t="str">
        <f>IFERROR(VLOOKUP($B377,'Hack Database'!$A:$J,4,FALSE),"")</f>
      </c>
      <c r="F377" s="125" t="str">
        <f>IFERROR(VLOOKUP($B377,'Hack Database'!$A:$J,5,FALSE),"")</f>
      </c>
      <c r="G377" s="113" t="str">
        <f>IFERROR(VLOOKUP($B377,'Hack Database'!$A:$J,6,FALSE),"")</f>
      </c>
      <c r="H377" s="137"/>
      <c r="I377" s="137"/>
      <c r="J377" s="131"/>
      <c r="K377" s="125" t="str">
        <f>IF($B377="","",IF($J377="Yes","100% Complete",IF($H377="","Planned",IF($I377="","In Progress","Finished"))))</f>
      </c>
      <c r="L377" s="143"/>
      <c r="M377" s="131"/>
      <c r="N377" s="155" t="str">
        <f>IFERROR(HYPERLINK(VLOOKUP($B377,'Hack Database'!$A:$J,9,FALSE),"Open Page"),"")</f>
      </c>
      <c r="O377" s="155" t="str">
        <f>IFERROR(HYPERLINK(VLOOKUP($B377,'Hack Database'!$A:$J,10,FALSE),"Download"),"")</f>
      </c>
      <c r="P377" s="149"/>
    </row>
    <row r="378" ht="23" customHeight="1">
      <c r="A378" s="92" t="str">
        <f>IF(C378="","",COUNTIF($C$2:C378,"&lt;&gt;"))</f>
      </c>
      <c r="B378" s="107"/>
      <c r="C378" s="113" t="str">
        <f>IFERROR(VLOOKUP($B378,'Hack Database'!$A:$J,2,FALSE),"")</f>
      </c>
      <c r="D378" s="113" t="str">
        <f>IFERROR(VLOOKUP($B378,'Hack Database'!$A:$J,3,FALSE),"")</f>
      </c>
      <c r="E378" s="125" t="str">
        <f>IFERROR(VLOOKUP($B378,'Hack Database'!$A:$J,4,FALSE),"")</f>
      </c>
      <c r="F378" s="125" t="str">
        <f>IFERROR(VLOOKUP($B378,'Hack Database'!$A:$J,5,FALSE),"")</f>
      </c>
      <c r="G378" s="113" t="str">
        <f>IFERROR(VLOOKUP($B378,'Hack Database'!$A:$J,6,FALSE),"")</f>
      </c>
      <c r="H378" s="137"/>
      <c r="I378" s="137"/>
      <c r="J378" s="131"/>
      <c r="K378" s="125" t="str">
        <f>IF($B378="","",IF($J378="Yes","100% Complete",IF($H378="","Planned",IF($I378="","In Progress","Finished"))))</f>
      </c>
      <c r="L378" s="143"/>
      <c r="M378" s="131"/>
      <c r="N378" s="155" t="str">
        <f>IFERROR(HYPERLINK(VLOOKUP($B378,'Hack Database'!$A:$J,9,FALSE),"Open Page"),"")</f>
      </c>
      <c r="O378" s="155" t="str">
        <f>IFERROR(HYPERLINK(VLOOKUP($B378,'Hack Database'!$A:$J,10,FALSE),"Download"),"")</f>
      </c>
      <c r="P378" s="149"/>
    </row>
    <row r="379" ht="23" customHeight="1">
      <c r="A379" s="92" t="str">
        <f>IF(C379="","",COUNTIF($C$2:C379,"&lt;&gt;"))</f>
      </c>
      <c r="B379" s="107"/>
      <c r="C379" s="113" t="str">
        <f>IFERROR(VLOOKUP($B379,'Hack Database'!$A:$J,2,FALSE),"")</f>
      </c>
      <c r="D379" s="113" t="str">
        <f>IFERROR(VLOOKUP($B379,'Hack Database'!$A:$J,3,FALSE),"")</f>
      </c>
      <c r="E379" s="125" t="str">
        <f>IFERROR(VLOOKUP($B379,'Hack Database'!$A:$J,4,FALSE),"")</f>
      </c>
      <c r="F379" s="125" t="str">
        <f>IFERROR(VLOOKUP($B379,'Hack Database'!$A:$J,5,FALSE),"")</f>
      </c>
      <c r="G379" s="113" t="str">
        <f>IFERROR(VLOOKUP($B379,'Hack Database'!$A:$J,6,FALSE),"")</f>
      </c>
      <c r="H379" s="137"/>
      <c r="I379" s="137"/>
      <c r="J379" s="131"/>
      <c r="K379" s="125" t="str">
        <f>IF($B379="","",IF($J379="Yes","100% Complete",IF($H379="","Planned",IF($I379="","In Progress","Finished"))))</f>
      </c>
      <c r="L379" s="143"/>
      <c r="M379" s="131"/>
      <c r="N379" s="155" t="str">
        <f>IFERROR(HYPERLINK(VLOOKUP($B379,'Hack Database'!$A:$J,9,FALSE),"Open Page"),"")</f>
      </c>
      <c r="O379" s="155" t="str">
        <f>IFERROR(HYPERLINK(VLOOKUP($B379,'Hack Database'!$A:$J,10,FALSE),"Download"),"")</f>
      </c>
      <c r="P379" s="149"/>
    </row>
    <row r="380" ht="23" customHeight="1">
      <c r="A380" s="92" t="str">
        <f>IF(C380="","",COUNTIF($C$2:C380,"&lt;&gt;"))</f>
      </c>
      <c r="B380" s="107"/>
      <c r="C380" s="113" t="str">
        <f>IFERROR(VLOOKUP($B380,'Hack Database'!$A:$J,2,FALSE),"")</f>
      </c>
      <c r="D380" s="113" t="str">
        <f>IFERROR(VLOOKUP($B380,'Hack Database'!$A:$J,3,FALSE),"")</f>
      </c>
      <c r="E380" s="125" t="str">
        <f>IFERROR(VLOOKUP($B380,'Hack Database'!$A:$J,4,FALSE),"")</f>
      </c>
      <c r="F380" s="125" t="str">
        <f>IFERROR(VLOOKUP($B380,'Hack Database'!$A:$J,5,FALSE),"")</f>
      </c>
      <c r="G380" s="113" t="str">
        <f>IFERROR(VLOOKUP($B380,'Hack Database'!$A:$J,6,FALSE),"")</f>
      </c>
      <c r="H380" s="137"/>
      <c r="I380" s="137"/>
      <c r="J380" s="131"/>
      <c r="K380" s="125" t="str">
        <f>IF($B380="","",IF($J380="Yes","100% Complete",IF($H380="","Planned",IF($I380="","In Progress","Finished"))))</f>
      </c>
      <c r="L380" s="143"/>
      <c r="M380" s="131"/>
      <c r="N380" s="155" t="str">
        <f>IFERROR(HYPERLINK(VLOOKUP($B380,'Hack Database'!$A:$J,9,FALSE),"Open Page"),"")</f>
      </c>
      <c r="O380" s="155" t="str">
        <f>IFERROR(HYPERLINK(VLOOKUP($B380,'Hack Database'!$A:$J,10,FALSE),"Download"),"")</f>
      </c>
      <c r="P380" s="149"/>
    </row>
    <row r="381" ht="23" customHeight="1">
      <c r="A381" s="92" t="str">
        <f>IF(C381="","",COUNTIF($C$2:C381,"&lt;&gt;"))</f>
      </c>
      <c r="B381" s="107"/>
      <c r="C381" s="113" t="str">
        <f>IFERROR(VLOOKUP($B381,'Hack Database'!$A:$J,2,FALSE),"")</f>
      </c>
      <c r="D381" s="113" t="str">
        <f>IFERROR(VLOOKUP($B381,'Hack Database'!$A:$J,3,FALSE),"")</f>
      </c>
      <c r="E381" s="125" t="str">
        <f>IFERROR(VLOOKUP($B381,'Hack Database'!$A:$J,4,FALSE),"")</f>
      </c>
      <c r="F381" s="125" t="str">
        <f>IFERROR(VLOOKUP($B381,'Hack Database'!$A:$J,5,FALSE),"")</f>
      </c>
      <c r="G381" s="113" t="str">
        <f>IFERROR(VLOOKUP($B381,'Hack Database'!$A:$J,6,FALSE),"")</f>
      </c>
      <c r="H381" s="137"/>
      <c r="I381" s="137"/>
      <c r="J381" s="131"/>
      <c r="K381" s="125" t="str">
        <f>IF($B381="","",IF($J381="Yes","100% Complete",IF($H381="","Planned",IF($I381="","In Progress","Finished"))))</f>
      </c>
      <c r="L381" s="143"/>
      <c r="M381" s="131"/>
      <c r="N381" s="155" t="str">
        <f>IFERROR(HYPERLINK(VLOOKUP($B381,'Hack Database'!$A:$J,9,FALSE),"Open Page"),"")</f>
      </c>
      <c r="O381" s="155" t="str">
        <f>IFERROR(HYPERLINK(VLOOKUP($B381,'Hack Database'!$A:$J,10,FALSE),"Download"),"")</f>
      </c>
      <c r="P381" s="149"/>
    </row>
    <row r="382" ht="23" customHeight="1">
      <c r="A382" s="92" t="str">
        <f>IF(C382="","",COUNTIF($C$2:C382,"&lt;&gt;"))</f>
      </c>
      <c r="B382" s="107"/>
      <c r="C382" s="113" t="str">
        <f>IFERROR(VLOOKUP($B382,'Hack Database'!$A:$J,2,FALSE),"")</f>
      </c>
      <c r="D382" s="113" t="str">
        <f>IFERROR(VLOOKUP($B382,'Hack Database'!$A:$J,3,FALSE),"")</f>
      </c>
      <c r="E382" s="125" t="str">
        <f>IFERROR(VLOOKUP($B382,'Hack Database'!$A:$J,4,FALSE),"")</f>
      </c>
      <c r="F382" s="125" t="str">
        <f>IFERROR(VLOOKUP($B382,'Hack Database'!$A:$J,5,FALSE),"")</f>
      </c>
      <c r="G382" s="113" t="str">
        <f>IFERROR(VLOOKUP($B382,'Hack Database'!$A:$J,6,FALSE),"")</f>
      </c>
      <c r="H382" s="137"/>
      <c r="I382" s="137"/>
      <c r="J382" s="131"/>
      <c r="K382" s="125" t="str">
        <f>IF($B382="","",IF($J382="Yes","100% Complete",IF($H382="","Planned",IF($I382="","In Progress","Finished"))))</f>
      </c>
      <c r="L382" s="143"/>
      <c r="M382" s="131"/>
      <c r="N382" s="155" t="str">
        <f>IFERROR(HYPERLINK(VLOOKUP($B382,'Hack Database'!$A:$J,9,FALSE),"Open Page"),"")</f>
      </c>
      <c r="O382" s="155" t="str">
        <f>IFERROR(HYPERLINK(VLOOKUP($B382,'Hack Database'!$A:$J,10,FALSE),"Download"),"")</f>
      </c>
      <c r="P382" s="149"/>
    </row>
    <row r="383" ht="23" customHeight="1">
      <c r="A383" s="92" t="str">
        <f>IF(C383="","",COUNTIF($C$2:C383,"&lt;&gt;"))</f>
      </c>
      <c r="B383" s="107"/>
      <c r="C383" s="113" t="str">
        <f>IFERROR(VLOOKUP($B383,'Hack Database'!$A:$J,2,FALSE),"")</f>
      </c>
      <c r="D383" s="113" t="str">
        <f>IFERROR(VLOOKUP($B383,'Hack Database'!$A:$J,3,FALSE),"")</f>
      </c>
      <c r="E383" s="125" t="str">
        <f>IFERROR(VLOOKUP($B383,'Hack Database'!$A:$J,4,FALSE),"")</f>
      </c>
      <c r="F383" s="125" t="str">
        <f>IFERROR(VLOOKUP($B383,'Hack Database'!$A:$J,5,FALSE),"")</f>
      </c>
      <c r="G383" s="113" t="str">
        <f>IFERROR(VLOOKUP($B383,'Hack Database'!$A:$J,6,FALSE),"")</f>
      </c>
      <c r="H383" s="137"/>
      <c r="I383" s="137"/>
      <c r="J383" s="131"/>
      <c r="K383" s="125" t="str">
        <f>IF($B383="","",IF($J383="Yes","100% Complete",IF($H383="","Planned",IF($I383="","In Progress","Finished"))))</f>
      </c>
      <c r="L383" s="143"/>
      <c r="M383" s="131"/>
      <c r="N383" s="155" t="str">
        <f>IFERROR(HYPERLINK(VLOOKUP($B383,'Hack Database'!$A:$J,9,FALSE),"Open Page"),"")</f>
      </c>
      <c r="O383" s="155" t="str">
        <f>IFERROR(HYPERLINK(VLOOKUP($B383,'Hack Database'!$A:$J,10,FALSE),"Download"),"")</f>
      </c>
      <c r="P383" s="149"/>
    </row>
    <row r="384" ht="23" customHeight="1">
      <c r="A384" s="92" t="str">
        <f>IF(C384="","",COUNTIF($C$2:C384,"&lt;&gt;"))</f>
      </c>
      <c r="B384" s="107"/>
      <c r="C384" s="113" t="str">
        <f>IFERROR(VLOOKUP($B384,'Hack Database'!$A:$J,2,FALSE),"")</f>
      </c>
      <c r="D384" s="113" t="str">
        <f>IFERROR(VLOOKUP($B384,'Hack Database'!$A:$J,3,FALSE),"")</f>
      </c>
      <c r="E384" s="125" t="str">
        <f>IFERROR(VLOOKUP($B384,'Hack Database'!$A:$J,4,FALSE),"")</f>
      </c>
      <c r="F384" s="125" t="str">
        <f>IFERROR(VLOOKUP($B384,'Hack Database'!$A:$J,5,FALSE),"")</f>
      </c>
      <c r="G384" s="113" t="str">
        <f>IFERROR(VLOOKUP($B384,'Hack Database'!$A:$J,6,FALSE),"")</f>
      </c>
      <c r="H384" s="137"/>
      <c r="I384" s="137"/>
      <c r="J384" s="131"/>
      <c r="K384" s="125" t="str">
        <f>IF($B384="","",IF($J384="Yes","100% Complete",IF($H384="","Planned",IF($I384="","In Progress","Finished"))))</f>
      </c>
      <c r="L384" s="143"/>
      <c r="M384" s="131"/>
      <c r="N384" s="155" t="str">
        <f>IFERROR(HYPERLINK(VLOOKUP($B384,'Hack Database'!$A:$J,9,FALSE),"Open Page"),"")</f>
      </c>
      <c r="O384" s="155" t="str">
        <f>IFERROR(HYPERLINK(VLOOKUP($B384,'Hack Database'!$A:$J,10,FALSE),"Download"),"")</f>
      </c>
      <c r="P384" s="149"/>
    </row>
    <row r="385" ht="23" customHeight="1">
      <c r="A385" s="92" t="str">
        <f>IF(C385="","",COUNTIF($C$2:C385,"&lt;&gt;"))</f>
      </c>
      <c r="B385" s="107"/>
      <c r="C385" s="113" t="str">
        <f>IFERROR(VLOOKUP($B385,'Hack Database'!$A:$J,2,FALSE),"")</f>
      </c>
      <c r="D385" s="113" t="str">
        <f>IFERROR(VLOOKUP($B385,'Hack Database'!$A:$J,3,FALSE),"")</f>
      </c>
      <c r="E385" s="125" t="str">
        <f>IFERROR(VLOOKUP($B385,'Hack Database'!$A:$J,4,FALSE),"")</f>
      </c>
      <c r="F385" s="125" t="str">
        <f>IFERROR(VLOOKUP($B385,'Hack Database'!$A:$J,5,FALSE),"")</f>
      </c>
      <c r="G385" s="113" t="str">
        <f>IFERROR(VLOOKUP($B385,'Hack Database'!$A:$J,6,FALSE),"")</f>
      </c>
      <c r="H385" s="137"/>
      <c r="I385" s="137"/>
      <c r="J385" s="131"/>
      <c r="K385" s="125" t="str">
        <f>IF($B385="","",IF($J385="Yes","100% Complete",IF($H385="","Planned",IF($I385="","In Progress","Finished"))))</f>
      </c>
      <c r="L385" s="143"/>
      <c r="M385" s="131"/>
      <c r="N385" s="155" t="str">
        <f>IFERROR(HYPERLINK(VLOOKUP($B385,'Hack Database'!$A:$J,9,FALSE),"Open Page"),"")</f>
      </c>
      <c r="O385" s="155" t="str">
        <f>IFERROR(HYPERLINK(VLOOKUP($B385,'Hack Database'!$A:$J,10,FALSE),"Download"),"")</f>
      </c>
      <c r="P385" s="149"/>
    </row>
    <row r="386" ht="23" customHeight="1">
      <c r="A386" s="92" t="str">
        <f>IF(C386="","",COUNTIF($C$2:C386,"&lt;&gt;"))</f>
      </c>
      <c r="B386" s="107"/>
      <c r="C386" s="113" t="str">
        <f>IFERROR(VLOOKUP($B386,'Hack Database'!$A:$J,2,FALSE),"")</f>
      </c>
      <c r="D386" s="113" t="str">
        <f>IFERROR(VLOOKUP($B386,'Hack Database'!$A:$J,3,FALSE),"")</f>
      </c>
      <c r="E386" s="125" t="str">
        <f>IFERROR(VLOOKUP($B386,'Hack Database'!$A:$J,4,FALSE),"")</f>
      </c>
      <c r="F386" s="125" t="str">
        <f>IFERROR(VLOOKUP($B386,'Hack Database'!$A:$J,5,FALSE),"")</f>
      </c>
      <c r="G386" s="113" t="str">
        <f>IFERROR(VLOOKUP($B386,'Hack Database'!$A:$J,6,FALSE),"")</f>
      </c>
      <c r="H386" s="137"/>
      <c r="I386" s="137"/>
      <c r="J386" s="131"/>
      <c r="K386" s="125" t="str">
        <f>IF($B386="","",IF($J386="Yes","100% Complete",IF($H386="","Planned",IF($I386="","In Progress","Finished"))))</f>
      </c>
      <c r="L386" s="143"/>
      <c r="M386" s="131"/>
      <c r="N386" s="155" t="str">
        <f>IFERROR(HYPERLINK(VLOOKUP($B386,'Hack Database'!$A:$J,9,FALSE),"Open Page"),"")</f>
      </c>
      <c r="O386" s="155" t="str">
        <f>IFERROR(HYPERLINK(VLOOKUP($B386,'Hack Database'!$A:$J,10,FALSE),"Download"),"")</f>
      </c>
      <c r="P386" s="149"/>
    </row>
    <row r="387" ht="23" customHeight="1">
      <c r="A387" s="92" t="str">
        <f>IF(C387="","",COUNTIF($C$2:C387,"&lt;&gt;"))</f>
      </c>
      <c r="B387" s="107"/>
      <c r="C387" s="113" t="str">
        <f>IFERROR(VLOOKUP($B387,'Hack Database'!$A:$J,2,FALSE),"")</f>
      </c>
      <c r="D387" s="113" t="str">
        <f>IFERROR(VLOOKUP($B387,'Hack Database'!$A:$J,3,FALSE),"")</f>
      </c>
      <c r="E387" s="125" t="str">
        <f>IFERROR(VLOOKUP($B387,'Hack Database'!$A:$J,4,FALSE),"")</f>
      </c>
      <c r="F387" s="125" t="str">
        <f>IFERROR(VLOOKUP($B387,'Hack Database'!$A:$J,5,FALSE),"")</f>
      </c>
      <c r="G387" s="113" t="str">
        <f>IFERROR(VLOOKUP($B387,'Hack Database'!$A:$J,6,FALSE),"")</f>
      </c>
      <c r="H387" s="137"/>
      <c r="I387" s="137"/>
      <c r="J387" s="131"/>
      <c r="K387" s="125" t="str">
        <f>IF($B387="","",IF($J387="Yes","100% Complete",IF($H387="","Planned",IF($I387="","In Progress","Finished"))))</f>
      </c>
      <c r="L387" s="143"/>
      <c r="M387" s="131"/>
      <c r="N387" s="155" t="str">
        <f>IFERROR(HYPERLINK(VLOOKUP($B387,'Hack Database'!$A:$J,9,FALSE),"Open Page"),"")</f>
      </c>
      <c r="O387" s="155" t="str">
        <f>IFERROR(HYPERLINK(VLOOKUP($B387,'Hack Database'!$A:$J,10,FALSE),"Download"),"")</f>
      </c>
      <c r="P387" s="149"/>
    </row>
    <row r="388" ht="23" customHeight="1">
      <c r="A388" s="92" t="str">
        <f>IF(C388="","",COUNTIF($C$2:C388,"&lt;&gt;"))</f>
      </c>
      <c r="B388" s="107"/>
      <c r="C388" s="113" t="str">
        <f>IFERROR(VLOOKUP($B388,'Hack Database'!$A:$J,2,FALSE),"")</f>
      </c>
      <c r="D388" s="113" t="str">
        <f>IFERROR(VLOOKUP($B388,'Hack Database'!$A:$J,3,FALSE),"")</f>
      </c>
      <c r="E388" s="125" t="str">
        <f>IFERROR(VLOOKUP($B388,'Hack Database'!$A:$J,4,FALSE),"")</f>
      </c>
      <c r="F388" s="125" t="str">
        <f>IFERROR(VLOOKUP($B388,'Hack Database'!$A:$J,5,FALSE),"")</f>
      </c>
      <c r="G388" s="113" t="str">
        <f>IFERROR(VLOOKUP($B388,'Hack Database'!$A:$J,6,FALSE),"")</f>
      </c>
      <c r="H388" s="137"/>
      <c r="I388" s="137"/>
      <c r="J388" s="131"/>
      <c r="K388" s="125" t="str">
        <f>IF($B388="","",IF($J388="Yes","100% Complete",IF($H388="","Planned",IF($I388="","In Progress","Finished"))))</f>
      </c>
      <c r="L388" s="143"/>
      <c r="M388" s="131"/>
      <c r="N388" s="155" t="str">
        <f>IFERROR(HYPERLINK(VLOOKUP($B388,'Hack Database'!$A:$J,9,FALSE),"Open Page"),"")</f>
      </c>
      <c r="O388" s="155" t="str">
        <f>IFERROR(HYPERLINK(VLOOKUP($B388,'Hack Database'!$A:$J,10,FALSE),"Download"),"")</f>
      </c>
      <c r="P388" s="149"/>
    </row>
    <row r="389" ht="23" customHeight="1">
      <c r="A389" s="92" t="str">
        <f>IF(C389="","",COUNTIF($C$2:C389,"&lt;&gt;"))</f>
      </c>
      <c r="B389" s="107"/>
      <c r="C389" s="113" t="str">
        <f>IFERROR(VLOOKUP($B389,'Hack Database'!$A:$J,2,FALSE),"")</f>
      </c>
      <c r="D389" s="113" t="str">
        <f>IFERROR(VLOOKUP($B389,'Hack Database'!$A:$J,3,FALSE),"")</f>
      </c>
      <c r="E389" s="125" t="str">
        <f>IFERROR(VLOOKUP($B389,'Hack Database'!$A:$J,4,FALSE),"")</f>
      </c>
      <c r="F389" s="125" t="str">
        <f>IFERROR(VLOOKUP($B389,'Hack Database'!$A:$J,5,FALSE),"")</f>
      </c>
      <c r="G389" s="113" t="str">
        <f>IFERROR(VLOOKUP($B389,'Hack Database'!$A:$J,6,FALSE),"")</f>
      </c>
      <c r="H389" s="137"/>
      <c r="I389" s="137"/>
      <c r="J389" s="131"/>
      <c r="K389" s="125" t="str">
        <f>IF($B389="","",IF($J389="Yes","100% Complete",IF($H389="","Planned",IF($I389="","In Progress","Finished"))))</f>
      </c>
      <c r="L389" s="143"/>
      <c r="M389" s="131"/>
      <c r="N389" s="155" t="str">
        <f>IFERROR(HYPERLINK(VLOOKUP($B389,'Hack Database'!$A:$J,9,FALSE),"Open Page"),"")</f>
      </c>
      <c r="O389" s="155" t="str">
        <f>IFERROR(HYPERLINK(VLOOKUP($B389,'Hack Database'!$A:$J,10,FALSE),"Download"),"")</f>
      </c>
      <c r="P389" s="149"/>
    </row>
    <row r="390" ht="23" customHeight="1">
      <c r="A390" s="92" t="str">
        <f>IF(C390="","",COUNTIF($C$2:C390,"&lt;&gt;"))</f>
      </c>
      <c r="B390" s="107"/>
      <c r="C390" s="113" t="str">
        <f>IFERROR(VLOOKUP($B390,'Hack Database'!$A:$J,2,FALSE),"")</f>
      </c>
      <c r="D390" s="113" t="str">
        <f>IFERROR(VLOOKUP($B390,'Hack Database'!$A:$J,3,FALSE),"")</f>
      </c>
      <c r="E390" s="125" t="str">
        <f>IFERROR(VLOOKUP($B390,'Hack Database'!$A:$J,4,FALSE),"")</f>
      </c>
      <c r="F390" s="125" t="str">
        <f>IFERROR(VLOOKUP($B390,'Hack Database'!$A:$J,5,FALSE),"")</f>
      </c>
      <c r="G390" s="113" t="str">
        <f>IFERROR(VLOOKUP($B390,'Hack Database'!$A:$J,6,FALSE),"")</f>
      </c>
      <c r="H390" s="137"/>
      <c r="I390" s="137"/>
      <c r="J390" s="131"/>
      <c r="K390" s="125" t="str">
        <f>IF($B390="","",IF($J390="Yes","100% Complete",IF($H390="","Planned",IF($I390="","In Progress","Finished"))))</f>
      </c>
      <c r="L390" s="143"/>
      <c r="M390" s="131"/>
      <c r="N390" s="155" t="str">
        <f>IFERROR(HYPERLINK(VLOOKUP($B390,'Hack Database'!$A:$J,9,FALSE),"Open Page"),"")</f>
      </c>
      <c r="O390" s="155" t="str">
        <f>IFERROR(HYPERLINK(VLOOKUP($B390,'Hack Database'!$A:$J,10,FALSE),"Download"),"")</f>
      </c>
      <c r="P390" s="149"/>
    </row>
    <row r="391" ht="23" customHeight="1">
      <c r="A391" s="92" t="str">
        <f>IF(C391="","",COUNTIF($C$2:C391,"&lt;&gt;"))</f>
      </c>
      <c r="B391" s="107"/>
      <c r="C391" s="113" t="str">
        <f>IFERROR(VLOOKUP($B391,'Hack Database'!$A:$J,2,FALSE),"")</f>
      </c>
      <c r="D391" s="113" t="str">
        <f>IFERROR(VLOOKUP($B391,'Hack Database'!$A:$J,3,FALSE),"")</f>
      </c>
      <c r="E391" s="125" t="str">
        <f>IFERROR(VLOOKUP($B391,'Hack Database'!$A:$J,4,FALSE),"")</f>
      </c>
      <c r="F391" s="125" t="str">
        <f>IFERROR(VLOOKUP($B391,'Hack Database'!$A:$J,5,FALSE),"")</f>
      </c>
      <c r="G391" s="113" t="str">
        <f>IFERROR(VLOOKUP($B391,'Hack Database'!$A:$J,6,FALSE),"")</f>
      </c>
      <c r="H391" s="137"/>
      <c r="I391" s="137"/>
      <c r="J391" s="131"/>
      <c r="K391" s="125" t="str">
        <f>IF($B391="","",IF($J391="Yes","100% Complete",IF($H391="","Planned",IF($I391="","In Progress","Finished"))))</f>
      </c>
      <c r="L391" s="143"/>
      <c r="M391" s="131"/>
      <c r="N391" s="155" t="str">
        <f>IFERROR(HYPERLINK(VLOOKUP($B391,'Hack Database'!$A:$J,9,FALSE),"Open Page"),"")</f>
      </c>
      <c r="O391" s="155" t="str">
        <f>IFERROR(HYPERLINK(VLOOKUP($B391,'Hack Database'!$A:$J,10,FALSE),"Download"),"")</f>
      </c>
      <c r="P391" s="149"/>
    </row>
    <row r="392" ht="23" customHeight="1">
      <c r="A392" s="92" t="str">
        <f>IF(C392="","",COUNTIF($C$2:C392,"&lt;&gt;"))</f>
      </c>
      <c r="B392" s="107"/>
      <c r="C392" s="113" t="str">
        <f>IFERROR(VLOOKUP($B392,'Hack Database'!$A:$J,2,FALSE),"")</f>
      </c>
      <c r="D392" s="113" t="str">
        <f>IFERROR(VLOOKUP($B392,'Hack Database'!$A:$J,3,FALSE),"")</f>
      </c>
      <c r="E392" s="125" t="str">
        <f>IFERROR(VLOOKUP($B392,'Hack Database'!$A:$J,4,FALSE),"")</f>
      </c>
      <c r="F392" s="125" t="str">
        <f>IFERROR(VLOOKUP($B392,'Hack Database'!$A:$J,5,FALSE),"")</f>
      </c>
      <c r="G392" s="113" t="str">
        <f>IFERROR(VLOOKUP($B392,'Hack Database'!$A:$J,6,FALSE),"")</f>
      </c>
      <c r="H392" s="137"/>
      <c r="I392" s="137"/>
      <c r="J392" s="131"/>
      <c r="K392" s="125" t="str">
        <f>IF($B392="","",IF($J392="Yes","100% Complete",IF($H392="","Planned",IF($I392="","In Progress","Finished"))))</f>
      </c>
      <c r="L392" s="143"/>
      <c r="M392" s="131"/>
      <c r="N392" s="155" t="str">
        <f>IFERROR(HYPERLINK(VLOOKUP($B392,'Hack Database'!$A:$J,9,FALSE),"Open Page"),"")</f>
      </c>
      <c r="O392" s="155" t="str">
        <f>IFERROR(HYPERLINK(VLOOKUP($B392,'Hack Database'!$A:$J,10,FALSE),"Download"),"")</f>
      </c>
      <c r="P392" s="149"/>
    </row>
    <row r="393" ht="23" customHeight="1">
      <c r="A393" s="92" t="str">
        <f>IF(C393="","",COUNTIF($C$2:C393,"&lt;&gt;"))</f>
      </c>
      <c r="B393" s="107"/>
      <c r="C393" s="113" t="str">
        <f>IFERROR(VLOOKUP($B393,'Hack Database'!$A:$J,2,FALSE),"")</f>
      </c>
      <c r="D393" s="113" t="str">
        <f>IFERROR(VLOOKUP($B393,'Hack Database'!$A:$J,3,FALSE),"")</f>
      </c>
      <c r="E393" s="125" t="str">
        <f>IFERROR(VLOOKUP($B393,'Hack Database'!$A:$J,4,FALSE),"")</f>
      </c>
      <c r="F393" s="125" t="str">
        <f>IFERROR(VLOOKUP($B393,'Hack Database'!$A:$J,5,FALSE),"")</f>
      </c>
      <c r="G393" s="113" t="str">
        <f>IFERROR(VLOOKUP($B393,'Hack Database'!$A:$J,6,FALSE),"")</f>
      </c>
      <c r="H393" s="137"/>
      <c r="I393" s="137"/>
      <c r="J393" s="131"/>
      <c r="K393" s="125" t="str">
        <f>IF($B393="","",IF($J393="Yes","100% Complete",IF($H393="","Planned",IF($I393="","In Progress","Finished"))))</f>
      </c>
      <c r="L393" s="143"/>
      <c r="M393" s="131"/>
      <c r="N393" s="155" t="str">
        <f>IFERROR(HYPERLINK(VLOOKUP($B393,'Hack Database'!$A:$J,9,FALSE),"Open Page"),"")</f>
      </c>
      <c r="O393" s="155" t="str">
        <f>IFERROR(HYPERLINK(VLOOKUP($B393,'Hack Database'!$A:$J,10,FALSE),"Download"),"")</f>
      </c>
      <c r="P393" s="149"/>
    </row>
    <row r="394" ht="23" customHeight="1">
      <c r="A394" s="92" t="str">
        <f>IF(C394="","",COUNTIF($C$2:C394,"&lt;&gt;"))</f>
      </c>
      <c r="B394" s="107"/>
      <c r="C394" s="113" t="str">
        <f>IFERROR(VLOOKUP($B394,'Hack Database'!$A:$J,2,FALSE),"")</f>
      </c>
      <c r="D394" s="113" t="str">
        <f>IFERROR(VLOOKUP($B394,'Hack Database'!$A:$J,3,FALSE),"")</f>
      </c>
      <c r="E394" s="125" t="str">
        <f>IFERROR(VLOOKUP($B394,'Hack Database'!$A:$J,4,FALSE),"")</f>
      </c>
      <c r="F394" s="125" t="str">
        <f>IFERROR(VLOOKUP($B394,'Hack Database'!$A:$J,5,FALSE),"")</f>
      </c>
      <c r="G394" s="113" t="str">
        <f>IFERROR(VLOOKUP($B394,'Hack Database'!$A:$J,6,FALSE),"")</f>
      </c>
      <c r="H394" s="137"/>
      <c r="I394" s="137"/>
      <c r="J394" s="131"/>
      <c r="K394" s="125" t="str">
        <f>IF($B394="","",IF($J394="Yes","100% Complete",IF($H394="","Planned",IF($I394="","In Progress","Finished"))))</f>
      </c>
      <c r="L394" s="143"/>
      <c r="M394" s="131"/>
      <c r="N394" s="155" t="str">
        <f>IFERROR(HYPERLINK(VLOOKUP($B394,'Hack Database'!$A:$J,9,FALSE),"Open Page"),"")</f>
      </c>
      <c r="O394" s="155" t="str">
        <f>IFERROR(HYPERLINK(VLOOKUP($B394,'Hack Database'!$A:$J,10,FALSE),"Download"),"")</f>
      </c>
      <c r="P394" s="149"/>
    </row>
    <row r="395" ht="23" customHeight="1">
      <c r="A395" s="92" t="str">
        <f>IF(C395="","",COUNTIF($C$2:C395,"&lt;&gt;"))</f>
      </c>
      <c r="B395" s="107"/>
      <c r="C395" s="113" t="str">
        <f>IFERROR(VLOOKUP($B395,'Hack Database'!$A:$J,2,FALSE),"")</f>
      </c>
      <c r="D395" s="113" t="str">
        <f>IFERROR(VLOOKUP($B395,'Hack Database'!$A:$J,3,FALSE),"")</f>
      </c>
      <c r="E395" s="125" t="str">
        <f>IFERROR(VLOOKUP($B395,'Hack Database'!$A:$J,4,FALSE),"")</f>
      </c>
      <c r="F395" s="125" t="str">
        <f>IFERROR(VLOOKUP($B395,'Hack Database'!$A:$J,5,FALSE),"")</f>
      </c>
      <c r="G395" s="113" t="str">
        <f>IFERROR(VLOOKUP($B395,'Hack Database'!$A:$J,6,FALSE),"")</f>
      </c>
      <c r="H395" s="137"/>
      <c r="I395" s="137"/>
      <c r="J395" s="131"/>
      <c r="K395" s="125" t="str">
        <f>IF($B395="","",IF($J395="Yes","100% Complete",IF($H395="","Planned",IF($I395="","In Progress","Finished"))))</f>
      </c>
      <c r="L395" s="143"/>
      <c r="M395" s="131"/>
      <c r="N395" s="155" t="str">
        <f>IFERROR(HYPERLINK(VLOOKUP($B395,'Hack Database'!$A:$J,9,FALSE),"Open Page"),"")</f>
      </c>
      <c r="O395" s="155" t="str">
        <f>IFERROR(HYPERLINK(VLOOKUP($B395,'Hack Database'!$A:$J,10,FALSE),"Download"),"")</f>
      </c>
      <c r="P395" s="149"/>
    </row>
    <row r="396" ht="23" customHeight="1">
      <c r="A396" s="92" t="str">
        <f>IF(C396="","",COUNTIF($C$2:C396,"&lt;&gt;"))</f>
      </c>
      <c r="B396" s="107"/>
      <c r="C396" s="113" t="str">
        <f>IFERROR(VLOOKUP($B396,'Hack Database'!$A:$J,2,FALSE),"")</f>
      </c>
      <c r="D396" s="113" t="str">
        <f>IFERROR(VLOOKUP($B396,'Hack Database'!$A:$J,3,FALSE),"")</f>
      </c>
      <c r="E396" s="125" t="str">
        <f>IFERROR(VLOOKUP($B396,'Hack Database'!$A:$J,4,FALSE),"")</f>
      </c>
      <c r="F396" s="125" t="str">
        <f>IFERROR(VLOOKUP($B396,'Hack Database'!$A:$J,5,FALSE),"")</f>
      </c>
      <c r="G396" s="113" t="str">
        <f>IFERROR(VLOOKUP($B396,'Hack Database'!$A:$J,6,FALSE),"")</f>
      </c>
      <c r="H396" s="137"/>
      <c r="I396" s="137"/>
      <c r="J396" s="131"/>
      <c r="K396" s="125" t="str">
        <f>IF($B396="","",IF($J396="Yes","100% Complete",IF($H396="","Planned",IF($I396="","In Progress","Finished"))))</f>
      </c>
      <c r="L396" s="143"/>
      <c r="M396" s="131"/>
      <c r="N396" s="155" t="str">
        <f>IFERROR(HYPERLINK(VLOOKUP($B396,'Hack Database'!$A:$J,9,FALSE),"Open Page"),"")</f>
      </c>
      <c r="O396" s="155" t="str">
        <f>IFERROR(HYPERLINK(VLOOKUP($B396,'Hack Database'!$A:$J,10,FALSE),"Download"),"")</f>
      </c>
      <c r="P396" s="149"/>
    </row>
    <row r="397" ht="23" customHeight="1">
      <c r="A397" s="92" t="str">
        <f>IF(C397="","",COUNTIF($C$2:C397,"&lt;&gt;"))</f>
      </c>
      <c r="B397" s="107"/>
      <c r="C397" s="113" t="str">
        <f>IFERROR(VLOOKUP($B397,'Hack Database'!$A:$J,2,FALSE),"")</f>
      </c>
      <c r="D397" s="113" t="str">
        <f>IFERROR(VLOOKUP($B397,'Hack Database'!$A:$J,3,FALSE),"")</f>
      </c>
      <c r="E397" s="125" t="str">
        <f>IFERROR(VLOOKUP($B397,'Hack Database'!$A:$J,4,FALSE),"")</f>
      </c>
      <c r="F397" s="125" t="str">
        <f>IFERROR(VLOOKUP($B397,'Hack Database'!$A:$J,5,FALSE),"")</f>
      </c>
      <c r="G397" s="113" t="str">
        <f>IFERROR(VLOOKUP($B397,'Hack Database'!$A:$J,6,FALSE),"")</f>
      </c>
      <c r="H397" s="137"/>
      <c r="I397" s="137"/>
      <c r="J397" s="131"/>
      <c r="K397" s="125" t="str">
        <f>IF($B397="","",IF($J397="Yes","100% Complete",IF($H397="","Planned",IF($I397="","In Progress","Finished"))))</f>
      </c>
      <c r="L397" s="143"/>
      <c r="M397" s="131"/>
      <c r="N397" s="155" t="str">
        <f>IFERROR(HYPERLINK(VLOOKUP($B397,'Hack Database'!$A:$J,9,FALSE),"Open Page"),"")</f>
      </c>
      <c r="O397" s="155" t="str">
        <f>IFERROR(HYPERLINK(VLOOKUP($B397,'Hack Database'!$A:$J,10,FALSE),"Download"),"")</f>
      </c>
      <c r="P397" s="149"/>
    </row>
    <row r="398" ht="23" customHeight="1">
      <c r="A398" s="92" t="str">
        <f>IF(C398="","",COUNTIF($C$2:C398,"&lt;&gt;"))</f>
      </c>
      <c r="B398" s="107"/>
      <c r="C398" s="113" t="str">
        <f>IFERROR(VLOOKUP($B398,'Hack Database'!$A:$J,2,FALSE),"")</f>
      </c>
      <c r="D398" s="113" t="str">
        <f>IFERROR(VLOOKUP($B398,'Hack Database'!$A:$J,3,FALSE),"")</f>
      </c>
      <c r="E398" s="125" t="str">
        <f>IFERROR(VLOOKUP($B398,'Hack Database'!$A:$J,4,FALSE),"")</f>
      </c>
      <c r="F398" s="125" t="str">
        <f>IFERROR(VLOOKUP($B398,'Hack Database'!$A:$J,5,FALSE),"")</f>
      </c>
      <c r="G398" s="113" t="str">
        <f>IFERROR(VLOOKUP($B398,'Hack Database'!$A:$J,6,FALSE),"")</f>
      </c>
      <c r="H398" s="137"/>
      <c r="I398" s="137"/>
      <c r="J398" s="131"/>
      <c r="K398" s="125" t="str">
        <f>IF($B398="","",IF($J398="Yes","100% Complete",IF($H398="","Planned",IF($I398="","In Progress","Finished"))))</f>
      </c>
      <c r="L398" s="143"/>
      <c r="M398" s="131"/>
      <c r="N398" s="155" t="str">
        <f>IFERROR(HYPERLINK(VLOOKUP($B398,'Hack Database'!$A:$J,9,FALSE),"Open Page"),"")</f>
      </c>
      <c r="O398" s="155" t="str">
        <f>IFERROR(HYPERLINK(VLOOKUP($B398,'Hack Database'!$A:$J,10,FALSE),"Download"),"")</f>
      </c>
      <c r="P398" s="149"/>
    </row>
    <row r="399" ht="23" customHeight="1">
      <c r="A399" s="92" t="str">
        <f>IF(C399="","",COUNTIF($C$2:C399,"&lt;&gt;"))</f>
      </c>
      <c r="B399" s="107"/>
      <c r="C399" s="113" t="str">
        <f>IFERROR(VLOOKUP($B399,'Hack Database'!$A:$J,2,FALSE),"")</f>
      </c>
      <c r="D399" s="113" t="str">
        <f>IFERROR(VLOOKUP($B399,'Hack Database'!$A:$J,3,FALSE),"")</f>
      </c>
      <c r="E399" s="125" t="str">
        <f>IFERROR(VLOOKUP($B399,'Hack Database'!$A:$J,4,FALSE),"")</f>
      </c>
      <c r="F399" s="125" t="str">
        <f>IFERROR(VLOOKUP($B399,'Hack Database'!$A:$J,5,FALSE),"")</f>
      </c>
      <c r="G399" s="113" t="str">
        <f>IFERROR(VLOOKUP($B399,'Hack Database'!$A:$J,6,FALSE),"")</f>
      </c>
      <c r="H399" s="137"/>
      <c r="I399" s="137"/>
      <c r="J399" s="131"/>
      <c r="K399" s="125" t="str">
        <f>IF($B399="","",IF($J399="Yes","100% Complete",IF($H399="","Planned",IF($I399="","In Progress","Finished"))))</f>
      </c>
      <c r="L399" s="143"/>
      <c r="M399" s="131"/>
      <c r="N399" s="155" t="str">
        <f>IFERROR(HYPERLINK(VLOOKUP($B399,'Hack Database'!$A:$J,9,FALSE),"Open Page"),"")</f>
      </c>
      <c r="O399" s="155" t="str">
        <f>IFERROR(HYPERLINK(VLOOKUP($B399,'Hack Database'!$A:$J,10,FALSE),"Download"),"")</f>
      </c>
      <c r="P399" s="149"/>
    </row>
    <row r="400" ht="23" customHeight="1">
      <c r="A400" s="92" t="str">
        <f>IF(C400="","",COUNTIF($C$2:C400,"&lt;&gt;"))</f>
      </c>
      <c r="B400" s="107"/>
      <c r="C400" s="113" t="str">
        <f>IFERROR(VLOOKUP($B400,'Hack Database'!$A:$J,2,FALSE),"")</f>
      </c>
      <c r="D400" s="113" t="str">
        <f>IFERROR(VLOOKUP($B400,'Hack Database'!$A:$J,3,FALSE),"")</f>
      </c>
      <c r="E400" s="125" t="str">
        <f>IFERROR(VLOOKUP($B400,'Hack Database'!$A:$J,4,FALSE),"")</f>
      </c>
      <c r="F400" s="125" t="str">
        <f>IFERROR(VLOOKUP($B400,'Hack Database'!$A:$J,5,FALSE),"")</f>
      </c>
      <c r="G400" s="113" t="str">
        <f>IFERROR(VLOOKUP($B400,'Hack Database'!$A:$J,6,FALSE),"")</f>
      </c>
      <c r="H400" s="137"/>
      <c r="I400" s="137"/>
      <c r="J400" s="131"/>
      <c r="K400" s="125" t="str">
        <f>IF($B400="","",IF($J400="Yes","100% Complete",IF($H400="","Planned",IF($I400="","In Progress","Finished"))))</f>
      </c>
      <c r="L400" s="143"/>
      <c r="M400" s="131"/>
      <c r="N400" s="155" t="str">
        <f>IFERROR(HYPERLINK(VLOOKUP($B400,'Hack Database'!$A:$J,9,FALSE),"Open Page"),"")</f>
      </c>
      <c r="O400" s="155" t="str">
        <f>IFERROR(HYPERLINK(VLOOKUP($B400,'Hack Database'!$A:$J,10,FALSE),"Download"),"")</f>
      </c>
      <c r="P400" s="149"/>
    </row>
    <row r="401" ht="23" customHeight="1">
      <c r="A401" s="92" t="str">
        <f>IF(C401="","",COUNTIF($C$2:C401,"&lt;&gt;"))</f>
      </c>
      <c r="B401" s="107"/>
      <c r="C401" s="113" t="str">
        <f>IFERROR(VLOOKUP($B401,'Hack Database'!$A:$J,2,FALSE),"")</f>
      </c>
      <c r="D401" s="113" t="str">
        <f>IFERROR(VLOOKUP($B401,'Hack Database'!$A:$J,3,FALSE),"")</f>
      </c>
      <c r="E401" s="125" t="str">
        <f>IFERROR(VLOOKUP($B401,'Hack Database'!$A:$J,4,FALSE),"")</f>
      </c>
      <c r="F401" s="125" t="str">
        <f>IFERROR(VLOOKUP($B401,'Hack Database'!$A:$J,5,FALSE),"")</f>
      </c>
      <c r="G401" s="113" t="str">
        <f>IFERROR(VLOOKUP($B401,'Hack Database'!$A:$J,6,FALSE),"")</f>
      </c>
      <c r="H401" s="137"/>
      <c r="I401" s="137"/>
      <c r="J401" s="131"/>
      <c r="K401" s="125" t="str">
        <f>IF($B401="","",IF($J401="Yes","100% Complete",IF($H401="","Planned",IF($I401="","In Progress","Finished"))))</f>
      </c>
      <c r="L401" s="143"/>
      <c r="M401" s="131"/>
      <c r="N401" s="155" t="str">
        <f>IFERROR(HYPERLINK(VLOOKUP($B401,'Hack Database'!$A:$J,9,FALSE),"Open Page"),"")</f>
      </c>
      <c r="O401" s="155" t="str">
        <f>IFERROR(HYPERLINK(VLOOKUP($B401,'Hack Database'!$A:$J,10,FALSE),"Download"),"")</f>
      </c>
      <c r="P401" s="149"/>
    </row>
    <row r="402" ht="23" customHeight="1">
      <c r="A402" s="92" t="str">
        <f>IF(C402="","",COUNTIF($C$2:C402,"&lt;&gt;"))</f>
      </c>
      <c r="B402" s="107"/>
      <c r="C402" s="113" t="str">
        <f>IFERROR(VLOOKUP($B402,'Hack Database'!$A:$J,2,FALSE),"")</f>
      </c>
      <c r="D402" s="113" t="str">
        <f>IFERROR(VLOOKUP($B402,'Hack Database'!$A:$J,3,FALSE),"")</f>
      </c>
      <c r="E402" s="125" t="str">
        <f>IFERROR(VLOOKUP($B402,'Hack Database'!$A:$J,4,FALSE),"")</f>
      </c>
      <c r="F402" s="125" t="str">
        <f>IFERROR(VLOOKUP($B402,'Hack Database'!$A:$J,5,FALSE),"")</f>
      </c>
      <c r="G402" s="113" t="str">
        <f>IFERROR(VLOOKUP($B402,'Hack Database'!$A:$J,6,FALSE),"")</f>
      </c>
      <c r="H402" s="137"/>
      <c r="I402" s="137"/>
      <c r="J402" s="131"/>
      <c r="K402" s="125" t="str">
        <f>IF($B402="","",IF($J402="Yes","100% Complete",IF($H402="","Planned",IF($I402="","In Progress","Finished"))))</f>
      </c>
      <c r="L402" s="143"/>
      <c r="M402" s="131"/>
      <c r="N402" s="155" t="str">
        <f>IFERROR(HYPERLINK(VLOOKUP($B402,'Hack Database'!$A:$J,9,FALSE),"Open Page"),"")</f>
      </c>
      <c r="O402" s="155" t="str">
        <f>IFERROR(HYPERLINK(VLOOKUP($B402,'Hack Database'!$A:$J,10,FALSE),"Download"),"")</f>
      </c>
      <c r="P402" s="149"/>
    </row>
    <row r="403" ht="23" customHeight="1">
      <c r="A403" s="92" t="str">
        <f>IF(C403="","",COUNTIF($C$2:C403,"&lt;&gt;"))</f>
      </c>
      <c r="B403" s="107"/>
      <c r="C403" s="113" t="str">
        <f>IFERROR(VLOOKUP($B403,'Hack Database'!$A:$J,2,FALSE),"")</f>
      </c>
      <c r="D403" s="113" t="str">
        <f>IFERROR(VLOOKUP($B403,'Hack Database'!$A:$J,3,FALSE),"")</f>
      </c>
      <c r="E403" s="125" t="str">
        <f>IFERROR(VLOOKUP($B403,'Hack Database'!$A:$J,4,FALSE),"")</f>
      </c>
      <c r="F403" s="125" t="str">
        <f>IFERROR(VLOOKUP($B403,'Hack Database'!$A:$J,5,FALSE),"")</f>
      </c>
      <c r="G403" s="113" t="str">
        <f>IFERROR(VLOOKUP($B403,'Hack Database'!$A:$J,6,FALSE),"")</f>
      </c>
      <c r="H403" s="137"/>
      <c r="I403" s="137"/>
      <c r="J403" s="131"/>
      <c r="K403" s="125" t="str">
        <f>IF($B403="","",IF($J403="Yes","100% Complete",IF($H403="","Planned",IF($I403="","In Progress","Finished"))))</f>
      </c>
      <c r="L403" s="143"/>
      <c r="M403" s="131"/>
      <c r="N403" s="155" t="str">
        <f>IFERROR(HYPERLINK(VLOOKUP($B403,'Hack Database'!$A:$J,9,FALSE),"Open Page"),"")</f>
      </c>
      <c r="O403" s="155" t="str">
        <f>IFERROR(HYPERLINK(VLOOKUP($B403,'Hack Database'!$A:$J,10,FALSE),"Download"),"")</f>
      </c>
      <c r="P403" s="149"/>
    </row>
    <row r="404" ht="23" customHeight="1">
      <c r="A404" s="92" t="str">
        <f>IF(C404="","",COUNTIF($C$2:C404,"&lt;&gt;"))</f>
      </c>
      <c r="B404" s="107"/>
      <c r="C404" s="113" t="str">
        <f>IFERROR(VLOOKUP($B404,'Hack Database'!$A:$J,2,FALSE),"")</f>
      </c>
      <c r="D404" s="113" t="str">
        <f>IFERROR(VLOOKUP($B404,'Hack Database'!$A:$J,3,FALSE),"")</f>
      </c>
      <c r="E404" s="125" t="str">
        <f>IFERROR(VLOOKUP($B404,'Hack Database'!$A:$J,4,FALSE),"")</f>
      </c>
      <c r="F404" s="125" t="str">
        <f>IFERROR(VLOOKUP($B404,'Hack Database'!$A:$J,5,FALSE),"")</f>
      </c>
      <c r="G404" s="113" t="str">
        <f>IFERROR(VLOOKUP($B404,'Hack Database'!$A:$J,6,FALSE),"")</f>
      </c>
      <c r="H404" s="137"/>
      <c r="I404" s="137"/>
      <c r="J404" s="131"/>
      <c r="K404" s="125" t="str">
        <f>IF($B404="","",IF($J404="Yes","100% Complete",IF($H404="","Planned",IF($I404="","In Progress","Finished"))))</f>
      </c>
      <c r="L404" s="143"/>
      <c r="M404" s="131"/>
      <c r="N404" s="155" t="str">
        <f>IFERROR(HYPERLINK(VLOOKUP($B404,'Hack Database'!$A:$J,9,FALSE),"Open Page"),"")</f>
      </c>
      <c r="O404" s="155" t="str">
        <f>IFERROR(HYPERLINK(VLOOKUP($B404,'Hack Database'!$A:$J,10,FALSE),"Download"),"")</f>
      </c>
      <c r="P404" s="149"/>
    </row>
    <row r="405" ht="23" customHeight="1">
      <c r="A405" s="92" t="str">
        <f>IF(C405="","",COUNTIF($C$2:C405,"&lt;&gt;"))</f>
      </c>
      <c r="B405" s="107"/>
      <c r="C405" s="113" t="str">
        <f>IFERROR(VLOOKUP($B405,'Hack Database'!$A:$J,2,FALSE),"")</f>
      </c>
      <c r="D405" s="113" t="str">
        <f>IFERROR(VLOOKUP($B405,'Hack Database'!$A:$J,3,FALSE),"")</f>
      </c>
      <c r="E405" s="125" t="str">
        <f>IFERROR(VLOOKUP($B405,'Hack Database'!$A:$J,4,FALSE),"")</f>
      </c>
      <c r="F405" s="125" t="str">
        <f>IFERROR(VLOOKUP($B405,'Hack Database'!$A:$J,5,FALSE),"")</f>
      </c>
      <c r="G405" s="113" t="str">
        <f>IFERROR(VLOOKUP($B405,'Hack Database'!$A:$J,6,FALSE),"")</f>
      </c>
      <c r="H405" s="137"/>
      <c r="I405" s="137"/>
      <c r="J405" s="131"/>
      <c r="K405" s="125" t="str">
        <f>IF($B405="","",IF($J405="Yes","100% Complete",IF($H405="","Planned",IF($I405="","In Progress","Finished"))))</f>
      </c>
      <c r="L405" s="143"/>
      <c r="M405" s="131"/>
      <c r="N405" s="155" t="str">
        <f>IFERROR(HYPERLINK(VLOOKUP($B405,'Hack Database'!$A:$J,9,FALSE),"Open Page"),"")</f>
      </c>
      <c r="O405" s="155" t="str">
        <f>IFERROR(HYPERLINK(VLOOKUP($B405,'Hack Database'!$A:$J,10,FALSE),"Download"),"")</f>
      </c>
      <c r="P405" s="149"/>
    </row>
    <row r="406" ht="23" customHeight="1">
      <c r="A406" s="92" t="str">
        <f>IF(C406="","",COUNTIF($C$2:C406,"&lt;&gt;"))</f>
      </c>
      <c r="B406" s="107"/>
      <c r="C406" s="113" t="str">
        <f>IFERROR(VLOOKUP($B406,'Hack Database'!$A:$J,2,FALSE),"")</f>
      </c>
      <c r="D406" s="113" t="str">
        <f>IFERROR(VLOOKUP($B406,'Hack Database'!$A:$J,3,FALSE),"")</f>
      </c>
      <c r="E406" s="125" t="str">
        <f>IFERROR(VLOOKUP($B406,'Hack Database'!$A:$J,4,FALSE),"")</f>
      </c>
      <c r="F406" s="125" t="str">
        <f>IFERROR(VLOOKUP($B406,'Hack Database'!$A:$J,5,FALSE),"")</f>
      </c>
      <c r="G406" s="113" t="str">
        <f>IFERROR(VLOOKUP($B406,'Hack Database'!$A:$J,6,FALSE),"")</f>
      </c>
      <c r="H406" s="137"/>
      <c r="I406" s="137"/>
      <c r="J406" s="131"/>
      <c r="K406" s="125" t="str">
        <f>IF($B406="","",IF($J406="Yes","100% Complete",IF($H406="","Planned",IF($I406="","In Progress","Finished"))))</f>
      </c>
      <c r="L406" s="143"/>
      <c r="M406" s="131"/>
      <c r="N406" s="155" t="str">
        <f>IFERROR(HYPERLINK(VLOOKUP($B406,'Hack Database'!$A:$J,9,FALSE),"Open Page"),"")</f>
      </c>
      <c r="O406" s="155" t="str">
        <f>IFERROR(HYPERLINK(VLOOKUP($B406,'Hack Database'!$A:$J,10,FALSE),"Download"),"")</f>
      </c>
      <c r="P406" s="149"/>
    </row>
    <row r="407" ht="23" customHeight="1">
      <c r="A407" s="92" t="str">
        <f>IF(C407="","",COUNTIF($C$2:C407,"&lt;&gt;"))</f>
      </c>
      <c r="B407" s="107"/>
      <c r="C407" s="113" t="str">
        <f>IFERROR(VLOOKUP($B407,'Hack Database'!$A:$J,2,FALSE),"")</f>
      </c>
      <c r="D407" s="113" t="str">
        <f>IFERROR(VLOOKUP($B407,'Hack Database'!$A:$J,3,FALSE),"")</f>
      </c>
      <c r="E407" s="125" t="str">
        <f>IFERROR(VLOOKUP($B407,'Hack Database'!$A:$J,4,FALSE),"")</f>
      </c>
      <c r="F407" s="125" t="str">
        <f>IFERROR(VLOOKUP($B407,'Hack Database'!$A:$J,5,FALSE),"")</f>
      </c>
      <c r="G407" s="113" t="str">
        <f>IFERROR(VLOOKUP($B407,'Hack Database'!$A:$J,6,FALSE),"")</f>
      </c>
      <c r="H407" s="137"/>
      <c r="I407" s="137"/>
      <c r="J407" s="131"/>
      <c r="K407" s="125" t="str">
        <f>IF($B407="","",IF($J407="Yes","100% Complete",IF($H407="","Planned",IF($I407="","In Progress","Finished"))))</f>
      </c>
      <c r="L407" s="143"/>
      <c r="M407" s="131"/>
      <c r="N407" s="155" t="str">
        <f>IFERROR(HYPERLINK(VLOOKUP($B407,'Hack Database'!$A:$J,9,FALSE),"Open Page"),"")</f>
      </c>
      <c r="O407" s="155" t="str">
        <f>IFERROR(HYPERLINK(VLOOKUP($B407,'Hack Database'!$A:$J,10,FALSE),"Download"),"")</f>
      </c>
      <c r="P407" s="149"/>
    </row>
    <row r="408" ht="23" customHeight="1">
      <c r="A408" s="92" t="str">
        <f>IF(C408="","",COUNTIF($C$2:C408,"&lt;&gt;"))</f>
      </c>
      <c r="B408" s="107"/>
      <c r="C408" s="113" t="str">
        <f>IFERROR(VLOOKUP($B408,'Hack Database'!$A:$J,2,FALSE),"")</f>
      </c>
      <c r="D408" s="113" t="str">
        <f>IFERROR(VLOOKUP($B408,'Hack Database'!$A:$J,3,FALSE),"")</f>
      </c>
      <c r="E408" s="125" t="str">
        <f>IFERROR(VLOOKUP($B408,'Hack Database'!$A:$J,4,FALSE),"")</f>
      </c>
      <c r="F408" s="125" t="str">
        <f>IFERROR(VLOOKUP($B408,'Hack Database'!$A:$J,5,FALSE),"")</f>
      </c>
      <c r="G408" s="113" t="str">
        <f>IFERROR(VLOOKUP($B408,'Hack Database'!$A:$J,6,FALSE),"")</f>
      </c>
      <c r="H408" s="137"/>
      <c r="I408" s="137"/>
      <c r="J408" s="131"/>
      <c r="K408" s="125" t="str">
        <f>IF($B408="","",IF($J408="Yes","100% Complete",IF($H408="","Planned",IF($I408="","In Progress","Finished"))))</f>
      </c>
      <c r="L408" s="143"/>
      <c r="M408" s="131"/>
      <c r="N408" s="155" t="str">
        <f>IFERROR(HYPERLINK(VLOOKUP($B408,'Hack Database'!$A:$J,9,FALSE),"Open Page"),"")</f>
      </c>
      <c r="O408" s="155" t="str">
        <f>IFERROR(HYPERLINK(VLOOKUP($B408,'Hack Database'!$A:$J,10,FALSE),"Download"),"")</f>
      </c>
      <c r="P408" s="149"/>
    </row>
    <row r="409" ht="23" customHeight="1">
      <c r="A409" s="92" t="str">
        <f>IF(C409="","",COUNTIF($C$2:C409,"&lt;&gt;"))</f>
      </c>
      <c r="B409" s="107"/>
      <c r="C409" s="113" t="str">
        <f>IFERROR(VLOOKUP($B409,'Hack Database'!$A:$J,2,FALSE),"")</f>
      </c>
      <c r="D409" s="113" t="str">
        <f>IFERROR(VLOOKUP($B409,'Hack Database'!$A:$J,3,FALSE),"")</f>
      </c>
      <c r="E409" s="125" t="str">
        <f>IFERROR(VLOOKUP($B409,'Hack Database'!$A:$J,4,FALSE),"")</f>
      </c>
      <c r="F409" s="125" t="str">
        <f>IFERROR(VLOOKUP($B409,'Hack Database'!$A:$J,5,FALSE),"")</f>
      </c>
      <c r="G409" s="113" t="str">
        <f>IFERROR(VLOOKUP($B409,'Hack Database'!$A:$J,6,FALSE),"")</f>
      </c>
      <c r="H409" s="137"/>
      <c r="I409" s="137"/>
      <c r="J409" s="131"/>
      <c r="K409" s="125" t="str">
        <f>IF($B409="","",IF($J409="Yes","100% Complete",IF($H409="","Planned",IF($I409="","In Progress","Finished"))))</f>
      </c>
      <c r="L409" s="143"/>
      <c r="M409" s="131"/>
      <c r="N409" s="155" t="str">
        <f>IFERROR(HYPERLINK(VLOOKUP($B409,'Hack Database'!$A:$J,9,FALSE),"Open Page"),"")</f>
      </c>
      <c r="O409" s="155" t="str">
        <f>IFERROR(HYPERLINK(VLOOKUP($B409,'Hack Database'!$A:$J,10,FALSE),"Download"),"")</f>
      </c>
      <c r="P409" s="149"/>
    </row>
    <row r="410" ht="23" customHeight="1">
      <c r="A410" s="92" t="str">
        <f>IF(C410="","",COUNTIF($C$2:C410,"&lt;&gt;"))</f>
      </c>
      <c r="B410" s="107"/>
      <c r="C410" s="113" t="str">
        <f>IFERROR(VLOOKUP($B410,'Hack Database'!$A:$J,2,FALSE),"")</f>
      </c>
      <c r="D410" s="113" t="str">
        <f>IFERROR(VLOOKUP($B410,'Hack Database'!$A:$J,3,FALSE),"")</f>
      </c>
      <c r="E410" s="125" t="str">
        <f>IFERROR(VLOOKUP($B410,'Hack Database'!$A:$J,4,FALSE),"")</f>
      </c>
      <c r="F410" s="125" t="str">
        <f>IFERROR(VLOOKUP($B410,'Hack Database'!$A:$J,5,FALSE),"")</f>
      </c>
      <c r="G410" s="113" t="str">
        <f>IFERROR(VLOOKUP($B410,'Hack Database'!$A:$J,6,FALSE),"")</f>
      </c>
      <c r="H410" s="137"/>
      <c r="I410" s="137"/>
      <c r="J410" s="131"/>
      <c r="K410" s="125" t="str">
        <f>IF($B410="","",IF($J410="Yes","100% Complete",IF($H410="","Planned",IF($I410="","In Progress","Finished"))))</f>
      </c>
      <c r="L410" s="143"/>
      <c r="M410" s="131"/>
      <c r="N410" s="155" t="str">
        <f>IFERROR(HYPERLINK(VLOOKUP($B410,'Hack Database'!$A:$J,9,FALSE),"Open Page"),"")</f>
      </c>
      <c r="O410" s="155" t="str">
        <f>IFERROR(HYPERLINK(VLOOKUP($B410,'Hack Database'!$A:$J,10,FALSE),"Download"),"")</f>
      </c>
      <c r="P410" s="149"/>
    </row>
    <row r="411" ht="23" customHeight="1">
      <c r="A411" s="92" t="str">
        <f>IF(C411="","",COUNTIF($C$2:C411,"&lt;&gt;"))</f>
      </c>
      <c r="B411" s="107"/>
      <c r="C411" s="113" t="str">
        <f>IFERROR(VLOOKUP($B411,'Hack Database'!$A:$J,2,FALSE),"")</f>
      </c>
      <c r="D411" s="113" t="str">
        <f>IFERROR(VLOOKUP($B411,'Hack Database'!$A:$J,3,FALSE),"")</f>
      </c>
      <c r="E411" s="125" t="str">
        <f>IFERROR(VLOOKUP($B411,'Hack Database'!$A:$J,4,FALSE),"")</f>
      </c>
      <c r="F411" s="125" t="str">
        <f>IFERROR(VLOOKUP($B411,'Hack Database'!$A:$J,5,FALSE),"")</f>
      </c>
      <c r="G411" s="113" t="str">
        <f>IFERROR(VLOOKUP($B411,'Hack Database'!$A:$J,6,FALSE),"")</f>
      </c>
      <c r="H411" s="137"/>
      <c r="I411" s="137"/>
      <c r="J411" s="131"/>
      <c r="K411" s="125" t="str">
        <f>IF($B411="","",IF($J411="Yes","100% Complete",IF($H411="","Planned",IF($I411="","In Progress","Finished"))))</f>
      </c>
      <c r="L411" s="143"/>
      <c r="M411" s="131"/>
      <c r="N411" s="155" t="str">
        <f>IFERROR(HYPERLINK(VLOOKUP($B411,'Hack Database'!$A:$J,9,FALSE),"Open Page"),"")</f>
      </c>
      <c r="O411" s="155" t="str">
        <f>IFERROR(HYPERLINK(VLOOKUP($B411,'Hack Database'!$A:$J,10,FALSE),"Download"),"")</f>
      </c>
      <c r="P411" s="149"/>
    </row>
    <row r="412" ht="23" customHeight="1">
      <c r="A412" s="92" t="str">
        <f>IF(C412="","",COUNTIF($C$2:C412,"&lt;&gt;"))</f>
      </c>
      <c r="B412" s="107"/>
      <c r="C412" s="113" t="str">
        <f>IFERROR(VLOOKUP($B412,'Hack Database'!$A:$J,2,FALSE),"")</f>
      </c>
      <c r="D412" s="113" t="str">
        <f>IFERROR(VLOOKUP($B412,'Hack Database'!$A:$J,3,FALSE),"")</f>
      </c>
      <c r="E412" s="125" t="str">
        <f>IFERROR(VLOOKUP($B412,'Hack Database'!$A:$J,4,FALSE),"")</f>
      </c>
      <c r="F412" s="125" t="str">
        <f>IFERROR(VLOOKUP($B412,'Hack Database'!$A:$J,5,FALSE),"")</f>
      </c>
      <c r="G412" s="113" t="str">
        <f>IFERROR(VLOOKUP($B412,'Hack Database'!$A:$J,6,FALSE),"")</f>
      </c>
      <c r="H412" s="137"/>
      <c r="I412" s="137"/>
      <c r="J412" s="131"/>
      <c r="K412" s="125" t="str">
        <f>IF($B412="","",IF($J412="Yes","100% Complete",IF($H412="","Planned",IF($I412="","In Progress","Finished"))))</f>
      </c>
      <c r="L412" s="143"/>
      <c r="M412" s="131"/>
      <c r="N412" s="155" t="str">
        <f>IFERROR(HYPERLINK(VLOOKUP($B412,'Hack Database'!$A:$J,9,FALSE),"Open Page"),"")</f>
      </c>
      <c r="O412" s="155" t="str">
        <f>IFERROR(HYPERLINK(VLOOKUP($B412,'Hack Database'!$A:$J,10,FALSE),"Download"),"")</f>
      </c>
      <c r="P412" s="149"/>
    </row>
    <row r="413" ht="23" customHeight="1">
      <c r="A413" s="92" t="str">
        <f>IF(C413="","",COUNTIF($C$2:C413,"&lt;&gt;"))</f>
      </c>
      <c r="B413" s="107"/>
      <c r="C413" s="113" t="str">
        <f>IFERROR(VLOOKUP($B413,'Hack Database'!$A:$J,2,FALSE),"")</f>
      </c>
      <c r="D413" s="113" t="str">
        <f>IFERROR(VLOOKUP($B413,'Hack Database'!$A:$J,3,FALSE),"")</f>
      </c>
      <c r="E413" s="125" t="str">
        <f>IFERROR(VLOOKUP($B413,'Hack Database'!$A:$J,4,FALSE),"")</f>
      </c>
      <c r="F413" s="125" t="str">
        <f>IFERROR(VLOOKUP($B413,'Hack Database'!$A:$J,5,FALSE),"")</f>
      </c>
      <c r="G413" s="113" t="str">
        <f>IFERROR(VLOOKUP($B413,'Hack Database'!$A:$J,6,FALSE),"")</f>
      </c>
      <c r="H413" s="137"/>
      <c r="I413" s="137"/>
      <c r="J413" s="131"/>
      <c r="K413" s="125" t="str">
        <f>IF($B413="","",IF($J413="Yes","100% Complete",IF($H413="","Planned",IF($I413="","In Progress","Finished"))))</f>
      </c>
      <c r="L413" s="143"/>
      <c r="M413" s="131"/>
      <c r="N413" s="155" t="str">
        <f>IFERROR(HYPERLINK(VLOOKUP($B413,'Hack Database'!$A:$J,9,FALSE),"Open Page"),"")</f>
      </c>
      <c r="O413" s="155" t="str">
        <f>IFERROR(HYPERLINK(VLOOKUP($B413,'Hack Database'!$A:$J,10,FALSE),"Download"),"")</f>
      </c>
      <c r="P413" s="149"/>
    </row>
    <row r="414" ht="23" customHeight="1">
      <c r="A414" s="92" t="str">
        <f>IF(C414="","",COUNTIF($C$2:C414,"&lt;&gt;"))</f>
      </c>
      <c r="B414" s="107"/>
      <c r="C414" s="113" t="str">
        <f>IFERROR(VLOOKUP($B414,'Hack Database'!$A:$J,2,FALSE),"")</f>
      </c>
      <c r="D414" s="113" t="str">
        <f>IFERROR(VLOOKUP($B414,'Hack Database'!$A:$J,3,FALSE),"")</f>
      </c>
      <c r="E414" s="125" t="str">
        <f>IFERROR(VLOOKUP($B414,'Hack Database'!$A:$J,4,FALSE),"")</f>
      </c>
      <c r="F414" s="125" t="str">
        <f>IFERROR(VLOOKUP($B414,'Hack Database'!$A:$J,5,FALSE),"")</f>
      </c>
      <c r="G414" s="113" t="str">
        <f>IFERROR(VLOOKUP($B414,'Hack Database'!$A:$J,6,FALSE),"")</f>
      </c>
      <c r="H414" s="137"/>
      <c r="I414" s="137"/>
      <c r="J414" s="131"/>
      <c r="K414" s="125" t="str">
        <f>IF($B414="","",IF($J414="Yes","100% Complete",IF($H414="","Planned",IF($I414="","In Progress","Finished"))))</f>
      </c>
      <c r="L414" s="143"/>
      <c r="M414" s="131"/>
      <c r="N414" s="155" t="str">
        <f>IFERROR(HYPERLINK(VLOOKUP($B414,'Hack Database'!$A:$J,9,FALSE),"Open Page"),"")</f>
      </c>
      <c r="O414" s="155" t="str">
        <f>IFERROR(HYPERLINK(VLOOKUP($B414,'Hack Database'!$A:$J,10,FALSE),"Download"),"")</f>
      </c>
      <c r="P414" s="149"/>
    </row>
    <row r="415" ht="23" customHeight="1">
      <c r="A415" s="92" t="str">
        <f>IF(C415="","",COUNTIF($C$2:C415,"&lt;&gt;"))</f>
      </c>
      <c r="B415" s="107"/>
      <c r="C415" s="113" t="str">
        <f>IFERROR(VLOOKUP($B415,'Hack Database'!$A:$J,2,FALSE),"")</f>
      </c>
      <c r="D415" s="113" t="str">
        <f>IFERROR(VLOOKUP($B415,'Hack Database'!$A:$J,3,FALSE),"")</f>
      </c>
      <c r="E415" s="125" t="str">
        <f>IFERROR(VLOOKUP($B415,'Hack Database'!$A:$J,4,FALSE),"")</f>
      </c>
      <c r="F415" s="125" t="str">
        <f>IFERROR(VLOOKUP($B415,'Hack Database'!$A:$J,5,FALSE),"")</f>
      </c>
      <c r="G415" s="113" t="str">
        <f>IFERROR(VLOOKUP($B415,'Hack Database'!$A:$J,6,FALSE),"")</f>
      </c>
      <c r="H415" s="137"/>
      <c r="I415" s="137"/>
      <c r="J415" s="131"/>
      <c r="K415" s="125" t="str">
        <f>IF($B415="","",IF($J415="Yes","100% Complete",IF($H415="","Planned",IF($I415="","In Progress","Finished"))))</f>
      </c>
      <c r="L415" s="143"/>
      <c r="M415" s="131"/>
      <c r="N415" s="155" t="str">
        <f>IFERROR(HYPERLINK(VLOOKUP($B415,'Hack Database'!$A:$J,9,FALSE),"Open Page"),"")</f>
      </c>
      <c r="O415" s="155" t="str">
        <f>IFERROR(HYPERLINK(VLOOKUP($B415,'Hack Database'!$A:$J,10,FALSE),"Download"),"")</f>
      </c>
      <c r="P415" s="149"/>
    </row>
    <row r="416" ht="23" customHeight="1">
      <c r="A416" s="92" t="str">
        <f>IF(C416="","",COUNTIF($C$2:C416,"&lt;&gt;"))</f>
      </c>
      <c r="B416" s="107"/>
      <c r="C416" s="113" t="str">
        <f>IFERROR(VLOOKUP($B416,'Hack Database'!$A:$J,2,FALSE),"")</f>
      </c>
      <c r="D416" s="113" t="str">
        <f>IFERROR(VLOOKUP($B416,'Hack Database'!$A:$J,3,FALSE),"")</f>
      </c>
      <c r="E416" s="125" t="str">
        <f>IFERROR(VLOOKUP($B416,'Hack Database'!$A:$J,4,FALSE),"")</f>
      </c>
      <c r="F416" s="125" t="str">
        <f>IFERROR(VLOOKUP($B416,'Hack Database'!$A:$J,5,FALSE),"")</f>
      </c>
      <c r="G416" s="113" t="str">
        <f>IFERROR(VLOOKUP($B416,'Hack Database'!$A:$J,6,FALSE),"")</f>
      </c>
      <c r="H416" s="137"/>
      <c r="I416" s="137"/>
      <c r="J416" s="131"/>
      <c r="K416" s="125" t="str">
        <f>IF($B416="","",IF($J416="Yes","100% Complete",IF($H416="","Planned",IF($I416="","In Progress","Finished"))))</f>
      </c>
      <c r="L416" s="143"/>
      <c r="M416" s="131"/>
      <c r="N416" s="155" t="str">
        <f>IFERROR(HYPERLINK(VLOOKUP($B416,'Hack Database'!$A:$J,9,FALSE),"Open Page"),"")</f>
      </c>
      <c r="O416" s="155" t="str">
        <f>IFERROR(HYPERLINK(VLOOKUP($B416,'Hack Database'!$A:$J,10,FALSE),"Download"),"")</f>
      </c>
      <c r="P416" s="149"/>
    </row>
    <row r="417" ht="23" customHeight="1">
      <c r="A417" s="92" t="str">
        <f>IF(C417="","",COUNTIF($C$2:C417,"&lt;&gt;"))</f>
      </c>
      <c r="B417" s="107"/>
      <c r="C417" s="113" t="str">
        <f>IFERROR(VLOOKUP($B417,'Hack Database'!$A:$J,2,FALSE),"")</f>
      </c>
      <c r="D417" s="113" t="str">
        <f>IFERROR(VLOOKUP($B417,'Hack Database'!$A:$J,3,FALSE),"")</f>
      </c>
      <c r="E417" s="125" t="str">
        <f>IFERROR(VLOOKUP($B417,'Hack Database'!$A:$J,4,FALSE),"")</f>
      </c>
      <c r="F417" s="125" t="str">
        <f>IFERROR(VLOOKUP($B417,'Hack Database'!$A:$J,5,FALSE),"")</f>
      </c>
      <c r="G417" s="113" t="str">
        <f>IFERROR(VLOOKUP($B417,'Hack Database'!$A:$J,6,FALSE),"")</f>
      </c>
      <c r="H417" s="137"/>
      <c r="I417" s="137"/>
      <c r="J417" s="131"/>
      <c r="K417" s="125" t="str">
        <f>IF($B417="","",IF($J417="Yes","100% Complete",IF($H417="","Planned",IF($I417="","In Progress","Finished"))))</f>
      </c>
      <c r="L417" s="143"/>
      <c r="M417" s="131"/>
      <c r="N417" s="155" t="str">
        <f>IFERROR(HYPERLINK(VLOOKUP($B417,'Hack Database'!$A:$J,9,FALSE),"Open Page"),"")</f>
      </c>
      <c r="O417" s="155" t="str">
        <f>IFERROR(HYPERLINK(VLOOKUP($B417,'Hack Database'!$A:$J,10,FALSE),"Download"),"")</f>
      </c>
      <c r="P417" s="149"/>
    </row>
    <row r="418" ht="23" customHeight="1">
      <c r="A418" s="92" t="str">
        <f>IF(C418="","",COUNTIF($C$2:C418,"&lt;&gt;"))</f>
      </c>
      <c r="B418" s="107"/>
      <c r="C418" s="113" t="str">
        <f>IFERROR(VLOOKUP($B418,'Hack Database'!$A:$J,2,FALSE),"")</f>
      </c>
      <c r="D418" s="113" t="str">
        <f>IFERROR(VLOOKUP($B418,'Hack Database'!$A:$J,3,FALSE),"")</f>
      </c>
      <c r="E418" s="125" t="str">
        <f>IFERROR(VLOOKUP($B418,'Hack Database'!$A:$J,4,FALSE),"")</f>
      </c>
      <c r="F418" s="125" t="str">
        <f>IFERROR(VLOOKUP($B418,'Hack Database'!$A:$J,5,FALSE),"")</f>
      </c>
      <c r="G418" s="113" t="str">
        <f>IFERROR(VLOOKUP($B418,'Hack Database'!$A:$J,6,FALSE),"")</f>
      </c>
      <c r="H418" s="137"/>
      <c r="I418" s="137"/>
      <c r="J418" s="131"/>
      <c r="K418" s="125" t="str">
        <f>IF($B418="","",IF($J418="Yes","100% Complete",IF($H418="","Planned",IF($I418="","In Progress","Finished"))))</f>
      </c>
      <c r="L418" s="143"/>
      <c r="M418" s="131"/>
      <c r="N418" s="155" t="str">
        <f>IFERROR(HYPERLINK(VLOOKUP($B418,'Hack Database'!$A:$J,9,FALSE),"Open Page"),"")</f>
      </c>
      <c r="O418" s="155" t="str">
        <f>IFERROR(HYPERLINK(VLOOKUP($B418,'Hack Database'!$A:$J,10,FALSE),"Download"),"")</f>
      </c>
      <c r="P418" s="149"/>
    </row>
    <row r="419" ht="23" customHeight="1">
      <c r="A419" s="92" t="str">
        <f>IF(C419="","",COUNTIF($C$2:C419,"&lt;&gt;"))</f>
      </c>
      <c r="B419" s="107"/>
      <c r="C419" s="113" t="str">
        <f>IFERROR(VLOOKUP($B419,'Hack Database'!$A:$J,2,FALSE),"")</f>
      </c>
      <c r="D419" s="113" t="str">
        <f>IFERROR(VLOOKUP($B419,'Hack Database'!$A:$J,3,FALSE),"")</f>
      </c>
      <c r="E419" s="125" t="str">
        <f>IFERROR(VLOOKUP($B419,'Hack Database'!$A:$J,4,FALSE),"")</f>
      </c>
      <c r="F419" s="125" t="str">
        <f>IFERROR(VLOOKUP($B419,'Hack Database'!$A:$J,5,FALSE),"")</f>
      </c>
      <c r="G419" s="113" t="str">
        <f>IFERROR(VLOOKUP($B419,'Hack Database'!$A:$J,6,FALSE),"")</f>
      </c>
      <c r="H419" s="137"/>
      <c r="I419" s="137"/>
      <c r="J419" s="131"/>
      <c r="K419" s="125" t="str">
        <f>IF($B419="","",IF($J419="Yes","100% Complete",IF($H419="","Planned",IF($I419="","In Progress","Finished"))))</f>
      </c>
      <c r="L419" s="143"/>
      <c r="M419" s="131"/>
      <c r="N419" s="155" t="str">
        <f>IFERROR(HYPERLINK(VLOOKUP($B419,'Hack Database'!$A:$J,9,FALSE),"Open Page"),"")</f>
      </c>
      <c r="O419" s="155" t="str">
        <f>IFERROR(HYPERLINK(VLOOKUP($B419,'Hack Database'!$A:$J,10,FALSE),"Download"),"")</f>
      </c>
      <c r="P419" s="149"/>
    </row>
    <row r="420" ht="23" customHeight="1">
      <c r="A420" s="92" t="str">
        <f>IF(C420="","",COUNTIF($C$2:C420,"&lt;&gt;"))</f>
      </c>
      <c r="B420" s="107"/>
      <c r="C420" s="113" t="str">
        <f>IFERROR(VLOOKUP($B420,'Hack Database'!$A:$J,2,FALSE),"")</f>
      </c>
      <c r="D420" s="113" t="str">
        <f>IFERROR(VLOOKUP($B420,'Hack Database'!$A:$J,3,FALSE),"")</f>
      </c>
      <c r="E420" s="125" t="str">
        <f>IFERROR(VLOOKUP($B420,'Hack Database'!$A:$J,4,FALSE),"")</f>
      </c>
      <c r="F420" s="125" t="str">
        <f>IFERROR(VLOOKUP($B420,'Hack Database'!$A:$J,5,FALSE),"")</f>
      </c>
      <c r="G420" s="113" t="str">
        <f>IFERROR(VLOOKUP($B420,'Hack Database'!$A:$J,6,FALSE),"")</f>
      </c>
      <c r="H420" s="137"/>
      <c r="I420" s="137"/>
      <c r="J420" s="131"/>
      <c r="K420" s="125" t="str">
        <f>IF($B420="","",IF($J420="Yes","100% Complete",IF($H420="","Planned",IF($I420="","In Progress","Finished"))))</f>
      </c>
      <c r="L420" s="143"/>
      <c r="M420" s="131"/>
      <c r="N420" s="155" t="str">
        <f>IFERROR(HYPERLINK(VLOOKUP($B420,'Hack Database'!$A:$J,9,FALSE),"Open Page"),"")</f>
      </c>
      <c r="O420" s="155" t="str">
        <f>IFERROR(HYPERLINK(VLOOKUP($B420,'Hack Database'!$A:$J,10,FALSE),"Download"),"")</f>
      </c>
      <c r="P420" s="149"/>
    </row>
    <row r="421" ht="23" customHeight="1">
      <c r="A421" s="92" t="str">
        <f>IF(C421="","",COUNTIF($C$2:C421,"&lt;&gt;"))</f>
      </c>
      <c r="B421" s="107"/>
      <c r="C421" s="113" t="str">
        <f>IFERROR(VLOOKUP($B421,'Hack Database'!$A:$J,2,FALSE),"")</f>
      </c>
      <c r="D421" s="113" t="str">
        <f>IFERROR(VLOOKUP($B421,'Hack Database'!$A:$J,3,FALSE),"")</f>
      </c>
      <c r="E421" s="125" t="str">
        <f>IFERROR(VLOOKUP($B421,'Hack Database'!$A:$J,4,FALSE),"")</f>
      </c>
      <c r="F421" s="125" t="str">
        <f>IFERROR(VLOOKUP($B421,'Hack Database'!$A:$J,5,FALSE),"")</f>
      </c>
      <c r="G421" s="113" t="str">
        <f>IFERROR(VLOOKUP($B421,'Hack Database'!$A:$J,6,FALSE),"")</f>
      </c>
      <c r="H421" s="137"/>
      <c r="I421" s="137"/>
      <c r="J421" s="131"/>
      <c r="K421" s="125" t="str">
        <f>IF($B421="","",IF($J421="Yes","100% Complete",IF($H421="","Planned",IF($I421="","In Progress","Finished"))))</f>
      </c>
      <c r="L421" s="143"/>
      <c r="M421" s="131"/>
      <c r="N421" s="155" t="str">
        <f>IFERROR(HYPERLINK(VLOOKUP($B421,'Hack Database'!$A:$J,9,FALSE),"Open Page"),"")</f>
      </c>
      <c r="O421" s="155" t="str">
        <f>IFERROR(HYPERLINK(VLOOKUP($B421,'Hack Database'!$A:$J,10,FALSE),"Download"),"")</f>
      </c>
      <c r="P421" s="149"/>
    </row>
    <row r="422" ht="23" customHeight="1">
      <c r="A422" s="92" t="str">
        <f>IF(C422="","",COUNTIF($C$2:C422,"&lt;&gt;"))</f>
      </c>
      <c r="B422" s="107"/>
      <c r="C422" s="113" t="str">
        <f>IFERROR(VLOOKUP($B422,'Hack Database'!$A:$J,2,FALSE),"")</f>
      </c>
      <c r="D422" s="113" t="str">
        <f>IFERROR(VLOOKUP($B422,'Hack Database'!$A:$J,3,FALSE),"")</f>
      </c>
      <c r="E422" s="125" t="str">
        <f>IFERROR(VLOOKUP($B422,'Hack Database'!$A:$J,4,FALSE),"")</f>
      </c>
      <c r="F422" s="125" t="str">
        <f>IFERROR(VLOOKUP($B422,'Hack Database'!$A:$J,5,FALSE),"")</f>
      </c>
      <c r="G422" s="113" t="str">
        <f>IFERROR(VLOOKUP($B422,'Hack Database'!$A:$J,6,FALSE),"")</f>
      </c>
      <c r="H422" s="137"/>
      <c r="I422" s="137"/>
      <c r="J422" s="131"/>
      <c r="K422" s="125" t="str">
        <f>IF($B422="","",IF($J422="Yes","100% Complete",IF($H422="","Planned",IF($I422="","In Progress","Finished"))))</f>
      </c>
      <c r="L422" s="143"/>
      <c r="M422" s="131"/>
      <c r="N422" s="155" t="str">
        <f>IFERROR(HYPERLINK(VLOOKUP($B422,'Hack Database'!$A:$J,9,FALSE),"Open Page"),"")</f>
      </c>
      <c r="O422" s="155" t="str">
        <f>IFERROR(HYPERLINK(VLOOKUP($B422,'Hack Database'!$A:$J,10,FALSE),"Download"),"")</f>
      </c>
      <c r="P422" s="149"/>
    </row>
    <row r="423" ht="23" customHeight="1">
      <c r="A423" s="92" t="str">
        <f>IF(C423="","",COUNTIF($C$2:C423,"&lt;&gt;"))</f>
      </c>
      <c r="B423" s="107"/>
      <c r="C423" s="113" t="str">
        <f>IFERROR(VLOOKUP($B423,'Hack Database'!$A:$J,2,FALSE),"")</f>
      </c>
      <c r="D423" s="113" t="str">
        <f>IFERROR(VLOOKUP($B423,'Hack Database'!$A:$J,3,FALSE),"")</f>
      </c>
      <c r="E423" s="125" t="str">
        <f>IFERROR(VLOOKUP($B423,'Hack Database'!$A:$J,4,FALSE),"")</f>
      </c>
      <c r="F423" s="125" t="str">
        <f>IFERROR(VLOOKUP($B423,'Hack Database'!$A:$J,5,FALSE),"")</f>
      </c>
      <c r="G423" s="113" t="str">
        <f>IFERROR(VLOOKUP($B423,'Hack Database'!$A:$J,6,FALSE),"")</f>
      </c>
      <c r="H423" s="137"/>
      <c r="I423" s="137"/>
      <c r="J423" s="131"/>
      <c r="K423" s="125" t="str">
        <f>IF($B423="","",IF($J423="Yes","100% Complete",IF($H423="","Planned",IF($I423="","In Progress","Finished"))))</f>
      </c>
      <c r="L423" s="143"/>
      <c r="M423" s="131"/>
      <c r="N423" s="155" t="str">
        <f>IFERROR(HYPERLINK(VLOOKUP($B423,'Hack Database'!$A:$J,9,FALSE),"Open Page"),"")</f>
      </c>
      <c r="O423" s="155" t="str">
        <f>IFERROR(HYPERLINK(VLOOKUP($B423,'Hack Database'!$A:$J,10,FALSE),"Download"),"")</f>
      </c>
      <c r="P423" s="149"/>
    </row>
    <row r="424" ht="23" customHeight="1">
      <c r="A424" s="92" t="str">
        <f>IF(C424="","",COUNTIF($C$2:C424,"&lt;&gt;"))</f>
      </c>
      <c r="B424" s="107"/>
      <c r="C424" s="113" t="str">
        <f>IFERROR(VLOOKUP($B424,'Hack Database'!$A:$J,2,FALSE),"")</f>
      </c>
      <c r="D424" s="113" t="str">
        <f>IFERROR(VLOOKUP($B424,'Hack Database'!$A:$J,3,FALSE),"")</f>
      </c>
      <c r="E424" s="125" t="str">
        <f>IFERROR(VLOOKUP($B424,'Hack Database'!$A:$J,4,FALSE),"")</f>
      </c>
      <c r="F424" s="125" t="str">
        <f>IFERROR(VLOOKUP($B424,'Hack Database'!$A:$J,5,FALSE),"")</f>
      </c>
      <c r="G424" s="113" t="str">
        <f>IFERROR(VLOOKUP($B424,'Hack Database'!$A:$J,6,FALSE),"")</f>
      </c>
      <c r="H424" s="137"/>
      <c r="I424" s="137"/>
      <c r="J424" s="131"/>
      <c r="K424" s="125" t="str">
        <f>IF($B424="","",IF($J424="Yes","100% Complete",IF($H424="","Planned",IF($I424="","In Progress","Finished"))))</f>
      </c>
      <c r="L424" s="143"/>
      <c r="M424" s="131"/>
      <c r="N424" s="155" t="str">
        <f>IFERROR(HYPERLINK(VLOOKUP($B424,'Hack Database'!$A:$J,9,FALSE),"Open Page"),"")</f>
      </c>
      <c r="O424" s="155" t="str">
        <f>IFERROR(HYPERLINK(VLOOKUP($B424,'Hack Database'!$A:$J,10,FALSE),"Download"),"")</f>
      </c>
      <c r="P424" s="149"/>
    </row>
    <row r="425" ht="23" customHeight="1">
      <c r="A425" s="92" t="str">
        <f>IF(C425="","",COUNTIF($C$2:C425,"&lt;&gt;"))</f>
      </c>
      <c r="B425" s="107"/>
      <c r="C425" s="113" t="str">
        <f>IFERROR(VLOOKUP($B425,'Hack Database'!$A:$J,2,FALSE),"")</f>
      </c>
      <c r="D425" s="113" t="str">
        <f>IFERROR(VLOOKUP($B425,'Hack Database'!$A:$J,3,FALSE),"")</f>
      </c>
      <c r="E425" s="125" t="str">
        <f>IFERROR(VLOOKUP($B425,'Hack Database'!$A:$J,4,FALSE),"")</f>
      </c>
      <c r="F425" s="125" t="str">
        <f>IFERROR(VLOOKUP($B425,'Hack Database'!$A:$J,5,FALSE),"")</f>
      </c>
      <c r="G425" s="113" t="str">
        <f>IFERROR(VLOOKUP($B425,'Hack Database'!$A:$J,6,FALSE),"")</f>
      </c>
      <c r="H425" s="137"/>
      <c r="I425" s="137"/>
      <c r="J425" s="131"/>
      <c r="K425" s="125" t="str">
        <f>IF($B425="","",IF($J425="Yes","100% Complete",IF($H425="","Planned",IF($I425="","In Progress","Finished"))))</f>
      </c>
      <c r="L425" s="143"/>
      <c r="M425" s="131"/>
      <c r="N425" s="155" t="str">
        <f>IFERROR(HYPERLINK(VLOOKUP($B425,'Hack Database'!$A:$J,9,FALSE),"Open Page"),"")</f>
      </c>
      <c r="O425" s="155" t="str">
        <f>IFERROR(HYPERLINK(VLOOKUP($B425,'Hack Database'!$A:$J,10,FALSE),"Download"),"")</f>
      </c>
      <c r="P425" s="149"/>
    </row>
    <row r="426" ht="23" customHeight="1">
      <c r="A426" s="92" t="str">
        <f>IF(C426="","",COUNTIF($C$2:C426,"&lt;&gt;"))</f>
      </c>
      <c r="B426" s="107"/>
      <c r="C426" s="113" t="str">
        <f>IFERROR(VLOOKUP($B426,'Hack Database'!$A:$J,2,FALSE),"")</f>
      </c>
      <c r="D426" s="113" t="str">
        <f>IFERROR(VLOOKUP($B426,'Hack Database'!$A:$J,3,FALSE),"")</f>
      </c>
      <c r="E426" s="125" t="str">
        <f>IFERROR(VLOOKUP($B426,'Hack Database'!$A:$J,4,FALSE),"")</f>
      </c>
      <c r="F426" s="125" t="str">
        <f>IFERROR(VLOOKUP($B426,'Hack Database'!$A:$J,5,FALSE),"")</f>
      </c>
      <c r="G426" s="113" t="str">
        <f>IFERROR(VLOOKUP($B426,'Hack Database'!$A:$J,6,FALSE),"")</f>
      </c>
      <c r="H426" s="137"/>
      <c r="I426" s="137"/>
      <c r="J426" s="131"/>
      <c r="K426" s="125" t="str">
        <f>IF($B426="","",IF($J426="Yes","100% Complete",IF($H426="","Planned",IF($I426="","In Progress","Finished"))))</f>
      </c>
      <c r="L426" s="143"/>
      <c r="M426" s="131"/>
      <c r="N426" s="155" t="str">
        <f>IFERROR(HYPERLINK(VLOOKUP($B426,'Hack Database'!$A:$J,9,FALSE),"Open Page"),"")</f>
      </c>
      <c r="O426" s="155" t="str">
        <f>IFERROR(HYPERLINK(VLOOKUP($B426,'Hack Database'!$A:$J,10,FALSE),"Download"),"")</f>
      </c>
      <c r="P426" s="149"/>
    </row>
    <row r="427" ht="23" customHeight="1">
      <c r="A427" s="92" t="str">
        <f>IF(C427="","",COUNTIF($C$2:C427,"&lt;&gt;"))</f>
      </c>
      <c r="B427" s="107"/>
      <c r="C427" s="113" t="str">
        <f>IFERROR(VLOOKUP($B427,'Hack Database'!$A:$J,2,FALSE),"")</f>
      </c>
      <c r="D427" s="113" t="str">
        <f>IFERROR(VLOOKUP($B427,'Hack Database'!$A:$J,3,FALSE),"")</f>
      </c>
      <c r="E427" s="125" t="str">
        <f>IFERROR(VLOOKUP($B427,'Hack Database'!$A:$J,4,FALSE),"")</f>
      </c>
      <c r="F427" s="125" t="str">
        <f>IFERROR(VLOOKUP($B427,'Hack Database'!$A:$J,5,FALSE),"")</f>
      </c>
      <c r="G427" s="113" t="str">
        <f>IFERROR(VLOOKUP($B427,'Hack Database'!$A:$J,6,FALSE),"")</f>
      </c>
      <c r="H427" s="137"/>
      <c r="I427" s="137"/>
      <c r="J427" s="131"/>
      <c r="K427" s="125" t="str">
        <f>IF($B427="","",IF($J427="Yes","100% Complete",IF($H427="","Planned",IF($I427="","In Progress","Finished"))))</f>
      </c>
      <c r="L427" s="143"/>
      <c r="M427" s="131"/>
      <c r="N427" s="155" t="str">
        <f>IFERROR(HYPERLINK(VLOOKUP($B427,'Hack Database'!$A:$J,9,FALSE),"Open Page"),"")</f>
      </c>
      <c r="O427" s="155" t="str">
        <f>IFERROR(HYPERLINK(VLOOKUP($B427,'Hack Database'!$A:$J,10,FALSE),"Download"),"")</f>
      </c>
      <c r="P427" s="149"/>
    </row>
    <row r="428" ht="23" customHeight="1">
      <c r="A428" s="92" t="str">
        <f>IF(C428="","",COUNTIF($C$2:C428,"&lt;&gt;"))</f>
      </c>
      <c r="B428" s="107"/>
      <c r="C428" s="113" t="str">
        <f>IFERROR(VLOOKUP($B428,'Hack Database'!$A:$J,2,FALSE),"")</f>
      </c>
      <c r="D428" s="113" t="str">
        <f>IFERROR(VLOOKUP($B428,'Hack Database'!$A:$J,3,FALSE),"")</f>
      </c>
      <c r="E428" s="125" t="str">
        <f>IFERROR(VLOOKUP($B428,'Hack Database'!$A:$J,4,FALSE),"")</f>
      </c>
      <c r="F428" s="125" t="str">
        <f>IFERROR(VLOOKUP($B428,'Hack Database'!$A:$J,5,FALSE),"")</f>
      </c>
      <c r="G428" s="113" t="str">
        <f>IFERROR(VLOOKUP($B428,'Hack Database'!$A:$J,6,FALSE),"")</f>
      </c>
      <c r="H428" s="137"/>
      <c r="I428" s="137"/>
      <c r="J428" s="131"/>
      <c r="K428" s="125" t="str">
        <f>IF($B428="","",IF($J428="Yes","100% Complete",IF($H428="","Planned",IF($I428="","In Progress","Finished"))))</f>
      </c>
      <c r="L428" s="143"/>
      <c r="M428" s="131"/>
      <c r="N428" s="155" t="str">
        <f>IFERROR(HYPERLINK(VLOOKUP($B428,'Hack Database'!$A:$J,9,FALSE),"Open Page"),"")</f>
      </c>
      <c r="O428" s="155" t="str">
        <f>IFERROR(HYPERLINK(VLOOKUP($B428,'Hack Database'!$A:$J,10,FALSE),"Download"),"")</f>
      </c>
      <c r="P428" s="149"/>
    </row>
    <row r="429" ht="23" customHeight="1">
      <c r="A429" s="92" t="str">
        <f>IF(C429="","",COUNTIF($C$2:C429,"&lt;&gt;"))</f>
      </c>
      <c r="B429" s="107"/>
      <c r="C429" s="113" t="str">
        <f>IFERROR(VLOOKUP($B429,'Hack Database'!$A:$J,2,FALSE),"")</f>
      </c>
      <c r="D429" s="113" t="str">
        <f>IFERROR(VLOOKUP($B429,'Hack Database'!$A:$J,3,FALSE),"")</f>
      </c>
      <c r="E429" s="125" t="str">
        <f>IFERROR(VLOOKUP($B429,'Hack Database'!$A:$J,4,FALSE),"")</f>
      </c>
      <c r="F429" s="125" t="str">
        <f>IFERROR(VLOOKUP($B429,'Hack Database'!$A:$J,5,FALSE),"")</f>
      </c>
      <c r="G429" s="113" t="str">
        <f>IFERROR(VLOOKUP($B429,'Hack Database'!$A:$J,6,FALSE),"")</f>
      </c>
      <c r="H429" s="137"/>
      <c r="I429" s="137"/>
      <c r="J429" s="131"/>
      <c r="K429" s="125" t="str">
        <f>IF($B429="","",IF($J429="Yes","100% Complete",IF($H429="","Planned",IF($I429="","In Progress","Finished"))))</f>
      </c>
      <c r="L429" s="143"/>
      <c r="M429" s="131"/>
      <c r="N429" s="155" t="str">
        <f>IFERROR(HYPERLINK(VLOOKUP($B429,'Hack Database'!$A:$J,9,FALSE),"Open Page"),"")</f>
      </c>
      <c r="O429" s="155" t="str">
        <f>IFERROR(HYPERLINK(VLOOKUP($B429,'Hack Database'!$A:$J,10,FALSE),"Download"),"")</f>
      </c>
      <c r="P429" s="149"/>
    </row>
    <row r="430" ht="23" customHeight="1">
      <c r="A430" s="92" t="str">
        <f>IF(C430="","",COUNTIF($C$2:C430,"&lt;&gt;"))</f>
      </c>
      <c r="B430" s="107"/>
      <c r="C430" s="113" t="str">
        <f>IFERROR(VLOOKUP($B430,'Hack Database'!$A:$J,2,FALSE),"")</f>
      </c>
      <c r="D430" s="113" t="str">
        <f>IFERROR(VLOOKUP($B430,'Hack Database'!$A:$J,3,FALSE),"")</f>
      </c>
      <c r="E430" s="125" t="str">
        <f>IFERROR(VLOOKUP($B430,'Hack Database'!$A:$J,4,FALSE),"")</f>
      </c>
      <c r="F430" s="125" t="str">
        <f>IFERROR(VLOOKUP($B430,'Hack Database'!$A:$J,5,FALSE),"")</f>
      </c>
      <c r="G430" s="113" t="str">
        <f>IFERROR(VLOOKUP($B430,'Hack Database'!$A:$J,6,FALSE),"")</f>
      </c>
      <c r="H430" s="137"/>
      <c r="I430" s="137"/>
      <c r="J430" s="131"/>
      <c r="K430" s="125" t="str">
        <f>IF($B430="","",IF($J430="Yes","100% Complete",IF($H430="","Planned",IF($I430="","In Progress","Finished"))))</f>
      </c>
      <c r="L430" s="143"/>
      <c r="M430" s="131"/>
      <c r="N430" s="155" t="str">
        <f>IFERROR(HYPERLINK(VLOOKUP($B430,'Hack Database'!$A:$J,9,FALSE),"Open Page"),"")</f>
      </c>
      <c r="O430" s="155" t="str">
        <f>IFERROR(HYPERLINK(VLOOKUP($B430,'Hack Database'!$A:$J,10,FALSE),"Download"),"")</f>
      </c>
      <c r="P430" s="149"/>
    </row>
    <row r="431" ht="23" customHeight="1">
      <c r="A431" s="92" t="str">
        <f>IF(C431="","",COUNTIF($C$2:C431,"&lt;&gt;"))</f>
      </c>
      <c r="B431" s="107"/>
      <c r="C431" s="113" t="str">
        <f>IFERROR(VLOOKUP($B431,'Hack Database'!$A:$J,2,FALSE),"")</f>
      </c>
      <c r="D431" s="113" t="str">
        <f>IFERROR(VLOOKUP($B431,'Hack Database'!$A:$J,3,FALSE),"")</f>
      </c>
      <c r="E431" s="125" t="str">
        <f>IFERROR(VLOOKUP($B431,'Hack Database'!$A:$J,4,FALSE),"")</f>
      </c>
      <c r="F431" s="125" t="str">
        <f>IFERROR(VLOOKUP($B431,'Hack Database'!$A:$J,5,FALSE),"")</f>
      </c>
      <c r="G431" s="113" t="str">
        <f>IFERROR(VLOOKUP($B431,'Hack Database'!$A:$J,6,FALSE),"")</f>
      </c>
      <c r="H431" s="137"/>
      <c r="I431" s="137"/>
      <c r="J431" s="131"/>
      <c r="K431" s="125" t="str">
        <f>IF($B431="","",IF($J431="Yes","100% Complete",IF($H431="","Planned",IF($I431="","In Progress","Finished"))))</f>
      </c>
      <c r="L431" s="143"/>
      <c r="M431" s="131"/>
      <c r="N431" s="155" t="str">
        <f>IFERROR(HYPERLINK(VLOOKUP($B431,'Hack Database'!$A:$J,9,FALSE),"Open Page"),"")</f>
      </c>
      <c r="O431" s="155" t="str">
        <f>IFERROR(HYPERLINK(VLOOKUP($B431,'Hack Database'!$A:$J,10,FALSE),"Download"),"")</f>
      </c>
      <c r="P431" s="149"/>
    </row>
    <row r="432" ht="23" customHeight="1">
      <c r="A432" s="92" t="str">
        <f>IF(C432="","",COUNTIF($C$2:C432,"&lt;&gt;"))</f>
      </c>
      <c r="B432" s="107"/>
      <c r="C432" s="113" t="str">
        <f>IFERROR(VLOOKUP($B432,'Hack Database'!$A:$J,2,FALSE),"")</f>
      </c>
      <c r="D432" s="113" t="str">
        <f>IFERROR(VLOOKUP($B432,'Hack Database'!$A:$J,3,FALSE),"")</f>
      </c>
      <c r="E432" s="125" t="str">
        <f>IFERROR(VLOOKUP($B432,'Hack Database'!$A:$J,4,FALSE),"")</f>
      </c>
      <c r="F432" s="125" t="str">
        <f>IFERROR(VLOOKUP($B432,'Hack Database'!$A:$J,5,FALSE),"")</f>
      </c>
      <c r="G432" s="113" t="str">
        <f>IFERROR(VLOOKUP($B432,'Hack Database'!$A:$J,6,FALSE),"")</f>
      </c>
      <c r="H432" s="137"/>
      <c r="I432" s="137"/>
      <c r="J432" s="131"/>
      <c r="K432" s="125" t="str">
        <f>IF($B432="","",IF($J432="Yes","100% Complete",IF($H432="","Planned",IF($I432="","In Progress","Finished"))))</f>
      </c>
      <c r="L432" s="143"/>
      <c r="M432" s="131"/>
      <c r="N432" s="155" t="str">
        <f>IFERROR(HYPERLINK(VLOOKUP($B432,'Hack Database'!$A:$J,9,FALSE),"Open Page"),"")</f>
      </c>
      <c r="O432" s="155" t="str">
        <f>IFERROR(HYPERLINK(VLOOKUP($B432,'Hack Database'!$A:$J,10,FALSE),"Download"),"")</f>
      </c>
      <c r="P432" s="149"/>
    </row>
    <row r="433" ht="23" customHeight="1">
      <c r="A433" s="92" t="str">
        <f>IF(C433="","",COUNTIF($C$2:C433,"&lt;&gt;"))</f>
      </c>
      <c r="B433" s="107"/>
      <c r="C433" s="113" t="str">
        <f>IFERROR(VLOOKUP($B433,'Hack Database'!$A:$J,2,FALSE),"")</f>
      </c>
      <c r="D433" s="113" t="str">
        <f>IFERROR(VLOOKUP($B433,'Hack Database'!$A:$J,3,FALSE),"")</f>
      </c>
      <c r="E433" s="125" t="str">
        <f>IFERROR(VLOOKUP($B433,'Hack Database'!$A:$J,4,FALSE),"")</f>
      </c>
      <c r="F433" s="125" t="str">
        <f>IFERROR(VLOOKUP($B433,'Hack Database'!$A:$J,5,FALSE),"")</f>
      </c>
      <c r="G433" s="113" t="str">
        <f>IFERROR(VLOOKUP($B433,'Hack Database'!$A:$J,6,FALSE),"")</f>
      </c>
      <c r="H433" s="137"/>
      <c r="I433" s="137"/>
      <c r="J433" s="131"/>
      <c r="K433" s="125" t="str">
        <f>IF($B433="","",IF($J433="Yes","100% Complete",IF($H433="","Planned",IF($I433="","In Progress","Finished"))))</f>
      </c>
      <c r="L433" s="143"/>
      <c r="M433" s="131"/>
      <c r="N433" s="155" t="str">
        <f>IFERROR(HYPERLINK(VLOOKUP($B433,'Hack Database'!$A:$J,9,FALSE),"Open Page"),"")</f>
      </c>
      <c r="O433" s="155" t="str">
        <f>IFERROR(HYPERLINK(VLOOKUP($B433,'Hack Database'!$A:$J,10,FALSE),"Download"),"")</f>
      </c>
      <c r="P433" s="149"/>
    </row>
    <row r="434" ht="23" customHeight="1">
      <c r="A434" s="92" t="str">
        <f>IF(C434="","",COUNTIF($C$2:C434,"&lt;&gt;"))</f>
      </c>
      <c r="B434" s="107"/>
      <c r="C434" s="113" t="str">
        <f>IFERROR(VLOOKUP($B434,'Hack Database'!$A:$J,2,FALSE),"")</f>
      </c>
      <c r="D434" s="113" t="str">
        <f>IFERROR(VLOOKUP($B434,'Hack Database'!$A:$J,3,FALSE),"")</f>
      </c>
      <c r="E434" s="125" t="str">
        <f>IFERROR(VLOOKUP($B434,'Hack Database'!$A:$J,4,FALSE),"")</f>
      </c>
      <c r="F434" s="125" t="str">
        <f>IFERROR(VLOOKUP($B434,'Hack Database'!$A:$J,5,FALSE),"")</f>
      </c>
      <c r="G434" s="113" t="str">
        <f>IFERROR(VLOOKUP($B434,'Hack Database'!$A:$J,6,FALSE),"")</f>
      </c>
      <c r="H434" s="137"/>
      <c r="I434" s="137"/>
      <c r="J434" s="131"/>
      <c r="K434" s="125" t="str">
        <f>IF($B434="","",IF($J434="Yes","100% Complete",IF($H434="","Planned",IF($I434="","In Progress","Finished"))))</f>
      </c>
      <c r="L434" s="143"/>
      <c r="M434" s="131"/>
      <c r="N434" s="155" t="str">
        <f>IFERROR(HYPERLINK(VLOOKUP($B434,'Hack Database'!$A:$J,9,FALSE),"Open Page"),"")</f>
      </c>
      <c r="O434" s="155" t="str">
        <f>IFERROR(HYPERLINK(VLOOKUP($B434,'Hack Database'!$A:$J,10,FALSE),"Download"),"")</f>
      </c>
      <c r="P434" s="149"/>
    </row>
    <row r="435" ht="23" customHeight="1">
      <c r="A435" s="92" t="str">
        <f>IF(C435="","",COUNTIF($C$2:C435,"&lt;&gt;"))</f>
      </c>
      <c r="B435" s="107"/>
      <c r="C435" s="113" t="str">
        <f>IFERROR(VLOOKUP($B435,'Hack Database'!$A:$J,2,FALSE),"")</f>
      </c>
      <c r="D435" s="113" t="str">
        <f>IFERROR(VLOOKUP($B435,'Hack Database'!$A:$J,3,FALSE),"")</f>
      </c>
      <c r="E435" s="125" t="str">
        <f>IFERROR(VLOOKUP($B435,'Hack Database'!$A:$J,4,FALSE),"")</f>
      </c>
      <c r="F435" s="125" t="str">
        <f>IFERROR(VLOOKUP($B435,'Hack Database'!$A:$J,5,FALSE),"")</f>
      </c>
      <c r="G435" s="113" t="str">
        <f>IFERROR(VLOOKUP($B435,'Hack Database'!$A:$J,6,FALSE),"")</f>
      </c>
      <c r="H435" s="137"/>
      <c r="I435" s="137"/>
      <c r="J435" s="131"/>
      <c r="K435" s="125" t="str">
        <f>IF($B435="","",IF($J435="Yes","100% Complete",IF($H435="","Planned",IF($I435="","In Progress","Finished"))))</f>
      </c>
      <c r="L435" s="143"/>
      <c r="M435" s="131"/>
      <c r="N435" s="155" t="str">
        <f>IFERROR(HYPERLINK(VLOOKUP($B435,'Hack Database'!$A:$J,9,FALSE),"Open Page"),"")</f>
      </c>
      <c r="O435" s="155" t="str">
        <f>IFERROR(HYPERLINK(VLOOKUP($B435,'Hack Database'!$A:$J,10,FALSE),"Download"),"")</f>
      </c>
      <c r="P435" s="149"/>
    </row>
    <row r="436" ht="23" customHeight="1">
      <c r="A436" s="92" t="str">
        <f>IF(C436="","",COUNTIF($C$2:C436,"&lt;&gt;"))</f>
      </c>
      <c r="B436" s="107"/>
      <c r="C436" s="113" t="str">
        <f>IFERROR(VLOOKUP($B436,'Hack Database'!$A:$J,2,FALSE),"")</f>
      </c>
      <c r="D436" s="113" t="str">
        <f>IFERROR(VLOOKUP($B436,'Hack Database'!$A:$J,3,FALSE),"")</f>
      </c>
      <c r="E436" s="125" t="str">
        <f>IFERROR(VLOOKUP($B436,'Hack Database'!$A:$J,4,FALSE),"")</f>
      </c>
      <c r="F436" s="125" t="str">
        <f>IFERROR(VLOOKUP($B436,'Hack Database'!$A:$J,5,FALSE),"")</f>
      </c>
      <c r="G436" s="113" t="str">
        <f>IFERROR(VLOOKUP($B436,'Hack Database'!$A:$J,6,FALSE),"")</f>
      </c>
      <c r="H436" s="137"/>
      <c r="I436" s="137"/>
      <c r="J436" s="131"/>
      <c r="K436" s="125" t="str">
        <f>IF($B436="","",IF($J436="Yes","100% Complete",IF($H436="","Planned",IF($I436="","In Progress","Finished"))))</f>
      </c>
      <c r="L436" s="143"/>
      <c r="M436" s="131"/>
      <c r="N436" s="155" t="str">
        <f>IFERROR(HYPERLINK(VLOOKUP($B436,'Hack Database'!$A:$J,9,FALSE),"Open Page"),"")</f>
      </c>
      <c r="O436" s="155" t="str">
        <f>IFERROR(HYPERLINK(VLOOKUP($B436,'Hack Database'!$A:$J,10,FALSE),"Download"),"")</f>
      </c>
      <c r="P436" s="149"/>
    </row>
    <row r="437" ht="23" customHeight="1">
      <c r="A437" s="92" t="str">
        <f>IF(C437="","",COUNTIF($C$2:C437,"&lt;&gt;"))</f>
      </c>
      <c r="B437" s="107"/>
      <c r="C437" s="113" t="str">
        <f>IFERROR(VLOOKUP($B437,'Hack Database'!$A:$J,2,FALSE),"")</f>
      </c>
      <c r="D437" s="113" t="str">
        <f>IFERROR(VLOOKUP($B437,'Hack Database'!$A:$J,3,FALSE),"")</f>
      </c>
      <c r="E437" s="125" t="str">
        <f>IFERROR(VLOOKUP($B437,'Hack Database'!$A:$J,4,FALSE),"")</f>
      </c>
      <c r="F437" s="125" t="str">
        <f>IFERROR(VLOOKUP($B437,'Hack Database'!$A:$J,5,FALSE),"")</f>
      </c>
      <c r="G437" s="113" t="str">
        <f>IFERROR(VLOOKUP($B437,'Hack Database'!$A:$J,6,FALSE),"")</f>
      </c>
      <c r="H437" s="137"/>
      <c r="I437" s="137"/>
      <c r="J437" s="131"/>
      <c r="K437" s="125" t="str">
        <f>IF($B437="","",IF($J437="Yes","100% Complete",IF($H437="","Planned",IF($I437="","In Progress","Finished"))))</f>
      </c>
      <c r="L437" s="143"/>
      <c r="M437" s="131"/>
      <c r="N437" s="155" t="str">
        <f>IFERROR(HYPERLINK(VLOOKUP($B437,'Hack Database'!$A:$J,9,FALSE),"Open Page"),"")</f>
      </c>
      <c r="O437" s="155" t="str">
        <f>IFERROR(HYPERLINK(VLOOKUP($B437,'Hack Database'!$A:$J,10,FALSE),"Download"),"")</f>
      </c>
      <c r="P437" s="149"/>
    </row>
    <row r="438" ht="23" customHeight="1">
      <c r="A438" s="92" t="str">
        <f>IF(C438="","",COUNTIF($C$2:C438,"&lt;&gt;"))</f>
      </c>
      <c r="B438" s="107"/>
      <c r="C438" s="113" t="str">
        <f>IFERROR(VLOOKUP($B438,'Hack Database'!$A:$J,2,FALSE),"")</f>
      </c>
      <c r="D438" s="113" t="str">
        <f>IFERROR(VLOOKUP($B438,'Hack Database'!$A:$J,3,FALSE),"")</f>
      </c>
      <c r="E438" s="125" t="str">
        <f>IFERROR(VLOOKUP($B438,'Hack Database'!$A:$J,4,FALSE),"")</f>
      </c>
      <c r="F438" s="125" t="str">
        <f>IFERROR(VLOOKUP($B438,'Hack Database'!$A:$J,5,FALSE),"")</f>
      </c>
      <c r="G438" s="113" t="str">
        <f>IFERROR(VLOOKUP($B438,'Hack Database'!$A:$J,6,FALSE),"")</f>
      </c>
      <c r="H438" s="137"/>
      <c r="I438" s="137"/>
      <c r="J438" s="131"/>
      <c r="K438" s="125" t="str">
        <f>IF($B438="","",IF($J438="Yes","100% Complete",IF($H438="","Planned",IF($I438="","In Progress","Finished"))))</f>
      </c>
      <c r="L438" s="143"/>
      <c r="M438" s="131"/>
      <c r="N438" s="155" t="str">
        <f>IFERROR(HYPERLINK(VLOOKUP($B438,'Hack Database'!$A:$J,9,FALSE),"Open Page"),"")</f>
      </c>
      <c r="O438" s="155" t="str">
        <f>IFERROR(HYPERLINK(VLOOKUP($B438,'Hack Database'!$A:$J,10,FALSE),"Download"),"")</f>
      </c>
      <c r="P438" s="149"/>
    </row>
    <row r="439" ht="23" customHeight="1">
      <c r="A439" s="92" t="str">
        <f>IF(C439="","",COUNTIF($C$2:C439,"&lt;&gt;"))</f>
      </c>
      <c r="B439" s="107"/>
      <c r="C439" s="113" t="str">
        <f>IFERROR(VLOOKUP($B439,'Hack Database'!$A:$J,2,FALSE),"")</f>
      </c>
      <c r="D439" s="113" t="str">
        <f>IFERROR(VLOOKUP($B439,'Hack Database'!$A:$J,3,FALSE),"")</f>
      </c>
      <c r="E439" s="125" t="str">
        <f>IFERROR(VLOOKUP($B439,'Hack Database'!$A:$J,4,FALSE),"")</f>
      </c>
      <c r="F439" s="125" t="str">
        <f>IFERROR(VLOOKUP($B439,'Hack Database'!$A:$J,5,FALSE),"")</f>
      </c>
      <c r="G439" s="113" t="str">
        <f>IFERROR(VLOOKUP($B439,'Hack Database'!$A:$J,6,FALSE),"")</f>
      </c>
      <c r="H439" s="137"/>
      <c r="I439" s="137"/>
      <c r="J439" s="131"/>
      <c r="K439" s="125" t="str">
        <f>IF($B439="","",IF($J439="Yes","100% Complete",IF($H439="","Planned",IF($I439="","In Progress","Finished"))))</f>
      </c>
      <c r="L439" s="143"/>
      <c r="M439" s="131"/>
      <c r="N439" s="155" t="str">
        <f>IFERROR(HYPERLINK(VLOOKUP($B439,'Hack Database'!$A:$J,9,FALSE),"Open Page"),"")</f>
      </c>
      <c r="O439" s="155" t="str">
        <f>IFERROR(HYPERLINK(VLOOKUP($B439,'Hack Database'!$A:$J,10,FALSE),"Download"),"")</f>
      </c>
      <c r="P439" s="149"/>
    </row>
    <row r="440" ht="23" customHeight="1">
      <c r="A440" s="92" t="str">
        <f>IF(C440="","",COUNTIF($C$2:C440,"&lt;&gt;"))</f>
      </c>
      <c r="B440" s="107"/>
      <c r="C440" s="113" t="str">
        <f>IFERROR(VLOOKUP($B440,'Hack Database'!$A:$J,2,FALSE),"")</f>
      </c>
      <c r="D440" s="113" t="str">
        <f>IFERROR(VLOOKUP($B440,'Hack Database'!$A:$J,3,FALSE),"")</f>
      </c>
      <c r="E440" s="125" t="str">
        <f>IFERROR(VLOOKUP($B440,'Hack Database'!$A:$J,4,FALSE),"")</f>
      </c>
      <c r="F440" s="125" t="str">
        <f>IFERROR(VLOOKUP($B440,'Hack Database'!$A:$J,5,FALSE),"")</f>
      </c>
      <c r="G440" s="113" t="str">
        <f>IFERROR(VLOOKUP($B440,'Hack Database'!$A:$J,6,FALSE),"")</f>
      </c>
      <c r="H440" s="137"/>
      <c r="I440" s="137"/>
      <c r="J440" s="131"/>
      <c r="K440" s="125" t="str">
        <f>IF($B440="","",IF($J440="Yes","100% Complete",IF($H440="","Planned",IF($I440="","In Progress","Finished"))))</f>
      </c>
      <c r="L440" s="143"/>
      <c r="M440" s="131"/>
      <c r="N440" s="155" t="str">
        <f>IFERROR(HYPERLINK(VLOOKUP($B440,'Hack Database'!$A:$J,9,FALSE),"Open Page"),"")</f>
      </c>
      <c r="O440" s="155" t="str">
        <f>IFERROR(HYPERLINK(VLOOKUP($B440,'Hack Database'!$A:$J,10,FALSE),"Download"),"")</f>
      </c>
      <c r="P440" s="149"/>
    </row>
    <row r="441" ht="23" customHeight="1">
      <c r="A441" s="92" t="str">
        <f>IF(C441="","",COUNTIF($C$2:C441,"&lt;&gt;"))</f>
      </c>
      <c r="B441" s="107"/>
      <c r="C441" s="113" t="str">
        <f>IFERROR(VLOOKUP($B441,'Hack Database'!$A:$J,2,FALSE),"")</f>
      </c>
      <c r="D441" s="113" t="str">
        <f>IFERROR(VLOOKUP($B441,'Hack Database'!$A:$J,3,FALSE),"")</f>
      </c>
      <c r="E441" s="125" t="str">
        <f>IFERROR(VLOOKUP($B441,'Hack Database'!$A:$J,4,FALSE),"")</f>
      </c>
      <c r="F441" s="125" t="str">
        <f>IFERROR(VLOOKUP($B441,'Hack Database'!$A:$J,5,FALSE),"")</f>
      </c>
      <c r="G441" s="113" t="str">
        <f>IFERROR(VLOOKUP($B441,'Hack Database'!$A:$J,6,FALSE),"")</f>
      </c>
      <c r="H441" s="137"/>
      <c r="I441" s="137"/>
      <c r="J441" s="131"/>
      <c r="K441" s="125" t="str">
        <f>IF($B441="","",IF($J441="Yes","100% Complete",IF($H441="","Planned",IF($I441="","In Progress","Finished"))))</f>
      </c>
      <c r="L441" s="143"/>
      <c r="M441" s="131"/>
      <c r="N441" s="155" t="str">
        <f>IFERROR(HYPERLINK(VLOOKUP($B441,'Hack Database'!$A:$J,9,FALSE),"Open Page"),"")</f>
      </c>
      <c r="O441" s="155" t="str">
        <f>IFERROR(HYPERLINK(VLOOKUP($B441,'Hack Database'!$A:$J,10,FALSE),"Download"),"")</f>
      </c>
      <c r="P441" s="149"/>
    </row>
    <row r="442" ht="23" customHeight="1">
      <c r="A442" s="92" t="str">
        <f>IF(C442="","",COUNTIF($C$2:C442,"&lt;&gt;"))</f>
      </c>
      <c r="B442" s="107"/>
      <c r="C442" s="113" t="str">
        <f>IFERROR(VLOOKUP($B442,'Hack Database'!$A:$J,2,FALSE),"")</f>
      </c>
      <c r="D442" s="113" t="str">
        <f>IFERROR(VLOOKUP($B442,'Hack Database'!$A:$J,3,FALSE),"")</f>
      </c>
      <c r="E442" s="125" t="str">
        <f>IFERROR(VLOOKUP($B442,'Hack Database'!$A:$J,4,FALSE),"")</f>
      </c>
      <c r="F442" s="125" t="str">
        <f>IFERROR(VLOOKUP($B442,'Hack Database'!$A:$J,5,FALSE),"")</f>
      </c>
      <c r="G442" s="113" t="str">
        <f>IFERROR(VLOOKUP($B442,'Hack Database'!$A:$J,6,FALSE),"")</f>
      </c>
      <c r="H442" s="137"/>
      <c r="I442" s="137"/>
      <c r="J442" s="131"/>
      <c r="K442" s="125" t="str">
        <f>IF($B442="","",IF($J442="Yes","100% Complete",IF($H442="","Planned",IF($I442="","In Progress","Finished"))))</f>
      </c>
      <c r="L442" s="143"/>
      <c r="M442" s="131"/>
      <c r="N442" s="155" t="str">
        <f>IFERROR(HYPERLINK(VLOOKUP($B442,'Hack Database'!$A:$J,9,FALSE),"Open Page"),"")</f>
      </c>
      <c r="O442" s="155" t="str">
        <f>IFERROR(HYPERLINK(VLOOKUP($B442,'Hack Database'!$A:$J,10,FALSE),"Download"),"")</f>
      </c>
      <c r="P442" s="149"/>
    </row>
    <row r="443" ht="23" customHeight="1">
      <c r="A443" s="92" t="str">
        <f>IF(C443="","",COUNTIF($C$2:C443,"&lt;&gt;"))</f>
      </c>
      <c r="B443" s="107"/>
      <c r="C443" s="113" t="str">
        <f>IFERROR(VLOOKUP($B443,'Hack Database'!$A:$J,2,FALSE),"")</f>
      </c>
      <c r="D443" s="113" t="str">
        <f>IFERROR(VLOOKUP($B443,'Hack Database'!$A:$J,3,FALSE),"")</f>
      </c>
      <c r="E443" s="125" t="str">
        <f>IFERROR(VLOOKUP($B443,'Hack Database'!$A:$J,4,FALSE),"")</f>
      </c>
      <c r="F443" s="125" t="str">
        <f>IFERROR(VLOOKUP($B443,'Hack Database'!$A:$J,5,FALSE),"")</f>
      </c>
      <c r="G443" s="113" t="str">
        <f>IFERROR(VLOOKUP($B443,'Hack Database'!$A:$J,6,FALSE),"")</f>
      </c>
      <c r="H443" s="137"/>
      <c r="I443" s="137"/>
      <c r="J443" s="131"/>
      <c r="K443" s="125" t="str">
        <f>IF($B443="","",IF($J443="Yes","100% Complete",IF($H443="","Planned",IF($I443="","In Progress","Finished"))))</f>
      </c>
      <c r="L443" s="143"/>
      <c r="M443" s="131"/>
      <c r="N443" s="155" t="str">
        <f>IFERROR(HYPERLINK(VLOOKUP($B443,'Hack Database'!$A:$J,9,FALSE),"Open Page"),"")</f>
      </c>
      <c r="O443" s="155" t="str">
        <f>IFERROR(HYPERLINK(VLOOKUP($B443,'Hack Database'!$A:$J,10,FALSE),"Download"),"")</f>
      </c>
      <c r="P443" s="149"/>
    </row>
    <row r="444" ht="23" customHeight="1">
      <c r="A444" s="92" t="str">
        <f>IF(C444="","",COUNTIF($C$2:C444,"&lt;&gt;"))</f>
      </c>
      <c r="B444" s="107"/>
      <c r="C444" s="113" t="str">
        <f>IFERROR(VLOOKUP($B444,'Hack Database'!$A:$J,2,FALSE),"")</f>
      </c>
      <c r="D444" s="113" t="str">
        <f>IFERROR(VLOOKUP($B444,'Hack Database'!$A:$J,3,FALSE),"")</f>
      </c>
      <c r="E444" s="125" t="str">
        <f>IFERROR(VLOOKUP($B444,'Hack Database'!$A:$J,4,FALSE),"")</f>
      </c>
      <c r="F444" s="125" t="str">
        <f>IFERROR(VLOOKUP($B444,'Hack Database'!$A:$J,5,FALSE),"")</f>
      </c>
      <c r="G444" s="113" t="str">
        <f>IFERROR(VLOOKUP($B444,'Hack Database'!$A:$J,6,FALSE),"")</f>
      </c>
      <c r="H444" s="137"/>
      <c r="I444" s="137"/>
      <c r="J444" s="131"/>
      <c r="K444" s="125" t="str">
        <f>IF($B444="","",IF($J444="Yes","100% Complete",IF($H444="","Planned",IF($I444="","In Progress","Finished"))))</f>
      </c>
      <c r="L444" s="143"/>
      <c r="M444" s="131"/>
      <c r="N444" s="155" t="str">
        <f>IFERROR(HYPERLINK(VLOOKUP($B444,'Hack Database'!$A:$J,9,FALSE),"Open Page"),"")</f>
      </c>
      <c r="O444" s="155" t="str">
        <f>IFERROR(HYPERLINK(VLOOKUP($B444,'Hack Database'!$A:$J,10,FALSE),"Download"),"")</f>
      </c>
      <c r="P444" s="149"/>
    </row>
    <row r="445" ht="23" customHeight="1">
      <c r="A445" s="92" t="str">
        <f>IF(C445="","",COUNTIF($C$2:C445,"&lt;&gt;"))</f>
      </c>
      <c r="B445" s="107"/>
      <c r="C445" s="113" t="str">
        <f>IFERROR(VLOOKUP($B445,'Hack Database'!$A:$J,2,FALSE),"")</f>
      </c>
      <c r="D445" s="113" t="str">
        <f>IFERROR(VLOOKUP($B445,'Hack Database'!$A:$J,3,FALSE),"")</f>
      </c>
      <c r="E445" s="125" t="str">
        <f>IFERROR(VLOOKUP($B445,'Hack Database'!$A:$J,4,FALSE),"")</f>
      </c>
      <c r="F445" s="125" t="str">
        <f>IFERROR(VLOOKUP($B445,'Hack Database'!$A:$J,5,FALSE),"")</f>
      </c>
      <c r="G445" s="113" t="str">
        <f>IFERROR(VLOOKUP($B445,'Hack Database'!$A:$J,6,FALSE),"")</f>
      </c>
      <c r="H445" s="137"/>
      <c r="I445" s="137"/>
      <c r="J445" s="131"/>
      <c r="K445" s="125" t="str">
        <f>IF($B445="","",IF($J445="Yes","100% Complete",IF($H445="","Planned",IF($I445="","In Progress","Finished"))))</f>
      </c>
      <c r="L445" s="143"/>
      <c r="M445" s="131"/>
      <c r="N445" s="155" t="str">
        <f>IFERROR(HYPERLINK(VLOOKUP($B445,'Hack Database'!$A:$J,9,FALSE),"Open Page"),"")</f>
      </c>
      <c r="O445" s="155" t="str">
        <f>IFERROR(HYPERLINK(VLOOKUP($B445,'Hack Database'!$A:$J,10,FALSE),"Download"),"")</f>
      </c>
      <c r="P445" s="149"/>
    </row>
    <row r="446" ht="23" customHeight="1">
      <c r="A446" s="92" t="str">
        <f>IF(C446="","",COUNTIF($C$2:C446,"&lt;&gt;"))</f>
      </c>
      <c r="B446" s="107"/>
      <c r="C446" s="113" t="str">
        <f>IFERROR(VLOOKUP($B446,'Hack Database'!$A:$J,2,FALSE),"")</f>
      </c>
      <c r="D446" s="113" t="str">
        <f>IFERROR(VLOOKUP($B446,'Hack Database'!$A:$J,3,FALSE),"")</f>
      </c>
      <c r="E446" s="125" t="str">
        <f>IFERROR(VLOOKUP($B446,'Hack Database'!$A:$J,4,FALSE),"")</f>
      </c>
      <c r="F446" s="125" t="str">
        <f>IFERROR(VLOOKUP($B446,'Hack Database'!$A:$J,5,FALSE),"")</f>
      </c>
      <c r="G446" s="113" t="str">
        <f>IFERROR(VLOOKUP($B446,'Hack Database'!$A:$J,6,FALSE),"")</f>
      </c>
      <c r="H446" s="137"/>
      <c r="I446" s="137"/>
      <c r="J446" s="131"/>
      <c r="K446" s="125" t="str">
        <f>IF($B446="","",IF($J446="Yes","100% Complete",IF($H446="","Planned",IF($I446="","In Progress","Finished"))))</f>
      </c>
      <c r="L446" s="143"/>
      <c r="M446" s="131"/>
      <c r="N446" s="155" t="str">
        <f>IFERROR(HYPERLINK(VLOOKUP($B446,'Hack Database'!$A:$J,9,FALSE),"Open Page"),"")</f>
      </c>
      <c r="O446" s="155" t="str">
        <f>IFERROR(HYPERLINK(VLOOKUP($B446,'Hack Database'!$A:$J,10,FALSE),"Download"),"")</f>
      </c>
      <c r="P446" s="149"/>
    </row>
    <row r="447" ht="23" customHeight="1">
      <c r="A447" s="92" t="str">
        <f>IF(C447="","",COUNTIF($C$2:C447,"&lt;&gt;"))</f>
      </c>
      <c r="B447" s="107"/>
      <c r="C447" s="113" t="str">
        <f>IFERROR(VLOOKUP($B447,'Hack Database'!$A:$J,2,FALSE),"")</f>
      </c>
      <c r="D447" s="113" t="str">
        <f>IFERROR(VLOOKUP($B447,'Hack Database'!$A:$J,3,FALSE),"")</f>
      </c>
      <c r="E447" s="125" t="str">
        <f>IFERROR(VLOOKUP($B447,'Hack Database'!$A:$J,4,FALSE),"")</f>
      </c>
      <c r="F447" s="125" t="str">
        <f>IFERROR(VLOOKUP($B447,'Hack Database'!$A:$J,5,FALSE),"")</f>
      </c>
      <c r="G447" s="113" t="str">
        <f>IFERROR(VLOOKUP($B447,'Hack Database'!$A:$J,6,FALSE),"")</f>
      </c>
      <c r="H447" s="137"/>
      <c r="I447" s="137"/>
      <c r="J447" s="131"/>
      <c r="K447" s="125" t="str">
        <f>IF($B447="","",IF($J447="Yes","100% Complete",IF($H447="","Planned",IF($I447="","In Progress","Finished"))))</f>
      </c>
      <c r="L447" s="143"/>
      <c r="M447" s="131"/>
      <c r="N447" s="155" t="str">
        <f>IFERROR(HYPERLINK(VLOOKUP($B447,'Hack Database'!$A:$J,9,FALSE),"Open Page"),"")</f>
      </c>
      <c r="O447" s="155" t="str">
        <f>IFERROR(HYPERLINK(VLOOKUP($B447,'Hack Database'!$A:$J,10,FALSE),"Download"),"")</f>
      </c>
      <c r="P447" s="149"/>
    </row>
    <row r="448" ht="23" customHeight="1">
      <c r="A448" s="92" t="str">
        <f>IF(C448="","",COUNTIF($C$2:C448,"&lt;&gt;"))</f>
      </c>
      <c r="B448" s="107"/>
      <c r="C448" s="113" t="str">
        <f>IFERROR(VLOOKUP($B448,'Hack Database'!$A:$J,2,FALSE),"")</f>
      </c>
      <c r="D448" s="113" t="str">
        <f>IFERROR(VLOOKUP($B448,'Hack Database'!$A:$J,3,FALSE),"")</f>
      </c>
      <c r="E448" s="125" t="str">
        <f>IFERROR(VLOOKUP($B448,'Hack Database'!$A:$J,4,FALSE),"")</f>
      </c>
      <c r="F448" s="125" t="str">
        <f>IFERROR(VLOOKUP($B448,'Hack Database'!$A:$J,5,FALSE),"")</f>
      </c>
      <c r="G448" s="113" t="str">
        <f>IFERROR(VLOOKUP($B448,'Hack Database'!$A:$J,6,FALSE),"")</f>
      </c>
      <c r="H448" s="137"/>
      <c r="I448" s="137"/>
      <c r="J448" s="131"/>
      <c r="K448" s="125" t="str">
        <f>IF($B448="","",IF($J448="Yes","100% Complete",IF($H448="","Planned",IF($I448="","In Progress","Finished"))))</f>
      </c>
      <c r="L448" s="143"/>
      <c r="M448" s="131"/>
      <c r="N448" s="155" t="str">
        <f>IFERROR(HYPERLINK(VLOOKUP($B448,'Hack Database'!$A:$J,9,FALSE),"Open Page"),"")</f>
      </c>
      <c r="O448" s="155" t="str">
        <f>IFERROR(HYPERLINK(VLOOKUP($B448,'Hack Database'!$A:$J,10,FALSE),"Download"),"")</f>
      </c>
      <c r="P448" s="149"/>
    </row>
    <row r="449" ht="23" customHeight="1">
      <c r="A449" s="92" t="str">
        <f>IF(C449="","",COUNTIF($C$2:C449,"&lt;&gt;"))</f>
      </c>
      <c r="B449" s="107"/>
      <c r="C449" s="113" t="str">
        <f>IFERROR(VLOOKUP($B449,'Hack Database'!$A:$J,2,FALSE),"")</f>
      </c>
      <c r="D449" s="113" t="str">
        <f>IFERROR(VLOOKUP($B449,'Hack Database'!$A:$J,3,FALSE),"")</f>
      </c>
      <c r="E449" s="125" t="str">
        <f>IFERROR(VLOOKUP($B449,'Hack Database'!$A:$J,4,FALSE),"")</f>
      </c>
      <c r="F449" s="125" t="str">
        <f>IFERROR(VLOOKUP($B449,'Hack Database'!$A:$J,5,FALSE),"")</f>
      </c>
      <c r="G449" s="113" t="str">
        <f>IFERROR(VLOOKUP($B449,'Hack Database'!$A:$J,6,FALSE),"")</f>
      </c>
      <c r="H449" s="137"/>
      <c r="I449" s="137"/>
      <c r="J449" s="131"/>
      <c r="K449" s="125" t="str">
        <f>IF($B449="","",IF($J449="Yes","100% Complete",IF($H449="","Planned",IF($I449="","In Progress","Finished"))))</f>
      </c>
      <c r="L449" s="143"/>
      <c r="M449" s="131"/>
      <c r="N449" s="155" t="str">
        <f>IFERROR(HYPERLINK(VLOOKUP($B449,'Hack Database'!$A:$J,9,FALSE),"Open Page"),"")</f>
      </c>
      <c r="O449" s="155" t="str">
        <f>IFERROR(HYPERLINK(VLOOKUP($B449,'Hack Database'!$A:$J,10,FALSE),"Download"),"")</f>
      </c>
      <c r="P449" s="149"/>
    </row>
    <row r="450" ht="23" customHeight="1">
      <c r="A450" s="92" t="str">
        <f>IF(C450="","",COUNTIF($C$2:C450,"&lt;&gt;"))</f>
      </c>
      <c r="B450" s="107"/>
      <c r="C450" s="113" t="str">
        <f>IFERROR(VLOOKUP($B450,'Hack Database'!$A:$J,2,FALSE),"")</f>
      </c>
      <c r="D450" s="113" t="str">
        <f>IFERROR(VLOOKUP($B450,'Hack Database'!$A:$J,3,FALSE),"")</f>
      </c>
      <c r="E450" s="125" t="str">
        <f>IFERROR(VLOOKUP($B450,'Hack Database'!$A:$J,4,FALSE),"")</f>
      </c>
      <c r="F450" s="125" t="str">
        <f>IFERROR(VLOOKUP($B450,'Hack Database'!$A:$J,5,FALSE),"")</f>
      </c>
      <c r="G450" s="113" t="str">
        <f>IFERROR(VLOOKUP($B450,'Hack Database'!$A:$J,6,FALSE),"")</f>
      </c>
      <c r="H450" s="137"/>
      <c r="I450" s="137"/>
      <c r="J450" s="131"/>
      <c r="K450" s="125" t="str">
        <f>IF($B450="","",IF($J450="Yes","100% Complete",IF($H450="","Planned",IF($I450="","In Progress","Finished"))))</f>
      </c>
      <c r="L450" s="143"/>
      <c r="M450" s="131"/>
      <c r="N450" s="155" t="str">
        <f>IFERROR(HYPERLINK(VLOOKUP($B450,'Hack Database'!$A:$J,9,FALSE),"Open Page"),"")</f>
      </c>
      <c r="O450" s="155" t="str">
        <f>IFERROR(HYPERLINK(VLOOKUP($B450,'Hack Database'!$A:$J,10,FALSE),"Download"),"")</f>
      </c>
      <c r="P450" s="149"/>
    </row>
    <row r="451" ht="23" customHeight="1">
      <c r="A451" s="92" t="str">
        <f>IF(C451="","",COUNTIF($C$2:C451,"&lt;&gt;"))</f>
      </c>
      <c r="B451" s="107"/>
      <c r="C451" s="113" t="str">
        <f>IFERROR(VLOOKUP($B451,'Hack Database'!$A:$J,2,FALSE),"")</f>
      </c>
      <c r="D451" s="113" t="str">
        <f>IFERROR(VLOOKUP($B451,'Hack Database'!$A:$J,3,FALSE),"")</f>
      </c>
      <c r="E451" s="125" t="str">
        <f>IFERROR(VLOOKUP($B451,'Hack Database'!$A:$J,4,FALSE),"")</f>
      </c>
      <c r="F451" s="125" t="str">
        <f>IFERROR(VLOOKUP($B451,'Hack Database'!$A:$J,5,FALSE),"")</f>
      </c>
      <c r="G451" s="113" t="str">
        <f>IFERROR(VLOOKUP($B451,'Hack Database'!$A:$J,6,FALSE),"")</f>
      </c>
      <c r="H451" s="137"/>
      <c r="I451" s="137"/>
      <c r="J451" s="131"/>
      <c r="K451" s="125" t="str">
        <f>IF($B451="","",IF($J451="Yes","100% Complete",IF($H451="","Planned",IF($I451="","In Progress","Finished"))))</f>
      </c>
      <c r="L451" s="143"/>
      <c r="M451" s="131"/>
      <c r="N451" s="155" t="str">
        <f>IFERROR(HYPERLINK(VLOOKUP($B451,'Hack Database'!$A:$J,9,FALSE),"Open Page"),"")</f>
      </c>
      <c r="O451" s="155" t="str">
        <f>IFERROR(HYPERLINK(VLOOKUP($B451,'Hack Database'!$A:$J,10,FALSE),"Download"),"")</f>
      </c>
      <c r="P451" s="149"/>
    </row>
    <row r="452" ht="23" customHeight="1">
      <c r="A452" s="92" t="str">
        <f>IF(C452="","",COUNTIF($C$2:C452,"&lt;&gt;"))</f>
      </c>
      <c r="B452" s="107"/>
      <c r="C452" s="113" t="str">
        <f>IFERROR(VLOOKUP($B452,'Hack Database'!$A:$J,2,FALSE),"")</f>
      </c>
      <c r="D452" s="113" t="str">
        <f>IFERROR(VLOOKUP($B452,'Hack Database'!$A:$J,3,FALSE),"")</f>
      </c>
      <c r="E452" s="125" t="str">
        <f>IFERROR(VLOOKUP($B452,'Hack Database'!$A:$J,4,FALSE),"")</f>
      </c>
      <c r="F452" s="125" t="str">
        <f>IFERROR(VLOOKUP($B452,'Hack Database'!$A:$J,5,FALSE),"")</f>
      </c>
      <c r="G452" s="113" t="str">
        <f>IFERROR(VLOOKUP($B452,'Hack Database'!$A:$J,6,FALSE),"")</f>
      </c>
      <c r="H452" s="137"/>
      <c r="I452" s="137"/>
      <c r="J452" s="131"/>
      <c r="K452" s="125" t="str">
        <f>IF($B452="","",IF($J452="Yes","100% Complete",IF($H452="","Planned",IF($I452="","In Progress","Finished"))))</f>
      </c>
      <c r="L452" s="143"/>
      <c r="M452" s="131"/>
      <c r="N452" s="155" t="str">
        <f>IFERROR(HYPERLINK(VLOOKUP($B452,'Hack Database'!$A:$J,9,FALSE),"Open Page"),"")</f>
      </c>
      <c r="O452" s="155" t="str">
        <f>IFERROR(HYPERLINK(VLOOKUP($B452,'Hack Database'!$A:$J,10,FALSE),"Download"),"")</f>
      </c>
      <c r="P452" s="149"/>
    </row>
    <row r="453" ht="23" customHeight="1">
      <c r="A453" s="92" t="str">
        <f>IF(C453="","",COUNTIF($C$2:C453,"&lt;&gt;"))</f>
      </c>
      <c r="B453" s="107"/>
      <c r="C453" s="113" t="str">
        <f>IFERROR(VLOOKUP($B453,'Hack Database'!$A:$J,2,FALSE),"")</f>
      </c>
      <c r="D453" s="113" t="str">
        <f>IFERROR(VLOOKUP($B453,'Hack Database'!$A:$J,3,FALSE),"")</f>
      </c>
      <c r="E453" s="125" t="str">
        <f>IFERROR(VLOOKUP($B453,'Hack Database'!$A:$J,4,FALSE),"")</f>
      </c>
      <c r="F453" s="125" t="str">
        <f>IFERROR(VLOOKUP($B453,'Hack Database'!$A:$J,5,FALSE),"")</f>
      </c>
      <c r="G453" s="113" t="str">
        <f>IFERROR(VLOOKUP($B453,'Hack Database'!$A:$J,6,FALSE),"")</f>
      </c>
      <c r="H453" s="137"/>
      <c r="I453" s="137"/>
      <c r="J453" s="131"/>
      <c r="K453" s="125" t="str">
        <f>IF($B453="","",IF($J453="Yes","100% Complete",IF($H453="","Planned",IF($I453="","In Progress","Finished"))))</f>
      </c>
      <c r="L453" s="143"/>
      <c r="M453" s="131"/>
      <c r="N453" s="155" t="str">
        <f>IFERROR(HYPERLINK(VLOOKUP($B453,'Hack Database'!$A:$J,9,FALSE),"Open Page"),"")</f>
      </c>
      <c r="O453" s="155" t="str">
        <f>IFERROR(HYPERLINK(VLOOKUP($B453,'Hack Database'!$A:$J,10,FALSE),"Download"),"")</f>
      </c>
      <c r="P453" s="149"/>
    </row>
    <row r="454" ht="23" customHeight="1">
      <c r="A454" s="92" t="str">
        <f>IF(C454="","",COUNTIF($C$2:C454,"&lt;&gt;"))</f>
      </c>
      <c r="B454" s="107"/>
      <c r="C454" s="113" t="str">
        <f>IFERROR(VLOOKUP($B454,'Hack Database'!$A:$J,2,FALSE),"")</f>
      </c>
      <c r="D454" s="113" t="str">
        <f>IFERROR(VLOOKUP($B454,'Hack Database'!$A:$J,3,FALSE),"")</f>
      </c>
      <c r="E454" s="125" t="str">
        <f>IFERROR(VLOOKUP($B454,'Hack Database'!$A:$J,4,FALSE),"")</f>
      </c>
      <c r="F454" s="125" t="str">
        <f>IFERROR(VLOOKUP($B454,'Hack Database'!$A:$J,5,FALSE),"")</f>
      </c>
      <c r="G454" s="113" t="str">
        <f>IFERROR(VLOOKUP($B454,'Hack Database'!$A:$J,6,FALSE),"")</f>
      </c>
      <c r="H454" s="137"/>
      <c r="I454" s="137"/>
      <c r="J454" s="131"/>
      <c r="K454" s="125" t="str">
        <f>IF($B454="","",IF($J454="Yes","100% Complete",IF($H454="","Planned",IF($I454="","In Progress","Finished"))))</f>
      </c>
      <c r="L454" s="143"/>
      <c r="M454" s="131"/>
      <c r="N454" s="155" t="str">
        <f>IFERROR(HYPERLINK(VLOOKUP($B454,'Hack Database'!$A:$J,9,FALSE),"Open Page"),"")</f>
      </c>
      <c r="O454" s="155" t="str">
        <f>IFERROR(HYPERLINK(VLOOKUP($B454,'Hack Database'!$A:$J,10,FALSE),"Download"),"")</f>
      </c>
      <c r="P454" s="149"/>
    </row>
    <row r="455" ht="23" customHeight="1">
      <c r="A455" s="92" t="str">
        <f>IF(C455="","",COUNTIF($C$2:C455,"&lt;&gt;"))</f>
      </c>
      <c r="B455" s="107"/>
      <c r="C455" s="113" t="str">
        <f>IFERROR(VLOOKUP($B455,'Hack Database'!$A:$J,2,FALSE),"")</f>
      </c>
      <c r="D455" s="113" t="str">
        <f>IFERROR(VLOOKUP($B455,'Hack Database'!$A:$J,3,FALSE),"")</f>
      </c>
      <c r="E455" s="125" t="str">
        <f>IFERROR(VLOOKUP($B455,'Hack Database'!$A:$J,4,FALSE),"")</f>
      </c>
      <c r="F455" s="125" t="str">
        <f>IFERROR(VLOOKUP($B455,'Hack Database'!$A:$J,5,FALSE),"")</f>
      </c>
      <c r="G455" s="113" t="str">
        <f>IFERROR(VLOOKUP($B455,'Hack Database'!$A:$J,6,FALSE),"")</f>
      </c>
      <c r="H455" s="137"/>
      <c r="I455" s="137"/>
      <c r="J455" s="131"/>
      <c r="K455" s="125" t="str">
        <f>IF($B455="","",IF($J455="Yes","100% Complete",IF($H455="","Planned",IF($I455="","In Progress","Finished"))))</f>
      </c>
      <c r="L455" s="143"/>
      <c r="M455" s="131"/>
      <c r="N455" s="155" t="str">
        <f>IFERROR(HYPERLINK(VLOOKUP($B455,'Hack Database'!$A:$J,9,FALSE),"Open Page"),"")</f>
      </c>
      <c r="O455" s="155" t="str">
        <f>IFERROR(HYPERLINK(VLOOKUP($B455,'Hack Database'!$A:$J,10,FALSE),"Download"),"")</f>
      </c>
      <c r="P455" s="149"/>
    </row>
    <row r="456" ht="23" customHeight="1">
      <c r="A456" s="92" t="str">
        <f>IF(C456="","",COUNTIF($C$2:C456,"&lt;&gt;"))</f>
      </c>
      <c r="B456" s="107"/>
      <c r="C456" s="113" t="str">
        <f>IFERROR(VLOOKUP($B456,'Hack Database'!$A:$J,2,FALSE),"")</f>
      </c>
      <c r="D456" s="113" t="str">
        <f>IFERROR(VLOOKUP($B456,'Hack Database'!$A:$J,3,FALSE),"")</f>
      </c>
      <c r="E456" s="125" t="str">
        <f>IFERROR(VLOOKUP($B456,'Hack Database'!$A:$J,4,FALSE),"")</f>
      </c>
      <c r="F456" s="125" t="str">
        <f>IFERROR(VLOOKUP($B456,'Hack Database'!$A:$J,5,FALSE),"")</f>
      </c>
      <c r="G456" s="113" t="str">
        <f>IFERROR(VLOOKUP($B456,'Hack Database'!$A:$J,6,FALSE),"")</f>
      </c>
      <c r="H456" s="137"/>
      <c r="I456" s="137"/>
      <c r="J456" s="131"/>
      <c r="K456" s="125" t="str">
        <f>IF($B456="","",IF($J456="Yes","100% Complete",IF($H456="","Planned",IF($I456="","In Progress","Finished"))))</f>
      </c>
      <c r="L456" s="143"/>
      <c r="M456" s="131"/>
      <c r="N456" s="155" t="str">
        <f>IFERROR(HYPERLINK(VLOOKUP($B456,'Hack Database'!$A:$J,9,FALSE),"Open Page"),"")</f>
      </c>
      <c r="O456" s="155" t="str">
        <f>IFERROR(HYPERLINK(VLOOKUP($B456,'Hack Database'!$A:$J,10,FALSE),"Download"),"")</f>
      </c>
      <c r="P456" s="149"/>
    </row>
    <row r="457" ht="23" customHeight="1">
      <c r="A457" s="92" t="str">
        <f>IF(C457="","",COUNTIF($C$2:C457,"&lt;&gt;"))</f>
      </c>
      <c r="B457" s="107"/>
      <c r="C457" s="113" t="str">
        <f>IFERROR(VLOOKUP($B457,'Hack Database'!$A:$J,2,FALSE),"")</f>
      </c>
      <c r="D457" s="113" t="str">
        <f>IFERROR(VLOOKUP($B457,'Hack Database'!$A:$J,3,FALSE),"")</f>
      </c>
      <c r="E457" s="125" t="str">
        <f>IFERROR(VLOOKUP($B457,'Hack Database'!$A:$J,4,FALSE),"")</f>
      </c>
      <c r="F457" s="125" t="str">
        <f>IFERROR(VLOOKUP($B457,'Hack Database'!$A:$J,5,FALSE),"")</f>
      </c>
      <c r="G457" s="113" t="str">
        <f>IFERROR(VLOOKUP($B457,'Hack Database'!$A:$J,6,FALSE),"")</f>
      </c>
      <c r="H457" s="137"/>
      <c r="I457" s="137"/>
      <c r="J457" s="131"/>
      <c r="K457" s="125" t="str">
        <f>IF($B457="","",IF($J457="Yes","100% Complete",IF($H457="","Planned",IF($I457="","In Progress","Finished"))))</f>
      </c>
      <c r="L457" s="143"/>
      <c r="M457" s="131"/>
      <c r="N457" s="155" t="str">
        <f>IFERROR(HYPERLINK(VLOOKUP($B457,'Hack Database'!$A:$J,9,FALSE),"Open Page"),"")</f>
      </c>
      <c r="O457" s="155" t="str">
        <f>IFERROR(HYPERLINK(VLOOKUP($B457,'Hack Database'!$A:$J,10,FALSE),"Download"),"")</f>
      </c>
      <c r="P457" s="149"/>
    </row>
    <row r="458" ht="23" customHeight="1">
      <c r="A458" s="92" t="str">
        <f>IF(C458="","",COUNTIF($C$2:C458,"&lt;&gt;"))</f>
      </c>
      <c r="B458" s="107"/>
      <c r="C458" s="113" t="str">
        <f>IFERROR(VLOOKUP($B458,'Hack Database'!$A:$J,2,FALSE),"")</f>
      </c>
      <c r="D458" s="113" t="str">
        <f>IFERROR(VLOOKUP($B458,'Hack Database'!$A:$J,3,FALSE),"")</f>
      </c>
      <c r="E458" s="125" t="str">
        <f>IFERROR(VLOOKUP($B458,'Hack Database'!$A:$J,4,FALSE),"")</f>
      </c>
      <c r="F458" s="125" t="str">
        <f>IFERROR(VLOOKUP($B458,'Hack Database'!$A:$J,5,FALSE),"")</f>
      </c>
      <c r="G458" s="113" t="str">
        <f>IFERROR(VLOOKUP($B458,'Hack Database'!$A:$J,6,FALSE),"")</f>
      </c>
      <c r="H458" s="137"/>
      <c r="I458" s="137"/>
      <c r="J458" s="131"/>
      <c r="K458" s="125" t="str">
        <f>IF($B458="","",IF($J458="Yes","100% Complete",IF($H458="","Planned",IF($I458="","In Progress","Finished"))))</f>
      </c>
      <c r="L458" s="143"/>
      <c r="M458" s="131"/>
      <c r="N458" s="155" t="str">
        <f>IFERROR(HYPERLINK(VLOOKUP($B458,'Hack Database'!$A:$J,9,FALSE),"Open Page"),"")</f>
      </c>
      <c r="O458" s="155" t="str">
        <f>IFERROR(HYPERLINK(VLOOKUP($B458,'Hack Database'!$A:$J,10,FALSE),"Download"),"")</f>
      </c>
      <c r="P458" s="149"/>
    </row>
    <row r="459" ht="23" customHeight="1">
      <c r="A459" s="92" t="str">
        <f>IF(C459="","",COUNTIF($C$2:C459,"&lt;&gt;"))</f>
      </c>
      <c r="B459" s="107"/>
      <c r="C459" s="113" t="str">
        <f>IFERROR(VLOOKUP($B459,'Hack Database'!$A:$J,2,FALSE),"")</f>
      </c>
      <c r="D459" s="113" t="str">
        <f>IFERROR(VLOOKUP($B459,'Hack Database'!$A:$J,3,FALSE),"")</f>
      </c>
      <c r="E459" s="125" t="str">
        <f>IFERROR(VLOOKUP($B459,'Hack Database'!$A:$J,4,FALSE),"")</f>
      </c>
      <c r="F459" s="125" t="str">
        <f>IFERROR(VLOOKUP($B459,'Hack Database'!$A:$J,5,FALSE),"")</f>
      </c>
      <c r="G459" s="113" t="str">
        <f>IFERROR(VLOOKUP($B459,'Hack Database'!$A:$J,6,FALSE),"")</f>
      </c>
      <c r="H459" s="137"/>
      <c r="I459" s="137"/>
      <c r="J459" s="131"/>
      <c r="K459" s="125" t="str">
        <f>IF($B459="","",IF($J459="Yes","100% Complete",IF($H459="","Planned",IF($I459="","In Progress","Finished"))))</f>
      </c>
      <c r="L459" s="143"/>
      <c r="M459" s="131"/>
      <c r="N459" s="155" t="str">
        <f>IFERROR(HYPERLINK(VLOOKUP($B459,'Hack Database'!$A:$J,9,FALSE),"Open Page"),"")</f>
      </c>
      <c r="O459" s="155" t="str">
        <f>IFERROR(HYPERLINK(VLOOKUP($B459,'Hack Database'!$A:$J,10,FALSE),"Download"),"")</f>
      </c>
      <c r="P459" s="149"/>
    </row>
    <row r="460" ht="23" customHeight="1">
      <c r="A460" s="92" t="str">
        <f>IF(C460="","",COUNTIF($C$2:C460,"&lt;&gt;"))</f>
      </c>
      <c r="B460" s="107"/>
      <c r="C460" s="113" t="str">
        <f>IFERROR(VLOOKUP($B460,'Hack Database'!$A:$J,2,FALSE),"")</f>
      </c>
      <c r="D460" s="113" t="str">
        <f>IFERROR(VLOOKUP($B460,'Hack Database'!$A:$J,3,FALSE),"")</f>
      </c>
      <c r="E460" s="125" t="str">
        <f>IFERROR(VLOOKUP($B460,'Hack Database'!$A:$J,4,FALSE),"")</f>
      </c>
      <c r="F460" s="125" t="str">
        <f>IFERROR(VLOOKUP($B460,'Hack Database'!$A:$J,5,FALSE),"")</f>
      </c>
      <c r="G460" s="113" t="str">
        <f>IFERROR(VLOOKUP($B460,'Hack Database'!$A:$J,6,FALSE),"")</f>
      </c>
      <c r="H460" s="137"/>
      <c r="I460" s="137"/>
      <c r="J460" s="131"/>
      <c r="K460" s="125" t="str">
        <f>IF($B460="","",IF($J460="Yes","100% Complete",IF($H460="","Planned",IF($I460="","In Progress","Finished"))))</f>
      </c>
      <c r="L460" s="143"/>
      <c r="M460" s="131"/>
      <c r="N460" s="155" t="str">
        <f>IFERROR(HYPERLINK(VLOOKUP($B460,'Hack Database'!$A:$J,9,FALSE),"Open Page"),"")</f>
      </c>
      <c r="O460" s="155" t="str">
        <f>IFERROR(HYPERLINK(VLOOKUP($B460,'Hack Database'!$A:$J,10,FALSE),"Download"),"")</f>
      </c>
      <c r="P460" s="149"/>
    </row>
    <row r="461" ht="23" customHeight="1">
      <c r="A461" s="92" t="str">
        <f>IF(C461="","",COUNTIF($C$2:C461,"&lt;&gt;"))</f>
      </c>
      <c r="B461" s="107"/>
      <c r="C461" s="113" t="str">
        <f>IFERROR(VLOOKUP($B461,'Hack Database'!$A:$J,2,FALSE),"")</f>
      </c>
      <c r="D461" s="113" t="str">
        <f>IFERROR(VLOOKUP($B461,'Hack Database'!$A:$J,3,FALSE),"")</f>
      </c>
      <c r="E461" s="125" t="str">
        <f>IFERROR(VLOOKUP($B461,'Hack Database'!$A:$J,4,FALSE),"")</f>
      </c>
      <c r="F461" s="125" t="str">
        <f>IFERROR(VLOOKUP($B461,'Hack Database'!$A:$J,5,FALSE),"")</f>
      </c>
      <c r="G461" s="113" t="str">
        <f>IFERROR(VLOOKUP($B461,'Hack Database'!$A:$J,6,FALSE),"")</f>
      </c>
      <c r="H461" s="137"/>
      <c r="I461" s="137"/>
      <c r="J461" s="131"/>
      <c r="K461" s="125" t="str">
        <f>IF($B461="","",IF($J461="Yes","100% Complete",IF($H461="","Planned",IF($I461="","In Progress","Finished"))))</f>
      </c>
      <c r="L461" s="143"/>
      <c r="M461" s="131"/>
      <c r="N461" s="155" t="str">
        <f>IFERROR(HYPERLINK(VLOOKUP($B461,'Hack Database'!$A:$J,9,FALSE),"Open Page"),"")</f>
      </c>
      <c r="O461" s="155" t="str">
        <f>IFERROR(HYPERLINK(VLOOKUP($B461,'Hack Database'!$A:$J,10,FALSE),"Download"),"")</f>
      </c>
      <c r="P461" s="149"/>
    </row>
    <row r="462" ht="23" customHeight="1">
      <c r="A462" s="92" t="str">
        <f>IF(C462="","",COUNTIF($C$2:C462,"&lt;&gt;"))</f>
      </c>
      <c r="B462" s="107"/>
      <c r="C462" s="113" t="str">
        <f>IFERROR(VLOOKUP($B462,'Hack Database'!$A:$J,2,FALSE),"")</f>
      </c>
      <c r="D462" s="113" t="str">
        <f>IFERROR(VLOOKUP($B462,'Hack Database'!$A:$J,3,FALSE),"")</f>
      </c>
      <c r="E462" s="125" t="str">
        <f>IFERROR(VLOOKUP($B462,'Hack Database'!$A:$J,4,FALSE),"")</f>
      </c>
      <c r="F462" s="125" t="str">
        <f>IFERROR(VLOOKUP($B462,'Hack Database'!$A:$J,5,FALSE),"")</f>
      </c>
      <c r="G462" s="113" t="str">
        <f>IFERROR(VLOOKUP($B462,'Hack Database'!$A:$J,6,FALSE),"")</f>
      </c>
      <c r="H462" s="137"/>
      <c r="I462" s="137"/>
      <c r="J462" s="131"/>
      <c r="K462" s="125" t="str">
        <f>IF($B462="","",IF($J462="Yes","100% Complete",IF($H462="","Planned",IF($I462="","In Progress","Finished"))))</f>
      </c>
      <c r="L462" s="143"/>
      <c r="M462" s="131"/>
      <c r="N462" s="155" t="str">
        <f>IFERROR(HYPERLINK(VLOOKUP($B462,'Hack Database'!$A:$J,9,FALSE),"Open Page"),"")</f>
      </c>
      <c r="O462" s="155" t="str">
        <f>IFERROR(HYPERLINK(VLOOKUP($B462,'Hack Database'!$A:$J,10,FALSE),"Download"),"")</f>
      </c>
      <c r="P462" s="149"/>
    </row>
    <row r="463" ht="23" customHeight="1">
      <c r="A463" s="92" t="str">
        <f>IF(C463="","",COUNTIF($C$2:C463,"&lt;&gt;"))</f>
      </c>
      <c r="B463" s="107"/>
      <c r="C463" s="113" t="str">
        <f>IFERROR(VLOOKUP($B463,'Hack Database'!$A:$J,2,FALSE),"")</f>
      </c>
      <c r="D463" s="113" t="str">
        <f>IFERROR(VLOOKUP($B463,'Hack Database'!$A:$J,3,FALSE),"")</f>
      </c>
      <c r="E463" s="125" t="str">
        <f>IFERROR(VLOOKUP($B463,'Hack Database'!$A:$J,4,FALSE),"")</f>
      </c>
      <c r="F463" s="125" t="str">
        <f>IFERROR(VLOOKUP($B463,'Hack Database'!$A:$J,5,FALSE),"")</f>
      </c>
      <c r="G463" s="113" t="str">
        <f>IFERROR(VLOOKUP($B463,'Hack Database'!$A:$J,6,FALSE),"")</f>
      </c>
      <c r="H463" s="137"/>
      <c r="I463" s="137"/>
      <c r="J463" s="131"/>
      <c r="K463" s="125" t="str">
        <f>IF($B463="","",IF($J463="Yes","100% Complete",IF($H463="","Planned",IF($I463="","In Progress","Finished"))))</f>
      </c>
      <c r="L463" s="143"/>
      <c r="M463" s="131"/>
      <c r="N463" s="155" t="str">
        <f>IFERROR(HYPERLINK(VLOOKUP($B463,'Hack Database'!$A:$J,9,FALSE),"Open Page"),"")</f>
      </c>
      <c r="O463" s="155" t="str">
        <f>IFERROR(HYPERLINK(VLOOKUP($B463,'Hack Database'!$A:$J,10,FALSE),"Download"),"")</f>
      </c>
      <c r="P463" s="149"/>
    </row>
    <row r="464" ht="23" customHeight="1">
      <c r="A464" s="92" t="str">
        <f>IF(C464="","",COUNTIF($C$2:C464,"&lt;&gt;"))</f>
      </c>
      <c r="B464" s="107"/>
      <c r="C464" s="113" t="str">
        <f>IFERROR(VLOOKUP($B464,'Hack Database'!$A:$J,2,FALSE),"")</f>
      </c>
      <c r="D464" s="113" t="str">
        <f>IFERROR(VLOOKUP($B464,'Hack Database'!$A:$J,3,FALSE),"")</f>
      </c>
      <c r="E464" s="125" t="str">
        <f>IFERROR(VLOOKUP($B464,'Hack Database'!$A:$J,4,FALSE),"")</f>
      </c>
      <c r="F464" s="125" t="str">
        <f>IFERROR(VLOOKUP($B464,'Hack Database'!$A:$J,5,FALSE),"")</f>
      </c>
      <c r="G464" s="113" t="str">
        <f>IFERROR(VLOOKUP($B464,'Hack Database'!$A:$J,6,FALSE),"")</f>
      </c>
      <c r="H464" s="137"/>
      <c r="I464" s="137"/>
      <c r="J464" s="131"/>
      <c r="K464" s="125" t="str">
        <f>IF($B464="","",IF($J464="Yes","100% Complete",IF($H464="","Planned",IF($I464="","In Progress","Finished"))))</f>
      </c>
      <c r="L464" s="143"/>
      <c r="M464" s="131"/>
      <c r="N464" s="155" t="str">
        <f>IFERROR(HYPERLINK(VLOOKUP($B464,'Hack Database'!$A:$J,9,FALSE),"Open Page"),"")</f>
      </c>
      <c r="O464" s="155" t="str">
        <f>IFERROR(HYPERLINK(VLOOKUP($B464,'Hack Database'!$A:$J,10,FALSE),"Download"),"")</f>
      </c>
      <c r="P464" s="149"/>
    </row>
    <row r="465" ht="23" customHeight="1">
      <c r="A465" s="92" t="str">
        <f>IF(C465="","",COUNTIF($C$2:C465,"&lt;&gt;"))</f>
      </c>
      <c r="B465" s="107"/>
      <c r="C465" s="113" t="str">
        <f>IFERROR(VLOOKUP($B465,'Hack Database'!$A:$J,2,FALSE),"")</f>
      </c>
      <c r="D465" s="113" t="str">
        <f>IFERROR(VLOOKUP($B465,'Hack Database'!$A:$J,3,FALSE),"")</f>
      </c>
      <c r="E465" s="125" t="str">
        <f>IFERROR(VLOOKUP($B465,'Hack Database'!$A:$J,4,FALSE),"")</f>
      </c>
      <c r="F465" s="125" t="str">
        <f>IFERROR(VLOOKUP($B465,'Hack Database'!$A:$J,5,FALSE),"")</f>
      </c>
      <c r="G465" s="113" t="str">
        <f>IFERROR(VLOOKUP($B465,'Hack Database'!$A:$J,6,FALSE),"")</f>
      </c>
      <c r="H465" s="137"/>
      <c r="I465" s="137"/>
      <c r="J465" s="131"/>
      <c r="K465" s="125" t="str">
        <f>IF($B465="","",IF($J465="Yes","100% Complete",IF($H465="","Planned",IF($I465="","In Progress","Finished"))))</f>
      </c>
      <c r="L465" s="143"/>
      <c r="M465" s="131"/>
      <c r="N465" s="155" t="str">
        <f>IFERROR(HYPERLINK(VLOOKUP($B465,'Hack Database'!$A:$J,9,FALSE),"Open Page"),"")</f>
      </c>
      <c r="O465" s="155" t="str">
        <f>IFERROR(HYPERLINK(VLOOKUP($B465,'Hack Database'!$A:$J,10,FALSE),"Download"),"")</f>
      </c>
      <c r="P465" s="149"/>
    </row>
    <row r="466" ht="23" customHeight="1">
      <c r="A466" s="92" t="str">
        <f>IF(C466="","",COUNTIF($C$2:C466,"&lt;&gt;"))</f>
      </c>
      <c r="B466" s="107"/>
      <c r="C466" s="113" t="str">
        <f>IFERROR(VLOOKUP($B466,'Hack Database'!$A:$J,2,FALSE),"")</f>
      </c>
      <c r="D466" s="113" t="str">
        <f>IFERROR(VLOOKUP($B466,'Hack Database'!$A:$J,3,FALSE),"")</f>
      </c>
      <c r="E466" s="125" t="str">
        <f>IFERROR(VLOOKUP($B466,'Hack Database'!$A:$J,4,FALSE),"")</f>
      </c>
      <c r="F466" s="125" t="str">
        <f>IFERROR(VLOOKUP($B466,'Hack Database'!$A:$J,5,FALSE),"")</f>
      </c>
      <c r="G466" s="113" t="str">
        <f>IFERROR(VLOOKUP($B466,'Hack Database'!$A:$J,6,FALSE),"")</f>
      </c>
      <c r="H466" s="137"/>
      <c r="I466" s="137"/>
      <c r="J466" s="131"/>
      <c r="K466" s="125" t="str">
        <f>IF($B466="","",IF($J466="Yes","100% Complete",IF($H466="","Planned",IF($I466="","In Progress","Finished"))))</f>
      </c>
      <c r="L466" s="143"/>
      <c r="M466" s="131"/>
      <c r="N466" s="155" t="str">
        <f>IFERROR(HYPERLINK(VLOOKUP($B466,'Hack Database'!$A:$J,9,FALSE),"Open Page"),"")</f>
      </c>
      <c r="O466" s="155" t="str">
        <f>IFERROR(HYPERLINK(VLOOKUP($B466,'Hack Database'!$A:$J,10,FALSE),"Download"),"")</f>
      </c>
      <c r="P466" s="149"/>
    </row>
    <row r="467" ht="23" customHeight="1">
      <c r="A467" s="92" t="str">
        <f>IF(C467="","",COUNTIF($C$2:C467,"&lt;&gt;"))</f>
      </c>
      <c r="B467" s="107"/>
      <c r="C467" s="113" t="str">
        <f>IFERROR(VLOOKUP($B467,'Hack Database'!$A:$J,2,FALSE),"")</f>
      </c>
      <c r="D467" s="113" t="str">
        <f>IFERROR(VLOOKUP($B467,'Hack Database'!$A:$J,3,FALSE),"")</f>
      </c>
      <c r="E467" s="125" t="str">
        <f>IFERROR(VLOOKUP($B467,'Hack Database'!$A:$J,4,FALSE),"")</f>
      </c>
      <c r="F467" s="125" t="str">
        <f>IFERROR(VLOOKUP($B467,'Hack Database'!$A:$J,5,FALSE),"")</f>
      </c>
      <c r="G467" s="113" t="str">
        <f>IFERROR(VLOOKUP($B467,'Hack Database'!$A:$J,6,FALSE),"")</f>
      </c>
      <c r="H467" s="137"/>
      <c r="I467" s="137"/>
      <c r="J467" s="131"/>
      <c r="K467" s="125" t="str">
        <f>IF($B467="","",IF($J467="Yes","100% Complete",IF($H467="","Planned",IF($I467="","In Progress","Finished"))))</f>
      </c>
      <c r="L467" s="143"/>
      <c r="M467" s="131"/>
      <c r="N467" s="155" t="str">
        <f>IFERROR(HYPERLINK(VLOOKUP($B467,'Hack Database'!$A:$J,9,FALSE),"Open Page"),"")</f>
      </c>
      <c r="O467" s="155" t="str">
        <f>IFERROR(HYPERLINK(VLOOKUP($B467,'Hack Database'!$A:$J,10,FALSE),"Download"),"")</f>
      </c>
      <c r="P467" s="149"/>
    </row>
    <row r="468" ht="23" customHeight="1">
      <c r="A468" s="92" t="str">
        <f>IF(C468="","",COUNTIF($C$2:C468,"&lt;&gt;"))</f>
      </c>
      <c r="B468" s="107"/>
      <c r="C468" s="113" t="str">
        <f>IFERROR(VLOOKUP($B468,'Hack Database'!$A:$J,2,FALSE),"")</f>
      </c>
      <c r="D468" s="113" t="str">
        <f>IFERROR(VLOOKUP($B468,'Hack Database'!$A:$J,3,FALSE),"")</f>
      </c>
      <c r="E468" s="125" t="str">
        <f>IFERROR(VLOOKUP($B468,'Hack Database'!$A:$J,4,FALSE),"")</f>
      </c>
      <c r="F468" s="125" t="str">
        <f>IFERROR(VLOOKUP($B468,'Hack Database'!$A:$J,5,FALSE),"")</f>
      </c>
      <c r="G468" s="113" t="str">
        <f>IFERROR(VLOOKUP($B468,'Hack Database'!$A:$J,6,FALSE),"")</f>
      </c>
      <c r="H468" s="137"/>
      <c r="I468" s="137"/>
      <c r="J468" s="131"/>
      <c r="K468" s="125" t="str">
        <f>IF($B468="","",IF($J468="Yes","100% Complete",IF($H468="","Planned",IF($I468="","In Progress","Finished"))))</f>
      </c>
      <c r="L468" s="143"/>
      <c r="M468" s="131"/>
      <c r="N468" s="155" t="str">
        <f>IFERROR(HYPERLINK(VLOOKUP($B468,'Hack Database'!$A:$J,9,FALSE),"Open Page"),"")</f>
      </c>
      <c r="O468" s="155" t="str">
        <f>IFERROR(HYPERLINK(VLOOKUP($B468,'Hack Database'!$A:$J,10,FALSE),"Download"),"")</f>
      </c>
      <c r="P468" s="149"/>
    </row>
    <row r="469" ht="23" customHeight="1">
      <c r="A469" s="92" t="str">
        <f>IF(C469="","",COUNTIF($C$2:C469,"&lt;&gt;"))</f>
      </c>
      <c r="B469" s="107"/>
      <c r="C469" s="113" t="str">
        <f>IFERROR(VLOOKUP($B469,'Hack Database'!$A:$J,2,FALSE),"")</f>
      </c>
      <c r="D469" s="113" t="str">
        <f>IFERROR(VLOOKUP($B469,'Hack Database'!$A:$J,3,FALSE),"")</f>
      </c>
      <c r="E469" s="125" t="str">
        <f>IFERROR(VLOOKUP($B469,'Hack Database'!$A:$J,4,FALSE),"")</f>
      </c>
      <c r="F469" s="125" t="str">
        <f>IFERROR(VLOOKUP($B469,'Hack Database'!$A:$J,5,FALSE),"")</f>
      </c>
      <c r="G469" s="113" t="str">
        <f>IFERROR(VLOOKUP($B469,'Hack Database'!$A:$J,6,FALSE),"")</f>
      </c>
      <c r="H469" s="137"/>
      <c r="I469" s="137"/>
      <c r="J469" s="131"/>
      <c r="K469" s="125" t="str">
        <f>IF($B469="","",IF($J469="Yes","100% Complete",IF($H469="","Planned",IF($I469="","In Progress","Finished"))))</f>
      </c>
      <c r="L469" s="143"/>
      <c r="M469" s="131"/>
      <c r="N469" s="155" t="str">
        <f>IFERROR(HYPERLINK(VLOOKUP($B469,'Hack Database'!$A:$J,9,FALSE),"Open Page"),"")</f>
      </c>
      <c r="O469" s="155" t="str">
        <f>IFERROR(HYPERLINK(VLOOKUP($B469,'Hack Database'!$A:$J,10,FALSE),"Download"),"")</f>
      </c>
      <c r="P469" s="149"/>
    </row>
    <row r="470" ht="23" customHeight="1">
      <c r="A470" s="92" t="str">
        <f>IF(C470="","",COUNTIF($C$2:C470,"&lt;&gt;"))</f>
      </c>
      <c r="B470" s="107"/>
      <c r="C470" s="113" t="str">
        <f>IFERROR(VLOOKUP($B470,'Hack Database'!$A:$J,2,FALSE),"")</f>
      </c>
      <c r="D470" s="113" t="str">
        <f>IFERROR(VLOOKUP($B470,'Hack Database'!$A:$J,3,FALSE),"")</f>
      </c>
      <c r="E470" s="125" t="str">
        <f>IFERROR(VLOOKUP($B470,'Hack Database'!$A:$J,4,FALSE),"")</f>
      </c>
      <c r="F470" s="125" t="str">
        <f>IFERROR(VLOOKUP($B470,'Hack Database'!$A:$J,5,FALSE),"")</f>
      </c>
      <c r="G470" s="113" t="str">
        <f>IFERROR(VLOOKUP($B470,'Hack Database'!$A:$J,6,FALSE),"")</f>
      </c>
      <c r="H470" s="137"/>
      <c r="I470" s="137"/>
      <c r="J470" s="131"/>
      <c r="K470" s="125" t="str">
        <f>IF($B470="","",IF($J470="Yes","100% Complete",IF($H470="","Planned",IF($I470="","In Progress","Finished"))))</f>
      </c>
      <c r="L470" s="143"/>
      <c r="M470" s="131"/>
      <c r="N470" s="155" t="str">
        <f>IFERROR(HYPERLINK(VLOOKUP($B470,'Hack Database'!$A:$J,9,FALSE),"Open Page"),"")</f>
      </c>
      <c r="O470" s="155" t="str">
        <f>IFERROR(HYPERLINK(VLOOKUP($B470,'Hack Database'!$A:$J,10,FALSE),"Download"),"")</f>
      </c>
      <c r="P470" s="149"/>
    </row>
    <row r="471" ht="23" customHeight="1">
      <c r="A471" s="92" t="str">
        <f>IF(C471="","",COUNTIF($C$2:C471,"&lt;&gt;"))</f>
      </c>
      <c r="B471" s="107"/>
      <c r="C471" s="113" t="str">
        <f>IFERROR(VLOOKUP($B471,'Hack Database'!$A:$J,2,FALSE),"")</f>
      </c>
      <c r="D471" s="113" t="str">
        <f>IFERROR(VLOOKUP($B471,'Hack Database'!$A:$J,3,FALSE),"")</f>
      </c>
      <c r="E471" s="125" t="str">
        <f>IFERROR(VLOOKUP($B471,'Hack Database'!$A:$J,4,FALSE),"")</f>
      </c>
      <c r="F471" s="125" t="str">
        <f>IFERROR(VLOOKUP($B471,'Hack Database'!$A:$J,5,FALSE),"")</f>
      </c>
      <c r="G471" s="113" t="str">
        <f>IFERROR(VLOOKUP($B471,'Hack Database'!$A:$J,6,FALSE),"")</f>
      </c>
      <c r="H471" s="137"/>
      <c r="I471" s="137"/>
      <c r="J471" s="131"/>
      <c r="K471" s="125" t="str">
        <f>IF($B471="","",IF($J471="Yes","100% Complete",IF($H471="","Planned",IF($I471="","In Progress","Finished"))))</f>
      </c>
      <c r="L471" s="143"/>
      <c r="M471" s="131"/>
      <c r="N471" s="155" t="str">
        <f>IFERROR(HYPERLINK(VLOOKUP($B471,'Hack Database'!$A:$J,9,FALSE),"Open Page"),"")</f>
      </c>
      <c r="O471" s="155" t="str">
        <f>IFERROR(HYPERLINK(VLOOKUP($B471,'Hack Database'!$A:$J,10,FALSE),"Download"),"")</f>
      </c>
      <c r="P471" s="149"/>
    </row>
    <row r="472" ht="23" customHeight="1">
      <c r="A472" s="92" t="str">
        <f>IF(C472="","",COUNTIF($C$2:C472,"&lt;&gt;"))</f>
      </c>
      <c r="B472" s="107"/>
      <c r="C472" s="113" t="str">
        <f>IFERROR(VLOOKUP($B472,'Hack Database'!$A:$J,2,FALSE),"")</f>
      </c>
      <c r="D472" s="113" t="str">
        <f>IFERROR(VLOOKUP($B472,'Hack Database'!$A:$J,3,FALSE),"")</f>
      </c>
      <c r="E472" s="125" t="str">
        <f>IFERROR(VLOOKUP($B472,'Hack Database'!$A:$J,4,FALSE),"")</f>
      </c>
      <c r="F472" s="125" t="str">
        <f>IFERROR(VLOOKUP($B472,'Hack Database'!$A:$J,5,FALSE),"")</f>
      </c>
      <c r="G472" s="113" t="str">
        <f>IFERROR(VLOOKUP($B472,'Hack Database'!$A:$J,6,FALSE),"")</f>
      </c>
      <c r="H472" s="137"/>
      <c r="I472" s="137"/>
      <c r="J472" s="131"/>
      <c r="K472" s="125" t="str">
        <f>IF($B472="","",IF($J472="Yes","100% Complete",IF($H472="","Planned",IF($I472="","In Progress","Finished"))))</f>
      </c>
      <c r="L472" s="143"/>
      <c r="M472" s="131"/>
      <c r="N472" s="155" t="str">
        <f>IFERROR(HYPERLINK(VLOOKUP($B472,'Hack Database'!$A:$J,9,FALSE),"Open Page"),"")</f>
      </c>
      <c r="O472" s="155" t="str">
        <f>IFERROR(HYPERLINK(VLOOKUP($B472,'Hack Database'!$A:$J,10,FALSE),"Download"),"")</f>
      </c>
      <c r="P472" s="149"/>
    </row>
    <row r="473" ht="23" customHeight="1">
      <c r="A473" s="92" t="str">
        <f>IF(C473="","",COUNTIF($C$2:C473,"&lt;&gt;"))</f>
      </c>
      <c r="B473" s="107"/>
      <c r="C473" s="113" t="str">
        <f>IFERROR(VLOOKUP($B473,'Hack Database'!$A:$J,2,FALSE),"")</f>
      </c>
      <c r="D473" s="113" t="str">
        <f>IFERROR(VLOOKUP($B473,'Hack Database'!$A:$J,3,FALSE),"")</f>
      </c>
      <c r="E473" s="125" t="str">
        <f>IFERROR(VLOOKUP($B473,'Hack Database'!$A:$J,4,FALSE),"")</f>
      </c>
      <c r="F473" s="125" t="str">
        <f>IFERROR(VLOOKUP($B473,'Hack Database'!$A:$J,5,FALSE),"")</f>
      </c>
      <c r="G473" s="113" t="str">
        <f>IFERROR(VLOOKUP($B473,'Hack Database'!$A:$J,6,FALSE),"")</f>
      </c>
      <c r="H473" s="137"/>
      <c r="I473" s="137"/>
      <c r="J473" s="131"/>
      <c r="K473" s="125" t="str">
        <f>IF($B473="","",IF($J473="Yes","100% Complete",IF($H473="","Planned",IF($I473="","In Progress","Finished"))))</f>
      </c>
      <c r="L473" s="143"/>
      <c r="M473" s="131"/>
      <c r="N473" s="155" t="str">
        <f>IFERROR(HYPERLINK(VLOOKUP($B473,'Hack Database'!$A:$J,9,FALSE),"Open Page"),"")</f>
      </c>
      <c r="O473" s="155" t="str">
        <f>IFERROR(HYPERLINK(VLOOKUP($B473,'Hack Database'!$A:$J,10,FALSE),"Download"),"")</f>
      </c>
      <c r="P473" s="149"/>
    </row>
    <row r="474" ht="23" customHeight="1">
      <c r="A474" s="92" t="str">
        <f>IF(C474="","",COUNTIF($C$2:C474,"&lt;&gt;"))</f>
      </c>
      <c r="B474" s="107"/>
      <c r="C474" s="113" t="str">
        <f>IFERROR(VLOOKUP($B474,'Hack Database'!$A:$J,2,FALSE),"")</f>
      </c>
      <c r="D474" s="113" t="str">
        <f>IFERROR(VLOOKUP($B474,'Hack Database'!$A:$J,3,FALSE),"")</f>
      </c>
      <c r="E474" s="125" t="str">
        <f>IFERROR(VLOOKUP($B474,'Hack Database'!$A:$J,4,FALSE),"")</f>
      </c>
      <c r="F474" s="125" t="str">
        <f>IFERROR(VLOOKUP($B474,'Hack Database'!$A:$J,5,FALSE),"")</f>
      </c>
      <c r="G474" s="113" t="str">
        <f>IFERROR(VLOOKUP($B474,'Hack Database'!$A:$J,6,FALSE),"")</f>
      </c>
      <c r="H474" s="137"/>
      <c r="I474" s="137"/>
      <c r="J474" s="131"/>
      <c r="K474" s="125" t="str">
        <f>IF($B474="","",IF($J474="Yes","100% Complete",IF($H474="","Planned",IF($I474="","In Progress","Finished"))))</f>
      </c>
      <c r="L474" s="143"/>
      <c r="M474" s="131"/>
      <c r="N474" s="155" t="str">
        <f>IFERROR(HYPERLINK(VLOOKUP($B474,'Hack Database'!$A:$J,9,FALSE),"Open Page"),"")</f>
      </c>
      <c r="O474" s="155" t="str">
        <f>IFERROR(HYPERLINK(VLOOKUP($B474,'Hack Database'!$A:$J,10,FALSE),"Download"),"")</f>
      </c>
      <c r="P474" s="149"/>
    </row>
    <row r="475" ht="23" customHeight="1">
      <c r="A475" s="92" t="str">
        <f>IF(C475="","",COUNTIF($C$2:C475,"&lt;&gt;"))</f>
      </c>
      <c r="B475" s="107"/>
      <c r="C475" s="113" t="str">
        <f>IFERROR(VLOOKUP($B475,'Hack Database'!$A:$J,2,FALSE),"")</f>
      </c>
      <c r="D475" s="113" t="str">
        <f>IFERROR(VLOOKUP($B475,'Hack Database'!$A:$J,3,FALSE),"")</f>
      </c>
      <c r="E475" s="125" t="str">
        <f>IFERROR(VLOOKUP($B475,'Hack Database'!$A:$J,4,FALSE),"")</f>
      </c>
      <c r="F475" s="125" t="str">
        <f>IFERROR(VLOOKUP($B475,'Hack Database'!$A:$J,5,FALSE),"")</f>
      </c>
      <c r="G475" s="113" t="str">
        <f>IFERROR(VLOOKUP($B475,'Hack Database'!$A:$J,6,FALSE),"")</f>
      </c>
      <c r="H475" s="137"/>
      <c r="I475" s="137"/>
      <c r="J475" s="131"/>
      <c r="K475" s="125" t="str">
        <f>IF($B475="","",IF($J475="Yes","100% Complete",IF($H475="","Planned",IF($I475="","In Progress","Finished"))))</f>
      </c>
      <c r="L475" s="143"/>
      <c r="M475" s="131"/>
      <c r="N475" s="155" t="str">
        <f>IFERROR(HYPERLINK(VLOOKUP($B475,'Hack Database'!$A:$J,9,FALSE),"Open Page"),"")</f>
      </c>
      <c r="O475" s="155" t="str">
        <f>IFERROR(HYPERLINK(VLOOKUP($B475,'Hack Database'!$A:$J,10,FALSE),"Download"),"")</f>
      </c>
      <c r="P475" s="149"/>
    </row>
    <row r="476" ht="23" customHeight="1">
      <c r="A476" s="92" t="str">
        <f>IF(C476="","",COUNTIF($C$2:C476,"&lt;&gt;"))</f>
      </c>
      <c r="B476" s="107"/>
      <c r="C476" s="113" t="str">
        <f>IFERROR(VLOOKUP($B476,'Hack Database'!$A:$J,2,FALSE),"")</f>
      </c>
      <c r="D476" s="113" t="str">
        <f>IFERROR(VLOOKUP($B476,'Hack Database'!$A:$J,3,FALSE),"")</f>
      </c>
      <c r="E476" s="125" t="str">
        <f>IFERROR(VLOOKUP($B476,'Hack Database'!$A:$J,4,FALSE),"")</f>
      </c>
      <c r="F476" s="125" t="str">
        <f>IFERROR(VLOOKUP($B476,'Hack Database'!$A:$J,5,FALSE),"")</f>
      </c>
      <c r="G476" s="113" t="str">
        <f>IFERROR(VLOOKUP($B476,'Hack Database'!$A:$J,6,FALSE),"")</f>
      </c>
      <c r="H476" s="137"/>
      <c r="I476" s="137"/>
      <c r="J476" s="131"/>
      <c r="K476" s="125" t="str">
        <f>IF($B476="","",IF($J476="Yes","100% Complete",IF($H476="","Planned",IF($I476="","In Progress","Finished"))))</f>
      </c>
      <c r="L476" s="143"/>
      <c r="M476" s="131"/>
      <c r="N476" s="155" t="str">
        <f>IFERROR(HYPERLINK(VLOOKUP($B476,'Hack Database'!$A:$J,9,FALSE),"Open Page"),"")</f>
      </c>
      <c r="O476" s="155" t="str">
        <f>IFERROR(HYPERLINK(VLOOKUP($B476,'Hack Database'!$A:$J,10,FALSE),"Download"),"")</f>
      </c>
      <c r="P476" s="149"/>
    </row>
    <row r="477" ht="23" customHeight="1">
      <c r="A477" s="92" t="str">
        <f>IF(C477="","",COUNTIF($C$2:C477,"&lt;&gt;"))</f>
      </c>
      <c r="B477" s="107"/>
      <c r="C477" s="113" t="str">
        <f>IFERROR(VLOOKUP($B477,'Hack Database'!$A:$J,2,FALSE),"")</f>
      </c>
      <c r="D477" s="113" t="str">
        <f>IFERROR(VLOOKUP($B477,'Hack Database'!$A:$J,3,FALSE),"")</f>
      </c>
      <c r="E477" s="125" t="str">
        <f>IFERROR(VLOOKUP($B477,'Hack Database'!$A:$J,4,FALSE),"")</f>
      </c>
      <c r="F477" s="125" t="str">
        <f>IFERROR(VLOOKUP($B477,'Hack Database'!$A:$J,5,FALSE),"")</f>
      </c>
      <c r="G477" s="113" t="str">
        <f>IFERROR(VLOOKUP($B477,'Hack Database'!$A:$J,6,FALSE),"")</f>
      </c>
      <c r="H477" s="137"/>
      <c r="I477" s="137"/>
      <c r="J477" s="131"/>
      <c r="K477" s="125" t="str">
        <f>IF($B477="","",IF($J477="Yes","100% Complete",IF($H477="","Planned",IF($I477="","In Progress","Finished"))))</f>
      </c>
      <c r="L477" s="143"/>
      <c r="M477" s="131"/>
      <c r="N477" s="155" t="str">
        <f>IFERROR(HYPERLINK(VLOOKUP($B477,'Hack Database'!$A:$J,9,FALSE),"Open Page"),"")</f>
      </c>
      <c r="O477" s="155" t="str">
        <f>IFERROR(HYPERLINK(VLOOKUP($B477,'Hack Database'!$A:$J,10,FALSE),"Download"),"")</f>
      </c>
      <c r="P477" s="149"/>
    </row>
    <row r="478" ht="23" customHeight="1">
      <c r="A478" s="92" t="str">
        <f>IF(C478="","",COUNTIF($C$2:C478,"&lt;&gt;"))</f>
      </c>
      <c r="B478" s="107"/>
      <c r="C478" s="113" t="str">
        <f>IFERROR(VLOOKUP($B478,'Hack Database'!$A:$J,2,FALSE),"")</f>
      </c>
      <c r="D478" s="113" t="str">
        <f>IFERROR(VLOOKUP($B478,'Hack Database'!$A:$J,3,FALSE),"")</f>
      </c>
      <c r="E478" s="125" t="str">
        <f>IFERROR(VLOOKUP($B478,'Hack Database'!$A:$J,4,FALSE),"")</f>
      </c>
      <c r="F478" s="125" t="str">
        <f>IFERROR(VLOOKUP($B478,'Hack Database'!$A:$J,5,FALSE),"")</f>
      </c>
      <c r="G478" s="113" t="str">
        <f>IFERROR(VLOOKUP($B478,'Hack Database'!$A:$J,6,FALSE),"")</f>
      </c>
      <c r="H478" s="137"/>
      <c r="I478" s="137"/>
      <c r="J478" s="131"/>
      <c r="K478" s="125" t="str">
        <f>IF($B478="","",IF($J478="Yes","100% Complete",IF($H478="","Planned",IF($I478="","In Progress","Finished"))))</f>
      </c>
      <c r="L478" s="143"/>
      <c r="M478" s="131"/>
      <c r="N478" s="155" t="str">
        <f>IFERROR(HYPERLINK(VLOOKUP($B478,'Hack Database'!$A:$J,9,FALSE),"Open Page"),"")</f>
      </c>
      <c r="O478" s="155" t="str">
        <f>IFERROR(HYPERLINK(VLOOKUP($B478,'Hack Database'!$A:$J,10,FALSE),"Download"),"")</f>
      </c>
      <c r="P478" s="149"/>
    </row>
    <row r="479" ht="23" customHeight="1">
      <c r="A479" s="92" t="str">
        <f>IF(C479="","",COUNTIF($C$2:C479,"&lt;&gt;"))</f>
      </c>
      <c r="B479" s="107"/>
      <c r="C479" s="113" t="str">
        <f>IFERROR(VLOOKUP($B479,'Hack Database'!$A:$J,2,FALSE),"")</f>
      </c>
      <c r="D479" s="113" t="str">
        <f>IFERROR(VLOOKUP($B479,'Hack Database'!$A:$J,3,FALSE),"")</f>
      </c>
      <c r="E479" s="125" t="str">
        <f>IFERROR(VLOOKUP($B479,'Hack Database'!$A:$J,4,FALSE),"")</f>
      </c>
      <c r="F479" s="125" t="str">
        <f>IFERROR(VLOOKUP($B479,'Hack Database'!$A:$J,5,FALSE),"")</f>
      </c>
      <c r="G479" s="113" t="str">
        <f>IFERROR(VLOOKUP($B479,'Hack Database'!$A:$J,6,FALSE),"")</f>
      </c>
      <c r="H479" s="137"/>
      <c r="I479" s="137"/>
      <c r="J479" s="131"/>
      <c r="K479" s="125" t="str">
        <f>IF($B479="","",IF($J479="Yes","100% Complete",IF($H479="","Planned",IF($I479="","In Progress","Finished"))))</f>
      </c>
      <c r="L479" s="143"/>
      <c r="M479" s="131"/>
      <c r="N479" s="155" t="str">
        <f>IFERROR(HYPERLINK(VLOOKUP($B479,'Hack Database'!$A:$J,9,FALSE),"Open Page"),"")</f>
      </c>
      <c r="O479" s="155" t="str">
        <f>IFERROR(HYPERLINK(VLOOKUP($B479,'Hack Database'!$A:$J,10,FALSE),"Download"),"")</f>
      </c>
      <c r="P479" s="149"/>
    </row>
    <row r="480" ht="23" customHeight="1">
      <c r="A480" s="92" t="str">
        <f>IF(C480="","",COUNTIF($C$2:C480,"&lt;&gt;"))</f>
      </c>
      <c r="B480" s="107"/>
      <c r="C480" s="113" t="str">
        <f>IFERROR(VLOOKUP($B480,'Hack Database'!$A:$J,2,FALSE),"")</f>
      </c>
      <c r="D480" s="113" t="str">
        <f>IFERROR(VLOOKUP($B480,'Hack Database'!$A:$J,3,FALSE),"")</f>
      </c>
      <c r="E480" s="125" t="str">
        <f>IFERROR(VLOOKUP($B480,'Hack Database'!$A:$J,4,FALSE),"")</f>
      </c>
      <c r="F480" s="125" t="str">
        <f>IFERROR(VLOOKUP($B480,'Hack Database'!$A:$J,5,FALSE),"")</f>
      </c>
      <c r="G480" s="113" t="str">
        <f>IFERROR(VLOOKUP($B480,'Hack Database'!$A:$J,6,FALSE),"")</f>
      </c>
      <c r="H480" s="137"/>
      <c r="I480" s="137"/>
      <c r="J480" s="131"/>
      <c r="K480" s="125" t="str">
        <f>IF($B480="","",IF($J480="Yes","100% Complete",IF($H480="","Planned",IF($I480="","In Progress","Finished"))))</f>
      </c>
      <c r="L480" s="143"/>
      <c r="M480" s="131"/>
      <c r="N480" s="155" t="str">
        <f>IFERROR(HYPERLINK(VLOOKUP($B480,'Hack Database'!$A:$J,9,FALSE),"Open Page"),"")</f>
      </c>
      <c r="O480" s="155" t="str">
        <f>IFERROR(HYPERLINK(VLOOKUP($B480,'Hack Database'!$A:$J,10,FALSE),"Download"),"")</f>
      </c>
      <c r="P480" s="149"/>
    </row>
    <row r="481" ht="23" customHeight="1">
      <c r="A481" s="92" t="str">
        <f>IF(C481="","",COUNTIF($C$2:C481,"&lt;&gt;"))</f>
      </c>
      <c r="B481" s="107"/>
      <c r="C481" s="113" t="str">
        <f>IFERROR(VLOOKUP($B481,'Hack Database'!$A:$J,2,FALSE),"")</f>
      </c>
      <c r="D481" s="113" t="str">
        <f>IFERROR(VLOOKUP($B481,'Hack Database'!$A:$J,3,FALSE),"")</f>
      </c>
      <c r="E481" s="125" t="str">
        <f>IFERROR(VLOOKUP($B481,'Hack Database'!$A:$J,4,FALSE),"")</f>
      </c>
      <c r="F481" s="125" t="str">
        <f>IFERROR(VLOOKUP($B481,'Hack Database'!$A:$J,5,FALSE),"")</f>
      </c>
      <c r="G481" s="113" t="str">
        <f>IFERROR(VLOOKUP($B481,'Hack Database'!$A:$J,6,FALSE),"")</f>
      </c>
      <c r="H481" s="137"/>
      <c r="I481" s="137"/>
      <c r="J481" s="131"/>
      <c r="K481" s="125" t="str">
        <f>IF($B481="","",IF($J481="Yes","100% Complete",IF($H481="","Planned",IF($I481="","In Progress","Finished"))))</f>
      </c>
      <c r="L481" s="143"/>
      <c r="M481" s="131"/>
      <c r="N481" s="155" t="str">
        <f>IFERROR(HYPERLINK(VLOOKUP($B481,'Hack Database'!$A:$J,9,FALSE),"Open Page"),"")</f>
      </c>
      <c r="O481" s="155" t="str">
        <f>IFERROR(HYPERLINK(VLOOKUP($B481,'Hack Database'!$A:$J,10,FALSE),"Download"),"")</f>
      </c>
      <c r="P481" s="149"/>
    </row>
    <row r="482" ht="23" customHeight="1">
      <c r="A482" s="92" t="str">
        <f>IF(C482="","",COUNTIF($C$2:C482,"&lt;&gt;"))</f>
      </c>
      <c r="B482" s="107"/>
      <c r="C482" s="113" t="str">
        <f>IFERROR(VLOOKUP($B482,'Hack Database'!$A:$J,2,FALSE),"")</f>
      </c>
      <c r="D482" s="113" t="str">
        <f>IFERROR(VLOOKUP($B482,'Hack Database'!$A:$J,3,FALSE),"")</f>
      </c>
      <c r="E482" s="125" t="str">
        <f>IFERROR(VLOOKUP($B482,'Hack Database'!$A:$J,4,FALSE),"")</f>
      </c>
      <c r="F482" s="125" t="str">
        <f>IFERROR(VLOOKUP($B482,'Hack Database'!$A:$J,5,FALSE),"")</f>
      </c>
      <c r="G482" s="113" t="str">
        <f>IFERROR(VLOOKUP($B482,'Hack Database'!$A:$J,6,FALSE),"")</f>
      </c>
      <c r="H482" s="137"/>
      <c r="I482" s="137"/>
      <c r="J482" s="131"/>
      <c r="K482" s="125" t="str">
        <f>IF($B482="","",IF($J482="Yes","100% Complete",IF($H482="","Planned",IF($I482="","In Progress","Finished"))))</f>
      </c>
      <c r="L482" s="143"/>
      <c r="M482" s="131"/>
      <c r="N482" s="155" t="str">
        <f>IFERROR(HYPERLINK(VLOOKUP($B482,'Hack Database'!$A:$J,9,FALSE),"Open Page"),"")</f>
      </c>
      <c r="O482" s="155" t="str">
        <f>IFERROR(HYPERLINK(VLOOKUP($B482,'Hack Database'!$A:$J,10,FALSE),"Download"),"")</f>
      </c>
      <c r="P482" s="149"/>
    </row>
    <row r="483" ht="23" customHeight="1">
      <c r="A483" s="92" t="str">
        <f>IF(C483="","",COUNTIF($C$2:C483,"&lt;&gt;"))</f>
      </c>
      <c r="B483" s="107"/>
      <c r="C483" s="113" t="str">
        <f>IFERROR(VLOOKUP($B483,'Hack Database'!$A:$J,2,FALSE),"")</f>
      </c>
      <c r="D483" s="113" t="str">
        <f>IFERROR(VLOOKUP($B483,'Hack Database'!$A:$J,3,FALSE),"")</f>
      </c>
      <c r="E483" s="125" t="str">
        <f>IFERROR(VLOOKUP($B483,'Hack Database'!$A:$J,4,FALSE),"")</f>
      </c>
      <c r="F483" s="125" t="str">
        <f>IFERROR(VLOOKUP($B483,'Hack Database'!$A:$J,5,FALSE),"")</f>
      </c>
      <c r="G483" s="113" t="str">
        <f>IFERROR(VLOOKUP($B483,'Hack Database'!$A:$J,6,FALSE),"")</f>
      </c>
      <c r="H483" s="137"/>
      <c r="I483" s="137"/>
      <c r="J483" s="131"/>
      <c r="K483" s="125" t="str">
        <f>IF($B483="","",IF($J483="Yes","100% Complete",IF($H483="","Planned",IF($I483="","In Progress","Finished"))))</f>
      </c>
      <c r="L483" s="143"/>
      <c r="M483" s="131"/>
      <c r="N483" s="155" t="str">
        <f>IFERROR(HYPERLINK(VLOOKUP($B483,'Hack Database'!$A:$J,9,FALSE),"Open Page"),"")</f>
      </c>
      <c r="O483" s="155" t="str">
        <f>IFERROR(HYPERLINK(VLOOKUP($B483,'Hack Database'!$A:$J,10,FALSE),"Download"),"")</f>
      </c>
      <c r="P483" s="149"/>
    </row>
    <row r="484" ht="23" customHeight="1">
      <c r="A484" s="92" t="str">
        <f>IF(C484="","",COUNTIF($C$2:C484,"&lt;&gt;"))</f>
      </c>
      <c r="B484" s="107"/>
      <c r="C484" s="113" t="str">
        <f>IFERROR(VLOOKUP($B484,'Hack Database'!$A:$J,2,FALSE),"")</f>
      </c>
      <c r="D484" s="113" t="str">
        <f>IFERROR(VLOOKUP($B484,'Hack Database'!$A:$J,3,FALSE),"")</f>
      </c>
      <c r="E484" s="125" t="str">
        <f>IFERROR(VLOOKUP($B484,'Hack Database'!$A:$J,4,FALSE),"")</f>
      </c>
      <c r="F484" s="125" t="str">
        <f>IFERROR(VLOOKUP($B484,'Hack Database'!$A:$J,5,FALSE),"")</f>
      </c>
      <c r="G484" s="113" t="str">
        <f>IFERROR(VLOOKUP($B484,'Hack Database'!$A:$J,6,FALSE),"")</f>
      </c>
      <c r="H484" s="137"/>
      <c r="I484" s="137"/>
      <c r="J484" s="131"/>
      <c r="K484" s="125" t="str">
        <f>IF($B484="","",IF($J484="Yes","100% Complete",IF($H484="","Planned",IF($I484="","In Progress","Finished"))))</f>
      </c>
      <c r="L484" s="143"/>
      <c r="M484" s="131"/>
      <c r="N484" s="155" t="str">
        <f>IFERROR(HYPERLINK(VLOOKUP($B484,'Hack Database'!$A:$J,9,FALSE),"Open Page"),"")</f>
      </c>
      <c r="O484" s="155" t="str">
        <f>IFERROR(HYPERLINK(VLOOKUP($B484,'Hack Database'!$A:$J,10,FALSE),"Download"),"")</f>
      </c>
      <c r="P484" s="149"/>
    </row>
    <row r="485" ht="23" customHeight="1">
      <c r="A485" s="92" t="str">
        <f>IF(C485="","",COUNTIF($C$2:C485,"&lt;&gt;"))</f>
      </c>
      <c r="B485" s="107"/>
      <c r="C485" s="113" t="str">
        <f>IFERROR(VLOOKUP($B485,'Hack Database'!$A:$J,2,FALSE),"")</f>
      </c>
      <c r="D485" s="113" t="str">
        <f>IFERROR(VLOOKUP($B485,'Hack Database'!$A:$J,3,FALSE),"")</f>
      </c>
      <c r="E485" s="125" t="str">
        <f>IFERROR(VLOOKUP($B485,'Hack Database'!$A:$J,4,FALSE),"")</f>
      </c>
      <c r="F485" s="125" t="str">
        <f>IFERROR(VLOOKUP($B485,'Hack Database'!$A:$J,5,FALSE),"")</f>
      </c>
      <c r="G485" s="113" t="str">
        <f>IFERROR(VLOOKUP($B485,'Hack Database'!$A:$J,6,FALSE),"")</f>
      </c>
      <c r="H485" s="137"/>
      <c r="I485" s="137"/>
      <c r="J485" s="131"/>
      <c r="K485" s="125" t="str">
        <f>IF($B485="","",IF($J485="Yes","100% Complete",IF($H485="","Planned",IF($I485="","In Progress","Finished"))))</f>
      </c>
      <c r="L485" s="143"/>
      <c r="M485" s="131"/>
      <c r="N485" s="155" t="str">
        <f>IFERROR(HYPERLINK(VLOOKUP($B485,'Hack Database'!$A:$J,9,FALSE),"Open Page"),"")</f>
      </c>
      <c r="O485" s="155" t="str">
        <f>IFERROR(HYPERLINK(VLOOKUP($B485,'Hack Database'!$A:$J,10,FALSE),"Download"),"")</f>
      </c>
      <c r="P485" s="149"/>
    </row>
    <row r="486" ht="23" customHeight="1">
      <c r="A486" s="92" t="str">
        <f>IF(C486="","",COUNTIF($C$2:C486,"&lt;&gt;"))</f>
      </c>
      <c r="B486" s="107"/>
      <c r="C486" s="113" t="str">
        <f>IFERROR(VLOOKUP($B486,'Hack Database'!$A:$J,2,FALSE),"")</f>
      </c>
      <c r="D486" s="113" t="str">
        <f>IFERROR(VLOOKUP($B486,'Hack Database'!$A:$J,3,FALSE),"")</f>
      </c>
      <c r="E486" s="125" t="str">
        <f>IFERROR(VLOOKUP($B486,'Hack Database'!$A:$J,4,FALSE),"")</f>
      </c>
      <c r="F486" s="125" t="str">
        <f>IFERROR(VLOOKUP($B486,'Hack Database'!$A:$J,5,FALSE),"")</f>
      </c>
      <c r="G486" s="113" t="str">
        <f>IFERROR(VLOOKUP($B486,'Hack Database'!$A:$J,6,FALSE),"")</f>
      </c>
      <c r="H486" s="137"/>
      <c r="I486" s="137"/>
      <c r="J486" s="131"/>
      <c r="K486" s="125" t="str">
        <f>IF($B486="","",IF($J486="Yes","100% Complete",IF($H486="","Planned",IF($I486="","In Progress","Finished"))))</f>
      </c>
      <c r="L486" s="143"/>
      <c r="M486" s="131"/>
      <c r="N486" s="155" t="str">
        <f>IFERROR(HYPERLINK(VLOOKUP($B486,'Hack Database'!$A:$J,9,FALSE),"Open Page"),"")</f>
      </c>
      <c r="O486" s="155" t="str">
        <f>IFERROR(HYPERLINK(VLOOKUP($B486,'Hack Database'!$A:$J,10,FALSE),"Download"),"")</f>
      </c>
      <c r="P486" s="149"/>
    </row>
    <row r="487" ht="23" customHeight="1">
      <c r="A487" s="92" t="str">
        <f>IF(C487="","",COUNTIF($C$2:C487,"&lt;&gt;"))</f>
      </c>
      <c r="B487" s="107"/>
      <c r="C487" s="113" t="str">
        <f>IFERROR(VLOOKUP($B487,'Hack Database'!$A:$J,2,FALSE),"")</f>
      </c>
      <c r="D487" s="113" t="str">
        <f>IFERROR(VLOOKUP($B487,'Hack Database'!$A:$J,3,FALSE),"")</f>
      </c>
      <c r="E487" s="125" t="str">
        <f>IFERROR(VLOOKUP($B487,'Hack Database'!$A:$J,4,FALSE),"")</f>
      </c>
      <c r="F487" s="125" t="str">
        <f>IFERROR(VLOOKUP($B487,'Hack Database'!$A:$J,5,FALSE),"")</f>
      </c>
      <c r="G487" s="113" t="str">
        <f>IFERROR(VLOOKUP($B487,'Hack Database'!$A:$J,6,FALSE),"")</f>
      </c>
      <c r="H487" s="137"/>
      <c r="I487" s="137"/>
      <c r="J487" s="131"/>
      <c r="K487" s="125" t="str">
        <f>IF($B487="","",IF($J487="Yes","100% Complete",IF($H487="","Planned",IF($I487="","In Progress","Finished"))))</f>
      </c>
      <c r="L487" s="143"/>
      <c r="M487" s="131"/>
      <c r="N487" s="155" t="str">
        <f>IFERROR(HYPERLINK(VLOOKUP($B487,'Hack Database'!$A:$J,9,FALSE),"Open Page"),"")</f>
      </c>
      <c r="O487" s="155" t="str">
        <f>IFERROR(HYPERLINK(VLOOKUP($B487,'Hack Database'!$A:$J,10,FALSE),"Download"),"")</f>
      </c>
      <c r="P487" s="149"/>
    </row>
    <row r="488" ht="23" customHeight="1">
      <c r="A488" s="92" t="str">
        <f>IF(C488="","",COUNTIF($C$2:C488,"&lt;&gt;"))</f>
      </c>
      <c r="B488" s="107"/>
      <c r="C488" s="113" t="str">
        <f>IFERROR(VLOOKUP($B488,'Hack Database'!$A:$J,2,FALSE),"")</f>
      </c>
      <c r="D488" s="113" t="str">
        <f>IFERROR(VLOOKUP($B488,'Hack Database'!$A:$J,3,FALSE),"")</f>
      </c>
      <c r="E488" s="125" t="str">
        <f>IFERROR(VLOOKUP($B488,'Hack Database'!$A:$J,4,FALSE),"")</f>
      </c>
      <c r="F488" s="125" t="str">
        <f>IFERROR(VLOOKUP($B488,'Hack Database'!$A:$J,5,FALSE),"")</f>
      </c>
      <c r="G488" s="113" t="str">
        <f>IFERROR(VLOOKUP($B488,'Hack Database'!$A:$J,6,FALSE),"")</f>
      </c>
      <c r="H488" s="137"/>
      <c r="I488" s="137"/>
      <c r="J488" s="131"/>
      <c r="K488" s="125" t="str">
        <f>IF($B488="","",IF($J488="Yes","100% Complete",IF($H488="","Planned",IF($I488="","In Progress","Finished"))))</f>
      </c>
      <c r="L488" s="143"/>
      <c r="M488" s="131"/>
      <c r="N488" s="155" t="str">
        <f>IFERROR(HYPERLINK(VLOOKUP($B488,'Hack Database'!$A:$J,9,FALSE),"Open Page"),"")</f>
      </c>
      <c r="O488" s="155" t="str">
        <f>IFERROR(HYPERLINK(VLOOKUP($B488,'Hack Database'!$A:$J,10,FALSE),"Download"),"")</f>
      </c>
      <c r="P488" s="149"/>
    </row>
    <row r="489" ht="23" customHeight="1">
      <c r="A489" s="92" t="str">
        <f>IF(C489="","",COUNTIF($C$2:C489,"&lt;&gt;"))</f>
      </c>
      <c r="B489" s="107"/>
      <c r="C489" s="113" t="str">
        <f>IFERROR(VLOOKUP($B489,'Hack Database'!$A:$J,2,FALSE),"")</f>
      </c>
      <c r="D489" s="113" t="str">
        <f>IFERROR(VLOOKUP($B489,'Hack Database'!$A:$J,3,FALSE),"")</f>
      </c>
      <c r="E489" s="125" t="str">
        <f>IFERROR(VLOOKUP($B489,'Hack Database'!$A:$J,4,FALSE),"")</f>
      </c>
      <c r="F489" s="125" t="str">
        <f>IFERROR(VLOOKUP($B489,'Hack Database'!$A:$J,5,FALSE),"")</f>
      </c>
      <c r="G489" s="113" t="str">
        <f>IFERROR(VLOOKUP($B489,'Hack Database'!$A:$J,6,FALSE),"")</f>
      </c>
      <c r="H489" s="137"/>
      <c r="I489" s="137"/>
      <c r="J489" s="131"/>
      <c r="K489" s="125" t="str">
        <f>IF($B489="","",IF($J489="Yes","100% Complete",IF($H489="","Planned",IF($I489="","In Progress","Finished"))))</f>
      </c>
      <c r="L489" s="143"/>
      <c r="M489" s="131"/>
      <c r="N489" s="155" t="str">
        <f>IFERROR(HYPERLINK(VLOOKUP($B489,'Hack Database'!$A:$J,9,FALSE),"Open Page"),"")</f>
      </c>
      <c r="O489" s="155" t="str">
        <f>IFERROR(HYPERLINK(VLOOKUP($B489,'Hack Database'!$A:$J,10,FALSE),"Download"),"")</f>
      </c>
      <c r="P489" s="149"/>
    </row>
    <row r="490" ht="23" customHeight="1">
      <c r="A490" s="92" t="str">
        <f>IF(C490="","",COUNTIF($C$2:C490,"&lt;&gt;"))</f>
      </c>
      <c r="B490" s="107"/>
      <c r="C490" s="113" t="str">
        <f>IFERROR(VLOOKUP($B490,'Hack Database'!$A:$J,2,FALSE),"")</f>
      </c>
      <c r="D490" s="113" t="str">
        <f>IFERROR(VLOOKUP($B490,'Hack Database'!$A:$J,3,FALSE),"")</f>
      </c>
      <c r="E490" s="125" t="str">
        <f>IFERROR(VLOOKUP($B490,'Hack Database'!$A:$J,4,FALSE),"")</f>
      </c>
      <c r="F490" s="125" t="str">
        <f>IFERROR(VLOOKUP($B490,'Hack Database'!$A:$J,5,FALSE),"")</f>
      </c>
      <c r="G490" s="113" t="str">
        <f>IFERROR(VLOOKUP($B490,'Hack Database'!$A:$J,6,FALSE),"")</f>
      </c>
      <c r="H490" s="137"/>
      <c r="I490" s="137"/>
      <c r="J490" s="131"/>
      <c r="K490" s="125" t="str">
        <f>IF($B490="","",IF($J490="Yes","100% Complete",IF($H490="","Planned",IF($I490="","In Progress","Finished"))))</f>
      </c>
      <c r="L490" s="143"/>
      <c r="M490" s="131"/>
      <c r="N490" s="155" t="str">
        <f>IFERROR(HYPERLINK(VLOOKUP($B490,'Hack Database'!$A:$J,9,FALSE),"Open Page"),"")</f>
      </c>
      <c r="O490" s="155" t="str">
        <f>IFERROR(HYPERLINK(VLOOKUP($B490,'Hack Database'!$A:$J,10,FALSE),"Download"),"")</f>
      </c>
      <c r="P490" s="149"/>
    </row>
    <row r="491" ht="23" customHeight="1">
      <c r="A491" s="92" t="str">
        <f>IF(C491="","",COUNTIF($C$2:C491,"&lt;&gt;"))</f>
      </c>
      <c r="B491" s="107"/>
      <c r="C491" s="113" t="str">
        <f>IFERROR(VLOOKUP($B491,'Hack Database'!$A:$J,2,FALSE),"")</f>
      </c>
      <c r="D491" s="113" t="str">
        <f>IFERROR(VLOOKUP($B491,'Hack Database'!$A:$J,3,FALSE),"")</f>
      </c>
      <c r="E491" s="125" t="str">
        <f>IFERROR(VLOOKUP($B491,'Hack Database'!$A:$J,4,FALSE),"")</f>
      </c>
      <c r="F491" s="125" t="str">
        <f>IFERROR(VLOOKUP($B491,'Hack Database'!$A:$J,5,FALSE),"")</f>
      </c>
      <c r="G491" s="113" t="str">
        <f>IFERROR(VLOOKUP($B491,'Hack Database'!$A:$J,6,FALSE),"")</f>
      </c>
      <c r="H491" s="137"/>
      <c r="I491" s="137"/>
      <c r="J491" s="131"/>
      <c r="K491" s="125" t="str">
        <f>IF($B491="","",IF($J491="Yes","100% Complete",IF($H491="","Planned",IF($I491="","In Progress","Finished"))))</f>
      </c>
      <c r="L491" s="143"/>
      <c r="M491" s="131"/>
      <c r="N491" s="155" t="str">
        <f>IFERROR(HYPERLINK(VLOOKUP($B491,'Hack Database'!$A:$J,9,FALSE),"Open Page"),"")</f>
      </c>
      <c r="O491" s="155" t="str">
        <f>IFERROR(HYPERLINK(VLOOKUP($B491,'Hack Database'!$A:$J,10,FALSE),"Download"),"")</f>
      </c>
      <c r="P491" s="149"/>
    </row>
    <row r="492" ht="23" customHeight="1">
      <c r="A492" s="92" t="str">
        <f>IF(C492="","",COUNTIF($C$2:C492,"&lt;&gt;"))</f>
      </c>
      <c r="B492" s="107"/>
      <c r="C492" s="113" t="str">
        <f>IFERROR(VLOOKUP($B492,'Hack Database'!$A:$J,2,FALSE),"")</f>
      </c>
      <c r="D492" s="113" t="str">
        <f>IFERROR(VLOOKUP($B492,'Hack Database'!$A:$J,3,FALSE),"")</f>
      </c>
      <c r="E492" s="125" t="str">
        <f>IFERROR(VLOOKUP($B492,'Hack Database'!$A:$J,4,FALSE),"")</f>
      </c>
      <c r="F492" s="125" t="str">
        <f>IFERROR(VLOOKUP($B492,'Hack Database'!$A:$J,5,FALSE),"")</f>
      </c>
      <c r="G492" s="113" t="str">
        <f>IFERROR(VLOOKUP($B492,'Hack Database'!$A:$J,6,FALSE),"")</f>
      </c>
      <c r="H492" s="137"/>
      <c r="I492" s="137"/>
      <c r="J492" s="131"/>
      <c r="K492" s="125" t="str">
        <f>IF($B492="","",IF($J492="Yes","100% Complete",IF($H492="","Planned",IF($I492="","In Progress","Finished"))))</f>
      </c>
      <c r="L492" s="143"/>
      <c r="M492" s="131"/>
      <c r="N492" s="155" t="str">
        <f>IFERROR(HYPERLINK(VLOOKUP($B492,'Hack Database'!$A:$J,9,FALSE),"Open Page"),"")</f>
      </c>
      <c r="O492" s="155" t="str">
        <f>IFERROR(HYPERLINK(VLOOKUP($B492,'Hack Database'!$A:$J,10,FALSE),"Download"),"")</f>
      </c>
      <c r="P492" s="149"/>
    </row>
    <row r="493" ht="23" customHeight="1">
      <c r="A493" s="92" t="str">
        <f>IF(C493="","",COUNTIF($C$2:C493,"&lt;&gt;"))</f>
      </c>
      <c r="B493" s="107"/>
      <c r="C493" s="113" t="str">
        <f>IFERROR(VLOOKUP($B493,'Hack Database'!$A:$J,2,FALSE),"")</f>
      </c>
      <c r="D493" s="113" t="str">
        <f>IFERROR(VLOOKUP($B493,'Hack Database'!$A:$J,3,FALSE),"")</f>
      </c>
      <c r="E493" s="125" t="str">
        <f>IFERROR(VLOOKUP($B493,'Hack Database'!$A:$J,4,FALSE),"")</f>
      </c>
      <c r="F493" s="125" t="str">
        <f>IFERROR(VLOOKUP($B493,'Hack Database'!$A:$J,5,FALSE),"")</f>
      </c>
      <c r="G493" s="113" t="str">
        <f>IFERROR(VLOOKUP($B493,'Hack Database'!$A:$J,6,FALSE),"")</f>
      </c>
      <c r="H493" s="137"/>
      <c r="I493" s="137"/>
      <c r="J493" s="131"/>
      <c r="K493" s="125" t="str">
        <f>IF($B493="","",IF($J493="Yes","100% Complete",IF($H493="","Planned",IF($I493="","In Progress","Finished"))))</f>
      </c>
      <c r="L493" s="143"/>
      <c r="M493" s="131"/>
      <c r="N493" s="155" t="str">
        <f>IFERROR(HYPERLINK(VLOOKUP($B493,'Hack Database'!$A:$J,9,FALSE),"Open Page"),"")</f>
      </c>
      <c r="O493" s="155" t="str">
        <f>IFERROR(HYPERLINK(VLOOKUP($B493,'Hack Database'!$A:$J,10,FALSE),"Download"),"")</f>
      </c>
      <c r="P493" s="149"/>
    </row>
    <row r="494" ht="23" customHeight="1">
      <c r="A494" s="92" t="str">
        <f>IF(C494="","",COUNTIF($C$2:C494,"&lt;&gt;"))</f>
      </c>
      <c r="B494" s="107"/>
      <c r="C494" s="113" t="str">
        <f>IFERROR(VLOOKUP($B494,'Hack Database'!$A:$J,2,FALSE),"")</f>
      </c>
      <c r="D494" s="113" t="str">
        <f>IFERROR(VLOOKUP($B494,'Hack Database'!$A:$J,3,FALSE),"")</f>
      </c>
      <c r="E494" s="125" t="str">
        <f>IFERROR(VLOOKUP($B494,'Hack Database'!$A:$J,4,FALSE),"")</f>
      </c>
      <c r="F494" s="125" t="str">
        <f>IFERROR(VLOOKUP($B494,'Hack Database'!$A:$J,5,FALSE),"")</f>
      </c>
      <c r="G494" s="113" t="str">
        <f>IFERROR(VLOOKUP($B494,'Hack Database'!$A:$J,6,FALSE),"")</f>
      </c>
      <c r="H494" s="137"/>
      <c r="I494" s="137"/>
      <c r="J494" s="131"/>
      <c r="K494" s="125" t="str">
        <f>IF($B494="","",IF($J494="Yes","100% Complete",IF($H494="","Planned",IF($I494="","In Progress","Finished"))))</f>
      </c>
      <c r="L494" s="143"/>
      <c r="M494" s="131"/>
      <c r="N494" s="155" t="str">
        <f>IFERROR(HYPERLINK(VLOOKUP($B494,'Hack Database'!$A:$J,9,FALSE),"Open Page"),"")</f>
      </c>
      <c r="O494" s="155" t="str">
        <f>IFERROR(HYPERLINK(VLOOKUP($B494,'Hack Database'!$A:$J,10,FALSE),"Download"),"")</f>
      </c>
      <c r="P494" s="149"/>
    </row>
    <row r="495" ht="23" customHeight="1">
      <c r="A495" s="92" t="str">
        <f>IF(C495="","",COUNTIF($C$2:C495,"&lt;&gt;"))</f>
      </c>
      <c r="B495" s="107"/>
      <c r="C495" s="113" t="str">
        <f>IFERROR(VLOOKUP($B495,'Hack Database'!$A:$J,2,FALSE),"")</f>
      </c>
      <c r="D495" s="113" t="str">
        <f>IFERROR(VLOOKUP($B495,'Hack Database'!$A:$J,3,FALSE),"")</f>
      </c>
      <c r="E495" s="125" t="str">
        <f>IFERROR(VLOOKUP($B495,'Hack Database'!$A:$J,4,FALSE),"")</f>
      </c>
      <c r="F495" s="125" t="str">
        <f>IFERROR(VLOOKUP($B495,'Hack Database'!$A:$J,5,FALSE),"")</f>
      </c>
      <c r="G495" s="113" t="str">
        <f>IFERROR(VLOOKUP($B495,'Hack Database'!$A:$J,6,FALSE),"")</f>
      </c>
      <c r="H495" s="137"/>
      <c r="I495" s="137"/>
      <c r="J495" s="131"/>
      <c r="K495" s="125" t="str">
        <f>IF($B495="","",IF($J495="Yes","100% Complete",IF($H495="","Planned",IF($I495="","In Progress","Finished"))))</f>
      </c>
      <c r="L495" s="143"/>
      <c r="M495" s="131"/>
      <c r="N495" s="155" t="str">
        <f>IFERROR(HYPERLINK(VLOOKUP($B495,'Hack Database'!$A:$J,9,FALSE),"Open Page"),"")</f>
      </c>
      <c r="O495" s="155" t="str">
        <f>IFERROR(HYPERLINK(VLOOKUP($B495,'Hack Database'!$A:$J,10,FALSE),"Download"),"")</f>
      </c>
      <c r="P495" s="149"/>
    </row>
    <row r="496" ht="23" customHeight="1">
      <c r="A496" s="92" t="str">
        <f>IF(C496="","",COUNTIF($C$2:C496,"&lt;&gt;"))</f>
      </c>
      <c r="B496" s="107"/>
      <c r="C496" s="113" t="str">
        <f>IFERROR(VLOOKUP($B496,'Hack Database'!$A:$J,2,FALSE),"")</f>
      </c>
      <c r="D496" s="113" t="str">
        <f>IFERROR(VLOOKUP($B496,'Hack Database'!$A:$J,3,FALSE),"")</f>
      </c>
      <c r="E496" s="125" t="str">
        <f>IFERROR(VLOOKUP($B496,'Hack Database'!$A:$J,4,FALSE),"")</f>
      </c>
      <c r="F496" s="125" t="str">
        <f>IFERROR(VLOOKUP($B496,'Hack Database'!$A:$J,5,FALSE),"")</f>
      </c>
      <c r="G496" s="113" t="str">
        <f>IFERROR(VLOOKUP($B496,'Hack Database'!$A:$J,6,FALSE),"")</f>
      </c>
      <c r="H496" s="137"/>
      <c r="I496" s="137"/>
      <c r="J496" s="131"/>
      <c r="K496" s="125" t="str">
        <f>IF($B496="","",IF($J496="Yes","100% Complete",IF($H496="","Planned",IF($I496="","In Progress","Finished"))))</f>
      </c>
      <c r="L496" s="143"/>
      <c r="M496" s="131"/>
      <c r="N496" s="155" t="str">
        <f>IFERROR(HYPERLINK(VLOOKUP($B496,'Hack Database'!$A:$J,9,FALSE),"Open Page"),"")</f>
      </c>
      <c r="O496" s="155" t="str">
        <f>IFERROR(HYPERLINK(VLOOKUP($B496,'Hack Database'!$A:$J,10,FALSE),"Download"),"")</f>
      </c>
      <c r="P496" s="149"/>
    </row>
    <row r="497" ht="23" customHeight="1">
      <c r="A497" s="92" t="str">
        <f>IF(C497="","",COUNTIF($C$2:C497,"&lt;&gt;"))</f>
      </c>
      <c r="B497" s="107"/>
      <c r="C497" s="113" t="str">
        <f>IFERROR(VLOOKUP($B497,'Hack Database'!$A:$J,2,FALSE),"")</f>
      </c>
      <c r="D497" s="113" t="str">
        <f>IFERROR(VLOOKUP($B497,'Hack Database'!$A:$J,3,FALSE),"")</f>
      </c>
      <c r="E497" s="125" t="str">
        <f>IFERROR(VLOOKUP($B497,'Hack Database'!$A:$J,4,FALSE),"")</f>
      </c>
      <c r="F497" s="125" t="str">
        <f>IFERROR(VLOOKUP($B497,'Hack Database'!$A:$J,5,FALSE),"")</f>
      </c>
      <c r="G497" s="113" t="str">
        <f>IFERROR(VLOOKUP($B497,'Hack Database'!$A:$J,6,FALSE),"")</f>
      </c>
      <c r="H497" s="137"/>
      <c r="I497" s="137"/>
      <c r="J497" s="131"/>
      <c r="K497" s="125" t="str">
        <f>IF($B497="","",IF($J497="Yes","100% Complete",IF($H497="","Planned",IF($I497="","In Progress","Finished"))))</f>
      </c>
      <c r="L497" s="143"/>
      <c r="M497" s="131"/>
      <c r="N497" s="155" t="str">
        <f>IFERROR(HYPERLINK(VLOOKUP($B497,'Hack Database'!$A:$J,9,FALSE),"Open Page"),"")</f>
      </c>
      <c r="O497" s="155" t="str">
        <f>IFERROR(HYPERLINK(VLOOKUP($B497,'Hack Database'!$A:$J,10,FALSE),"Download"),"")</f>
      </c>
      <c r="P497" s="149"/>
    </row>
    <row r="498" ht="23" customHeight="1">
      <c r="A498" s="92" t="str">
        <f>IF(C498="","",COUNTIF($C$2:C498,"&lt;&gt;"))</f>
      </c>
      <c r="B498" s="107"/>
      <c r="C498" s="113" t="str">
        <f>IFERROR(VLOOKUP($B498,'Hack Database'!$A:$J,2,FALSE),"")</f>
      </c>
      <c r="D498" s="113" t="str">
        <f>IFERROR(VLOOKUP($B498,'Hack Database'!$A:$J,3,FALSE),"")</f>
      </c>
      <c r="E498" s="125" t="str">
        <f>IFERROR(VLOOKUP($B498,'Hack Database'!$A:$J,4,FALSE),"")</f>
      </c>
      <c r="F498" s="125" t="str">
        <f>IFERROR(VLOOKUP($B498,'Hack Database'!$A:$J,5,FALSE),"")</f>
      </c>
      <c r="G498" s="113" t="str">
        <f>IFERROR(VLOOKUP($B498,'Hack Database'!$A:$J,6,FALSE),"")</f>
      </c>
      <c r="H498" s="137"/>
      <c r="I498" s="137"/>
      <c r="J498" s="131"/>
      <c r="K498" s="125" t="str">
        <f>IF($B498="","",IF($J498="Yes","100% Complete",IF($H498="","Planned",IF($I498="","In Progress","Finished"))))</f>
      </c>
      <c r="L498" s="143"/>
      <c r="M498" s="131"/>
      <c r="N498" s="155" t="str">
        <f>IFERROR(HYPERLINK(VLOOKUP($B498,'Hack Database'!$A:$J,9,FALSE),"Open Page"),"")</f>
      </c>
      <c r="O498" s="155" t="str">
        <f>IFERROR(HYPERLINK(VLOOKUP($B498,'Hack Database'!$A:$J,10,FALSE),"Download"),"")</f>
      </c>
      <c r="P498" s="149"/>
    </row>
    <row r="499" ht="23" customHeight="1">
      <c r="A499" s="92" t="str">
        <f>IF(C499="","",COUNTIF($C$2:C499,"&lt;&gt;"))</f>
      </c>
      <c r="B499" s="107"/>
      <c r="C499" s="113" t="str">
        <f>IFERROR(VLOOKUP($B499,'Hack Database'!$A:$J,2,FALSE),"")</f>
      </c>
      <c r="D499" s="113" t="str">
        <f>IFERROR(VLOOKUP($B499,'Hack Database'!$A:$J,3,FALSE),"")</f>
      </c>
      <c r="E499" s="125" t="str">
        <f>IFERROR(VLOOKUP($B499,'Hack Database'!$A:$J,4,FALSE),"")</f>
      </c>
      <c r="F499" s="125" t="str">
        <f>IFERROR(VLOOKUP($B499,'Hack Database'!$A:$J,5,FALSE),"")</f>
      </c>
      <c r="G499" s="113" t="str">
        <f>IFERROR(VLOOKUP($B499,'Hack Database'!$A:$J,6,FALSE),"")</f>
      </c>
      <c r="H499" s="137"/>
      <c r="I499" s="137"/>
      <c r="J499" s="131"/>
      <c r="K499" s="125" t="str">
        <f>IF($B499="","",IF($J499="Yes","100% Complete",IF($H499="","Planned",IF($I499="","In Progress","Finished"))))</f>
      </c>
      <c r="L499" s="143"/>
      <c r="M499" s="131"/>
      <c r="N499" s="155" t="str">
        <f>IFERROR(HYPERLINK(VLOOKUP($B499,'Hack Database'!$A:$J,9,FALSE),"Open Page"),"")</f>
      </c>
      <c r="O499" s="155" t="str">
        <f>IFERROR(HYPERLINK(VLOOKUP($B499,'Hack Database'!$A:$J,10,FALSE),"Download"),"")</f>
      </c>
      <c r="P499" s="149"/>
    </row>
    <row r="500" ht="23" customHeight="1">
      <c r="A500" s="92" t="str">
        <f>IF(C500="","",COUNTIF($C$2:C500,"&lt;&gt;"))</f>
      </c>
      <c r="B500" s="107"/>
      <c r="C500" s="113" t="str">
        <f>IFERROR(VLOOKUP($B500,'Hack Database'!$A:$J,2,FALSE),"")</f>
      </c>
      <c r="D500" s="113" t="str">
        <f>IFERROR(VLOOKUP($B500,'Hack Database'!$A:$J,3,FALSE),"")</f>
      </c>
      <c r="E500" s="125" t="str">
        <f>IFERROR(VLOOKUP($B500,'Hack Database'!$A:$J,4,FALSE),"")</f>
      </c>
      <c r="F500" s="125" t="str">
        <f>IFERROR(VLOOKUP($B500,'Hack Database'!$A:$J,5,FALSE),"")</f>
      </c>
      <c r="G500" s="113" t="str">
        <f>IFERROR(VLOOKUP($B500,'Hack Database'!$A:$J,6,FALSE),"")</f>
      </c>
      <c r="H500" s="137"/>
      <c r="I500" s="137"/>
      <c r="J500" s="131"/>
      <c r="K500" s="125" t="str">
        <f>IF($B500="","",IF($J500="Yes","100% Complete",IF($H500="","Planned",IF($I500="","In Progress","Finished"))))</f>
      </c>
      <c r="L500" s="143"/>
      <c r="M500" s="131"/>
      <c r="N500" s="155" t="str">
        <f>IFERROR(HYPERLINK(VLOOKUP($B500,'Hack Database'!$A:$J,9,FALSE),"Open Page"),"")</f>
      </c>
      <c r="O500" s="155" t="str">
        <f>IFERROR(HYPERLINK(VLOOKUP($B500,'Hack Database'!$A:$J,10,FALSE),"Download"),"")</f>
      </c>
      <c r="P500" s="149"/>
    </row>
    <row r="501" ht="23" customHeight="1">
      <c r="A501" s="93" t="str">
        <f>IF(C501="","",COUNTIF($C$2:C501,"&lt;&gt;"))</f>
      </c>
      <c r="B501" s="108"/>
      <c r="C501" s="114" t="str">
        <f>IFERROR(VLOOKUP($B501,'Hack Database'!$A:$J,2,FALSE),"")</f>
      </c>
      <c r="D501" s="114" t="str">
        <f>IFERROR(VLOOKUP($B501,'Hack Database'!$A:$J,3,FALSE),"")</f>
      </c>
      <c r="E501" s="126" t="str">
        <f>IFERROR(VLOOKUP($B501,'Hack Database'!$A:$J,4,FALSE),"")</f>
      </c>
      <c r="F501" s="126" t="str">
        <f>IFERROR(VLOOKUP($B501,'Hack Database'!$A:$J,5,FALSE),"")</f>
      </c>
      <c r="G501" s="114" t="str">
        <f>IFERROR(VLOOKUP($B501,'Hack Database'!$A:$J,6,FALSE),"")</f>
      </c>
      <c r="H501" s="138"/>
      <c r="I501" s="138"/>
      <c r="J501" s="132"/>
      <c r="K501" s="126" t="str">
        <f>IF($B501="","",IF($J501="Yes","100% Complete",IF($H501="","Planned",IF($I501="","In Progress","Finished"))))</f>
      </c>
      <c r="L501" s="144"/>
      <c r="M501" s="132"/>
      <c r="N501" s="156" t="str">
        <f>IFERROR(HYPERLINK(VLOOKUP($B501,'Hack Database'!$A:$J,9,FALSE),"Open Page"),"")</f>
      </c>
      <c r="O501" s="156" t="str">
        <f>IFERROR(HYPERLINK(VLOOKUP($B501,'Hack Database'!$A:$J,10,FALSE),"Download"),"")</f>
      </c>
      <c r="P501" s="150"/>
    </row>
  </sheetData>
  <conditionalFormatting sqref="F2:F501">
    <cfRule type="expression" dxfId="0" priority="1">
      <formula>F2="Newcomer"</formula>
    </cfRule>
    <cfRule type="expression" dxfId="1" priority="2">
      <formula>F2="Casual"</formula>
    </cfRule>
    <cfRule type="expression" dxfId="2" priority="3">
      <formula>F2="Intermediate"</formula>
    </cfRule>
    <cfRule type="expression" dxfId="3" priority="4">
      <formula>F2="Advanced"</formula>
    </cfRule>
    <cfRule type="expression" dxfId="4" priority="5">
      <formula>F2="Expert"</formula>
    </cfRule>
    <cfRule type="expression" dxfId="5" priority="6">
      <formula>F2="Master"</formula>
    </cfRule>
    <cfRule type="expression" dxfId="6" priority="7">
      <formula>F2="Grandmaster"</formula>
    </cfRule>
    <cfRule type="expression" dxfId="7" priority="8">
      <formula>F2="Unranked"</formula>
    </cfRule>
  </conditionalFormatting>
  <conditionalFormatting sqref="J2:J501">
    <cfRule type="expression" dxfId="8" priority="9">
      <formula>J2="Yes"</formula>
    </cfRule>
    <cfRule type="expression" dxfId="9" priority="10">
      <formula>J2="No"</formula>
    </cfRule>
  </conditionalFormatting>
  <conditionalFormatting sqref="K2:K501">
    <cfRule type="expression" dxfId="10" priority="11">
      <formula>K2="Planned"</formula>
    </cfRule>
    <cfRule type="expression" dxfId="11" priority="12">
      <formula>K2="In Progress"</formula>
    </cfRule>
    <cfRule type="expression" dxfId="12" priority="13">
      <formula>K2="Finished"</formula>
    </cfRule>
    <cfRule type="expression" dxfId="13" priority="14">
      <formula>K2="100% Complete"</formula>
    </cfRule>
  </conditionalFormatting>
  <conditionalFormatting sqref="L2:L501">
    <cfRule type="dataBar" priority="15">
      <dataBar>
        <cfvo type="min"/>
        <cfvo type="max"/>
        <color rgb="FF5B9BD5"/>
      </dataBar>
      <extLst>
        <ext uri="{B025F937-C7B1-47D3-B67F-A62EFF666E3E}">
          <ns1:id>{0558FB8C-1757-37AD-4ADF-C6F343A82CE8}</ns1:id>
        </ext>
      </extLst>
    </cfRule>
  </conditionalFormatting>
  <dataValidations count="3">
    <dataValidation type="list" sqref="B2:B501">
      <formula1>HackList</formula1>
    </dataValidation>
    <dataValidation type="list" sqref="J2:J501">
      <formula1>"Yes,No"</formula1>
    </dataValidation>
    <dataValidation operator="between" sqref="L2:L501">
      <formula1>1</formula1>
      <formula2>10</formula2>
    </dataValidation>
  </dataValidations>
  <pageMargins left="0.7" right="0.7" top="0.75" bottom="0.75" header="0.3" footer="0.3"/>
  <extLst>
    <ext uri="{78C0D931-6437-407d-A8EE-F0AAD7539E65}">
      <ns1:conditionalFormattings>
        <ns1:conditionalFormatting>
          <ns1:cfRule type="dataBar" priority="15" id="{0558FB8C-1757-37AD-4ADF-C6F343A82CE8}">
            <ns1:dataBar gradient="1">
              <ns1:cfvo type="min"/>
              <ns1:cfvo type="max"/>
              <ns1:fillColor rgb="FF5B9BD5"/>
            </ns1:dataBar>
          </ns1:cfRule>
          <ns2:sqref>L2:L501</ns2:sqref>
        </ns1:conditionalFormatting>
      </ns1:conditionalFormattings>
    </ext>
  </extLst>
</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2" hidden="0" customWidth="1"/>
    <x:col min="3" max="3" width="32" hidden="0" customWidth="1"/>
    <x:col min="4" max="4" width="9" hidden="0" customWidth="1"/>
    <x:col min="5" max="5" width="16" hidden="0" customWidth="1"/>
    <x:col min="6" max="6" width="22" hidden="0" customWidth="1"/>
    <x:col min="7" max="7" width="13" hidden="0" customWidth="1"/>
    <x:col min="8" max="8" width="12" hidden="0" customWidth="1"/>
    <x:col min="9" max="9" width="48" hidden="0" customWidth="1"/>
    <x:col min="10" max="10" width="48" hidden="0" customWidth="1"/>
  </x:cols>
  <x:sheetData>
    <x:row r="1">
      <x:c r="A1" s="13" t="str">
        <x:v>Dropdown Selection</x:v>
      </x:c>
      <x:c r="B1" s="14" t="str">
        <x:v>ROM Hack Title</x:v>
      </x:c>
      <x:c r="C1" s="14" t="str">
        <x:v>Created By</x:v>
      </x:c>
      <x:c r="D1" s="32" t="str">
        <x:v>Exits</x:v>
      </x:c>
      <x:c r="E1" s="14" t="str">
        <x:v>Difficulty</x:v>
      </x:c>
      <x:c r="F1" s="14" t="str">
        <x:v>Type</x:v>
      </x:c>
      <x:c r="G1" s="30" t="str">
        <x:v>Added Date</x:v>
      </x:c>
      <x:c r="H1" s="14" t="str">
        <x:v>SMWC ID</x:v>
      </x:c>
      <x:c r="I1" s="14" t="str">
        <x:v>SMWCentral Page URL</x:v>
      </x:c>
      <x:c r="J1" s="15" t="str">
        <x:v>Direct Download URL</x:v>
      </x:c>
    </x:row>
    <x:row r="2">
      <x:c r="A2" t="str">
        <x:v>!uppipe</x:v>
      </x:c>
      <x:c r="B2" t="str">
        <x:v>!uppipe</x:v>
      </x:c>
      <x:c r="C2" t="str">
        <x:v>Dan2point5</x:v>
      </x:c>
      <x:c r="D2" t="n">
        <x:v>8</x:v>
      </x:c>
      <x:c r="E2" t="str">
        <x:v>Advanced</x:v>
      </x:c>
      <x:c r="F2" t="str">
        <x:v>Kaizo</x:v>
      </x:c>
      <x:c r="G2" t="n">
        <x:v>45872</x:v>
      </x:c>
      <x:c r="H2" t="str">
        <x:v>40226</x:v>
      </x:c>
      <x:c r="I2" t="str">
        <x:v>https://www.smwcentral.net/?a=details&amp;id=40226&amp;p=section</x:v>
      </x:c>
      <x:c r="J2" t="str">
        <x:v>https://dl.smwcentral.net/40226/%21uppipe.zip</x:v>
      </x:c>
    </x:row>
    <x:row r="3">
      <x:c r="A3" t="str">
        <x:v>#0 IGGY'S CASTLE</x:v>
      </x:c>
      <x:c r="B3" t="str">
        <x:v>#0 IGGY'S CASTLE</x:v>
      </x:c>
      <x:c r="C3" t="str">
        <x:v>Wakana</x:v>
      </x:c>
      <x:c r="D3" t="n">
        <x:v>25</x:v>
      </x:c>
      <x:c r="E3" t="str">
        <x:v>Intermediate</x:v>
      </x:c>
      <x:c r="F3" t="str">
        <x:v>Standard</x:v>
      </x:c>
      <x:c r="G3" t="n">
        <x:v>46021</x:v>
      </x:c>
      <x:c r="H3" t="str">
        <x:v>41349</x:v>
      </x:c>
      <x:c r="I3" t="str">
        <x:v>https://www.smwcentral.net/?a=details&amp;id=41349&amp;p=section</x:v>
      </x:c>
      <x:c r="J3" t="str">
        <x:v>https://dl.smwcentral.net/41349/%230%20IGGY%27S%20CASTLE%20v3.0.0.zip</x:v>
      </x:c>
    </x:row>
    <x:row r="4">
      <x:c r="A4" t="str">
        <x:v>#thathack</x:v>
      </x:c>
      <x:c r="B4" t="str">
        <x:v>#thathack</x:v>
      </x:c>
      <x:c r="C4" t="str">
        <x:v>levelengine</x:v>
      </x:c>
      <x:c r="D4" t="n">
        <x:v>12</x:v>
      </x:c>
      <x:c r="E4" t="str">
        <x:v>Casual</x:v>
      </x:c>
      <x:c r="F4" t="str">
        <x:v>Standard</x:v>
      </x:c>
      <x:c r="G4" t="n">
        <x:v>41636</x:v>
      </x:c>
      <x:c r="H4" t="str">
        <x:v>6027</x:v>
      </x:c>
      <x:c r="I4" t="str">
        <x:v>https://www.smwcentral.net/?a=details&amp;id=6027&amp;p=section</x:v>
      </x:c>
      <x:c r="J4" t="str">
        <x:v>https://dl.smwcentral.net/6027/%23thathack.zip</x:v>
      </x:c>
    </x:row>
    <x:row r="5">
      <x:c r="A5" t="str">
        <x:v>'the</x:v>
      </x:c>
      <x:c r="B5" t="str">
        <x:v>'the</x:v>
      </x:c>
      <x:c r="C5" t="str">
        <x:v>Torchkas, underway</x:v>
      </x:c>
      <x:c r="D5" t="n">
        <x:v>1</x:v>
      </x:c>
      <x:c r="E5" t="str">
        <x:v>Casual</x:v>
      </x:c>
      <x:c r="F5" t="str">
        <x:v>Standard</x:v>
      </x:c>
      <x:c r="G5" t="n">
        <x:v>45906</x:v>
      </x:c>
      <x:c r="H5" t="str">
        <x:v>41112</x:v>
      </x:c>
      <x:c r="I5" t="str">
        <x:v>https://www.smwcentral.net/?a=details&amp;id=41112&amp;p=section</x:v>
      </x:c>
      <x:c r="J5" t="str">
        <x:v>https://dl.smwcentral.net/41112/%27the.zip</x:v>
      </x:c>
    </x:row>
    <x:row r="6">
      <x:c r="A6" t="str">
        <x:v>*SUPERSTAR* - an EP by margot</x:v>
      </x:c>
      <x:c r="B6" t="str">
        <x:v>*SUPERSTAR* - an EP by margot</x:v>
      </x:c>
      <x:c r="C6" t="str">
        <x:v>margot</x:v>
      </x:c>
      <x:c r="D6" t="n">
        <x:v>6</x:v>
      </x:c>
      <x:c r="E6" t="str">
        <x:v>Master</x:v>
      </x:c>
      <x:c r="F6" t="str">
        <x:v>Kaizo</x:v>
      </x:c>
      <x:c r="G6" t="n">
        <x:v>44868</x:v>
      </x:c>
      <x:c r="H6" t="str">
        <x:v>32479</x:v>
      </x:c>
      <x:c r="I6" t="str">
        <x:v>https://www.smwcentral.net/?a=details&amp;id=32479&amp;p=section</x:v>
      </x:c>
      <x:c r="J6" t="str">
        <x:v>https://dl.smwcentral.net/32479/SUPERSTAR.zip</x:v>
      </x:c>
    </x:row>
    <x:row r="7">
      <x:c r="A7" t="str">
        <x:v>1 Island Of Vanilla Feeling</x:v>
      </x:c>
      <x:c r="B7" t="str">
        <x:v>1 Island Of Vanilla Feeling</x:v>
      </x:c>
      <x:c r="C7" t="str">
        <x:v>neidoodle</x:v>
      </x:c>
      <x:c r="D7" t="n">
        <x:v>7</x:v>
      </x:c>
      <x:c r="E7" t="str">
        <x:v>Casual</x:v>
      </x:c>
      <x:c r="F7" t="str">
        <x:v>Standard</x:v>
      </x:c>
      <x:c r="G7" t="n">
        <x:v>41627</x:v>
      </x:c>
      <x:c r="H7" t="str">
        <x:v>5988</x:v>
      </x:c>
      <x:c r="I7" t="str">
        <x:v>https://www.smwcentral.net/?a=details&amp;id=5988&amp;p=section</x:v>
      </x:c>
      <x:c r="J7" t="str">
        <x:v>https://dl.smwcentral.net/5988/1island1.2.zip</x:v>
      </x:c>
    </x:row>
    <x:row r="8">
      <x:c r="A8" t="str">
        <x:v>1 Square Puzzle</x:v>
      </x:c>
      <x:c r="B8" t="str">
        <x:v>1 Square Puzzle</x:v>
      </x:c>
      <x:c r="C8" t="str">
        <x:v>HoorayForJay</x:v>
      </x:c>
      <x:c r="D8" t="n">
        <x:v>1</x:v>
      </x:c>
      <x:c r="E8" t="str">
        <x:v>Grandmaster</x:v>
      </x:c>
      <x:c r="F8" t="str">
        <x:v>Tool-Assisted, Pit</x:v>
      </x:c>
      <x:c r="G8" t="n">
        <x:v>42864</x:v>
      </x:c>
      <x:c r="H8" t="str">
        <x:v>15342</x:v>
      </x:c>
      <x:c r="I8" t="str">
        <x:v>https://www.smwcentral.net/?a=details&amp;id=15342&amp;p=section</x:v>
      </x:c>
      <x:c r="J8" t="str">
        <x:v>https://dl.smwcentral.net/15342/1SquarePuzzle.zip</x:v>
      </x:c>
    </x:row>
    <x:row r="9">
      <x:c r="A9" t="str">
        <x:v>100 Rooms of Enemies: 10th Anniversary Edition</x:v>
      </x:c>
      <x:c r="B9" t="str">
        <x:v>100 Rooms of Enemies: 10th Anniversary Edition</x:v>
      </x:c>
      <x:c r="C9" t="str">
        <x:v>Daizo Dee Von, Mellonpizza</x:v>
      </x:c>
      <x:c r="D9" t="n">
        <x:v>2</x:v>
      </x:c>
      <x:c r="E9" t="str">
        <x:v>Intermediate</x:v>
      </x:c>
      <x:c r="F9" t="str">
        <x:v>Standard</x:v>
      </x:c>
      <x:c r="G9" t="n">
        <x:v>45500</x:v>
      </x:c>
      <x:c r="H9" t="str">
        <x:v>38104</x:v>
      </x:c>
      <x:c r="I9" t="str">
        <x:v>https://www.smwcentral.net/?a=details&amp;id=38104&amp;p=section</x:v>
      </x:c>
      <x:c r="J9" t="str">
        <x:v>https://dl.smwcentral.net/38104/100%20Rooms%20of%20Enemies%20-%2010th%20Anniversary%20Edition.zip</x:v>
      </x:c>
    </x:row>
    <x:row r="10">
      <x:c r="A10" t="str">
        <x:v>100 Rooms Of Torment</x:v>
      </x:c>
      <x:c r="B10" t="str">
        <x:v>100 Rooms Of Torment</x:v>
      </x:c>
      <x:c r="C10" t="str">
        <x:v>Gasterus155</x:v>
      </x:c>
      <x:c r="D10" t="n">
        <x:v>0</x:v>
      </x:c>
      <x:c r="E10" t="str">
        <x:v>Grandmaster</x:v>
      </x:c>
      <x:c r="F10" t="str">
        <x:v>Kaizo</x:v>
      </x:c>
      <x:c r="G10" t="n">
        <x:v>46166</x:v>
      </x:c>
      <x:c r="H10" t="str">
        <x:v>42400</x:v>
      </x:c>
      <x:c r="I10" t="str">
        <x:v>https://www.smwcentral.net/?a=details&amp;id=42400&amp;p=section</x:v>
      </x:c>
      <x:c r="J10" t="str">
        <x:v>https://dl.smwcentral.net/42400/100%20Torment%20of%20Rooms.zip</x:v>
      </x:c>
    </x:row>
    <x:row r="11">
      <x:c r="A11" t="str">
        <x:v>100th Birthday Cake</x:v>
      </x:c>
      <x:c r="B11" t="str">
        <x:v>100th Birthday Cake</x:v>
      </x:c>
      <x:c r="C11" t="str">
        <x:v>Hwailaluta</x:v>
      </x:c>
      <x:c r="D11" t="n">
        <x:v>0</x:v>
      </x:c>
      <x:c r="E11" t="str">
        <x:v>Advanced</x:v>
      </x:c>
      <x:c r="F11" t="str">
        <x:v>Kaizo</x:v>
      </x:c>
      <x:c r="G11" t="n">
        <x:v>45237</x:v>
      </x:c>
      <x:c r="H11" t="str">
        <x:v>35444</x:v>
      </x:c>
      <x:c r="I11" t="str">
        <x:v>https://www.smwcentral.net/?a=details&amp;id=35444&amp;p=section</x:v>
      </x:c>
      <x:c r="J11" t="str">
        <x:v>https://dl.smwcentral.net/35444/100th%20Birthday%20Cake.zip</x:v>
      </x:c>
    </x:row>
    <x:row r="12">
      <x:c r="A12" t="str">
        <x:v>10yumps</x:v>
      </x:c>
      <x:c r="B12" t="str">
        <x:v>10yumps</x:v>
      </x:c>
      <x:c r="C12" t="str">
        <x:v>Fyre150</x:v>
      </x:c>
      <x:c r="D12" t="n">
        <x:v>56</x:v>
      </x:c>
      <x:c r="E12" t="str">
        <x:v>Master</x:v>
      </x:c>
      <x:c r="F12" t="str">
        <x:v>Kaizo</x:v>
      </x:c>
      <x:c r="G12" t="n">
        <x:v>46086</x:v>
      </x:c>
      <x:c r="H12" t="str">
        <x:v>41558</x:v>
      </x:c>
      <x:c r="I12" t="str">
        <x:v>https://www.smwcentral.net/?a=details&amp;id=41558&amp;p=section</x:v>
      </x:c>
      <x:c r="J12" t="str">
        <x:v>https://dl.smwcentral.net/41558/10yumps%28real%29.zip</x:v>
      </x:c>
    </x:row>
    <x:row r="13">
      <x:c r="A13" t="str">
        <x:v>12 DAY: An SMW Mixtape</x:v>
      </x:c>
      <x:c r="B13" t="str">
        <x:v>12 DAY: An SMW Mixtape</x:v>
      </x:c>
      <x:c r="C13" t="str">
        <x:v>Squirrelyman157</x:v>
      </x:c>
      <x:c r="D13" t="n">
        <x:v>11</x:v>
      </x:c>
      <x:c r="E13" t="str">
        <x:v>Advanced</x:v>
      </x:c>
      <x:c r="F13" t="str">
        <x:v>Standard, Kaizo</x:v>
      </x:c>
      <x:c r="G13" t="n">
        <x:v>44234</x:v>
      </x:c>
      <x:c r="H13" t="str">
        <x:v>25843</x:v>
      </x:c>
      <x:c r="I13" t="str">
        <x:v>https://www.smwcentral.net/?a=details&amp;id=25843&amp;p=section</x:v>
      </x:c>
      <x:c r="J13" t="str">
        <x:v>https://dl.smwcentral.net/25843/12DAY.zip</x:v>
      </x:c>
    </x:row>
    <x:row r="14">
      <x:c r="A14" t="str">
        <x:v>1st Kochobo Dourado Collab</x:v>
      </x:c>
      <x:c r="B14" t="str">
        <x:v>1st Kochobo Dourado Collab</x:v>
      </x:c>
      <x:c r="C14" t="str">
        <x:v>Mario Hacks Group, TheMorganah</x:v>
      </x:c>
      <x:c r="D14" t="n">
        <x:v>18</x:v>
      </x:c>
      <x:c r="E14" t="str">
        <x:v>Casual</x:v>
      </x:c>
      <x:c r="F14" t="str">
        <x:v>Standard</x:v>
      </x:c>
      <x:c r="G14" t="n">
        <x:v>45125</x:v>
      </x:c>
      <x:c r="H14" t="str">
        <x:v>34370</x:v>
      </x:c>
      <x:c r="I14" t="str">
        <x:v>https://www.smwcentral.net/?a=details&amp;id=34370&amp;p=section</x:v>
      </x:c>
      <x:c r="J14" t="str">
        <x:v>https://dl.smwcentral.net/34370/%5B2020%5D%201st%20Kochobo%20Dourado%20Collab%20V3.0%20%28U%29%20%5BPT-BR%5D.zip</x:v>
      </x:c>
    </x:row>
    <x:row r="15">
      <x:c r="A15" t="str">
        <x:v>2 Hour Hack</x:v>
      </x:c>
      <x:c r="B15" t="str">
        <x:v>2 Hour Hack</x:v>
      </x:c>
      <x:c r="C15" t="str">
        <x:v>Magmatic</x:v>
      </x:c>
      <x:c r="D15" t="n">
        <x:v>6</x:v>
      </x:c>
      <x:c r="E15" t="str">
        <x:v>Advanced</x:v>
      </x:c>
      <x:c r="F15" t="str">
        <x:v>Standard</x:v>
      </x:c>
      <x:c r="G15" t="n">
        <x:v>45944</x:v>
      </x:c>
      <x:c r="H15" t="str">
        <x:v>40799</x:v>
      </x:c>
      <x:c r="I15" t="str">
        <x:v>https://www.smwcentral.net/?a=details&amp;id=40799&amp;p=section</x:v>
      </x:c>
      <x:c r="J15" t="str">
        <x:v>https://dl.smwcentral.net/40799/2hourhack.zip</x:v>
      </x:c>
    </x:row>
    <x:row r="16">
      <x:c r="A16" t="str">
        <x:v>2 Player Co-op Quest 2</x:v>
      </x:c>
      <x:c r="B16" t="str">
        <x:v>2 Player Co-op Quest 2</x:v>
      </x:c>
      <x:c r="C16" t="str">
        <x:v>cyphermur9t</x:v>
      </x:c>
      <x:c r="D16" t="n">
        <x:v>13</x:v>
      </x:c>
      <x:c r="E16" t="str">
        <x:v>Casual</x:v>
      </x:c>
      <x:c r="F16" t="str">
        <x:v>Standard</x:v>
      </x:c>
      <x:c r="G16" t="n">
        <x:v>41808</x:v>
      </x:c>
      <x:c r="H16" t="str">
        <x:v>6593</x:v>
      </x:c>
      <x:c r="I16" t="str">
        <x:v>https://www.smwcentral.net/?a=details&amp;id=6593&amp;p=section</x:v>
      </x:c>
      <x:c r="J16" t="str">
        <x:v>https://dl.smwcentral.net/6593/2%20Player%20Co-op%20Quest%202.zip</x:v>
      </x:c>
    </x:row>
    <x:row r="17">
      <x:c r="A17" t="str">
        <x:v>2 Player Co-op Quest!</x:v>
      </x:c>
      <x:c r="B17" t="str">
        <x:v>2 Player Co-op Quest!</x:v>
      </x:c>
      <x:c r="C17" t="str">
        <x:v>cyphermur9t</x:v>
      </x:c>
      <x:c r="D17" t="n">
        <x:v>8</x:v>
      </x:c>
      <x:c r="E17" t="str">
        <x:v>Casual</x:v>
      </x:c>
      <x:c r="F17" t="str">
        <x:v>Standard</x:v>
      </x:c>
      <x:c r="G17" t="n">
        <x:v>41549</x:v>
      </x:c>
      <x:c r="H17" t="str">
        <x:v>5559</x:v>
      </x:c>
      <x:c r="I17" t="str">
        <x:v>https://www.smwcentral.net/?a=details&amp;id=5559&amp;p=section</x:v>
      </x:c>
      <x:c r="J17" t="str">
        <x:v>https://dl.smwcentral.net/5559/2%20Player%20Co-op%20Quest.zip</x:v>
      </x:c>
    </x:row>
    <x:row r="18">
      <x:c r="A18" t="str">
        <x:v>20 Challenges: Episode 1 - A feard enemy</x:v>
      </x:c>
      <x:c r="B18" t="str">
        <x:v>20 Challenges: Episode 1 - A feard enemy</x:v>
      </x:c>
      <x:c r="C18" t="str">
        <x:v>Drakel</x:v>
      </x:c>
      <x:c r="D18" t="n">
        <x:v>1</x:v>
      </x:c>
      <x:c r="E18" t="str">
        <x:v>Intermediate</x:v>
      </x:c>
      <x:c r="F18" t="str">
        <x:v>Standard</x:v>
      </x:c>
      <x:c r="G18" t="n">
        <x:v>45484</x:v>
      </x:c>
      <x:c r="H18" t="str">
        <x:v>38065</x:v>
      </x:c>
      <x:c r="I18" t="str">
        <x:v>https://www.smwcentral.net/?a=details&amp;id=38065&amp;p=section</x:v>
      </x:c>
      <x:c r="J18" t="str">
        <x:v>https://dl.smwcentral.net/38065/20ChallengesE1.zip</x:v>
      </x:c>
    </x:row>
    <x:row r="19">
      <x:c r="A19" t="str">
        <x:v>20 Challenges: Episode 2 - Witchcraft</x:v>
      </x:c>
      <x:c r="B19" t="str">
        <x:v>20 Challenges: Episode 2 - Witchcraft</x:v>
      </x:c>
      <x:c r="C19" t="str">
        <x:v>Drakel</x:v>
      </x:c>
      <x:c r="D19" t="n">
        <x:v>1</x:v>
      </x:c>
      <x:c r="E19" t="str">
        <x:v>Intermediate</x:v>
      </x:c>
      <x:c r="F19" t="str">
        <x:v>Standard</x:v>
      </x:c>
      <x:c r="G19" t="n">
        <x:v>45584</x:v>
      </x:c>
      <x:c r="H19" t="str">
        <x:v>38585</x:v>
      </x:c>
      <x:c r="I19" t="str">
        <x:v>https://www.smwcentral.net/?a=details&amp;id=38585&amp;p=section</x:v>
      </x:c>
      <x:c r="J19" t="str">
        <x:v>https://dl.smwcentral.net/38585/20ChallengesE2.zip</x:v>
      </x:c>
    </x:row>
    <x:row r="20">
      <x:c r="A20" t="str">
        <x:v>20 Challenges: Episode 3 - The tale from a bone</x:v>
      </x:c>
      <x:c r="B20" t="str">
        <x:v>20 Challenges: Episode 3 - The tale from a bone</x:v>
      </x:c>
      <x:c r="C20" t="str">
        <x:v>Drakel</x:v>
      </x:c>
      <x:c r="D20" t="n">
        <x:v>1</x:v>
      </x:c>
      <x:c r="E20" t="str">
        <x:v>Intermediate</x:v>
      </x:c>
      <x:c r="F20" t="str">
        <x:v>Standard</x:v>
      </x:c>
      <x:c r="G20" t="n">
        <x:v>45664</x:v>
      </x:c>
      <x:c r="H20" t="str">
        <x:v>39007</x:v>
      </x:c>
      <x:c r="I20" t="str">
        <x:v>https://www.smwcentral.net/?a=details&amp;id=39007&amp;p=section</x:v>
      </x:c>
      <x:c r="J20" t="str">
        <x:v>https://dl.smwcentral.net/39007/20ChallengesE3.zip</x:v>
      </x:c>
    </x:row>
    <x:row r="21">
      <x:c r="A21" t="str">
        <x:v>20 Challenges: Episode 4 - Temple of the elements</x:v>
      </x:c>
      <x:c r="B21" t="str">
        <x:v>20 Challenges: Episode 4 - Temple of the elements</x:v>
      </x:c>
      <x:c r="C21" t="str">
        <x:v>Drakel</x:v>
      </x:c>
      <x:c r="D21" t="n">
        <x:v>1</x:v>
      </x:c>
      <x:c r="E21" t="str">
        <x:v>Intermediate</x:v>
      </x:c>
      <x:c r="F21" t="str">
        <x:v>Standard</x:v>
      </x:c>
      <x:c r="G21" t="n">
        <x:v>45797</x:v>
      </x:c>
      <x:c r="H21" t="str">
        <x:v>39850</x:v>
      </x:c>
      <x:c r="I21" t="str">
        <x:v>https://www.smwcentral.net/?a=details&amp;id=39850&amp;p=section</x:v>
      </x:c>
      <x:c r="J21" t="str">
        <x:v>https://dl.smwcentral.net/39850/20ChallengesE4.zip</x:v>
      </x:c>
    </x:row>
    <x:row r="22">
      <x:c r="A22" t="str">
        <x:v>20 Challenges: Episode 5 - Community Vibe</x:v>
      </x:c>
      <x:c r="B22" t="str">
        <x:v>20 Challenges: Episode 5 - Community Vibe</x:v>
      </x:c>
      <x:c r="C22" t="str">
        <x:v>Drakel</x:v>
      </x:c>
      <x:c r="D22" t="n">
        <x:v>1</x:v>
      </x:c>
      <x:c r="E22" t="str">
        <x:v>Intermediate</x:v>
      </x:c>
      <x:c r="F22" t="str">
        <x:v>Standard</x:v>
      </x:c>
      <x:c r="G22" t="n">
        <x:v>46063</x:v>
      </x:c>
      <x:c r="H22" t="str">
        <x:v>41543</x:v>
      </x:c>
      <x:c r="I22" t="str">
        <x:v>https://www.smwcentral.net/?a=details&amp;id=41543&amp;p=section</x:v>
      </x:c>
      <x:c r="J22" t="str">
        <x:v>https://dl.smwcentral.net/41543/20ChallengesE5.zip</x:v>
      </x:c>
    </x:row>
    <x:row r="23">
      <x:c r="A23" t="str">
        <x:v>2019 Blind Kaizo Relay Level Collaboration</x:v>
      </x:c>
      <x:c r="B23" t="str">
        <x:v>2019 Blind Kaizo Relay Level Collaboration</x:v>
      </x:c>
      <x:c r="C23" t="str">
        <x:v>ChrisG___, Freakin_HA, IcyFruit, MarkAlarm, NeXuS15, Romhack Races Team, Valdio, dtothefourth</x:v>
      </x:c>
      <x:c r="D23" t="n">
        <x:v>7</x:v>
      </x:c>
      <x:c r="E23" t="str">
        <x:v>Expert</x:v>
      </x:c>
      <x:c r="F23" t="str">
        <x:v>Kaizo</x:v>
      </x:c>
      <x:c r="G23" t="n">
        <x:v>43648</x:v>
      </x:c>
      <x:c r="H23" t="str">
        <x:v>20319</x:v>
      </x:c>
      <x:c r="I23" t="str">
        <x:v>https://www.smwcentral.net/?a=details&amp;id=20319&amp;p=section</x:v>
      </x:c>
      <x:c r="J23" t="str">
        <x:v>https://dl.smwcentral.net/20319/2019%20Blind%20Kaizo%20Relay%20Level%20Collaboration.zip</x:v>
      </x:c>
    </x:row>
    <x:row r="24">
      <x:c r="A24" t="str">
        <x:v>22H</x:v>
      </x:c>
      <x:c r="B24" t="str">
        <x:v>22H</x:v>
      </x:c>
      <x:c r="C24" t="str">
        <x:v>random_box</x:v>
      </x:c>
      <x:c r="D24" t="n">
        <x:v>21</x:v>
      </x:c>
      <x:c r="E24" t="str">
        <x:v>Grandmaster</x:v>
      </x:c>
      <x:c r="F24" t="str">
        <x:v>Kaizo</x:v>
      </x:c>
      <x:c r="G24" t="n">
        <x:v>45583</x:v>
      </x:c>
      <x:c r="H24" t="str">
        <x:v>38406</x:v>
      </x:c>
      <x:c r="I24" t="str">
        <x:v>https://www.smwcentral.net/?a=details&amp;id=38406&amp;p=section</x:v>
      </x:c>
      <x:c r="J24" t="str">
        <x:v>https://dl.smwcentral.net/38406/22H%20v1.1.zip</x:v>
      </x:c>
    </x:row>
    <x:row r="25">
      <x:c r="A25" t="str">
        <x:v>2K Shells</x:v>
      </x:c>
      <x:c r="B25" t="str">
        <x:v>2K Shells</x:v>
      </x:c>
      <x:c r="C25" t="str">
        <x:v>Rapha2k, arantes</x:v>
      </x:c>
      <x:c r="D25" t="n">
        <x:v>17</x:v>
      </x:c>
      <x:c r="E25" t="str">
        <x:v>Advanced</x:v>
      </x:c>
      <x:c r="F25" t="str">
        <x:v>Kaizo</x:v>
      </x:c>
      <x:c r="G25" t="n">
        <x:v>45436</x:v>
      </x:c>
      <x:c r="H25" t="str">
        <x:v>37821</x:v>
      </x:c>
      <x:c r="I25" t="str">
        <x:v>https://www.smwcentral.net/?a=details&amp;id=37821&amp;p=section</x:v>
      </x:c>
      <x:c r="J25" t="str">
        <x:v>https://dl.smwcentral.net/37821/2k%20Shells%20v1.1.zip</x:v>
      </x:c>
    </x:row>
    <x:row r="26">
      <x:c r="A26" t="str">
        <x:v>2Kaizo2Learn</x:v>
      </x:c>
      <x:c r="B26" t="str">
        <x:v>2Kaizo2Learn</x:v>
      </x:c>
      <x:c r="C26" t="str">
        <x:v>blueribbonhighlife</x:v>
      </x:c>
      <x:c r="D26" t="n">
        <x:v>69</x:v>
      </x:c>
      <x:c r="E26" t="str">
        <x:v>Intermediate</x:v>
      </x:c>
      <x:c r="F26" t="str">
        <x:v>Kaizo</x:v>
      </x:c>
      <x:c r="G26" t="n">
        <x:v>44885</x:v>
      </x:c>
      <x:c r="H26" t="str">
        <x:v>32593</x:v>
      </x:c>
      <x:c r="I26" t="str">
        <x:v>https://www.smwcentral.net/?a=details&amp;id=32593&amp;p=section</x:v>
      </x:c>
      <x:c r="J26" t="str">
        <x:v>https://dl.smwcentral.net/32593/2Kaizo2Learn_1.0.zip</x:v>
      </x:c>
    </x:row>
    <x:row r="27">
      <x:c r="A27" t="str">
        <x:v>3 Islands of Shells</x:v>
      </x:c>
      <x:c r="B27" t="str">
        <x:v>3 Islands of Shells</x:v>
      </x:c>
      <x:c r="C27" t="str">
        <x:v>Gulaschko</x:v>
      </x:c>
      <x:c r="D27" t="n">
        <x:v>9</x:v>
      </x:c>
      <x:c r="E27" t="str">
        <x:v>Expert</x:v>
      </x:c>
      <x:c r="F27" t="str">
        <x:v>Kaizo</x:v>
      </x:c>
      <x:c r="G27" t="n">
        <x:v>44664</x:v>
      </x:c>
      <x:c r="H27" t="str">
        <x:v>30435</x:v>
      </x:c>
      <x:c r="I27" t="str">
        <x:v>https://www.smwcentral.net/?a=details&amp;id=30435&amp;p=section</x:v>
      </x:c>
      <x:c r="J27" t="str">
        <x:v>https://dl.smwcentral.net/30435/3%20Islands%20of%20Shells%20V.2.0.zip</x:v>
      </x:c>
    </x:row>
    <x:row r="28">
      <x:c r="A28" t="str">
        <x:v>3 Trials</x:v>
      </x:c>
      <x:c r="B28" t="str">
        <x:v>3 Trials</x:v>
      </x:c>
      <x:c r="C28" t="str">
        <x:v>I8Strudel</x:v>
      </x:c>
      <x:c r="D28" t="n">
        <x:v>4</x:v>
      </x:c>
      <x:c r="E28" t="str">
        <x:v>Casual</x:v>
      </x:c>
      <x:c r="F28" t="str">
        <x:v>Standard</x:v>
      </x:c>
      <x:c r="G28" t="n">
        <x:v>42235</x:v>
      </x:c>
      <x:c r="H28" t="str">
        <x:v>9893</x:v>
      </x:c>
      <x:c r="I28" t="str">
        <x:v>https://www.smwcentral.net/?a=details&amp;id=9893&amp;p=section</x:v>
      </x:c>
      <x:c r="J28" t="str">
        <x:v>https://dl.smwcentral.net/9893/3_Trials_I8Strudel_V_1.zip</x:v>
      </x:c>
    </x:row>
    <x:row r="29">
      <x:c r="A29" t="str">
        <x:v>35 Questions Deluxe</x:v>
      </x:c>
      <x:c r="B29" t="str">
        <x:v>35 Questions Deluxe</x:v>
      </x:c>
      <x:c r="C29" t="str">
        <x:v>random_box</x:v>
      </x:c>
      <x:c r="D29" t="n">
        <x:v>35</x:v>
      </x:c>
      <x:c r="E29" t="str">
        <x:v>Master</x:v>
      </x:c>
      <x:c r="F29" t="str">
        <x:v>Kaizo</x:v>
      </x:c>
      <x:c r="G29" t="n">
        <x:v>44164</x:v>
      </x:c>
      <x:c r="H29" t="str">
        <x:v>25310</x:v>
      </x:c>
      <x:c r="I29" t="str">
        <x:v>https://www.smwcentral.net/?a=details&amp;id=25310&amp;p=section</x:v>
      </x:c>
      <x:c r="J29" t="str">
        <x:v>https://dl.smwcentral.net/25310/35QuestionsDeluxe.zip</x:v>
      </x:c>
    </x:row>
    <x:row r="30">
      <x:c r="A30" t="str">
        <x:v>35 Rooms of Nonsense</x:v>
      </x:c>
      <x:c r="B30" t="str">
        <x:v>35 Rooms of Nonsense</x:v>
      </x:c>
      <x:c r="C30" t="str">
        <x:v>spratt</x:v>
      </x:c>
      <x:c r="D30" t="n">
        <x:v>1</x:v>
      </x:c>
      <x:c r="E30" t="str">
        <x:v>Master</x:v>
      </x:c>
      <x:c r="F30" t="str">
        <x:v>Kaizo</x:v>
      </x:c>
      <x:c r="G30" t="n">
        <x:v>45082</x:v>
      </x:c>
      <x:c r="H30" t="str">
        <x:v>34013</x:v>
      </x:c>
      <x:c r="I30" t="str">
        <x:v>https://www.smwcentral.net/?a=details&amp;id=34013&amp;p=section</x:v>
      </x:c>
      <x:c r="J30" t="str">
        <x:v>https://dl.smwcentral.net/34013/nonsense.zip</x:v>
      </x:c>
    </x:row>
    <x:row r="31">
      <x:c r="A31" t="str">
        <x:v>4 YUMPs For Yoshi</x:v>
      </x:c>
      <x:c r="B31" t="str">
        <x:v>4 YUMPs For Yoshi</x:v>
      </x:c>
      <x:c r="C31" t="str">
        <x:v>AmazingChest</x:v>
      </x:c>
      <x:c r="D31" t="n">
        <x:v>4</x:v>
      </x:c>
      <x:c r="E31" t="str">
        <x:v>Expert</x:v>
      </x:c>
      <x:c r="F31" t="str">
        <x:v>Kaizo</x:v>
      </x:c>
      <x:c r="G31" t="n">
        <x:v>44252</x:v>
      </x:c>
      <x:c r="H31" t="str">
        <x:v>26253</x:v>
      </x:c>
      <x:c r="I31" t="str">
        <x:v>https://www.smwcentral.net/?a=details&amp;id=26253&amp;p=section</x:v>
      </x:c>
      <x:c r="J31" t="str">
        <x:v>https://dl.smwcentral.net/26253/4-yumps-for-yoshi-v12.zip</x:v>
      </x:c>
    </x:row>
    <x:row r="32">
      <x:c r="A32" t="str">
        <x:v>45 Rooms of Balderdash</x:v>
      </x:c>
      <x:c r="B32" t="str">
        <x:v>45 Rooms of Balderdash</x:v>
      </x:c>
      <x:c r="C32" t="str">
        <x:v>spratt</x:v>
      </x:c>
      <x:c r="D32" t="n">
        <x:v>1</x:v>
      </x:c>
      <x:c r="E32" t="str">
        <x:v>Master</x:v>
      </x:c>
      <x:c r="F32" t="str">
        <x:v>Kaizo</x:v>
      </x:c>
      <x:c r="G32" t="n">
        <x:v>45725</x:v>
      </x:c>
      <x:c r="H32" t="str">
        <x:v>39505</x:v>
      </x:c>
      <x:c r="I32" t="str">
        <x:v>https://www.smwcentral.net/?a=details&amp;id=39505&amp;p=section</x:v>
      </x:c>
      <x:c r="J32" t="str">
        <x:v>https://dl.smwcentral.net/39505/balderdash.zip</x:v>
      </x:c>
    </x:row>
    <x:row r="33">
      <x:c r="A33" t="str">
        <x:v>4th Chamber</x:v>
      </x:c>
      <x:c r="B33" t="str">
        <x:v>4th Chamber</x:v>
      </x:c>
      <x:c r="C33" t="str">
        <x:v>Abstract</x:v>
      </x:c>
      <x:c r="D33" t="n">
        <x:v>29</x:v>
      </x:c>
      <x:c r="E33" t="str">
        <x:v>Master</x:v>
      </x:c>
      <x:c r="F33" t="str">
        <x:v>Kaizo</x:v>
      </x:c>
      <x:c r="G33" t="n">
        <x:v>44862</x:v>
      </x:c>
      <x:c r="H33" t="str">
        <x:v>32431</x:v>
      </x:c>
      <x:c r="I33" t="str">
        <x:v>https://www.smwcentral.net/?a=details&amp;id=32431&amp;p=section</x:v>
      </x:c>
      <x:c r="J33" t="str">
        <x:v>https://dl.smwcentral.net/32431/4th%20Chamber.zip</x:v>
      </x:c>
    </x:row>
    <x:row r="34">
      <x:c r="A34" t="str">
        <x:v>5 Level Hack</x:v>
      </x:c>
      <x:c r="B34" t="str">
        <x:v>5 Level Hack</x:v>
      </x:c>
      <x:c r="C34" t="str">
        <x:v>grishnax</x:v>
      </x:c>
      <x:c r="D34" t="n">
        <x:v>5</x:v>
      </x:c>
      <x:c r="E34" t="str">
        <x:v>Casual</x:v>
      </x:c>
      <x:c r="F34" t="str">
        <x:v>Standard</x:v>
      </x:c>
      <x:c r="G34" t="n">
        <x:v>42114</x:v>
      </x:c>
      <x:c r="H34" t="str">
        <x:v>9639</x:v>
      </x:c>
      <x:c r="I34" t="str">
        <x:v>https://www.smwcentral.net/?a=details&amp;id=9639&amp;p=section</x:v>
      </x:c>
      <x:c r="J34" t="str">
        <x:v>https://dl.smwcentral.net/9639/5LevelHack.zip</x:v>
      </x:c>
    </x:row>
    <x:row r="35">
      <x:c r="A35" t="str">
        <x:v>5 Orbs</x:v>
      </x:c>
      <x:c r="B35" t="str">
        <x:v>5 Orbs</x:v>
      </x:c>
      <x:c r="C35" t="str">
        <x:v>Shy-Hi</x:v>
      </x:c>
      <x:c r="D35" t="n">
        <x:v>16</x:v>
      </x:c>
      <x:c r="E35" t="str">
        <x:v>Newcomer</x:v>
      </x:c>
      <x:c r="F35" t="str">
        <x:v>Standard</x:v>
      </x:c>
      <x:c r="G35" t="n">
        <x:v>41457</x:v>
      </x:c>
      <x:c r="H35" t="str">
        <x:v>5257</x:v>
      </x:c>
      <x:c r="I35" t="str">
        <x:v>https://www.smwcentral.net/?a=details&amp;id=5257&amp;p=section</x:v>
      </x:c>
      <x:c r="J35" t="str">
        <x:v>https://dl.smwcentral.net/5257/5%20Orbs%20Demo%201.zip</x:v>
      </x:c>
    </x:row>
    <x:row r="36">
      <x:c r="A36" t="str">
        <x:v>5.3.20 Magnolia</x:v>
      </x:c>
      <x:c r="B36" t="str">
        <x:v>5.3.20 Magnolia</x:v>
      </x:c>
      <x:c r="C36" t="str">
        <x:v>Robju</x:v>
      </x:c>
      <x:c r="D36" t="n">
        <x:v>14</x:v>
      </x:c>
      <x:c r="E36" t="str">
        <x:v>Casual</x:v>
      </x:c>
      <x:c r="F36" t="str">
        <x:v>Standard</x:v>
      </x:c>
      <x:c r="G36" t="n">
        <x:v>43962</x:v>
      </x:c>
      <x:c r="H36" t="str">
        <x:v>22945</x:v>
      </x:c>
      <x:c r="I36" t="str">
        <x:v>https://www.smwcentral.net/?a=details&amp;id=22945&amp;p=section</x:v>
      </x:c>
      <x:c r="J36" t="str">
        <x:v>https://dl.smwcentral.net/22945/5.3.20%20Magnolia.zip</x:v>
      </x:c>
    </x:row>
    <x:row r="37">
      <x:c r="A37" t="str">
        <x:v>6 HOURS</x:v>
      </x:c>
      <x:c r="B37" t="str">
        <x:v>6 HOURS</x:v>
      </x:c>
      <x:c r="C37" t="str">
        <x:v>aur</x:v>
      </x:c>
      <x:c r="D37" t="n">
        <x:v>6</x:v>
      </x:c>
      <x:c r="E37" t="str">
        <x:v>Advanced</x:v>
      </x:c>
      <x:c r="F37" t="str">
        <x:v>Kaizo</x:v>
      </x:c>
      <x:c r="G37" t="n">
        <x:v>45964</x:v>
      </x:c>
      <x:c r="H37" t="str">
        <x:v>40952</x:v>
      </x:c>
      <x:c r="I37" t="str">
        <x:v>https://www.smwcentral.net/?a=details&amp;id=40952&amp;p=section</x:v>
      </x:c>
      <x:c r="J37" t="str">
        <x:v>https://dl.smwcentral.net/40952/6HOURS.zip</x:v>
      </x:c>
    </x:row>
    <x:row r="38">
      <x:c r="A38" t="str">
        <x:v>8 SCREENS</x:v>
      </x:c>
      <x:c r="B38" t="str">
        <x:v>8 SCREENS</x:v>
      </x:c>
      <x:c r="C38" t="str">
        <x:v>Nitrogen</x:v>
      </x:c>
      <x:c r="D38" t="n">
        <x:v>6</x:v>
      </x:c>
      <x:c r="E38" t="str">
        <x:v>Advanced</x:v>
      </x:c>
      <x:c r="F38" t="str">
        <x:v>Standard</x:v>
      </x:c>
      <x:c r="G38" t="n">
        <x:v>45963</x:v>
      </x:c>
      <x:c r="H38" t="str">
        <x:v>40929</x:v>
      </x:c>
      <x:c r="I38" t="str">
        <x:v>https://www.smwcentral.net/?a=details&amp;id=40929&amp;p=section</x:v>
      </x:c>
      <x:c r="J38" t="str">
        <x:v>https://dl.smwcentral.net/40929/8%20SCREENS.zip</x:v>
      </x:c>
    </x:row>
    <x:row r="39">
      <x:c r="A39" t="str">
        <x:v>8 Trials Await</x:v>
      </x:c>
      <x:c r="B39" t="str">
        <x:v>8 Trials Await</x:v>
      </x:c>
      <x:c r="C39" t="str">
        <x:v>GearboxGoober</x:v>
      </x:c>
      <x:c r="D39" t="n">
        <x:v>8</x:v>
      </x:c>
      <x:c r="E39" t="str">
        <x:v>Newcomer</x:v>
      </x:c>
      <x:c r="F39" t="str">
        <x:v>Standard</x:v>
      </x:c>
      <x:c r="G39" t="n">
        <x:v>43703</x:v>
      </x:c>
      <x:c r="H39" t="str">
        <x:v>20899</x:v>
      </x:c>
      <x:c r="I39" t="str">
        <x:v>https://www.smwcentral.net/?a=details&amp;id=20899&amp;p=section</x:v>
      </x:c>
      <x:c r="J39" t="str">
        <x:v>https://dl.smwcentral.net/20899/8%20Trials%20Await.zip</x:v>
      </x:c>
    </x:row>
    <x:row r="40">
      <x:c r="A40" t="str">
        <x:v>8-bit Mario World - Desert Mario</x:v>
      </x:c>
      <x:c r="B40" t="str">
        <x:v>8-bit Mario World - Desert Mario</x:v>
      </x:c>
      <x:c r="C40" t="str">
        <x:v>Green Jerry</x:v>
      </x:c>
      <x:c r="D40" t="n">
        <x:v>1</x:v>
      </x:c>
      <x:c r="E40" t="str">
        <x:v>Newcomer</x:v>
      </x:c>
      <x:c r="F40" t="str">
        <x:v>Standard</x:v>
      </x:c>
      <x:c r="G40" t="n">
        <x:v>42690</x:v>
      </x:c>
      <x:c r="H40" t="str">
        <x:v>14593</x:v>
      </x:c>
      <x:c r="I40" t="str">
        <x:v>https://www.smwcentral.net/?a=details&amp;id=14593&amp;p=section</x:v>
      </x:c>
      <x:c r="J40" t="str">
        <x:v>https://dl.smwcentral.net/14593/8-bit%20Mario%20World%20-%20Desert%20Mario%20ver.%201.3.zip</x:v>
      </x:c>
    </x:row>
    <x:row r="41">
      <x:c r="A41" t="str">
        <x:v>8:40</x:v>
      </x:c>
      <x:c r="B41" t="str">
        <x:v>8:40</x:v>
      </x:c>
      <x:c r="C41" t="str">
        <x:v>Irondill</x:v>
      </x:c>
      <x:c r="D41" t="n">
        <x:v>0</x:v>
      </x:c>
      <x:c r="E41" t="str">
        <x:v>Advanced</x:v>
      </x:c>
      <x:c r="F41" t="str">
        <x:v>Kaizo</x:v>
      </x:c>
      <x:c r="G41" t="n">
        <x:v>44420</x:v>
      </x:c>
      <x:c r="H41" t="str">
        <x:v>27975</x:v>
      </x:c>
      <x:c r="I41" t="str">
        <x:v>https://www.smwcentral.net/?a=details&amp;id=27975&amp;p=section</x:v>
      </x:c>
      <x:c r="J41" t="str">
        <x:v>https://dl.smwcentral.net/27975/8%3B40.zip</x:v>
      </x:c>
    </x:row>
    <x:row r="42">
      <x:c r="A42" t="str">
        <x:v>9 Dreams</x:v>
      </x:c>
      <x:c r="B42" t="str">
        <x:v>9 Dreams</x:v>
      </x:c>
      <x:c r="C42" t="str">
        <x:v>VLSkoot</x:v>
      </x:c>
      <x:c r="D42" t="n">
        <x:v>9</x:v>
      </x:c>
      <x:c r="E42" t="str">
        <x:v>Expert</x:v>
      </x:c>
      <x:c r="F42" t="str">
        <x:v>Kaizo</x:v>
      </x:c>
      <x:c r="G42" t="n">
        <x:v>45617</x:v>
      </x:c>
      <x:c r="H42" t="str">
        <x:v>38806</x:v>
      </x:c>
      <x:c r="I42" t="str">
        <x:v>https://www.smwcentral.net/?a=details&amp;id=38806&amp;p=section</x:v>
      </x:c>
      <x:c r="J42" t="str">
        <x:v>https://dl.smwcentral.net/38806/9%20Dreams.zip</x:v>
      </x:c>
    </x:row>
    <x:row r="43">
      <x:c r="A43" t="str">
        <x:v>9 LONG ADVENTURES</x:v>
      </x:c>
      <x:c r="B43" t="str">
        <x:v>9 LONG ADVENTURES</x:v>
      </x:c>
      <x:c r="C43" t="str">
        <x:v>Jonathan82GR</x:v>
      </x:c>
      <x:c r="D43" t="n">
        <x:v>10</x:v>
      </x:c>
      <x:c r="E43" t="str">
        <x:v>Intermediate</x:v>
      </x:c>
      <x:c r="F43" t="str">
        <x:v>Standard</x:v>
      </x:c>
      <x:c r="G43" t="n">
        <x:v>43865</x:v>
      </x:c>
      <x:c r="H43" t="str">
        <x:v>21890</x:v>
      </x:c>
      <x:c r="I43" t="str">
        <x:v>https://www.smwcentral.net/?a=details&amp;id=21890&amp;p=section</x:v>
      </x:c>
      <x:c r="J43" t="str">
        <x:v>https://dl.smwcentral.net/21890/9LA.zip</x:v>
      </x:c>
    </x:row>
    <x:row r="44">
      <x:c r="A44" t="str">
        <x:v>[Demo] Mario Adventure Land</x:v>
      </x:c>
      <x:c r="B44" t="str">
        <x:v>[Demo] Mario Adventure Land</x:v>
      </x:c>
      <x:c r="C44" t="str">
        <x:v>Ennui Goldfeld</x:v>
      </x:c>
      <x:c r="D44" t="n">
        <x:v>5</x:v>
      </x:c>
      <x:c r="E44" t="str">
        <x:v>Casual</x:v>
      </x:c>
      <x:c r="F44" t="str">
        <x:v>Standard</x:v>
      </x:c>
      <x:c r="G44" t="n">
        <x:v>45477</x:v>
      </x:c>
      <x:c r="H44" t="str">
        <x:v>37997</x:v>
      </x:c>
      <x:c r="I44" t="str">
        <x:v>https://www.smwcentral.net/?a=details&amp;id=37997&amp;p=section</x:v>
      </x:c>
      <x:c r="J44" t="str">
        <x:v>https://dl.smwcentral.net/37997/Mario%20Adventure%20Land.zip</x:v>
      </x:c>
    </x:row>
    <x:row r="45">
      <x:c r="A45" t="str">
        <x:v>A Baby Yoshi Quest</x:v>
      </x:c>
      <x:c r="B45" t="str">
        <x:v>A Baby Yoshi Quest</x:v>
      </x:c>
      <x:c r="C45" t="str">
        <x:v>that1bigbossyouhate</x:v>
      </x:c>
      <x:c r="D45" t="n">
        <x:v>9</x:v>
      </x:c>
      <x:c r="E45" t="str">
        <x:v>Intermediate</x:v>
      </x:c>
      <x:c r="F45" t="str">
        <x:v>Standard</x:v>
      </x:c>
      <x:c r="G45" t="n">
        <x:v>44006</x:v>
      </x:c>
      <x:c r="H45" t="str">
        <x:v>23415</x:v>
      </x:c>
      <x:c r="I45" t="str">
        <x:v>https://www.smwcentral.net/?a=details&amp;id=23415&amp;p=section</x:v>
      </x:c>
      <x:c r="J45" t="str">
        <x:v>https://dl.smwcentral.net/23415/A%20BABY%20YOSHI%20QUEST%201.5%20%28DEMO%29.zip</x:v>
      </x:c>
    </x:row>
    <x:row r="46">
      <x:c r="A46" t="str">
        <x:v>A Chance for Glory</x:v>
      </x:c>
      <x:c r="B46" t="str">
        <x:v>A Chance for Glory</x:v>
      </x:c>
      <x:c r="C46" t="str">
        <x:v>Nciktendo</x:v>
      </x:c>
      <x:c r="D46" t="n">
        <x:v>0</x:v>
      </x:c>
      <x:c r="E46" t="str">
        <x:v>Intermediate</x:v>
      </x:c>
      <x:c r="F46" t="str">
        <x:v>Standard, Kaizo</x:v>
      </x:c>
      <x:c r="G46" t="n">
        <x:v>44946</x:v>
      </x:c>
      <x:c r="H46" t="str">
        <x:v>32181</x:v>
      </x:c>
      <x:c r="I46" t="str">
        <x:v>https://www.smwcentral.net/?a=details&amp;id=32181&amp;p=section</x:v>
      </x:c>
      <x:c r="J46" t="str">
        <x:v>https://dl.smwcentral.net/32181/A_Chance_for_Glory.zip</x:v>
      </x:c>
    </x:row>
    <x:row r="47">
      <x:c r="A47" t="str">
        <x:v>A Christmas Gift</x:v>
      </x:c>
      <x:c r="B47" t="str">
        <x:v>A Christmas Gift</x:v>
      </x:c>
      <x:c r="C47" t="str">
        <x:v>The_Uber_Camper</x:v>
      </x:c>
      <x:c r="D47" t="n">
        <x:v>4</x:v>
      </x:c>
      <x:c r="E47" t="str">
        <x:v>Intermediate</x:v>
      </x:c>
      <x:c r="F47" t="str">
        <x:v>Kaizo</x:v>
      </x:c>
      <x:c r="G47" t="n">
        <x:v>44540</x:v>
      </x:c>
      <x:c r="H47" t="str">
        <x:v>28957</x:v>
      </x:c>
      <x:c r="I47" t="str">
        <x:v>https://www.smwcentral.net/?a=details&amp;id=28957&amp;p=section</x:v>
      </x:c>
      <x:c r="J47" t="str">
        <x:v>https://dl.smwcentral.net/28957/AChristmasGift.zip</x:v>
      </x:c>
    </x:row>
    <x:row r="48">
      <x:c r="A48" t="str">
        <x:v>A Christmas Gift: Timmy's Final Gift</x:v>
      </x:c>
      <x:c r="B48" t="str">
        <x:v>A Christmas Gift: Timmy's Final Gift</x:v>
      </x:c>
      <x:c r="C48" t="str">
        <x:v>The_Uber_Camper</x:v>
      </x:c>
      <x:c r="D48" t="n">
        <x:v>5</x:v>
      </x:c>
      <x:c r="E48" t="str">
        <x:v>Advanced</x:v>
      </x:c>
      <x:c r="F48" t="str">
        <x:v>Kaizo</x:v>
      </x:c>
      <x:c r="G48" t="n">
        <x:v>45268</x:v>
      </x:c>
      <x:c r="H48" t="str">
        <x:v>35663</x:v>
      </x:c>
      <x:c r="I48" t="str">
        <x:v>https://www.smwcentral.net/?a=details&amp;id=35663&amp;p=section</x:v>
      </x:c>
      <x:c r="J48" t="str">
        <x:v>https://dl.smwcentral.net/35663/A%20Christmas%20Gift%20-%20Timmy%27s%20Final%20Gift.zip</x:v>
      </x:c>
    </x:row>
    <x:row r="49">
      <x:c r="A49" t="str">
        <x:v>A Christmas Walk</x:v>
      </x:c>
      <x:c r="B49" t="str">
        <x:v>A Christmas Walk</x:v>
      </x:c>
      <x:c r="C49" t="str">
        <x:v>MATTAN</x:v>
      </x:c>
      <x:c r="D49" t="n">
        <x:v>1</x:v>
      </x:c>
      <x:c r="E49" t="str">
        <x:v>Casual</x:v>
      </x:c>
      <x:c r="F49" t="str">
        <x:v>Standard</x:v>
      </x:c>
      <x:c r="G49" t="n">
        <x:v>43827</x:v>
      </x:c>
      <x:c r="H49" t="str">
        <x:v>21704</x:v>
      </x:c>
      <x:c r="I49" t="str">
        <x:v>https://www.smwcentral.net/?a=details&amp;id=21704&amp;p=section</x:v>
      </x:c>
      <x:c r="J49" t="str">
        <x:v>https://dl.smwcentral.net/21704/A%20christmas%20walk%20%28Music%20Fixed%29.zip</x:v>
      </x:c>
    </x:row>
    <x:row r="50">
      <x:c r="A50" t="str">
        <x:v>A Cold Day In Shell</x:v>
      </x:c>
      <x:c r="B50" t="str">
        <x:v>A Cold Day In Shell</x:v>
      </x:c>
      <x:c r="C50" t="str">
        <x:v>Ryuoxel</x:v>
      </x:c>
      <x:c r="D50" t="n">
        <x:v>7</x:v>
      </x:c>
      <x:c r="E50" t="str">
        <x:v>Expert</x:v>
      </x:c>
      <x:c r="F50" t="str">
        <x:v>Kaizo</x:v>
      </x:c>
      <x:c r="G50" t="n">
        <x:v>45533</x:v>
      </x:c>
      <x:c r="H50" t="str">
        <x:v>38259</x:v>
      </x:c>
      <x:c r="I50" t="str">
        <x:v>https://www.smwcentral.net/?a=details&amp;id=38259&amp;p=section</x:v>
      </x:c>
      <x:c r="J50" t="str">
        <x:v>https://dl.smwcentral.net/38259/A%20Cold%20Day%20In%20Shell.zip</x:v>
      </x:c>
    </x:row>
    <x:row r="51">
      <x:c r="A51" t="str">
        <x:v>A Difficult Journey</x:v>
      </x:c>
      <x:c r="B51" t="str">
        <x:v>A Difficult Journey</x:v>
      </x:c>
      <x:c r="C51" t="str">
        <x:v>Cal-of-Gearva</x:v>
      </x:c>
      <x:c r="D51" t="n">
        <x:v>12</x:v>
      </x:c>
      <x:c r="E51" t="str">
        <x:v>Casual</x:v>
      </x:c>
      <x:c r="F51" t="str">
        <x:v>Standard</x:v>
      </x:c>
      <x:c r="G51" t="n">
        <x:v>43918</x:v>
      </x:c>
      <x:c r="H51" t="str">
        <x:v>22376</x:v>
      </x:c>
      <x:c r="I51" t="str">
        <x:v>https://www.smwcentral.net/?a=details&amp;id=22376&amp;p=section</x:v>
      </x:c>
      <x:c r="J51" t="str">
        <x:v>https://dl.smwcentral.net/22376/A%20Difficult%20Journey.zip</x:v>
      </x:c>
    </x:row>
    <x:row r="52">
      <x:c r="A52" t="str">
        <x:v>A FIP</x:v>
      </x:c>
      <x:c r="B52" t="str">
        <x:v>A FIP</x:v>
      </x:c>
      <x:c r="C52" t="str">
        <x:v>NikSik1</x:v>
      </x:c>
      <x:c r="D52" t="n">
        <x:v>0</x:v>
      </x:c>
      <x:c r="E52" t="str">
        <x:v>Master</x:v>
      </x:c>
      <x:c r="F52" t="str">
        <x:v>Kaizo</x:v>
      </x:c>
      <x:c r="G52" t="n">
        <x:v>44794</x:v>
      </x:c>
      <x:c r="H52" t="str">
        <x:v>31904</x:v>
      </x:c>
      <x:c r="I52" t="str">
        <x:v>https://www.smwcentral.net/?a=details&amp;id=31904&amp;p=section</x:v>
      </x:c>
      <x:c r="J52" t="str">
        <x:v>https://dl.smwcentral.net/31904/A%20FIP.zip</x:v>
      </x:c>
    </x:row>
    <x:row r="53">
      <x:c r="A53" t="str">
        <x:v>A Frivolous Journey</x:v>
      </x:c>
      <x:c r="B53" t="str">
        <x:v>A Frivolous Journey</x:v>
      </x:c>
      <x:c r="C53" t="str">
        <x:v>Chromite</x:v>
      </x:c>
      <x:c r="D53" t="n">
        <x:v>7</x:v>
      </x:c>
      <x:c r="E53" t="str">
        <x:v>Casual</x:v>
      </x:c>
      <x:c r="F53" t="str">
        <x:v>Standard</x:v>
      </x:c>
      <x:c r="G53" t="n">
        <x:v>42710</x:v>
      </x:c>
      <x:c r="H53" t="str">
        <x:v>14688</x:v>
      </x:c>
      <x:c r="I53" t="str">
        <x:v>https://www.smwcentral.net/?a=details&amp;id=14688&amp;p=section</x:v>
      </x:c>
      <x:c r="J53" t="str">
        <x:v>https://dl.smwcentral.net/14688/frivolous.zip</x:v>
      </x:c>
    </x:row>
    <x:row r="54">
      <x:c r="A54" t="str">
        <x:v>A Goblin's Quest to Leave Her House and Get a Gyro For Lunch Because She Was Hungry</x:v>
      </x:c>
      <x:c r="B54" t="str">
        <x:v>A Goblin's Quest to Leave Her House and Get a Gyro For Lunch Because She Was Hungry</x:v>
      </x:c>
      <x:c r="C54" t="str">
        <x:v>Lizstar</x:v>
      </x:c>
      <x:c r="D54" t="n">
        <x:v>24</x:v>
      </x:c>
      <x:c r="E54" t="str">
        <x:v>Expert</x:v>
      </x:c>
      <x:c r="F54" t="str">
        <x:v>Kaizo</x:v>
      </x:c>
      <x:c r="G54" t="n">
        <x:v>44342</x:v>
      </x:c>
      <x:c r="H54" t="str">
        <x:v>26928</x:v>
      </x:c>
      <x:c r="I54" t="str">
        <x:v>https://www.smwcentral.net/?a=details&amp;id=26928&amp;p=section</x:v>
      </x:c>
      <x:c r="J54" t="str">
        <x:v>https://dl.smwcentral.net/26928/A%20Goblin%27s%20Quest.zip</x:v>
      </x:c>
    </x:row>
    <x:row r="55">
      <x:c r="A55" t="str">
        <x:v>A Goomba's Walk</x:v>
      </x:c>
      <x:c r="B55" t="str">
        <x:v>A Goomba's Walk</x:v>
      </x:c>
      <x:c r="C55" t="str">
        <x:v>Luks</x:v>
      </x:c>
      <x:c r="D55" t="n">
        <x:v>7</x:v>
      </x:c>
      <x:c r="E55" t="str">
        <x:v>Intermediate</x:v>
      </x:c>
      <x:c r="F55" t="str">
        <x:v>Standard</x:v>
      </x:c>
      <x:c r="G55" t="n">
        <x:v>42013</x:v>
      </x:c>
      <x:c r="H55" t="str">
        <x:v>10456</x:v>
      </x:c>
      <x:c r="I55" t="str">
        <x:v>https://www.smwcentral.net/?a=details&amp;id=10456&amp;p=section</x:v>
      </x:c>
      <x:c r="J55" t="str">
        <x:v>https://dl.smwcentral.net/10456/GW.zip</x:v>
      </x:c>
    </x:row>
    <x:row r="56">
      <x:c r="A56" t="str">
        <x:v>A Hack Thing</x:v>
      </x:c>
      <x:c r="B56" t="str">
        <x:v>A Hack Thing</x:v>
      </x:c>
      <x:c r="C56" t="str">
        <x:v>MercuryPenny</x:v>
      </x:c>
      <x:c r="D56" t="n">
        <x:v>11</x:v>
      </x:c>
      <x:c r="E56" t="str">
        <x:v>Newcomer</x:v>
      </x:c>
      <x:c r="F56" t="str">
        <x:v>Standard</x:v>
      </x:c>
      <x:c r="G56" t="n">
        <x:v>42011</x:v>
      </x:c>
      <x:c r="H56" t="str">
        <x:v>10416</x:v>
      </x:c>
      <x:c r="I56" t="str">
        <x:v>https://www.smwcentral.net/?a=details&amp;id=10416&amp;p=section</x:v>
      </x:c>
      <x:c r="J56" t="str">
        <x:v>https://dl.smwcentral.net/10416/A%20Hack%20Thing%20v1.3.zip</x:v>
      </x:c>
    </x:row>
    <x:row r="57">
      <x:c r="A57" t="str">
        <x:v>A Hack Thing 2</x:v>
      </x:c>
      <x:c r="B57" t="str">
        <x:v>A Hack Thing 2</x:v>
      </x:c>
      <x:c r="C57" t="str">
        <x:v>MercuryPenny</x:v>
      </x:c>
      <x:c r="D57" t="n">
        <x:v>12</x:v>
      </x:c>
      <x:c r="E57" t="str">
        <x:v>Casual</x:v>
      </x:c>
      <x:c r="F57" t="str">
        <x:v>Standard</x:v>
      </x:c>
      <x:c r="G57" t="n">
        <x:v>42069</x:v>
      </x:c>
      <x:c r="H57" t="str">
        <x:v>10928</x:v>
      </x:c>
      <x:c r="I57" t="str">
        <x:v>https://www.smwcentral.net/?a=details&amp;id=10928&amp;p=section</x:v>
      </x:c>
      <x:c r="J57" t="str">
        <x:v>https://dl.smwcentral.net/10928/a%20hack%20thing%202.zip</x:v>
      </x:c>
    </x:row>
    <x:row r="58">
      <x:c r="A58" t="str">
        <x:v>A Halloween Walk</x:v>
      </x:c>
      <x:c r="B58" t="str">
        <x:v>A Halloween Walk</x:v>
      </x:c>
      <x:c r="C58" t="str">
        <x:v>MATTAN</x:v>
      </x:c>
      <x:c r="D58" t="n">
        <x:v>7</x:v>
      </x:c>
      <x:c r="E58" t="str">
        <x:v>Casual</x:v>
      </x:c>
      <x:c r="F58" t="str">
        <x:v>Standard</x:v>
      </x:c>
      <x:c r="G58" t="n">
        <x:v>43838</x:v>
      </x:c>
      <x:c r="H58" t="str">
        <x:v>21887</x:v>
      </x:c>
      <x:c r="I58" t="str">
        <x:v>https://www.smwcentral.net/?a=details&amp;id=21887&amp;p=section</x:v>
      </x:c>
      <x:c r="J58" t="str">
        <x:v>https://dl.smwcentral.net/21887/A%20halloween%20walk%20%28Music%20Fixed%29.zip</x:v>
      </x:c>
    </x:row>
    <x:row r="59">
      <x:c r="A59" t="str">
        <x:v>A Haunted Christmas</x:v>
      </x:c>
      <x:c r="B59" t="str">
        <x:v>A Haunted Christmas</x:v>
      </x:c>
      <x:c r="C59" t="str">
        <x:v>Team Haunted</x:v>
      </x:c>
      <x:c r="D59" t="n">
        <x:v>7</x:v>
      </x:c>
      <x:c r="E59" t="str">
        <x:v>Casual</x:v>
      </x:c>
      <x:c r="F59" t="str">
        <x:v>Standard</x:v>
      </x:c>
      <x:c r="G59" t="n">
        <x:v>44297</x:v>
      </x:c>
      <x:c r="H59" t="str">
        <x:v>26660</x:v>
      </x:c>
      <x:c r="I59" t="str">
        <x:v>https://www.smwcentral.net/?a=details&amp;id=26660&amp;p=section</x:v>
      </x:c>
      <x:c r="J59" t="str">
        <x:v>https://dl.smwcentral.net/26660/A%20Haunted%20Christmas.zip</x:v>
      </x:c>
    </x:row>
    <x:row r="60">
      <x:c r="A60" t="str">
        <x:v>A Haunting at Chateau Cousseaux</x:v>
      </x:c>
      <x:c r="B60" t="str">
        <x:v>A Haunting at Chateau Cousseaux</x:v>
      </x:c>
      <x:c r="C60" t="str">
        <x:v>NixKillsMyths</x:v>
      </x:c>
      <x:c r="D60" t="n">
        <x:v>9</x:v>
      </x:c>
      <x:c r="E60" t="str">
        <x:v>Grandmaster</x:v>
      </x:c>
      <x:c r="F60" t="str">
        <x:v>Kaizo</x:v>
      </x:c>
      <x:c r="G60" t="n">
        <x:v>45666</x:v>
      </x:c>
      <x:c r="H60" t="str">
        <x:v>38820</x:v>
      </x:c>
      <x:c r="I60" t="str">
        <x:v>https://www.smwcentral.net/?a=details&amp;id=38820&amp;p=section</x:v>
      </x:c>
      <x:c r="J60" t="str">
        <x:v>https://dl.smwcentral.net/38820/A%20Haunting%20at%20Chateau%20Cousseaux%20%281.3%29.zip</x:v>
      </x:c>
    </x:row>
    <x:row r="61">
      <x:c r="A61" t="str">
        <x:v>A Helping Hand</x:v>
      </x:c>
      <x:c r="B61" t="str">
        <x:v>A Helping Hand</x:v>
      </x:c>
      <x:c r="C61" t="str">
        <x:v>NewPointless, schema_tuna</x:v>
      </x:c>
      <x:c r="D61" t="n">
        <x:v>7</x:v>
      </x:c>
      <x:c r="E61" t="str">
        <x:v>Casual</x:v>
      </x:c>
      <x:c r="F61" t="str">
        <x:v>Standard</x:v>
      </x:c>
      <x:c r="G61" t="n">
        <x:v>45398</x:v>
      </x:c>
      <x:c r="H61" t="str">
        <x:v>37605</x:v>
      </x:c>
      <x:c r="I61" t="str">
        <x:v>https://www.smwcentral.net/?a=details&amp;id=37605&amp;p=section</x:v>
      </x:c>
      <x:c r="J61" t="str">
        <x:v>https://dl.smwcentral.net/37605/AHelpingHand1_2.zip</x:v>
      </x:c>
    </x:row>
    <x:row r="62">
      <x:c r="A62" t="str">
        <x:v>A Journey To Save The Yoshis</x:v>
      </x:c>
      <x:c r="B62" t="str">
        <x:v>A Journey To Save The Yoshis</x:v>
      </x:c>
      <x:c r="C62" t="str">
        <x:v>Yoshivert99</x:v>
      </x:c>
      <x:c r="D62" t="n">
        <x:v>19</x:v>
      </x:c>
      <x:c r="E62" t="str">
        <x:v>Casual</x:v>
      </x:c>
      <x:c r="F62" t="str">
        <x:v>Standard</x:v>
      </x:c>
      <x:c r="G62" t="n">
        <x:v>43730</x:v>
      </x:c>
      <x:c r="H62" t="str">
        <x:v>21194</x:v>
      </x:c>
      <x:c r="I62" t="str">
        <x:v>https://www.smwcentral.net/?a=details&amp;id=21194&amp;p=section</x:v>
      </x:c>
      <x:c r="J62" t="str">
        <x:v>https://dl.smwcentral.net/21194/A%20Journey%20to%20Save%20the%20Yoshis%20%281.7.1%29.zip</x:v>
      </x:c>
    </x:row>
    <x:row r="63">
      <x:c r="A63" t="str">
        <x:v>A Kaizo Adventure</x:v>
      </x:c>
      <x:c r="B63" t="str">
        <x:v>A Kaizo Adventure</x:v>
      </x:c>
      <x:c r="C63" t="str">
        <x:v>GbreezeSunset</x:v>
      </x:c>
      <x:c r="D63" t="n">
        <x:v>1</x:v>
      </x:c>
      <x:c r="E63" t="str">
        <x:v>Master</x:v>
      </x:c>
      <x:c r="F63" t="str">
        <x:v>Kaizo</x:v>
      </x:c>
      <x:c r="G63" t="n">
        <x:v>42133</x:v>
      </x:c>
      <x:c r="H63" t="str">
        <x:v>11306</x:v>
      </x:c>
      <x:c r="I63" t="str">
        <x:v>https://www.smwcentral.net/?a=details&amp;id=11306&amp;p=section</x:v>
      </x:c>
      <x:c r="J63" t="str">
        <x:v>https://dl.smwcentral.net/11306/A%20Kaizo%20Adventure.zip</x:v>
      </x:c>
    </x:row>
    <x:row r="64">
      <x:c r="A64" t="str">
        <x:v>A Kekcroc Christmas</x:v>
      </x:c>
      <x:c r="B64" t="str">
        <x:v>A Kekcroc Christmas</x:v>
      </x:c>
      <x:c r="C64" t="str">
        <x:v>Knucklesfan</x:v>
      </x:c>
      <x:c r="D64" t="n">
        <x:v>5</x:v>
      </x:c>
      <x:c r="E64" t="str">
        <x:v>Casual</x:v>
      </x:c>
      <x:c r="F64" t="str">
        <x:v>Standard</x:v>
      </x:c>
      <x:c r="G64" t="n">
        <x:v>43461</x:v>
      </x:c>
      <x:c r="H64" t="str">
        <x:v>18734</x:v>
      </x:c>
      <x:c r="I64" t="str">
        <x:v>https://www.smwcentral.net/?a=details&amp;id=18734&amp;p=section</x:v>
      </x:c>
      <x:c r="J64" t="str">
        <x:v>https://dl.smwcentral.net/18734/A%20Kekcroc%20Christmas.zip</x:v>
      </x:c>
    </x:row>
    <x:row r="65">
      <x:c r="A65" t="str">
        <x:v>A Land That is Super</x:v>
      </x:c>
      <x:c r="B65" t="str">
        <x:v>A Land That is Super</x:v>
      </x:c>
      <x:c r="C65" t="str">
        <x:v>NAM</x:v>
      </x:c>
      <x:c r="D65" t="n">
        <x:v>25</x:v>
      </x:c>
      <x:c r="E65" t="str">
        <x:v>Intermediate</x:v>
      </x:c>
      <x:c r="F65" t="str">
        <x:v>Standard</x:v>
      </x:c>
      <x:c r="G65" t="n">
        <x:v>42207</x:v>
      </x:c>
      <x:c r="H65" t="str">
        <x:v>10147</x:v>
      </x:c>
      <x:c r="I65" t="str">
        <x:v>https://www.smwcentral.net/?a=details&amp;id=10147&amp;p=section</x:v>
      </x:c>
      <x:c r="J65" t="str">
        <x:v>https://dl.smwcentral.net/10147/ALTiS_C3X.zip</x:v>
      </x:c>
    </x:row>
    <x:row r="66">
      <x:c r="A66" t="str">
        <x:v>A Lenda do Herói (Songs for a Hero)</x:v>
      </x:c>
      <x:c r="B66" t="str">
        <x:v>A Lenda do Herói (Songs for a Hero)</x:v>
      </x:c>
      <x:c r="C66" t="str">
        <x:v>TheMURAmatsu</x:v>
      </x:c>
      <x:c r="D66" t="n">
        <x:v>25</x:v>
      </x:c>
      <x:c r="E66" t="str">
        <x:v>Intermediate</x:v>
      </x:c>
      <x:c r="F66" t="str">
        <x:v>Standard</x:v>
      </x:c>
      <x:c r="G66" t="n">
        <x:v>43980</x:v>
      </x:c>
      <x:c r="H66" t="str">
        <x:v>23107</x:v>
      </x:c>
      <x:c r="I66" t="str">
        <x:v>https://www.smwcentral.net/?a=details&amp;id=23107&amp;p=section</x:v>
      </x:c>
      <x:c r="J66" t="str">
        <x:v>https://dl.smwcentral.net/23107/V2-2020-A-Lenda-do-Heroi-Songs_for-a-Hero.zip</x:v>
      </x:c>
    </x:row>
    <x:row r="67">
      <x:c r="A67" t="str">
        <x:v>A Mario Place</x:v>
      </x:c>
      <x:c r="B67" t="str">
        <x:v>A Mario Place</x:v>
      </x:c>
      <x:c r="C67" t="str">
        <x:v>salem</x:v>
      </x:c>
      <x:c r="D67" t="n">
        <x:v>7</x:v>
      </x:c>
      <x:c r="E67" t="str">
        <x:v>Casual</x:v>
      </x:c>
      <x:c r="F67" t="str">
        <x:v>Standard</x:v>
      </x:c>
      <x:c r="G67" t="n">
        <x:v>42218</x:v>
      </x:c>
      <x:c r="H67" t="str">
        <x:v>10014</x:v>
      </x:c>
      <x:c r="I67" t="str">
        <x:v>https://www.smwcentral.net/?a=details&amp;id=10014&amp;p=section</x:v>
      </x:c>
      <x:c r="J67" t="str">
        <x:v>https://dl.smwcentral.net/10014/AMPD.zip</x:v>
      </x:c>
    </x:row>
    <x:row r="68">
      <x:c r="A68" t="str">
        <x:v>A Maxi Mini Hack</x:v>
      </x:c>
      <x:c r="B68" t="str">
        <x:v>A Maxi Mini Hack</x:v>
      </x:c>
      <x:c r="C68" t="str">
        <x:v>noon</x:v>
      </x:c>
      <x:c r="D68" t="n">
        <x:v>8</x:v>
      </x:c>
      <x:c r="E68" t="str">
        <x:v>Newcomer</x:v>
      </x:c>
      <x:c r="F68" t="str">
        <x:v>Standard</x:v>
      </x:c>
      <x:c r="G68" t="n">
        <x:v>41543</x:v>
      </x:c>
      <x:c r="H68" t="str">
        <x:v>5480</x:v>
      </x:c>
      <x:c r="I68" t="str">
        <x:v>https://www.smwcentral.net/?a=details&amp;id=5480&amp;p=section</x:v>
      </x:c>
      <x:c r="J68" t="str">
        <x:v>https://dl.smwcentral.net/5480/A%20Maxi%20Mini%20Hack.zip</x:v>
      </x:c>
    </x:row>
    <x:row r="69">
      <x:c r="A69" t="str">
        <x:v>A Maxi Mini Hack B-Sides</x:v>
      </x:c>
      <x:c r="B69" t="str">
        <x:v>A Maxi Mini Hack B-Sides</x:v>
      </x:c>
      <x:c r="C69" t="str">
        <x:v>noon</x:v>
      </x:c>
      <x:c r="D69" t="n">
        <x:v>3</x:v>
      </x:c>
      <x:c r="E69" t="str">
        <x:v>Casual</x:v>
      </x:c>
      <x:c r="F69" t="str">
        <x:v>Standard</x:v>
      </x:c>
      <x:c r="G69" t="n">
        <x:v>42062</x:v>
      </x:c>
      <x:c r="H69" t="str">
        <x:v>9973</x:v>
      </x:c>
      <x:c r="I69" t="str">
        <x:v>https://www.smwcentral.net/?a=details&amp;id=9973&amp;p=section</x:v>
      </x:c>
      <x:c r="J69" t="str">
        <x:v>https://dl.smwcentral.net/9973/A%20Maxi%20Mini%20Hack%20B-Sides.zip</x:v>
      </x:c>
    </x:row>
    <x:row r="70">
      <x:c r="A70" t="str">
        <x:v>A Metal Hack</x:v>
      </x:c>
      <x:c r="B70" t="str">
        <x:v>A Metal Hack</x:v>
      </x:c>
      <x:c r="C70" t="str">
        <x:v>Eric Maia</x:v>
      </x:c>
      <x:c r="D70" t="n">
        <x:v>5</x:v>
      </x:c>
      <x:c r="E70" t="str">
        <x:v>Newcomer</x:v>
      </x:c>
      <x:c r="F70" t="str">
        <x:v>Standard</x:v>
      </x:c>
      <x:c r="G70" t="n">
        <x:v>42309</x:v>
      </x:c>
      <x:c r="H70" t="str">
        <x:v>10266</x:v>
      </x:c>
      <x:c r="I70" t="str">
        <x:v>https://www.smwcentral.net/?a=details&amp;id=10266&amp;p=section</x:v>
      </x:c>
      <x:c r="J70" t="str">
        <x:v>https://dl.smwcentral.net/10266/A%20Metal%20Hack%20Demo.zip</x:v>
      </x:c>
    </x:row>
    <x:row r="71">
      <x:c r="A71" t="str">
        <x:v>A Mole in Space</x:v>
      </x:c>
      <x:c r="B71" t="str">
        <x:v>A Mole in Space</x:v>
      </x:c>
      <x:c r="C71" t="str">
        <x:v>Anorakun, Dark Prince, Donut, NopeContest, Segment1Zone2</x:v>
      </x:c>
      <x:c r="D71" t="n">
        <x:v>0</x:v>
      </x:c>
      <x:c r="E71" t="str">
        <x:v>Advanced</x:v>
      </x:c>
      <x:c r="F71" t="str">
        <x:v>Standard</x:v>
      </x:c>
      <x:c r="G71" t="n">
        <x:v>44613</x:v>
      </x:c>
      <x:c r="H71" t="str">
        <x:v>29849</x:v>
      </x:c>
      <x:c r="I71" t="str">
        <x:v>https://www.smwcentral.net/?a=details&amp;id=29849&amp;p=section</x:v>
      </x:c>
      <x:c r="J71" t="str">
        <x:v>https://dl.smwcentral.net/29849/A%20Mole%20in%20Space%20Ver.%202.3.zip</x:v>
      </x:c>
    </x:row>
    <x:row r="72">
      <x:c r="A72" t="str">
        <x:v>A New Journey</x:v>
      </x:c>
      <x:c r="B72" t="str">
        <x:v>A New Journey</x:v>
      </x:c>
      <x:c r="C72" t="str">
        <x:v>GvS</x:v>
      </x:c>
      <x:c r="D72" t="n">
        <x:v>8</x:v>
      </x:c>
      <x:c r="E72" t="str">
        <x:v>Casual</x:v>
      </x:c>
      <x:c r="F72" t="str">
        <x:v>Standard</x:v>
      </x:c>
      <x:c r="G72" t="n">
        <x:v>42301</x:v>
      </x:c>
      <x:c r="H72" t="str">
        <x:v>10051</x:v>
      </x:c>
      <x:c r="I72" t="str">
        <x:v>https://www.smwcentral.net/?a=details&amp;id=10051&amp;p=section</x:v>
      </x:c>
      <x:c r="J72" t="str">
        <x:v>https://dl.smwcentral.net/10051/A%20New%20Journey.zip</x:v>
      </x:c>
    </x:row>
    <x:row r="73">
      <x:c r="A73" t="str">
        <x:v>A New Year Walk</x:v>
      </x:c>
      <x:c r="B73" t="str">
        <x:v>A New Year Walk</x:v>
      </x:c>
      <x:c r="C73" t="str">
        <x:v>MATTAN</x:v>
      </x:c>
      <x:c r="D73" t="n">
        <x:v>1</x:v>
      </x:c>
      <x:c r="E73" t="str">
        <x:v>Casual</x:v>
      </x:c>
      <x:c r="F73" t="str">
        <x:v>Standard</x:v>
      </x:c>
      <x:c r="G73" t="n">
        <x:v>43907</x:v>
      </x:c>
      <x:c r="H73" t="str">
        <x:v>22382</x:v>
      </x:c>
      <x:c r="I73" t="str">
        <x:v>https://www.smwcentral.net/?a=details&amp;id=22382&amp;p=section</x:v>
      </x:c>
      <x:c r="J73" t="str">
        <x:v>https://dl.smwcentral.net/22382/A%20new%20year%20walk%20%28Music%20Fixed%29.zip</x:v>
      </x:c>
    </x:row>
    <x:row r="74">
      <x:c r="A74" t="str">
        <x:v>A Plumber For All Seasons</x:v>
      </x:c>
      <x:c r="B74" t="str">
        <x:v>A Plumber For All Seasons</x:v>
      </x:c>
      <x:c r="C74" t="str">
        <x:v>wye</x:v>
      </x:c>
      <x:c r="D74" t="n">
        <x:v>41</x:v>
      </x:c>
      <x:c r="E74" t="str">
        <x:v>Casual</x:v>
      </x:c>
      <x:c r="F74" t="str">
        <x:v>Standard</x:v>
      </x:c>
      <x:c r="G74" t="n">
        <x:v>44540</x:v>
      </x:c>
      <x:c r="H74" t="str">
        <x:v>28856</x:v>
      </x:c>
      <x:c r="I74" t="str">
        <x:v>https://www.smwcentral.net/?a=details&amp;id=28856&amp;p=section</x:v>
      </x:c>
      <x:c r="J74" t="str">
        <x:v>https://dl.smwcentral.net/28856/A_Plumber_For_All_Seasons_2021-11-22.zip</x:v>
      </x:c>
    </x:row>
    <x:row r="75">
      <x:c r="A75" t="str">
        <x:v>a pretty view</x:v>
      </x:c>
      <x:c r="B75" t="str">
        <x:v>a pretty view</x:v>
      </x:c>
      <x:c r="C75" t="str">
        <x:v>Dixy</x:v>
      </x:c>
      <x:c r="D75" t="n">
        <x:v>13</x:v>
      </x:c>
      <x:c r="E75" t="str">
        <x:v>Expert</x:v>
      </x:c>
      <x:c r="F75" t="str">
        <x:v>Kaizo</x:v>
      </x:c>
      <x:c r="G75" t="n">
        <x:v>46207</x:v>
      </x:c>
      <x:c r="H75" t="str">
        <x:v>42626</x:v>
      </x:c>
      <x:c r="I75" t="str">
        <x:v>https://www.smwcentral.net/?a=details&amp;id=42626&amp;p=section</x:v>
      </x:c>
      <x:c r="J75" t="str">
        <x:v>https://dl.smwcentral.net/42626/a%20pretty%20view.zip</x:v>
      </x:c>
    </x:row>
    <x:row r="76">
      <x:c r="A76" t="str">
        <x:v>A Pure Vanilla Hack</x:v>
      </x:c>
      <x:c r="B76" t="str">
        <x:v>A Pure Vanilla Hack</x:v>
      </x:c>
      <x:c r="C76" t="str">
        <x:v>wye</x:v>
      </x:c>
      <x:c r="D76" t="n">
        <x:v>6</x:v>
      </x:c>
      <x:c r="E76" t="str">
        <x:v>Newcomer</x:v>
      </x:c>
      <x:c r="F76" t="str">
        <x:v>Standard</x:v>
      </x:c>
      <x:c r="G76" t="n">
        <x:v>41539</x:v>
      </x:c>
      <x:c r="H76" t="str">
        <x:v>5056</x:v>
      </x:c>
      <x:c r="I76" t="str">
        <x:v>https://www.smwcentral.net/?a=details&amp;id=5056&amp;p=section</x:v>
      </x:c>
      <x:c r="J76" t="str">
        <x:v>https://dl.smwcentral.net/5056/PureVanillaHack.zip</x:v>
      </x:c>
    </x:row>
    <x:row r="77">
      <x:c r="A77" t="str">
        <x:v>A Random Pit</x:v>
      </x:c>
      <x:c r="B77" t="str">
        <x:v>A Random Pit</x:v>
      </x:c>
      <x:c r="C77" t="str">
        <x:v>A Random Taser</x:v>
      </x:c>
      <x:c r="D77" t="n">
        <x:v>1</x:v>
      </x:c>
      <x:c r="E77" t="str">
        <x:v>Master</x:v>
      </x:c>
      <x:c r="F77" t="str">
        <x:v>Tool-Assisted, Pit</x:v>
      </x:c>
      <x:c r="G77" t="n">
        <x:v>43782</x:v>
      </x:c>
      <x:c r="H77" t="str">
        <x:v>21253</x:v>
      </x:c>
      <x:c r="I77" t="str">
        <x:v>https://www.smwcentral.net/?a=details&amp;id=21253&amp;p=section</x:v>
      </x:c>
      <x:c r="J77" t="str">
        <x:v>https://dl.smwcentral.net/21253/A_Random_Pit.zip</x:v>
      </x:c>
    </x:row>
    <x:row r="78">
      <x:c r="A78" t="str">
        <x:v>A Rose for Emily</x:v>
      </x:c>
      <x:c r="B78" t="str">
        <x:v>A Rose for Emily</x:v>
      </x:c>
      <x:c r="C78" t="str">
        <x:v>shovda</x:v>
      </x:c>
      <x:c r="D78" t="n">
        <x:v>9</x:v>
      </x:c>
      <x:c r="E78" t="str">
        <x:v>Master</x:v>
      </x:c>
      <x:c r="F78" t="str">
        <x:v>Kaizo</x:v>
      </x:c>
      <x:c r="G78" t="n">
        <x:v>45463</x:v>
      </x:c>
      <x:c r="H78" t="str">
        <x:v>37976</x:v>
      </x:c>
      <x:c r="I78" t="str">
        <x:v>https://www.smwcentral.net/?a=details&amp;id=37976&amp;p=section</x:v>
      </x:c>
      <x:c r="J78" t="str">
        <x:v>https://dl.smwcentral.net/37976/Rose.zip</x:v>
      </x:c>
    </x:row>
    <x:row r="79">
      <x:c r="A79" t="str">
        <x:v>A Rushed Project</x:v>
      </x:c>
      <x:c r="B79" t="str">
        <x:v>A Rushed Project</x:v>
      </x:c>
      <x:c r="C79" t="str">
        <x:v>Galactic Spear</x:v>
      </x:c>
      <x:c r="D79" t="n">
        <x:v>7</x:v>
      </x:c>
      <x:c r="E79" t="str">
        <x:v>Intermediate</x:v>
      </x:c>
      <x:c r="F79" t="str">
        <x:v>Standard</x:v>
      </x:c>
      <x:c r="G79" t="n">
        <x:v>44034</x:v>
      </x:c>
      <x:c r="H79" t="str">
        <x:v>23961</x:v>
      </x:c>
      <x:c r="I79" t="str">
        <x:v>https://www.smwcentral.net/?a=details&amp;id=23961&amp;p=section</x:v>
      </x:c>
      <x:c r="J79" t="str">
        <x:v>https://dl.smwcentral.net/23961/A%20Rushed%20Project.zip</x:v>
      </x:c>
    </x:row>
    <x:row r="80">
      <x:c r="A80" t="str">
        <x:v>A Second X Thing: Gaiden: Gaiden</x:v>
      </x:c>
      <x:c r="B80" t="str">
        <x:v>A Second X Thing: Gaiden: Gaiden</x:v>
      </x:c>
      <x:c r="C80" t="str">
        <x:v>Heraga, talkhaus</x:v>
      </x:c>
      <x:c r="D80" t="n">
        <x:v>26</x:v>
      </x:c>
      <x:c r="E80" t="str">
        <x:v>Advanced</x:v>
      </x:c>
      <x:c r="F80" t="str">
        <x:v>Standard</x:v>
      </x:c>
      <x:c r="G80" t="n">
        <x:v>46035</x:v>
      </x:c>
      <x:c r="H80" t="str">
        <x:v>41328</x:v>
      </x:c>
      <x:c r="I80" t="str">
        <x:v>https://www.smwcentral.net/?a=details&amp;id=41328&amp;p=section</x:v>
      </x:c>
      <x:c r="J80" t="str">
        <x:v>https://dl.smwcentral.net/41328/a2xtgaidengaiden.zip</x:v>
      </x:c>
    </x:row>
    <x:row r="81">
      <x:c r="A81" t="str">
        <x:v>A Semi-Normal Castle</x:v>
      </x:c>
      <x:c r="B81" t="str">
        <x:v>A Semi-Normal Castle</x:v>
      </x:c>
      <x:c r="C81" t="str">
        <x:v>Heitor Porfirio</x:v>
      </x:c>
      <x:c r="D81" t="n">
        <x:v>1</x:v>
      </x:c>
      <x:c r="E81" t="str">
        <x:v>Casual</x:v>
      </x:c>
      <x:c r="F81" t="str">
        <x:v>Standard</x:v>
      </x:c>
      <x:c r="G81" t="n">
        <x:v>45532</x:v>
      </x:c>
      <x:c r="H81" t="str">
        <x:v>38269</x:v>
      </x:c>
      <x:c r="I81" t="str">
        <x:v>https://www.smwcentral.net/?a=details&amp;id=38269&amp;p=section</x:v>
      </x:c>
      <x:c r="J81" t="str">
        <x:v>https://dl.smwcentral.net/38269/A%20Semi-Normal%20Castle%20v1.2.1.zip</x:v>
      </x:c>
    </x:row>
    <x:row r="82">
      <x:c r="A82" t="str">
        <x:v>A short Journey</x:v>
      </x:c>
      <x:c r="B82" t="str">
        <x:v>A short Journey</x:v>
      </x:c>
      <x:c r="C82" t="str">
        <x:v>H3nt4ik4m3n</x:v>
      </x:c>
      <x:c r="D82" t="n">
        <x:v>7</x:v>
      </x:c>
      <x:c r="E82" t="str">
        <x:v>Expert</x:v>
      </x:c>
      <x:c r="F82" t="str">
        <x:v>Kaizo</x:v>
      </x:c>
      <x:c r="G82" t="n">
        <x:v>44881</x:v>
      </x:c>
      <x:c r="H82" t="str">
        <x:v>32575</x:v>
      </x:c>
      <x:c r="I82" t="str">
        <x:v>https://www.smwcentral.net/?a=details&amp;id=32575&amp;p=section</x:v>
      </x:c>
      <x:c r="J82" t="str">
        <x:v>https://dl.smwcentral.net/32575/A%20short%20Journey.zip</x:v>
      </x:c>
    </x:row>
    <x:row r="83">
      <x:c r="A83" t="str">
        <x:v>A short kaizo</x:v>
      </x:c>
      <x:c r="B83" t="str">
        <x:v>A short kaizo</x:v>
      </x:c>
      <x:c r="C83" t="str">
        <x:v>Lush_50</x:v>
      </x:c>
      <x:c r="D83" t="n">
        <x:v>6</x:v>
      </x:c>
      <x:c r="E83" t="str">
        <x:v>Intermediate</x:v>
      </x:c>
      <x:c r="F83" t="str">
        <x:v>Kaizo</x:v>
      </x:c>
      <x:c r="G83" t="n">
        <x:v>44932</x:v>
      </x:c>
      <x:c r="H83" t="str">
        <x:v>32874</x:v>
      </x:c>
      <x:c r="I83" t="str">
        <x:v>https://www.smwcentral.net/?a=details&amp;id=32874&amp;p=section</x:v>
      </x:c>
      <x:c r="J83" t="str">
        <x:v>https://dl.smwcentral.net/32874/A_short_kaizo_v1.1.zip</x:v>
      </x:c>
    </x:row>
    <x:row r="84">
      <x:c r="A84" t="str">
        <x:v>A short kaizo 2</x:v>
      </x:c>
      <x:c r="B84" t="str">
        <x:v>A short kaizo 2</x:v>
      </x:c>
      <x:c r="C84" t="str">
        <x:v>Lush_50</x:v>
      </x:c>
      <x:c r="D84" t="n">
        <x:v>6</x:v>
      </x:c>
      <x:c r="E84" t="str">
        <x:v>Intermediate</x:v>
      </x:c>
      <x:c r="F84" t="str">
        <x:v>Kaizo</x:v>
      </x:c>
      <x:c r="G84" t="n">
        <x:v>45509</x:v>
      </x:c>
      <x:c r="H84" t="str">
        <x:v>38177</x:v>
      </x:c>
      <x:c r="I84" t="str">
        <x:v>https://www.smwcentral.net/?a=details&amp;id=38177&amp;p=section</x:v>
      </x:c>
      <x:c r="J84" t="str">
        <x:v>https://dl.smwcentral.net/38177/A%20Short%20kaizo%202%20by%20Lush_50%20%282022-24%29.zip</x:v>
      </x:c>
    </x:row>
    <x:row r="85">
      <x:c r="A85" t="str">
        <x:v>A Simple Story</x:v>
      </x:c>
      <x:c r="B85" t="str">
        <x:v>A Simple Story</x:v>
      </x:c>
      <x:c r="C85" t="str">
        <x:v>Thehoundsquad</x:v>
      </x:c>
      <x:c r="D85" t="n">
        <x:v>7</x:v>
      </x:c>
      <x:c r="E85" t="str">
        <x:v>Casual</x:v>
      </x:c>
      <x:c r="F85" t="str">
        <x:v>Standard</x:v>
      </x:c>
      <x:c r="G85" t="n">
        <x:v>42299</x:v>
      </x:c>
      <x:c r="H85" t="str">
        <x:v>10189</x:v>
      </x:c>
      <x:c r="I85" t="str">
        <x:v>https://www.smwcentral.net/?a=details&amp;id=10189&amp;p=section</x:v>
      </x:c>
      <x:c r="J85" t="str">
        <x:v>https://dl.smwcentral.net/10189/A%20Simple%20Story.zip</x:v>
      </x:c>
    </x:row>
    <x:row r="86">
      <x:c r="A86" t="str">
        <x:v>A SMW Hack</x:v>
      </x:c>
      <x:c r="B86" t="str">
        <x:v>A SMW Hack</x:v>
      </x:c>
      <x:c r="C86" t="str">
        <x:v>MetalLuigi</x:v>
      </x:c>
      <x:c r="D86" t="n">
        <x:v>6</x:v>
      </x:c>
      <x:c r="E86" t="str">
        <x:v>Newcomer</x:v>
      </x:c>
      <x:c r="F86" t="str">
        <x:v>Standard</x:v>
      </x:c>
      <x:c r="G86" t="n">
        <x:v>42220</x:v>
      </x:c>
      <x:c r="H86" t="str">
        <x:v>10089</x:v>
      </x:c>
      <x:c r="I86" t="str">
        <x:v>https://www.smwcentral.net/?a=details&amp;id=10089&amp;p=section</x:v>
      </x:c>
      <x:c r="J86" t="str">
        <x:v>https://dl.smwcentral.net/10089/A%20SMW%20HACK%20DEMO%20V1.2.zip</x:v>
      </x:c>
    </x:row>
    <x:row r="87">
      <x:c r="A87" t="str">
        <x:v>A Special Birthday</x:v>
      </x:c>
      <x:c r="B87" t="str">
        <x:v>A Special Birthday</x:v>
      </x:c>
      <x:c r="C87" t="str">
        <x:v>Andyana Jonseph</x:v>
      </x:c>
      <x:c r="D87" t="n">
        <x:v>8</x:v>
      </x:c>
      <x:c r="E87" t="str">
        <x:v>Advanced</x:v>
      </x:c>
      <x:c r="F87" t="str">
        <x:v>Standard</x:v>
      </x:c>
      <x:c r="G87" t="n">
        <x:v>42939</x:v>
      </x:c>
      <x:c r="H87" t="str">
        <x:v>15923</x:v>
      </x:c>
      <x:c r="I87" t="str">
        <x:v>https://www.smwcentral.net/?a=details&amp;id=15923&amp;p=section</x:v>
      </x:c>
      <x:c r="J87" t="str">
        <x:v>https://dl.smwcentral.net/15923/A%20Special%20Birthday.zip</x:v>
      </x:c>
    </x:row>
    <x:row r="88">
      <x:c r="A88" t="str">
        <x:v>A Special Christmas</x:v>
      </x:c>
      <x:c r="B88" t="str">
        <x:v>A Special Christmas</x:v>
      </x:c>
      <x:c r="C88" t="str">
        <x:v>Andyana Jonseph</x:v>
      </x:c>
      <x:c r="D88" t="n">
        <x:v>8</x:v>
      </x:c>
      <x:c r="E88" t="str">
        <x:v>Advanced</x:v>
      </x:c>
      <x:c r="F88" t="str">
        <x:v>Standard</x:v>
      </x:c>
      <x:c r="G88" t="n">
        <x:v>42738</x:v>
      </x:c>
      <x:c r="H88" t="str">
        <x:v>14841</x:v>
      </x:c>
      <x:c r="I88" t="str">
        <x:v>https://www.smwcentral.net/?a=details&amp;id=14841&amp;p=section</x:v>
      </x:c>
      <x:c r="J88" t="str">
        <x:v>https://dl.smwcentral.net/14841/A%20Special%20Christmas.zip</x:v>
      </x:c>
    </x:row>
    <x:row r="89">
      <x:c r="A89" t="str">
        <x:v>A Sticky Situation</x:v>
      </x:c>
      <x:c r="B89" t="str">
        <x:v>A Sticky Situation</x:v>
      </x:c>
      <x:c r="C89" t="str">
        <x:v>Firstnamebutt, dotCoockie</x:v>
      </x:c>
      <x:c r="D89" t="n">
        <x:v>16</x:v>
      </x:c>
      <x:c r="E89" t="str">
        <x:v>Advanced</x:v>
      </x:c>
      <x:c r="F89" t="str">
        <x:v>Kaizo</x:v>
      </x:c>
      <x:c r="G89" t="n">
        <x:v>45152</x:v>
      </x:c>
      <x:c r="H89" t="str">
        <x:v>34830</x:v>
      </x:c>
      <x:c r="I89" t="str">
        <x:v>https://www.smwcentral.net/?a=details&amp;id=34830&amp;p=section</x:v>
      </x:c>
      <x:c r="J89" t="str">
        <x:v>https://dl.smwcentral.net/34830/AStickySituation.zip</x:v>
      </x:c>
    </x:row>
    <x:row r="90">
      <x:c r="A90" t="str">
        <x:v>A story about an island</x:v>
      </x:c>
      <x:c r="B90" t="str">
        <x:v>A story about an island</x:v>
      </x:c>
      <x:c r="C90" t="str">
        <x:v>dotCoockie</x:v>
      </x:c>
      <x:c r="D90" t="n">
        <x:v>8</x:v>
      </x:c>
      <x:c r="E90" t="str">
        <x:v>Advanced</x:v>
      </x:c>
      <x:c r="F90" t="str">
        <x:v>Kaizo</x:v>
      </x:c>
      <x:c r="G90" t="n">
        <x:v>44445</x:v>
      </x:c>
      <x:c r="H90" t="str">
        <x:v>28197</x:v>
      </x:c>
      <x:c r="I90" t="str">
        <x:v>https://www.smwcentral.net/?a=details&amp;id=28197&amp;p=section</x:v>
      </x:c>
      <x:c r="J90" t="str">
        <x:v>https://dl.smwcentral.net/28197/Release.zip</x:v>
      </x:c>
    </x:row>
    <x:row r="91">
      <x:c r="A91" t="str">
        <x:v>A Strange Mission</x:v>
      </x:c>
      <x:c r="B91" t="str">
        <x:v>A Strange Mission</x:v>
      </x:c>
      <x:c r="C91" t="str">
        <x:v>wye</x:v>
      </x:c>
      <x:c r="D91" t="n">
        <x:v>8</x:v>
      </x:c>
      <x:c r="E91" t="str">
        <x:v>Intermediate</x:v>
      </x:c>
      <x:c r="F91" t="str">
        <x:v>Standard</x:v>
      </x:c>
      <x:c r="G91" t="n">
        <x:v>41451</x:v>
      </x:c>
      <x:c r="H91" t="str">
        <x:v>5031</x:v>
      </x:c>
      <x:c r="I91" t="str">
        <x:v>https://www.smwcentral.net/?a=details&amp;id=5031&amp;p=section</x:v>
      </x:c>
      <x:c r="J91" t="str">
        <x:v>https://dl.smwcentral.net/5031/AStrangeMission.zip</x:v>
      </x:c>
    </x:row>
    <x:row r="92">
      <x:c r="A92" t="str">
        <x:v>A Strongly-Worded Letter to the Iceberg</x:v>
      </x:c>
      <x:c r="B92" t="str">
        <x:v>A Strongly-Worded Letter to the Iceberg</x:v>
      </x:c>
      <x:c r="C92" t="str">
        <x:v>MarsAmPear</x:v>
      </x:c>
      <x:c r="D92" t="n">
        <x:v>7</x:v>
      </x:c>
      <x:c r="E92" t="str">
        <x:v>Master</x:v>
      </x:c>
      <x:c r="F92" t="str">
        <x:v>Standard, Kaizo</x:v>
      </x:c>
      <x:c r="G92" t="n">
        <x:v>46133</x:v>
      </x:c>
      <x:c r="H92" t="str">
        <x:v>41930</x:v>
      </x:c>
      <x:c r="I92" t="str">
        <x:v>https://www.smwcentral.net/?a=details&amp;id=41930&amp;p=section</x:v>
      </x:c>
      <x:c r="J92" t="str">
        <x:v>https://dl.smwcentral.net/41930/A%20Strongly-Worded%20Letter%20to%20the%20Iceberg%201.01.zip</x:v>
      </x:c>
    </x:row>
    <x:row r="93">
      <x:c r="A93" t="str">
        <x:v>A Summer Level</x:v>
      </x:c>
      <x:c r="B93" t="str">
        <x:v>A Summer Level</x:v>
      </x:c>
      <x:c r="C93" t="str">
        <x:v>DukeEnemy</x:v>
      </x:c>
      <x:c r="D93" t="n">
        <x:v>1</x:v>
      </x:c>
      <x:c r="E93" t="str">
        <x:v>Casual</x:v>
      </x:c>
      <x:c r="F93" t="str">
        <x:v>Standard</x:v>
      </x:c>
      <x:c r="G93" t="n">
        <x:v>41445</x:v>
      </x:c>
      <x:c r="H93" t="str">
        <x:v>5052</x:v>
      </x:c>
      <x:c r="I93" t="str">
        <x:v>https://www.smwcentral.net/?a=details&amp;id=5052&amp;p=section</x:v>
      </x:c>
      <x:c r="J93" t="str">
        <x:v>https://dl.smwcentral.net/5052/A%20Summer%20Level.zip</x:v>
      </x:c>
    </x:row>
    <x:row r="94">
      <x:c r="A94" t="str">
        <x:v>A Super Mario Adventure</x:v>
      </x:c>
      <x:c r="B94" t="str">
        <x:v>A Super Mario Adventure</x:v>
      </x:c>
      <x:c r="C94" t="str">
        <x:v>Gamma V</x:v>
      </x:c>
      <x:c r="D94" t="n">
        <x:v>107</x:v>
      </x:c>
      <x:c r="E94" t="str">
        <x:v>Casual</x:v>
      </x:c>
      <x:c r="F94" t="str">
        <x:v>Standard</x:v>
      </x:c>
      <x:c r="G94" t="n">
        <x:v>46073</x:v>
      </x:c>
      <x:c r="H94" t="str">
        <x:v>41554</x:v>
      </x:c>
      <x:c r="I94" t="str">
        <x:v>https://www.smwcentral.net/?a=details&amp;id=41554&amp;p=section</x:v>
      </x:c>
      <x:c r="J94" t="str">
        <x:v>https://dl.smwcentral.net/41554/ASMA%20NewIntro.zip</x:v>
      </x:c>
    </x:row>
    <x:row r="95">
      <x:c r="A95" t="str">
        <x:v>A Super Mario Thing</x:v>
      </x:c>
      <x:c r="B95" t="str">
        <x:v>A Super Mario Thing</x:v>
      </x:c>
      <x:c r="C95" t="str">
        <x:v>Talkhaus</x:v>
      </x:c>
      <x:c r="D95" t="n">
        <x:v>94</x:v>
      </x:c>
      <x:c r="E95" t="str">
        <x:v>Expert</x:v>
      </x:c>
      <x:c r="F95" t="str">
        <x:v>Standard</x:v>
      </x:c>
      <x:c r="G95" t="n">
        <x:v>43167</x:v>
      </x:c>
      <x:c r="H95" t="str">
        <x:v>17125</x:v>
      </x:c>
      <x:c r="I95" t="str">
        <x:v>https://www.smwcentral.net/?a=details&amp;id=17125&amp;p=section</x:v>
      </x:c>
      <x:c r="J95" t="str">
        <x:v>https://dl.smwcentral.net/17125/A%20Super%20Mario%20Thing.zip</x:v>
      </x:c>
    </x:row>
    <x:row r="96">
      <x:c r="A96" t="str">
        <x:v>A Super Mario World Rom Hack</x:v>
      </x:c>
      <x:c r="B96" t="str">
        <x:v>A Super Mario World Rom Hack</x:v>
      </x:c>
      <x:c r="C96" t="str">
        <x:v>Ralshi02</x:v>
      </x:c>
      <x:c r="D96" t="n">
        <x:v>7</x:v>
      </x:c>
      <x:c r="E96" t="str">
        <x:v>Intermediate</x:v>
      </x:c>
      <x:c r="F96" t="str">
        <x:v>Standard</x:v>
      </x:c>
      <x:c r="G96" t="n">
        <x:v>43670</x:v>
      </x:c>
      <x:c r="H96" t="str">
        <x:v>20604</x:v>
      </x:c>
      <x:c r="I96" t="str">
        <x:v>https://www.smwcentral.net/?a=details&amp;id=20604&amp;p=section</x:v>
      </x:c>
      <x:c r="J96" t="str">
        <x:v>https://dl.smwcentral.net/20604/Hack%202.zip</x:v>
      </x:c>
    </x:row>
    <x:row r="97">
      <x:c r="A97" t="str">
        <x:v>A Supposedly Fun Thing I'll Never Do Again</x:v>
      </x:c>
      <x:c r="B97" t="str">
        <x:v>A Supposedly Fun Thing I'll Never Do Again</x:v>
      </x:c>
      <x:c r="C97" t="str">
        <x:v>Abstract</x:v>
      </x:c>
      <x:c r="D97" t="n">
        <x:v>18</x:v>
      </x:c>
      <x:c r="E97" t="str">
        <x:v>Expert</x:v>
      </x:c>
      <x:c r="F97" t="str">
        <x:v>Kaizo</x:v>
      </x:c>
      <x:c r="G97" t="n">
        <x:v>45769</x:v>
      </x:c>
      <x:c r="H97" t="str">
        <x:v>39767</x:v>
      </x:c>
      <x:c r="I97" t="str">
        <x:v>https://www.smwcentral.net/?a=details&amp;id=39767&amp;p=section</x:v>
      </x:c>
      <x:c r="J97" t="str">
        <x:v>https://dl.smwcentral.net/39767/A%20Supposedly%20Fun%20Thing.zip</x:v>
      </x:c>
    </x:row>
    <x:row r="98">
      <x:c r="A98" t="str">
        <x:v>A Teakettle of Wet Bees</x:v>
      </x:c>
      <x:c r="B98" t="str">
        <x:v>A Teakettle of Wet Bees</x:v>
      </x:c>
      <x:c r="C98" t="str">
        <x:v>bucketofwetsocks</x:v>
      </x:c>
      <x:c r="D98" t="n">
        <x:v>11</x:v>
      </x:c>
      <x:c r="E98" t="str">
        <x:v>Expert</x:v>
      </x:c>
      <x:c r="F98" t="str">
        <x:v>Kaizo</x:v>
      </x:c>
      <x:c r="G98" t="n">
        <x:v>44950</x:v>
      </x:c>
      <x:c r="H98" t="str">
        <x:v>32994</x:v>
      </x:c>
      <x:c r="I98" t="str">
        <x:v>https://www.smwcentral.net/?a=details&amp;id=32994&amp;p=section</x:v>
      </x:c>
      <x:c r="J98" t="str">
        <x:v>https://dl.smwcentral.net/32994/ATeaKettleOfWetBees.zip</x:v>
      </x:c>
    </x:row>
    <x:row r="99">
      <x:c r="A99" t="str">
        <x:v>A Thing w/ Peiton</x:v>
      </x:c>
      <x:c r="B99" t="str">
        <x:v>A Thing w/ Peiton</x:v>
      </x:c>
      <x:c r="C99" t="str">
        <x:v>Peyton</x:v>
      </x:c>
      <x:c r="D99" t="n">
        <x:v>69</x:v>
      </x:c>
      <x:c r="E99" t="str">
        <x:v>Advanced</x:v>
      </x:c>
      <x:c r="F99" t="str">
        <x:v>Standard</x:v>
      </x:c>
      <x:c r="G99" t="n">
        <x:v>45802</x:v>
      </x:c>
      <x:c r="H99" t="str">
        <x:v>39597</x:v>
      </x:c>
      <x:c r="I99" t="str">
        <x:v>https://www.smwcentral.net/?a=details&amp;id=39597&amp;p=section</x:v>
      </x:c>
      <x:c r="J99" t="str">
        <x:v>https://dl.smwcentral.net/39597/A%20Thing%20With%20Peiton%20v.1.1.zip</x:v>
      </x:c>
    </x:row>
    <x:row r="100">
      <x:c r="A100" t="str">
        <x:v>A Vanilla Level</x:v>
      </x:c>
      <x:c r="B100" t="str">
        <x:v>A Vanilla Level</x:v>
      </x:c>
      <x:c r="C100" t="str">
        <x:v>yoshiguy978</x:v>
      </x:c>
      <x:c r="D100" t="n">
        <x:v>1</x:v>
      </x:c>
      <x:c r="E100" t="str">
        <x:v>Intermediate</x:v>
      </x:c>
      <x:c r="F100" t="str">
        <x:v>Standard</x:v>
      </x:c>
      <x:c r="G100" t="n">
        <x:v>42345</x:v>
      </x:c>
      <x:c r="H100" t="str">
        <x:v>10546</x:v>
      </x:c>
      <x:c r="I100" t="str">
        <x:v>https://www.smwcentral.net/?a=details&amp;id=10546&amp;p=section</x:v>
      </x:c>
      <x:c r="J100" t="str">
        <x:v>https://dl.smwcentral.net/10546/A%20Vanilla%20Level%20v1.4.zip</x:v>
      </x:c>
    </x:row>
    <x:row r="101">
      <x:c r="A101" t="str">
        <x:v>A Very Super Mario World</x:v>
      </x:c>
      <x:c r="B101" t="str">
        <x:v>A Very Super Mario World</x:v>
      </x:c>
      <x:c r="C101" t="str">
        <x:v>SchwerMuta</x:v>
      </x:c>
      <x:c r="D101" t="n">
        <x:v>120</x:v>
      </x:c>
      <x:c r="E101" t="str">
        <x:v>Grandmaster</x:v>
      </x:c>
      <x:c r="F101" t="str">
        <x:v>Standard</x:v>
      </x:c>
      <x:c r="G101" t="n">
        <x:v>42876</x:v>
      </x:c>
      <x:c r="H101" t="str">
        <x:v>15587</x:v>
      </x:c>
      <x:c r="I101" t="str">
        <x:v>https://www.smwcentral.net/?a=details&amp;id=15587&amp;p=section</x:v>
      </x:c>
      <x:c r="J101" t="str">
        <x:v>https://dl.smwcentral.net/15587/avsmw.zip</x:v>
      </x:c>
    </x:row>
    <x:row r="102">
      <x:c r="A102" t="str">
        <x:v>A WIP</x:v>
      </x:c>
      <x:c r="B102" t="str">
        <x:v>A WIP</x:v>
      </x:c>
      <x:c r="C102" t="str">
        <x:v>NikSik1</x:v>
      </x:c>
      <x:c r="D102" t="n">
        <x:v>0</x:v>
      </x:c>
      <x:c r="E102" t="str">
        <x:v>Master</x:v>
      </x:c>
      <x:c r="F102" t="str">
        <x:v>Kaizo</x:v>
      </x:c>
      <x:c r="G102" t="n">
        <x:v>44609</x:v>
      </x:c>
      <x:c r="H102" t="str">
        <x:v>29748</x:v>
      </x:c>
      <x:c r="I102" t="str">
        <x:v>https://www.smwcentral.net/?a=details&amp;id=29748&amp;p=section</x:v>
      </x:c>
      <x:c r="J102" t="str">
        <x:v>https://dl.smwcentral.net/29748/A%20WIP.zip</x:v>
      </x:c>
    </x:row>
    <x:row r="103">
      <x:c r="A103" t="str">
        <x:v>A work project thing...</x:v>
      </x:c>
      <x:c r="B103" t="str">
        <x:v>A work project thing...</x:v>
      </x:c>
      <x:c r="C103" t="str">
        <x:v>Stivi</x:v>
      </x:c>
      <x:c r="D103" t="n">
        <x:v>4</x:v>
      </x:c>
      <x:c r="E103" t="str">
        <x:v>Intermediate</x:v>
      </x:c>
      <x:c r="F103" t="str">
        <x:v>Standard</x:v>
      </x:c>
      <x:c r="G103" t="n">
        <x:v>43292</x:v>
      </x:c>
      <x:c r="H103" t="str">
        <x:v>17750</x:v>
      </x:c>
      <x:c r="I103" t="str">
        <x:v>https://www.smwcentral.net/?a=details&amp;id=17750&amp;p=section</x:v>
      </x:c>
      <x:c r="J103" t="str">
        <x:v>https://dl.smwcentral.net/17750/A%20work%20project%20thing....bps.zip</x:v>
      </x:c>
    </x:row>
    <x:row r="104">
      <x:c r="A104" t="str">
        <x:v>A Yoshi's Story</x:v>
      </x:c>
      <x:c r="B104" t="str">
        <x:v>A Yoshi's Story</x:v>
      </x:c>
      <x:c r="C104" t="str">
        <x:v>CaptainDazz</x:v>
      </x:c>
      <x:c r="D104" t="n">
        <x:v>1</x:v>
      </x:c>
      <x:c r="E104" t="str">
        <x:v>Intermediate</x:v>
      </x:c>
      <x:c r="F104" t="str">
        <x:v>Standard</x:v>
      </x:c>
      <x:c r="G104" t="n">
        <x:v>45732</x:v>
      </x:c>
      <x:c r="H104" t="str">
        <x:v>39452</x:v>
      </x:c>
      <x:c r="I104" t="str">
        <x:v>https://www.smwcentral.net/?a=details&amp;id=39452&amp;p=section</x:v>
      </x:c>
      <x:c r="J104" t="str">
        <x:v>https://dl.smwcentral.net/39452/AYoshi%27sStoryFixed.zip</x:v>
      </x:c>
    </x:row>
    <x:row r="105">
      <x:c r="A105" t="str">
        <x:v>A Yoshi's Story 2</x:v>
      </x:c>
      <x:c r="B105" t="str">
        <x:v>A Yoshi's Story 2</x:v>
      </x:c>
      <x:c r="C105" t="str">
        <x:v>CaptainDazz</x:v>
      </x:c>
      <x:c r="D105" t="n">
        <x:v>16</x:v>
      </x:c>
      <x:c r="E105" t="str">
        <x:v>Casual</x:v>
      </x:c>
      <x:c r="F105" t="str">
        <x:v>Standard</x:v>
      </x:c>
      <x:c r="G105" t="n">
        <x:v>42306</x:v>
      </x:c>
      <x:c r="H105" t="str">
        <x:v>10209</x:v>
      </x:c>
      <x:c r="I105" t="str">
        <x:v>https://www.smwcentral.net/?a=details&amp;id=10209&amp;p=section</x:v>
      </x:c>
      <x:c r="J105" t="str">
        <x:v>https://dl.smwcentral.net/10209/A%20Yoshi%27s%20Story%202.zip</x:v>
      </x:c>
    </x:row>
    <x:row r="106">
      <x:c r="A106" t="str">
        <x:v>A1 Mario World</x:v>
      </x:c>
      <x:c r="B106" t="str">
        <x:v>A1 Mario World</x:v>
      </x:c>
      <x:c r="C106" t="str">
        <x:v>qbear</x:v>
      </x:c>
      <x:c r="D106" t="n">
        <x:v>14</x:v>
      </x:c>
      <x:c r="E106" t="str">
        <x:v>Advanced</x:v>
      </x:c>
      <x:c r="F106" t="str">
        <x:v>Kaizo</x:v>
      </x:c>
      <x:c r="G106" t="n">
        <x:v>44950</x:v>
      </x:c>
      <x:c r="H106" t="str">
        <x:v>32964</x:v>
      </x:c>
      <x:c r="I106" t="str">
        <x:v>https://www.smwcentral.net/?a=details&amp;id=32964&amp;p=section</x:v>
      </x:c>
      <x:c r="J106" t="str">
        <x:v>https://dl.smwcentral.net/32964/A1%20Mario%20World%20vA.01.zip</x:v>
      </x:c>
    </x:row>
    <x:row r="107">
      <x:c r="A107" t="str">
        <x:v>Absolute Authenticity</x:v>
      </x:c>
      <x:c r="B107" t="str">
        <x:v>Absolute Authenticity</x:v>
      </x:c>
      <x:c r="C107" t="str">
        <x:v>MarsAmPear</x:v>
      </x:c>
      <x:c r="D107" t="n">
        <x:v>0</x:v>
      </x:c>
      <x:c r="E107" t="str">
        <x:v>Grandmaster</x:v>
      </x:c>
      <x:c r="F107" t="str">
        <x:v>Kaizo</x:v>
      </x:c>
      <x:c r="G107" t="n">
        <x:v>46089</x:v>
      </x:c>
      <x:c r="H107" t="str">
        <x:v>41559</x:v>
      </x:c>
      <x:c r="I107" t="str">
        <x:v>https://www.smwcentral.net/?a=details&amp;id=41559&amp;p=section</x:v>
      </x:c>
      <x:c r="J107" t="str">
        <x:v>https://dl.smwcentral.net/41559/Absolute%20Authenticity.zip</x:v>
      </x:c>
    </x:row>
    <x:row r="108">
      <x:c r="A108" t="str">
        <x:v>Abuse and Die 3</x:v>
      </x:c>
      <x:c r="B108" t="str">
        <x:v>Abuse and Die 3</x:v>
      </x:c>
      <x:c r="C108" t="str">
        <x:v>AFH</x:v>
      </x:c>
      <x:c r="D108" t="n">
        <x:v>3</x:v>
      </x:c>
      <x:c r="E108" t="str">
        <x:v>Expert</x:v>
      </x:c>
      <x:c r="F108" t="str">
        <x:v>Kaizo, Tool-Assisted</x:v>
      </x:c>
      <x:c r="G108" t="n">
        <x:v>43450</x:v>
      </x:c>
      <x:c r="H108" t="str">
        <x:v>18626</x:v>
      </x:c>
      <x:c r="I108" t="str">
        <x:v>https://www.smwcentral.net/?a=details&amp;id=18626&amp;p=section</x:v>
      </x:c>
      <x:c r="J108" t="str">
        <x:v>https://dl.smwcentral.net/18626/Abuse%20and%20Die%203%20demo.zip</x:v>
      </x:c>
    </x:row>
    <x:row r="109">
      <x:c r="A109" t="str">
        <x:v>Acid Tapes Vol. 1</x:v>
      </x:c>
      <x:c r="B109" t="str">
        <x:v>Acid Tapes Vol. 1</x:v>
      </x:c>
      <x:c r="C109" t="str">
        <x:v>twicepipes</x:v>
      </x:c>
      <x:c r="D109" t="n">
        <x:v>10</x:v>
      </x:c>
      <x:c r="E109" t="str">
        <x:v>Advanced</x:v>
      </x:c>
      <x:c r="F109" t="str">
        <x:v>Kaizo</x:v>
      </x:c>
      <x:c r="G109" t="n">
        <x:v>44854</x:v>
      </x:c>
      <x:c r="H109" t="str">
        <x:v>32375</x:v>
      </x:c>
      <x:c r="I109" t="str">
        <x:v>https://www.smwcentral.net/?a=details&amp;id=32375&amp;p=section</x:v>
      </x:c>
      <x:c r="J109" t="str">
        <x:v>https://dl.smwcentral.net/32375/AcidTapesVol1.zip</x:v>
      </x:c>
    </x:row>
    <x:row r="110">
      <x:c r="A110" t="str">
        <x:v>Acid Tapes Vol. 2</x:v>
      </x:c>
      <x:c r="B110" t="str">
        <x:v>Acid Tapes Vol. 2</x:v>
      </x:c>
      <x:c r="C110" t="str">
        <x:v>twicepipes</x:v>
      </x:c>
      <x:c r="D110" t="n">
        <x:v>20</x:v>
      </x:c>
      <x:c r="E110" t="str">
        <x:v>Expert</x:v>
      </x:c>
      <x:c r="F110" t="str">
        <x:v>Kaizo</x:v>
      </x:c>
      <x:c r="G110" t="n">
        <x:v>46055</x:v>
      </x:c>
      <x:c r="H110" t="str">
        <x:v>41504</x:v>
      </x:c>
      <x:c r="I110" t="str">
        <x:v>https://www.smwcentral.net/?a=details&amp;id=41504&amp;p=section</x:v>
      </x:c>
      <x:c r="J110" t="str">
        <x:v>https://dl.smwcentral.net/41504/AcidTapesVol2%201.1.zip</x:v>
      </x:c>
    </x:row>
    <x:row r="111">
      <x:c r="A111" t="str">
        <x:v>Action42</x:v>
      </x:c>
      <x:c r="B111" t="str">
        <x:v>Action42</x:v>
      </x:c>
      <x:c r="C111" t="str">
        <x:v>Nicoke42</x:v>
      </x:c>
      <x:c r="D111" t="n">
        <x:v>10</x:v>
      </x:c>
      <x:c r="E111" t="str">
        <x:v>Advanced</x:v>
      </x:c>
      <x:c r="F111" t="str">
        <x:v>Kaizo</x:v>
      </x:c>
      <x:c r="G111" t="n">
        <x:v>44745</x:v>
      </x:c>
      <x:c r="H111" t="str">
        <x:v>31179</x:v>
      </x:c>
      <x:c r="I111" t="str">
        <x:v>https://www.smwcentral.net/?a=details&amp;id=31179&amp;p=section</x:v>
      </x:c>
      <x:c r="J111" t="str">
        <x:v>https://dl.smwcentral.net/31179/Action42.zip</x:v>
      </x:c>
    </x:row>
    <x:row r="112">
      <x:c r="A112" t="str">
        <x:v>Advanced Shells</x:v>
      </x:c>
      <x:c r="B112" t="str">
        <x:v>Advanced Shells</x:v>
      </x:c>
      <x:c r="C112" t="str">
        <x:v>RicardoDeMelo</x:v>
      </x:c>
      <x:c r="D112" t="n">
        <x:v>15</x:v>
      </x:c>
      <x:c r="E112" t="str">
        <x:v>Master</x:v>
      </x:c>
      <x:c r="F112" t="str">
        <x:v>Kaizo</x:v>
      </x:c>
      <x:c r="G112" t="n">
        <x:v>44846</x:v>
      </x:c>
      <x:c r="H112" t="str">
        <x:v>32218</x:v>
      </x:c>
      <x:c r="I112" t="str">
        <x:v>https://www.smwcentral.net/?a=details&amp;id=32218&amp;p=section</x:v>
      </x:c>
      <x:c r="J112" t="str">
        <x:v>https://dl.smwcentral.net/32218/Advanced%20Shells.zip</x:v>
      </x:c>
    </x:row>
    <x:row r="113">
      <x:c r="A113" t="str">
        <x:v>Advanced Shells II</x:v>
      </x:c>
      <x:c r="B113" t="str">
        <x:v>Advanced Shells II</x:v>
      </x:c>
      <x:c r="C113" t="str">
        <x:v>RicardoDeMelo</x:v>
      </x:c>
      <x:c r="D113" t="n">
        <x:v>14</x:v>
      </x:c>
      <x:c r="E113" t="str">
        <x:v>Master</x:v>
      </x:c>
      <x:c r="F113" t="str">
        <x:v>Kaizo</x:v>
      </x:c>
      <x:c r="G113" t="n">
        <x:v>44624</x:v>
      </x:c>
      <x:c r="H113" t="str">
        <x:v>29945</x:v>
      </x:c>
      <x:c r="I113" t="str">
        <x:v>https://www.smwcentral.net/?a=details&amp;id=29945&amp;p=section</x:v>
      </x:c>
      <x:c r="J113" t="str">
        <x:v>https://dl.smwcentral.net/29945/Advanced%20Shells%202.zip</x:v>
      </x:c>
    </x:row>
    <x:row r="114">
      <x:c r="A114" t="str">
        <x:v>Advanced Shells III</x:v>
      </x:c>
      <x:c r="B114" t="str">
        <x:v>Advanced Shells III</x:v>
      </x:c>
      <x:c r="C114" t="str">
        <x:v>RicardoDeMelo</x:v>
      </x:c>
      <x:c r="D114" t="n">
        <x:v>13</x:v>
      </x:c>
      <x:c r="E114" t="str">
        <x:v>Master</x:v>
      </x:c>
      <x:c r="F114" t="str">
        <x:v>Kaizo</x:v>
      </x:c>
      <x:c r="G114" t="n">
        <x:v>44985</x:v>
      </x:c>
      <x:c r="H114" t="str">
        <x:v>33319</x:v>
      </x:c>
      <x:c r="I114" t="str">
        <x:v>https://www.smwcentral.net/?a=details&amp;id=33319&amp;p=section</x:v>
      </x:c>
      <x:c r="J114" t="str">
        <x:v>https://dl.smwcentral.net/33319/Advanced%20Shells%203.zip</x:v>
      </x:c>
    </x:row>
    <x:row r="115">
      <x:c r="A115" t="str">
        <x:v>Adventure in Gemstone Islands</x:v>
      </x:c>
      <x:c r="B115" t="str">
        <x:v>Adventure in Gemstone Islands</x:v>
      </x:c>
      <x:c r="C115" t="str">
        <x:v>Burst Man</x:v>
      </x:c>
      <x:c r="D115" t="n">
        <x:v>73</x:v>
      </x:c>
      <x:c r="E115" t="str">
        <x:v>Intermediate</x:v>
      </x:c>
      <x:c r="F115" t="str">
        <x:v>Standard</x:v>
      </x:c>
      <x:c r="G115" t="n">
        <x:v>46092</x:v>
      </x:c>
      <x:c r="H115" t="str">
        <x:v>41808</x:v>
      </x:c>
      <x:c r="I115" t="str">
        <x:v>https://www.smwcentral.net/?a=details&amp;id=41808&amp;p=section</x:v>
      </x:c>
      <x:c r="J115" t="str">
        <x:v>https://dl.smwcentral.net/41808/Adventure%20in%20Gemstone%20Islands%20v2.03.zip</x:v>
      </x:c>
    </x:row>
    <x:row r="116">
      <x:c r="A116" t="str">
        <x:v>Adventure Islands</x:v>
      </x:c>
      <x:c r="B116" t="str">
        <x:v>Adventure Islands</x:v>
      </x:c>
      <x:c r="C116" t="str">
        <x:v>Shadow9999</x:v>
      </x:c>
      <x:c r="D116" t="n">
        <x:v>44</x:v>
      </x:c>
      <x:c r="E116" t="str">
        <x:v>Advanced</x:v>
      </x:c>
      <x:c r="F116" t="str">
        <x:v>Kaizo</x:v>
      </x:c>
      <x:c r="G116" t="n">
        <x:v>43760</x:v>
      </x:c>
      <x:c r="H116" t="str">
        <x:v>21316</x:v>
      </x:c>
      <x:c r="I116" t="str">
        <x:v>https://www.smwcentral.net/?a=details&amp;id=21316&amp;p=section</x:v>
      </x:c>
      <x:c r="J116" t="str">
        <x:v>https://dl.smwcentral.net/21316/Adventure%20Islands.zip</x:v>
      </x:c>
    </x:row>
    <x:row r="117">
      <x:c r="A117" t="str">
        <x:v>Adventure Land: Darkness Rising</x:v>
      </x:c>
      <x:c r="B117" t="str">
        <x:v>Adventure Land: Darkness Rising</x:v>
      </x:c>
      <x:c r="C117" t="str">
        <x:v>flareblade26</x:v>
      </x:c>
      <x:c r="D117" t="n">
        <x:v>8</x:v>
      </x:c>
      <x:c r="E117" t="str">
        <x:v>Casual</x:v>
      </x:c>
      <x:c r="F117" t="str">
        <x:v>Standard</x:v>
      </x:c>
      <x:c r="G117" t="n">
        <x:v>41815</x:v>
      </x:c>
      <x:c r="H117" t="str">
        <x:v>6777</x:v>
      </x:c>
      <x:c r="I117" t="str">
        <x:v>https://www.smwcentral.net/?a=details&amp;id=6777&amp;p=section</x:v>
      </x:c>
      <x:c r="J117" t="str">
        <x:v>https://dl.smwcentral.net/6777/Adventure%20Land%20-%20Darkness%20Rising.zip</x:v>
      </x:c>
    </x:row>
    <x:row r="118">
      <x:c r="A118" t="str">
        <x:v>Adventure Land: Legend of the Stars</x:v>
      </x:c>
      <x:c r="B118" t="str">
        <x:v>Adventure Land: Legend of the Stars</x:v>
      </x:c>
      <x:c r="C118" t="str">
        <x:v>flareblade26</x:v>
      </x:c>
      <x:c r="D118" t="n">
        <x:v>7</x:v>
      </x:c>
      <x:c r="E118" t="str">
        <x:v>Casual</x:v>
      </x:c>
      <x:c r="F118" t="str">
        <x:v>Standard</x:v>
      </x:c>
      <x:c r="G118" t="n">
        <x:v>41513</x:v>
      </x:c>
      <x:c r="H118" t="str">
        <x:v>5368</x:v>
      </x:c>
      <x:c r="I118" t="str">
        <x:v>https://www.smwcentral.net/?a=details&amp;id=5368&amp;p=section</x:v>
      </x:c>
      <x:c r="J118" t="str">
        <x:v>https://dl.smwcentral.net/5368/Adventure%20Land%20Demo%201.zip</x:v>
      </x:c>
    </x:row>
    <x:row r="119">
      <x:c r="A119" t="str">
        <x:v>Adventure Of The Red Plumber</x:v>
      </x:c>
      <x:c r="B119" t="str">
        <x:v>Adventure Of The Red Plumber</x:v>
      </x:c>
      <x:c r="C119" t="str">
        <x:v>guitar god527</x:v>
      </x:c>
      <x:c r="D119" t="n">
        <x:v>3</x:v>
      </x:c>
      <x:c r="E119" t="str">
        <x:v>Newcomer</x:v>
      </x:c>
      <x:c r="F119" t="str">
        <x:v>Standard</x:v>
      </x:c>
      <x:c r="G119" t="n">
        <x:v>42044</x:v>
      </x:c>
      <x:c r="H119" t="str">
        <x:v>9742</x:v>
      </x:c>
      <x:c r="I119" t="str">
        <x:v>https://www.smwcentral.net/?a=details&amp;id=9742&amp;p=section</x:v>
      </x:c>
      <x:c r="J119" t="str">
        <x:v>https://dl.smwcentral.net/9742/Adventure%20of%20the%20red%20plumber.zip</x:v>
      </x:c>
    </x:row>
    <x:row r="120">
      <x:c r="A120" t="str">
        <x:v>Aeron Returns</x:v>
      </x:c>
      <x:c r="B120" t="str">
        <x:v>Aeron Returns</x:v>
      </x:c>
      <x:c r="C120" t="str">
        <x:v>Anorakun</x:v>
      </x:c>
      <x:c r="D120" t="n">
        <x:v>3</x:v>
      </x:c>
      <x:c r="E120" t="str">
        <x:v>Advanced</x:v>
      </x:c>
      <x:c r="F120" t="str">
        <x:v>Standard, Kaizo</x:v>
      </x:c>
      <x:c r="G120" t="n">
        <x:v>44774</x:v>
      </x:c>
      <x:c r="H120" t="str">
        <x:v>31365</x:v>
      </x:c>
      <x:c r="I120" t="str">
        <x:v>https://www.smwcentral.net/?a=details&amp;id=31365&amp;p=section</x:v>
      </x:c>
      <x:c r="J120" t="str">
        <x:v>https://dl.smwcentral.net/31365/Aeron_Returns_ver._1.8.zip</x:v>
      </x:c>
    </x:row>
    <x:row r="121">
      <x:c r="A121" t="str">
        <x:v>Aeron's Golden Cookie Quest ~ Special Edition</x:v>
      </x:c>
      <x:c r="B121" t="str">
        <x:v>Aeron's Golden Cookie Quest ~ Special Edition</x:v>
      </x:c>
      <x:c r="C121" t="str">
        <x:v>Anorakun</x:v>
      </x:c>
      <x:c r="D121" t="n">
        <x:v>10</x:v>
      </x:c>
      <x:c r="E121" t="str">
        <x:v>Advanced</x:v>
      </x:c>
      <x:c r="F121" t="str">
        <x:v>Standard</x:v>
      </x:c>
      <x:c r="G121" t="n">
        <x:v>46167</x:v>
      </x:c>
      <x:c r="H121" t="str">
        <x:v>42362</x:v>
      </x:c>
      <x:c r="I121" t="str">
        <x:v>https://www.smwcentral.net/?a=details&amp;id=42362&amp;p=section</x:v>
      </x:c>
      <x:c r="J121" t="str">
        <x:v>https://dl.smwcentral.net/42362/Aeron%27s%20Golden%20Cookie%20Quest%20-%20Special%20Edition%20%28ver.5.0.1%29.zip</x:v>
      </x:c>
    </x:row>
    <x:row r="122">
      <x:c r="A122" t="str">
        <x:v>Aether: The Paramount Omnibus</x:v>
      </x:c>
      <x:c r="B122" t="str">
        <x:v>Aether: The Paramount Omnibus</x:v>
      </x:c>
      <x:c r="C122" t="str">
        <x:v>Dappertron</x:v>
      </x:c>
      <x:c r="D122" t="n">
        <x:v>20</x:v>
      </x:c>
      <x:c r="E122" t="str">
        <x:v>Casual</x:v>
      </x:c>
      <x:c r="F122" t="str">
        <x:v>Standard</x:v>
      </x:c>
      <x:c r="G122" t="n">
        <x:v>41570</x:v>
      </x:c>
      <x:c r="H122" t="str">
        <x:v>5471</x:v>
      </x:c>
      <x:c r="I122" t="str">
        <x:v>https://www.smwcentral.net/?a=details&amp;id=5471&amp;p=section</x:v>
      </x:c>
      <x:c r="J122" t="str">
        <x:v>https://dl.smwcentral.net/5471/Aether%20TPO.zip</x:v>
      </x:c>
    </x:row>
    <x:row r="123">
      <x:c r="A123" t="str">
        <x:v>ageVerrly's Challenge</x:v>
      </x:c>
      <x:c r="B123" t="str">
        <x:v>ageVerrly's Challenge</x:v>
      </x:c>
      <x:c r="C123" t="str">
        <x:v>ageVerrly</x:v>
      </x:c>
      <x:c r="D123" t="n">
        <x:v>1</x:v>
      </x:c>
      <x:c r="E123" t="str">
        <x:v>Grandmaster</x:v>
      </x:c>
      <x:c r="F123" t="str">
        <x:v>Kaizo</x:v>
      </x:c>
      <x:c r="G123" t="n">
        <x:v>44874</x:v>
      </x:c>
      <x:c r="H123" t="str">
        <x:v>32364</x:v>
      </x:c>
      <x:c r="I123" t="str">
        <x:v>https://www.smwcentral.net/?a=details&amp;id=32364&amp;p=section</x:v>
      </x:c>
      <x:c r="J123" t="str">
        <x:v>https://dl.smwcentral.net/32364/ac.zip</x:v>
      </x:c>
    </x:row>
    <x:row r="124">
      <x:c r="A124" t="str">
        <x:v>Agnosthesia</x:v>
      </x:c>
      <x:c r="B124" t="str">
        <x:v>Agnosthesia</x:v>
      </x:c>
      <x:c r="C124" t="str">
        <x:v>LightAligns, Saela</x:v>
      </x:c>
      <x:c r="D124" t="n">
        <x:v>22</x:v>
      </x:c>
      <x:c r="E124" t="str">
        <x:v>Expert</x:v>
      </x:c>
      <x:c r="F124" t="str">
        <x:v>Kaizo</x:v>
      </x:c>
      <x:c r="G124" t="n">
        <x:v>45151</x:v>
      </x:c>
      <x:c r="H124" t="str">
        <x:v>34827</x:v>
      </x:c>
      <x:c r="I124" t="str">
        <x:v>https://www.smwcentral.net/?a=details&amp;id=34827&amp;p=section</x:v>
      </x:c>
      <x:c r="J124" t="str">
        <x:v>https://dl.smwcentral.net/34827/Agnosthesia.zip</x:v>
      </x:c>
    </x:row>
    <x:row r="125">
      <x:c r="A125" t="str">
        <x:v>Aionios Dynami</x:v>
      </x:c>
      <x:c r="B125" t="str">
        <x:v>Aionios Dynami</x:v>
      </x:c>
      <x:c r="C125" t="str">
        <x:v>Atma, Buster Beetle</x:v>
      </x:c>
      <x:c r="D125" t="n">
        <x:v>6</x:v>
      </x:c>
      <x:c r="E125" t="str">
        <x:v>Intermediate</x:v>
      </x:c>
      <x:c r="F125" t="str">
        <x:v>Standard</x:v>
      </x:c>
      <x:c r="G125" t="n">
        <x:v>42258</x:v>
      </x:c>
      <x:c r="H125" t="str">
        <x:v>9993</x:v>
      </x:c>
      <x:c r="I125" t="str">
        <x:v>https://www.smwcentral.net/?a=details&amp;id=9993&amp;p=section</x:v>
      </x:c>
      <x:c r="J125" t="str">
        <x:v>https://dl.smwcentral.net/9993/Aionios%20Dynami.zip</x:v>
      </x:c>
    </x:row>
    <x:row r="126">
      <x:c r="A126" t="str">
        <x:v>Akogare 2</x:v>
      </x:c>
      <x:c r="B126" t="str">
        <x:v>Akogare 2</x:v>
      </x:c>
      <x:c r="C126" t="str">
        <x:v>Mega</x:v>
      </x:c>
      <x:c r="D126" t="n">
        <x:v>29</x:v>
      </x:c>
      <x:c r="E126" t="str">
        <x:v>Expert</x:v>
      </x:c>
      <x:c r="F126" t="str">
        <x:v>Kaizo</x:v>
      </x:c>
      <x:c r="G126" t="n">
        <x:v>44342</x:v>
      </x:c>
      <x:c r="H126" t="str">
        <x:v>27094</x:v>
      </x:c>
      <x:c r="I126" t="str">
        <x:v>https://www.smwcentral.net/?a=details&amp;id=27094&amp;p=section</x:v>
      </x:c>
      <x:c r="J126" t="str">
        <x:v>https://dl.smwcentral.net/27094/Akogare2.zip</x:v>
      </x:c>
    </x:row>
    <x:row r="127">
      <x:c r="A127" t="str">
        <x:v>Akogare Mario World</x:v>
      </x:c>
      <x:c r="B127" t="str">
        <x:v>Akogare Mario World</x:v>
      </x:c>
      <x:c r="C127" t="str">
        <x:v>Mega</x:v>
      </x:c>
      <x:c r="D127" t="n">
        <x:v>28</x:v>
      </x:c>
      <x:c r="E127" t="str">
        <x:v>Advanced</x:v>
      </x:c>
      <x:c r="F127" t="str">
        <x:v>Kaizo</x:v>
      </x:c>
      <x:c r="G127" t="n">
        <x:v>43442</x:v>
      </x:c>
      <x:c r="H127" t="str">
        <x:v>18612</x:v>
      </x:c>
      <x:c r="I127" t="str">
        <x:v>https://www.smwcentral.net/?a=details&amp;id=18612&amp;p=section</x:v>
      </x:c>
      <x:c r="J127" t="str">
        <x:v>https://dl.smwcentral.net/18612/Akogare%20v1.2.zip</x:v>
      </x:c>
    </x:row>
    <x:row r="128">
      <x:c r="A128" t="str">
        <x:v>Alabaras Shells</x:v>
      </x:c>
      <x:c r="B128" t="str">
        <x:v>Alabaras Shells</x:v>
      </x:c>
      <x:c r="C128" t="str">
        <x:v>arantes</x:v>
      </x:c>
      <x:c r="D128" t="n">
        <x:v>10</x:v>
      </x:c>
      <x:c r="E128" t="str">
        <x:v>Expert</x:v>
      </x:c>
      <x:c r="F128" t="str">
        <x:v>Kaizo</x:v>
      </x:c>
      <x:c r="G128" t="n">
        <x:v>44958</x:v>
      </x:c>
      <x:c r="H128" t="str">
        <x:v>33026</x:v>
      </x:c>
      <x:c r="I128" t="str">
        <x:v>https://www.smwcentral.net/?a=details&amp;id=33026&amp;p=section</x:v>
      </x:c>
      <x:c r="J128" t="str">
        <x:v>https://dl.smwcentral.net/33026/Alabaras%20Shells%201.2.zip</x:v>
      </x:c>
    </x:row>
    <x:row r="129">
      <x:c r="A129" t="str">
        <x:v>Albatros</x:v>
      </x:c>
      <x:c r="B129" t="str">
        <x:v>Albatros</x:v>
      </x:c>
      <x:c r="C129" t="str">
        <x:v>kurtistrydiz</x:v>
      </x:c>
      <x:c r="D129" t="n">
        <x:v>32</x:v>
      </x:c>
      <x:c r="E129" t="str">
        <x:v>Grandmaster</x:v>
      </x:c>
      <x:c r="F129" t="str">
        <x:v>Kaizo</x:v>
      </x:c>
      <x:c r="G129" t="n">
        <x:v>45680</x:v>
      </x:c>
      <x:c r="H129" t="str">
        <x:v>38912</x:v>
      </x:c>
      <x:c r="I129" t="str">
        <x:v>https://www.smwcentral.net/?a=details&amp;id=38912&amp;p=section</x:v>
      </x:c>
      <x:c r="J129" t="str">
        <x:v>https://dl.smwcentral.net/38912/Albatros%201.102.zip</x:v>
      </x:c>
    </x:row>
    <x:row r="130">
      <x:c r="A130" t="str">
        <x:v>Alex Kidd in Mario World</x:v>
      </x:c>
      <x:c r="B130" t="str">
        <x:v>Alex Kidd in Mario World</x:v>
      </x:c>
      <x:c r="C130" t="str">
        <x:v>Bioma</x:v>
      </x:c>
      <x:c r="D130" t="n">
        <x:v>38</x:v>
      </x:c>
      <x:c r="E130" t="str">
        <x:v>Casual</x:v>
      </x:c>
      <x:c r="F130" t="str">
        <x:v>Standard</x:v>
      </x:c>
      <x:c r="G130" t="n">
        <x:v>42561</x:v>
      </x:c>
      <x:c r="H130" t="str">
        <x:v>13589</x:v>
      </x:c>
      <x:c r="I130" t="str">
        <x:v>https://www.smwcentral.net/?a=details&amp;id=13589&amp;p=section</x:v>
      </x:c>
      <x:c r="J130" t="str">
        <x:v>https://dl.smwcentral.net/13589/AKMW.zip</x:v>
      </x:c>
    </x:row>
    <x:row r="131">
      <x:c r="A131" t="str">
        <x:v>Alex Kidd In Pancake World</x:v>
      </x:c>
      <x:c r="B131" t="str">
        <x:v>Alex Kidd In Pancake World</x:v>
      </x:c>
      <x:c r="C131" t="str">
        <x:v>Lunartoad</x:v>
      </x:c>
      <x:c r="D131" t="n">
        <x:v>4</x:v>
      </x:c>
      <x:c r="E131" t="str">
        <x:v>Casual</x:v>
      </x:c>
      <x:c r="F131" t="str">
        <x:v>Standard</x:v>
      </x:c>
      <x:c r="G131" t="n">
        <x:v>42046</x:v>
      </x:c>
      <x:c r="H131" t="str">
        <x:v>9721</x:v>
      </x:c>
      <x:c r="I131" t="str">
        <x:v>https://www.smwcentral.net/?a=details&amp;id=9721&amp;p=section</x:v>
      </x:c>
      <x:c r="J131" t="str">
        <x:v>https://dl.smwcentral.net/9721/Alex_Kidd_Demo1_%28IPS%2C_for_clean_ROM%29.zip</x:v>
      </x:c>
    </x:row>
    <x:row r="132">
      <x:c r="A132" t="str">
        <x:v>All in a Day's World</x:v>
      </x:c>
      <x:c r="B132" t="str">
        <x:v>All in a Day's World</x:v>
      </x:c>
      <x:c r="C132" t="str">
        <x:v>E-man38</x:v>
      </x:c>
      <x:c r="D132" t="n">
        <x:v>10</x:v>
      </x:c>
      <x:c r="E132" t="str">
        <x:v>Intermediate</x:v>
      </x:c>
      <x:c r="F132" t="str">
        <x:v>Standard</x:v>
      </x:c>
      <x:c r="G132" t="n">
        <x:v>45706</x:v>
      </x:c>
      <x:c r="H132" t="str">
        <x:v>39362</x:v>
      </x:c>
      <x:c r="I132" t="str">
        <x:v>https://www.smwcentral.net/?a=details&amp;id=39362&amp;p=section</x:v>
      </x:c>
      <x:c r="J132" t="str">
        <x:v>https://dl.smwcentral.net/39362/All%20in%20a%20Day%27s%20World.zip</x:v>
      </x:c>
    </x:row>
    <x:row r="133">
      <x:c r="A133" t="str">
        <x:v>Allstar's dream</x:v>
      </x:c>
      <x:c r="B133" t="str">
        <x:v>Allstar's dream</x:v>
      </x:c>
      <x:c r="C133" t="str">
        <x:v>Lush_50</x:v>
      </x:c>
      <x:c r="D133" t="n">
        <x:v>0</x:v>
      </x:c>
      <x:c r="E133" t="str">
        <x:v>Intermediate</x:v>
      </x:c>
      <x:c r="F133" t="str">
        <x:v>Kaizo</x:v>
      </x:c>
      <x:c r="G133" t="n">
        <x:v>44475</x:v>
      </x:c>
      <x:c r="H133" t="str">
        <x:v>28535</x:v>
      </x:c>
      <x:c r="I133" t="str">
        <x:v>https://www.smwcentral.net/?a=details&amp;id=28535&amp;p=section</x:v>
      </x:c>
      <x:c r="J133" t="str">
        <x:v>https://dl.smwcentral.net/28535/Allstar%27s%20dream%20v1.0.zip</x:v>
      </x:c>
    </x:row>
    <x:row r="134">
      <x:c r="A134" t="str">
        <x:v>Allycia Legends - The Blood Moon</x:v>
      </x:c>
      <x:c r="B134" t="str">
        <x:v>Allycia Legends - The Blood Moon</x:v>
      </x:c>
      <x:c r="C134" t="str">
        <x:v>Guilherme F Santos</x:v>
      </x:c>
      <x:c r="D134" t="n">
        <x:v>9</x:v>
      </x:c>
      <x:c r="E134" t="str">
        <x:v>Casual</x:v>
      </x:c>
      <x:c r="F134" t="str">
        <x:v>Standard</x:v>
      </x:c>
      <x:c r="G134" t="n">
        <x:v>42716</x:v>
      </x:c>
      <x:c r="H134" t="str">
        <x:v>14727</x:v>
      </x:c>
      <x:c r="I134" t="str">
        <x:v>https://www.smwcentral.net/?a=details&amp;id=14727&amp;p=section</x:v>
      </x:c>
      <x:c r="J134" t="str">
        <x:v>https://dl.smwcentral.net/14727/Allycia%20Legends.zip</x:v>
      </x:c>
    </x:row>
    <x:row r="135">
      <x:c r="A135" t="str">
        <x:v>Alpha Shelltauri</x:v>
      </x:c>
      <x:c r="B135" t="str">
        <x:v>Alpha Shelltauri</x:v>
      </x:c>
      <x:c r="C135" t="str">
        <x:v>pibolarGaming</x:v>
      </x:c>
      <x:c r="D135" t="n">
        <x:v>1</x:v>
      </x:c>
      <x:c r="E135" t="str">
        <x:v>Master</x:v>
      </x:c>
      <x:c r="F135" t="str">
        <x:v>Kaizo</x:v>
      </x:c>
      <x:c r="G135" t="n">
        <x:v>45091</x:v>
      </x:c>
      <x:c r="H135" t="str">
        <x:v>34112</x:v>
      </x:c>
      <x:c r="I135" t="str">
        <x:v>https://www.smwcentral.net/?a=details&amp;id=34112&amp;p=section</x:v>
      </x:c>
      <x:c r="J135" t="str">
        <x:v>https://dl.smwcentral.net/34112/Alpha%20Shelltauri.zip</x:v>
      </x:c>
    </x:row>
    <x:row r="136">
      <x:c r="A136" t="str">
        <x:v>ALPHA SPHERE Zero: Rotten Brains</x:v>
      </x:c>
      <x:c r="B136" t="str">
        <x:v>ALPHA SPHERE Zero: Rotten Brains</x:v>
      </x:c>
      <x:c r="C136" t="str">
        <x:v>Daizo Dee Von</x:v>
      </x:c>
      <x:c r="D136" t="n">
        <x:v>0</x:v>
      </x:c>
      <x:c r="E136" t="str">
        <x:v>Newcomer</x:v>
      </x:c>
      <x:c r="F136" t="str">
        <x:v>Standard</x:v>
      </x:c>
      <x:c r="G136" t="n">
        <x:v>44859</x:v>
      </x:c>
      <x:c r="H136" t="str">
        <x:v>32393</x:v>
      </x:c>
      <x:c r="I136" t="str">
        <x:v>https://www.smwcentral.net/?a=details&amp;id=32393&amp;p=section</x:v>
      </x:c>
      <x:c r="J136" t="str">
        <x:v>https://dl.smwcentral.net/32393/%5BHack%5D%20ALPHA%20SPHERE%20Zero%20-%20Rotten%20Brains.zip</x:v>
      </x:c>
    </x:row>
    <x:row r="137">
      <x:c r="A137" t="str">
        <x:v>ALPHA SPHERE: Director's Cut</x:v>
      </x:c>
      <x:c r="B137" t="str">
        <x:v>ALPHA SPHERE: Director's Cut</x:v>
      </x:c>
      <x:c r="C137" t="str">
        <x:v>Daizo Dee Von</x:v>
      </x:c>
      <x:c r="D137" t="n">
        <x:v>5</x:v>
      </x:c>
      <x:c r="E137" t="str">
        <x:v>Casual</x:v>
      </x:c>
      <x:c r="F137" t="str">
        <x:v>Standard</x:v>
      </x:c>
      <x:c r="G137" t="n">
        <x:v>44407</x:v>
      </x:c>
      <x:c r="H137" t="str">
        <x:v>27795</x:v>
      </x:c>
      <x:c r="I137" t="str">
        <x:v>https://www.smwcentral.net/?a=details&amp;id=27795&amp;p=section</x:v>
      </x:c>
      <x:c r="J137" t="str">
        <x:v>https://dl.smwcentral.net/27795/ALPHA%20SPHERE%20Director%27s%20Cut%20v1.0.2.zip</x:v>
      </x:c>
    </x:row>
    <x:row r="138">
      <x:c r="A138" t="str">
        <x:v>Also Sprach Mario</x:v>
      </x:c>
      <x:c r="B138" t="str">
        <x:v>Also Sprach Mario</x:v>
      </x:c>
      <x:c r="C138" t="str">
        <x:v>MrBread</x:v>
      </x:c>
      <x:c r="D138" t="n">
        <x:v>10</x:v>
      </x:c>
      <x:c r="E138" t="str">
        <x:v>Advanced</x:v>
      </x:c>
      <x:c r="F138" t="str">
        <x:v>Kaizo</x:v>
      </x:c>
      <x:c r="G138" t="n">
        <x:v>43908</x:v>
      </x:c>
      <x:c r="H138" t="str">
        <x:v>22417</x:v>
      </x:c>
      <x:c r="I138" t="str">
        <x:v>https://www.smwcentral.net/?a=details&amp;id=22417&amp;p=section</x:v>
      </x:c>
      <x:c r="J138" t="str">
        <x:v>https://dl.smwcentral.net/22417/AlsoSprachMario.zip</x:v>
      </x:c>
    </x:row>
    <x:row r="139">
      <x:c r="A139" t="str">
        <x:v>Amazing</x:v>
      </x:c>
      <x:c r="B139" t="str">
        <x:v>Amazing</x:v>
      </x:c>
      <x:c r="C139" t="str">
        <x:v>Sweetdude</x:v>
      </x:c>
      <x:c r="D139" t="n">
        <x:v>8</x:v>
      </x:c>
      <x:c r="E139" t="str">
        <x:v>Advanced</x:v>
      </x:c>
      <x:c r="F139" t="str">
        <x:v>Kaizo</x:v>
      </x:c>
      <x:c r="G139" t="n">
        <x:v>45634</x:v>
      </x:c>
      <x:c r="H139" t="str">
        <x:v>38889</x:v>
      </x:c>
      <x:c r="I139" t="str">
        <x:v>https://www.smwcentral.net/?a=details&amp;id=38889&amp;p=section</x:v>
      </x:c>
      <x:c r="J139" t="str">
        <x:v>https://dl.smwcentral.net/38889/Amazeballs.zip</x:v>
      </x:c>
    </x:row>
    <x:row r="140">
      <x:c r="A140" t="str">
        <x:v>Ambivalence</x:v>
      </x:c>
      <x:c r="B140" t="str">
        <x:v>Ambivalence</x:v>
      </x:c>
      <x:c r="C140" t="str">
        <x:v>drkrdnk</x:v>
      </x:c>
      <x:c r="D140" t="n">
        <x:v>11</x:v>
      </x:c>
      <x:c r="E140" t="str">
        <x:v>Advanced</x:v>
      </x:c>
      <x:c r="F140" t="str">
        <x:v>Kaizo</x:v>
      </x:c>
      <x:c r="G140" t="n">
        <x:v>44736</x:v>
      </x:c>
      <x:c r="H140" t="str">
        <x:v>31224</x:v>
      </x:c>
      <x:c r="I140" t="str">
        <x:v>https://www.smwcentral.net/?a=details&amp;id=31224&amp;p=section</x:v>
      </x:c>
      <x:c r="J140" t="str">
        <x:v>https://dl.smwcentral.net/31224/ambivalence%20v101.zip</x:v>
      </x:c>
    </x:row>
    <x:row r="141">
      <x:c r="A141" t="str">
        <x:v>Amulet Of Corruption DEMO</x:v>
      </x:c>
      <x:c r="B141" t="str">
        <x:v>Amulet Of Corruption DEMO</x:v>
      </x:c>
      <x:c r="C141" t="str">
        <x:v>Superwan</x:v>
      </x:c>
      <x:c r="D141" t="n">
        <x:v>7</x:v>
      </x:c>
      <x:c r="E141" t="str">
        <x:v>Casual</x:v>
      </x:c>
      <x:c r="F141" t="str">
        <x:v>Standard</x:v>
      </x:c>
      <x:c r="G141" t="n">
        <x:v>44297</x:v>
      </x:c>
      <x:c r="H141" t="str">
        <x:v>26347</x:v>
      </x:c>
      <x:c r="I141" t="str">
        <x:v>https://www.smwcentral.net/?a=details&amp;id=26347&amp;p=section</x:v>
      </x:c>
      <x:c r="J141" t="str">
        <x:v>https://dl.smwcentral.net/26347/AmuletOfCorruption.zip</x:v>
      </x:c>
    </x:row>
    <x:row r="142">
      <x:c r="A142" t="str">
        <x:v>An SMW Central Production</x:v>
      </x:c>
      <x:c r="B142" t="str">
        <x:v>An SMW Central Production</x:v>
      </x:c>
      <x:c r="C142" t="str">
        <x:v>SMW Central</x:v>
      </x:c>
      <x:c r="D142" t="n">
        <x:v>117</x:v>
      </x:c>
      <x:c r="E142" t="str">
        <x:v>Advanced</x:v>
      </x:c>
      <x:c r="F142" t="str">
        <x:v>Standard</x:v>
      </x:c>
      <x:c r="G142" t="n">
        <x:v>41639</x:v>
      </x:c>
      <x:c r="H142" t="str">
        <x:v>5420</x:v>
      </x:c>
      <x:c r="I142" t="str">
        <x:v>https://www.smwcentral.net/?a=details&amp;id=5420&amp;p=section</x:v>
      </x:c>
      <x:c r="J142" t="str">
        <x:v>https://dl.smwcentral.net/5420/SMWCP.zip</x:v>
      </x:c>
    </x:row>
    <x:row r="143">
      <x:c r="A143" t="str">
        <x:v>An Untitled Quest!</x:v>
      </x:c>
      <x:c r="B143" t="str">
        <x:v>An Untitled Quest!</x:v>
      </x:c>
      <x:c r="C143" t="str">
        <x:v>LHB</x:v>
      </x:c>
      <x:c r="D143" t="n">
        <x:v>14</x:v>
      </x:c>
      <x:c r="E143" t="str">
        <x:v>Casual</x:v>
      </x:c>
      <x:c r="F143" t="str">
        <x:v>Standard</x:v>
      </x:c>
      <x:c r="G143" t="n">
        <x:v>42303</x:v>
      </x:c>
      <x:c r="H143" t="str">
        <x:v>10216</x:v>
      </x:c>
      <x:c r="I143" t="str">
        <x:v>https://www.smwcentral.net/?a=details&amp;id=10216&amp;p=section</x:v>
      </x:c>
      <x:c r="J143" t="str">
        <x:v>https://dl.smwcentral.net/10216/An%20Untitled%20Quest%21.zip</x:v>
      </x:c>
    </x:row>
    <x:row r="144">
      <x:c r="A144" t="str">
        <x:v>Anita Kaizo Land</x:v>
      </x:c>
      <x:c r="B144" t="str">
        <x:v>Anita Kaizo Land</x:v>
      </x:c>
      <x:c r="C144" t="str">
        <x:v>Azula16</x:v>
      </x:c>
      <x:c r="D144" t="n">
        <x:v>7</x:v>
      </x:c>
      <x:c r="E144" t="str">
        <x:v>Advanced</x:v>
      </x:c>
      <x:c r="F144" t="str">
        <x:v>Kaizo</x:v>
      </x:c>
      <x:c r="G144" t="n">
        <x:v>44405</x:v>
      </x:c>
      <x:c r="H144" t="str">
        <x:v>27829</x:v>
      </x:c>
      <x:c r="I144" t="str">
        <x:v>https://www.smwcentral.net/?a=details&amp;id=27829&amp;p=section</x:v>
      </x:c>
      <x:c r="J144" t="str">
        <x:v>https://dl.smwcentral.net/27829/Anita%20Kaizo%20Land%20V1.1.zip</x:v>
      </x:c>
    </x:row>
    <x:row r="145">
      <x:c r="A145" t="str">
        <x:v>Another adventure of Mario</x:v>
      </x:c>
      <x:c r="B145" t="str">
        <x:v>Another adventure of Mario</x:v>
      </x:c>
      <x:c r="C145" t="str">
        <x:v>Suhru</x:v>
      </x:c>
      <x:c r="D145" t="n">
        <x:v>19</x:v>
      </x:c>
      <x:c r="E145" t="str">
        <x:v>Intermediate</x:v>
      </x:c>
      <x:c r="F145" t="str">
        <x:v>Standard</x:v>
      </x:c>
      <x:c r="G145" t="n">
        <x:v>42284</x:v>
      </x:c>
      <x:c r="H145" t="str">
        <x:v>10106</x:v>
      </x:c>
      <x:c r="I145" t="str">
        <x:v>https://www.smwcentral.net/?a=details&amp;id=10106&amp;p=section</x:v>
      </x:c>
      <x:c r="J145" t="str">
        <x:v>https://dl.smwcentral.net/10106/Another%20adventure%20of%20Mario.zip</x:v>
      </x:c>
    </x:row>
    <x:row r="146">
      <x:c r="A146" t="str">
        <x:v>Another Challenge With Mario</x:v>
      </x:c>
      <x:c r="B146" t="str">
        <x:v>Another Challenge With Mario</x:v>
      </x:c>
      <x:c r="C146" t="str">
        <x:v>ChaoticX</x:v>
      </x:c>
      <x:c r="D146" t="n">
        <x:v>8</x:v>
      </x:c>
      <x:c r="E146" t="str">
        <x:v>Intermediate</x:v>
      </x:c>
      <x:c r="F146" t="str">
        <x:v>Standard</x:v>
      </x:c>
      <x:c r="G146" t="n">
        <x:v>42207</x:v>
      </x:c>
      <x:c r="H146" t="str">
        <x:v>9677</x:v>
      </x:c>
      <x:c r="I146" t="str">
        <x:v>https://www.smwcentral.net/?a=details&amp;id=9677&amp;p=section</x:v>
      </x:c>
      <x:c r="J146" t="str">
        <x:v>https://dl.smwcentral.net/9677/AnotherChallengeWithMario%20DEMO%201.0.zip</x:v>
      </x:c>
    </x:row>
    <x:row r="147">
      <x:c r="A147" t="str">
        <x:v>Another Christmas Gift - Christmas in March</x:v>
      </x:c>
      <x:c r="B147" t="str">
        <x:v>Another Christmas Gift - Christmas in March</x:v>
      </x:c>
      <x:c r="C147" t="str">
        <x:v>The_Uber_Camper</x:v>
      </x:c>
      <x:c r="D147" t="n">
        <x:v>4</x:v>
      </x:c>
      <x:c r="E147" t="str">
        <x:v>Advanced</x:v>
      </x:c>
      <x:c r="F147" t="str">
        <x:v>Kaizo</x:v>
      </x:c>
      <x:c r="G147" t="n">
        <x:v>44995</x:v>
      </x:c>
      <x:c r="H147" t="str">
        <x:v>33435</x:v>
      </x:c>
      <x:c r="I147" t="str">
        <x:v>https://www.smwcentral.net/?a=details&amp;id=33435&amp;p=section</x:v>
      </x:c>
      <x:c r="J147" t="str">
        <x:v>https://dl.smwcentral.net/33435/Another%20Christmas%20Gift%20-%20Christmas%20in%20March.zip</x:v>
      </x:c>
    </x:row>
    <x:row r="148">
      <x:c r="A148" t="str">
        <x:v>Another Generic SMW Hack</x:v>
      </x:c>
      <x:c r="B148" t="str">
        <x:v>Another Generic SMW Hack</x:v>
      </x:c>
      <x:c r="C148" t="str">
        <x:v>MarioFan22</x:v>
      </x:c>
      <x:c r="D148" t="n">
        <x:v>11</x:v>
      </x:c>
      <x:c r="E148" t="str">
        <x:v>Newcomer</x:v>
      </x:c>
      <x:c r="F148" t="str">
        <x:v>Standard</x:v>
      </x:c>
      <x:c r="G148" t="n">
        <x:v>42295</x:v>
      </x:c>
      <x:c r="H148" t="str">
        <x:v>10059</x:v>
      </x:c>
      <x:c r="I148" t="str">
        <x:v>https://www.smwcentral.net/?a=details&amp;id=10059&amp;p=section</x:v>
      </x:c>
      <x:c r="J148" t="str">
        <x:v>https://dl.smwcentral.net/10059/GenSMWHackUnfinished.zip</x:v>
      </x:c>
    </x:row>
    <x:row r="149">
      <x:c r="A149" t="str">
        <x:v>Another Mario Adventure</x:v>
      </x:c>
      <x:c r="B149" t="str">
        <x:v>Another Mario Adventure</x:v>
      </x:c>
      <x:c r="C149" t="str">
        <x:v>NismoZ</x:v>
      </x:c>
      <x:c r="D149" t="n">
        <x:v>5</x:v>
      </x:c>
      <x:c r="E149" t="str">
        <x:v>Newcomer</x:v>
      </x:c>
      <x:c r="F149" t="str">
        <x:v>Standard</x:v>
      </x:c>
      <x:c r="G149" t="n">
        <x:v>42317</x:v>
      </x:c>
      <x:c r="H149" t="str">
        <x:v>10160</x:v>
      </x:c>
      <x:c r="I149" t="str">
        <x:v>https://www.smwcentral.net/?a=details&amp;id=10160&amp;p=section</x:v>
      </x:c>
      <x:c r="J149" t="str">
        <x:v>https://dl.smwcentral.net/10160/marventurev131.zip</x:v>
      </x:c>
    </x:row>
    <x:row r="150">
      <x:c r="A150" t="str">
        <x:v>Another Mario Hack</x:v>
      </x:c>
      <x:c r="B150" t="str">
        <x:v>Another Mario Hack</x:v>
      </x:c>
      <x:c r="C150" t="str">
        <x:v>Carsr4carpeople1</x:v>
      </x:c>
      <x:c r="D150" t="n">
        <x:v>9</x:v>
      </x:c>
      <x:c r="E150" t="str">
        <x:v>Intermediate</x:v>
      </x:c>
      <x:c r="F150" t="str">
        <x:v>Standard</x:v>
      </x:c>
      <x:c r="G150" t="n">
        <x:v>42065</x:v>
      </x:c>
      <x:c r="H150" t="str">
        <x:v>9671</x:v>
      </x:c>
      <x:c r="I150" t="str">
        <x:v>https://www.smwcentral.net/?a=details&amp;id=9671&amp;p=section</x:v>
      </x:c>
      <x:c r="J150" t="str">
        <x:v>https://dl.smwcentral.net/9671/Another%20Mario%20Hack.zip</x:v>
      </x:c>
    </x:row>
    <x:row r="151">
      <x:c r="A151" t="str">
        <x:v>Another Mario Remastered</x:v>
      </x:c>
      <x:c r="B151" t="str">
        <x:v>Another Mario Remastered</x:v>
      </x:c>
      <x:c r="C151" t="str">
        <x:v>DAA234</x:v>
      </x:c>
      <x:c r="D151" t="n">
        <x:v>71</x:v>
      </x:c>
      <x:c r="E151" t="str">
        <x:v>Casual</x:v>
      </x:c>
      <x:c r="F151" t="str">
        <x:v>Standard</x:v>
      </x:c>
      <x:c r="G151" t="n">
        <x:v>42892</x:v>
      </x:c>
      <x:c r="H151" t="str">
        <x:v>15640</x:v>
      </x:c>
      <x:c r="I151" t="str">
        <x:v>https://www.smwcentral.net/?a=details&amp;id=15640&amp;p=section</x:v>
      </x:c>
      <x:c r="J151" t="str">
        <x:v>https://dl.smwcentral.net/15640/Another%20Mario%20Remastered.zip</x:v>
      </x:c>
    </x:row>
    <x:row r="152">
      <x:c r="A152" t="str">
        <x:v>Another Mario Remastered 2 - HF Crismon</x:v>
      </x:c>
      <x:c r="B152" t="str">
        <x:v>Another Mario Remastered 2 - HF Crismon</x:v>
      </x:c>
      <x:c r="C152" t="str">
        <x:v>DAA234</x:v>
      </x:c>
      <x:c r="D152" t="n">
        <x:v>34</x:v>
      </x:c>
      <x:c r="E152" t="str">
        <x:v>Casual</x:v>
      </x:c>
      <x:c r="F152" t="str">
        <x:v>Standard</x:v>
      </x:c>
      <x:c r="G152" t="n">
        <x:v>42987</x:v>
      </x:c>
      <x:c r="H152" t="str">
        <x:v>16145</x:v>
      </x:c>
      <x:c r="I152" t="str">
        <x:v>https://www.smwcentral.net/?a=details&amp;id=16145&amp;p=section</x:v>
      </x:c>
      <x:c r="J152" t="str">
        <x:v>https://dl.smwcentral.net/16145/Another%20Mario%20Remastered%202%20Demo%202.zip</x:v>
      </x:c>
    </x:row>
    <x:row r="153">
      <x:c r="A153" t="str">
        <x:v>Another Mario World</x:v>
      </x:c>
      <x:c r="B153" t="str">
        <x:v>Another Mario World</x:v>
      </x:c>
      <x:c r="C153" t="str">
        <x:v>Stivi</x:v>
      </x:c>
      <x:c r="D153" t="n">
        <x:v>54</x:v>
      </x:c>
      <x:c r="E153" t="str">
        <x:v>Casual</x:v>
      </x:c>
      <x:c r="F153" t="str">
        <x:v>Standard</x:v>
      </x:c>
      <x:c r="G153" t="n">
        <x:v>42764</x:v>
      </x:c>
      <x:c r="H153" t="str">
        <x:v>15076</x:v>
      </x:c>
      <x:c r="I153" t="str">
        <x:v>https://www.smwcentral.net/?a=details&amp;id=15076&amp;p=section</x:v>
      </x:c>
      <x:c r="J153" t="str">
        <x:v>https://dl.smwcentral.net/15076/Another%20Mario%20World.zip</x:v>
      </x:c>
    </x:row>
    <x:row r="154">
      <x:c r="A154" t="str">
        <x:v>Another Mario World 2: Luigi's Mission</x:v>
      </x:c>
      <x:c r="B154" t="str">
        <x:v>Another Mario World 2: Luigi's Mission</x:v>
      </x:c>
      <x:c r="C154" t="str">
        <x:v>Stivi</x:v>
      </x:c>
      <x:c r="D154" t="n">
        <x:v>70</x:v>
      </x:c>
      <x:c r="E154" t="str">
        <x:v>Casual</x:v>
      </x:c>
      <x:c r="F154" t="str">
        <x:v>Standard</x:v>
      </x:c>
      <x:c r="G154" t="n">
        <x:v>42926</x:v>
      </x:c>
      <x:c r="H154" t="str">
        <x:v>15710</x:v>
      </x:c>
      <x:c r="I154" t="str">
        <x:v>https://www.smwcentral.net/?a=details&amp;id=15710&amp;p=section</x:v>
      </x:c>
      <x:c r="J154" t="str">
        <x:v>https://dl.smwcentral.net/15710/Another%20Mario%20World%202%20-%20Luigi%27s%20Mission.zip</x:v>
      </x:c>
    </x:row>
    <x:row r="155">
      <x:c r="A155" t="str">
        <x:v>Another Rom Hack Featuring Mario</x:v>
      </x:c>
      <x:c r="B155" t="str">
        <x:v>Another Rom Hack Featuring Mario</x:v>
      </x:c>
      <x:c r="C155" t="str">
        <x:v>rumpg46691</x:v>
      </x:c>
      <x:c r="D155" t="n">
        <x:v>8</x:v>
      </x:c>
      <x:c r="E155" t="str">
        <x:v>Casual</x:v>
      </x:c>
      <x:c r="F155" t="str">
        <x:v>Standard</x:v>
      </x:c>
      <x:c r="G155" t="n">
        <x:v>42211</x:v>
      </x:c>
      <x:c r="H155" t="str">
        <x:v>11837</x:v>
      </x:c>
      <x:c r="I155" t="str">
        <x:v>https://www.smwcentral.net/?a=details&amp;id=11837&amp;p=section</x:v>
      </x:c>
      <x:c r="J155" t="str">
        <x:v>https://dl.smwcentral.net/11837/Another%20Rom%20Hack%20Featuring%20Mario.zip</x:v>
      </x:c>
    </x:row>
    <x:row r="156">
      <x:c r="A156" t="str">
        <x:v>Another Special World</x:v>
      </x:c>
      <x:c r="B156" t="str">
        <x:v>Another Special World</x:v>
      </x:c>
      <x:c r="C156" t="str">
        <x:v>lolyoshi, rextep</x:v>
      </x:c>
      <x:c r="D156" t="n">
        <x:v>8</x:v>
      </x:c>
      <x:c r="E156" t="str">
        <x:v>Intermediate</x:v>
      </x:c>
      <x:c r="F156" t="str">
        <x:v>Standard</x:v>
      </x:c>
      <x:c r="G156" t="n">
        <x:v>42587</x:v>
      </x:c>
      <x:c r="H156" t="str">
        <x:v>14122</x:v>
      </x:c>
      <x:c r="I156" t="str">
        <x:v>https://www.smwcentral.net/?a=details&amp;id=14122&amp;p=section</x:v>
      </x:c>
      <x:c r="J156" t="str">
        <x:v>https://dl.smwcentral.net/14122/newASW.zip</x:v>
      </x:c>
    </x:row>
    <x:row r="157">
      <x:c r="A157" t="str">
        <x:v>Another Special World 2</x:v>
      </x:c>
      <x:c r="B157" t="str">
        <x:v>Another Special World 2</x:v>
      </x:c>
      <x:c r="C157" t="str">
        <x:v>lolyoshi, rextep</x:v>
      </x:c>
      <x:c r="D157" t="n">
        <x:v>9</x:v>
      </x:c>
      <x:c r="E157" t="str">
        <x:v>Advanced</x:v>
      </x:c>
      <x:c r="F157" t="str">
        <x:v>Standard</x:v>
      </x:c>
      <x:c r="G157" t="n">
        <x:v>44385</x:v>
      </x:c>
      <x:c r="H157" t="str">
        <x:v>27588</x:v>
      </x:c>
      <x:c r="I157" t="str">
        <x:v>https://www.smwcentral.net/?a=details&amp;id=27588&amp;p=section</x:v>
      </x:c>
      <x:c r="J157" t="str">
        <x:v>https://dl.smwcentral.net/27588/asw2.zip</x:v>
      </x:c>
    </x:row>
    <x:row r="158">
      <x:c r="A158" t="str">
        <x:v>Another Super Mario Adventure</x:v>
      </x:c>
      <x:c r="B158" t="str">
        <x:v>Another Super Mario Adventure</x:v>
      </x:c>
      <x:c r="C158" t="str">
        <x:v>Gamma V</x:v>
      </x:c>
      <x:c r="D158" t="n">
        <x:v>27</x:v>
      </x:c>
      <x:c r="E158" t="str">
        <x:v>Casual</x:v>
      </x:c>
      <x:c r="F158" t="str">
        <x:v>Standard</x:v>
      </x:c>
      <x:c r="G158" t="n">
        <x:v>46137</x:v>
      </x:c>
      <x:c r="H158" t="str">
        <x:v>42255</x:v>
      </x:c>
      <x:c r="I158" t="str">
        <x:v>https://www.smwcentral.net/?a=details&amp;id=42255&amp;p=section</x:v>
      </x:c>
      <x:c r="J158" t="str">
        <x:v>https://dl.smwcentral.net/42255/ASMA2%20Demo.zip</x:v>
      </x:c>
    </x:row>
    <x:row r="159">
      <x:c r="A159" t="str">
        <x:v>Aperitif</x:v>
      </x:c>
      <x:c r="B159" t="str">
        <x:v>Aperitif</x:v>
      </x:c>
      <x:c r="C159" t="str">
        <x:v>bald_ridge</x:v>
      </x:c>
      <x:c r="D159" t="n">
        <x:v>13</x:v>
      </x:c>
      <x:c r="E159" t="str">
        <x:v>Intermediate</x:v>
      </x:c>
      <x:c r="F159" t="str">
        <x:v>Kaizo</x:v>
      </x:c>
      <x:c r="G159" t="n">
        <x:v>46192</x:v>
      </x:c>
      <x:c r="H159" t="str">
        <x:v>42560</x:v>
      </x:c>
      <x:c r="I159" t="str">
        <x:v>https://www.smwcentral.net/?a=details&amp;id=42560&amp;p=section</x:v>
      </x:c>
      <x:c r="J159" t="str">
        <x:v>https://dl.smwcentral.net/42560/Aperitif1.1.zip</x:v>
      </x:c>
    </x:row>
    <x:row r="160">
      <x:c r="A160" t="str">
        <x:v>App Strike</x:v>
      </x:c>
      <x:c r="B160" t="str">
        <x:v>App Strike</x:v>
      </x:c>
      <x:c r="C160" t="str">
        <x:v>Metalstriker</x:v>
      </x:c>
      <x:c r="D160" t="n">
        <x:v>5</x:v>
      </x:c>
      <x:c r="E160" t="str">
        <x:v>Casual</x:v>
      </x:c>
      <x:c r="F160" t="str">
        <x:v>Standard</x:v>
      </x:c>
      <x:c r="G160" t="n">
        <x:v>42058</x:v>
      </x:c>
      <x:c r="H160" t="str">
        <x:v>10048</x:v>
      </x:c>
      <x:c r="I160" t="str">
        <x:v>https://www.smwcentral.net/?a=details&amp;id=10048&amp;p=section</x:v>
      </x:c>
      <x:c r="J160" t="str">
        <x:v>https://dl.smwcentral.net/10048/App%20Strike%28v2%29.zip</x:v>
      </x:c>
    </x:row>
    <x:row r="161">
      <x:c r="A161" t="str">
        <x:v>Apple Boy 2: Homebound Hero</x:v>
      </x:c>
      <x:c r="B161" t="str">
        <x:v>Apple Boy 2: Homebound Hero</x:v>
      </x:c>
      <x:c r="C161" t="str">
        <x:v>Apple Boy, KaidenThelens</x:v>
      </x:c>
      <x:c r="D161" t="n">
        <x:v>45</x:v>
      </x:c>
      <x:c r="E161" t="str">
        <x:v>Casual</x:v>
      </x:c>
      <x:c r="F161" t="str">
        <x:v>Standard</x:v>
      </x:c>
      <x:c r="G161" t="n">
        <x:v>45279</x:v>
      </x:c>
      <x:c r="H161" t="str">
        <x:v>35726</x:v>
      </x:c>
      <x:c r="I161" t="str">
        <x:v>https://www.smwcentral.net/?a=details&amp;id=35726&amp;p=section</x:v>
      </x:c>
      <x:c r="J161" t="str">
        <x:v>https://dl.smwcentral.net/35726/Apple%20Boy%20Hack%202.zip</x:v>
      </x:c>
    </x:row>
    <x:row r="162">
      <x:c r="A162" t="str">
        <x:v>Apple Boy: Attack of Ice Cream Man</x:v>
      </x:c>
      <x:c r="B162" t="str">
        <x:v>Apple Boy: Attack of Ice Cream Man</x:v>
      </x:c>
      <x:c r="C162" t="str">
        <x:v>Apple Boy</x:v>
      </x:c>
      <x:c r="D162" t="n">
        <x:v>33</x:v>
      </x:c>
      <x:c r="E162" t="str">
        <x:v>Casual</x:v>
      </x:c>
      <x:c r="F162" t="str">
        <x:v>Standard</x:v>
      </x:c>
      <x:c r="G162" t="n">
        <x:v>44845</x:v>
      </x:c>
      <x:c r="H162" t="str">
        <x:v>32317</x:v>
      </x:c>
      <x:c r="I162" t="str">
        <x:v>https://www.smwcentral.net/?a=details&amp;id=32317&amp;p=section</x:v>
      </x:c>
      <x:c r="J162" t="str">
        <x:v>https://dl.smwcentral.net/32317/Apple%20Boy%20Attack%20of%20Ice%20Cream%20Man.zip</x:v>
      </x:c>
    </x:row>
    <x:row r="163">
      <x:c r="A163" t="str">
        <x:v>Apple Guardian</x:v>
      </x:c>
      <x:c r="B163" t="str">
        <x:v>Apple Guardian</x:v>
      </x:c>
      <x:c r="C163" t="str">
        <x:v>Kerfuffle</x:v>
      </x:c>
      <x:c r="D163" t="n">
        <x:v>9</x:v>
      </x:c>
      <x:c r="E163" t="str">
        <x:v>Expert</x:v>
      </x:c>
      <x:c r="F163" t="str">
        <x:v>Kaizo</x:v>
      </x:c>
      <x:c r="G163" t="n">
        <x:v>44918</x:v>
      </x:c>
      <x:c r="H163" t="str">
        <x:v>32781</x:v>
      </x:c>
      <x:c r="I163" t="str">
        <x:v>https://www.smwcentral.net/?a=details&amp;id=32781&amp;p=section</x:v>
      </x:c>
      <x:c r="J163" t="str">
        <x:v>https://dl.smwcentral.net/32781/Apple%20Guardian%201.1.zip</x:v>
      </x:c>
    </x:row>
    <x:row r="164">
      <x:c r="A164" t="str">
        <x:v>Arantes Shells</x:v>
      </x:c>
      <x:c r="B164" t="str">
        <x:v>Arantes Shells</x:v>
      </x:c>
      <x:c r="C164" t="str">
        <x:v>RenanSV, arantes</x:v>
      </x:c>
      <x:c r="D164" t="n">
        <x:v>15</x:v>
      </x:c>
      <x:c r="E164" t="str">
        <x:v>Master</x:v>
      </x:c>
      <x:c r="F164" t="str">
        <x:v>Kaizo</x:v>
      </x:c>
      <x:c r="G164" t="n">
        <x:v>45211</x:v>
      </x:c>
      <x:c r="H164" t="str">
        <x:v>34662</x:v>
      </x:c>
      <x:c r="I164" t="str">
        <x:v>https://www.smwcentral.net/?a=details&amp;id=34662&amp;p=section</x:v>
      </x:c>
      <x:c r="J164" t="str">
        <x:v>https://dl.smwcentral.net/34662/Arantes%20Shells%201.2.zip</x:v>
      </x:c>
    </x:row>
    <x:row r="165">
      <x:c r="A165" t="str">
        <x:v>Arcadia</x:v>
      </x:c>
      <x:c r="B165" t="str">
        <x:v>Arcadia</x:v>
      </x:c>
      <x:c r="C165" t="str">
        <x:v>D_O_M</x:v>
      </x:c>
      <x:c r="D165" t="n">
        <x:v>25</x:v>
      </x:c>
      <x:c r="E165" t="str">
        <x:v>Expert</x:v>
      </x:c>
      <x:c r="F165" t="str">
        <x:v>Kaizo</x:v>
      </x:c>
      <x:c r="G165" t="n">
        <x:v>46114</x:v>
      </x:c>
      <x:c r="H165" t="str">
        <x:v>41875</x:v>
      </x:c>
      <x:c r="I165" t="str">
        <x:v>https://www.smwcentral.net/?a=details&amp;id=41875&amp;p=section</x:v>
      </x:c>
      <x:c r="J165" t="str">
        <x:v>https://dl.smwcentral.net/41875/Arcadia.zip</x:v>
      </x:c>
    </x:row>
    <x:row r="166">
      <x:c r="A166" t="str">
        <x:v>Arcane Mario World</x:v>
      </x:c>
      <x:c r="B166" t="str">
        <x:v>Arcane Mario World</x:v>
      </x:c>
      <x:c r="C166" t="str">
        <x:v>Mithrillionaire</x:v>
      </x:c>
      <x:c r="D166" t="n">
        <x:v>16</x:v>
      </x:c>
      <x:c r="E166" t="str">
        <x:v>Expert</x:v>
      </x:c>
      <x:c r="F166" t="str">
        <x:v>Kaizo</x:v>
      </x:c>
      <x:c r="G166" t="n">
        <x:v>44368</x:v>
      </x:c>
      <x:c r="H166" t="str">
        <x:v>27227</x:v>
      </x:c>
      <x:c r="I166" t="str">
        <x:v>https://www.smwcentral.net/?a=details&amp;id=27227&amp;p=section</x:v>
      </x:c>
      <x:c r="J166" t="str">
        <x:v>https://dl.smwcentral.net/27227/Arcane%20Mario%20World.zip</x:v>
      </x:c>
    </x:row>
    <x:row r="167">
      <x:c r="A167" t="str">
        <x:v>Archipelago of Truth Collection</x:v>
      </x:c>
      <x:c r="B167" t="str">
        <x:v>Archipelago of Truth Collection</x:v>
      </x:c>
      <x:c r="C167" t="str">
        <x:v>Onyx</x:v>
      </x:c>
      <x:c r="D167" t="n">
        <x:v>19</x:v>
      </x:c>
      <x:c r="E167" t="str">
        <x:v>Casual</x:v>
      </x:c>
      <x:c r="F167" t="str">
        <x:v>Standard</x:v>
      </x:c>
      <x:c r="G167" t="n">
        <x:v>42346</x:v>
      </x:c>
      <x:c r="H167" t="str">
        <x:v>9926</x:v>
      </x:c>
      <x:c r="I167" t="str">
        <x:v>https://www.smwcentral.net/?a=details&amp;id=9926&amp;p=section</x:v>
      </x:c>
      <x:c r="J167" t="str">
        <x:v>https://dl.smwcentral.net/9926/Archipelago%20of%20Truth%20Collection.zip</x:v>
      </x:c>
    </x:row>
    <x:row r="168">
      <x:c r="A168" t="str">
        <x:v>Arcyria</x:v>
      </x:c>
      <x:c r="B168" t="str">
        <x:v>Arcyria</x:v>
      </x:c>
      <x:c r="C168" t="str">
        <x:v>neidoodle</x:v>
      </x:c>
      <x:c r="D168" t="n">
        <x:v>8</x:v>
      </x:c>
      <x:c r="E168" t="str">
        <x:v>Expert</x:v>
      </x:c>
      <x:c r="F168" t="str">
        <x:v>Kaizo</x:v>
      </x:c>
      <x:c r="G168" t="n">
        <x:v>46117</x:v>
      </x:c>
      <x:c r="H168" t="str">
        <x:v>42100</x:v>
      </x:c>
      <x:c r="I168" t="str">
        <x:v>https://www.smwcentral.net/?a=details&amp;id=42100&amp;p=section</x:v>
      </x:c>
      <x:c r="J168" t="str">
        <x:v>https://dl.smwcentral.net/42100/Arcyria%201.1.zip</x:v>
      </x:c>
    </x:row>
    <x:row r="169">
      <x:c r="A169" t="str">
        <x:v>Are The Enemies Smarter Than A Caveman?</x:v>
      </x:c>
      <x:c r="B169" t="str">
        <x:v>Are The Enemies Smarter Than A Caveman?</x:v>
      </x:c>
      <x:c r="C169" t="str">
        <x:v>Daizo Dee Von</x:v>
      </x:c>
      <x:c r="D169" t="n">
        <x:v>10</x:v>
      </x:c>
      <x:c r="E169" t="str">
        <x:v>Intermediate</x:v>
      </x:c>
      <x:c r="F169" t="str">
        <x:v>Standard</x:v>
      </x:c>
      <x:c r="G169" t="n">
        <x:v>45401</x:v>
      </x:c>
      <x:c r="H169" t="str">
        <x:v>37655</x:v>
      </x:c>
      <x:c r="I169" t="str">
        <x:v>https://www.smwcentral.net/?a=details&amp;id=37655&amp;p=section</x:v>
      </x:c>
      <x:c r="J169" t="str">
        <x:v>https://dl.smwcentral.net/37655/Are%20The%20Enemies%20Smarter%20Than%20A%20Caveman%20%28v1.01%29.zip</x:v>
      </x:c>
    </x:row>
    <x:row r="170">
      <x:c r="A170" t="str">
        <x:v>Arkin</x:v>
      </x:c>
      <x:c r="B170" t="str">
        <x:v>Arkin</x:v>
      </x:c>
      <x:c r="C170" t="str">
        <x:v>TheTrueCommonSense</x:v>
      </x:c>
      <x:c r="D170" t="n">
        <x:v>11</x:v>
      </x:c>
      <x:c r="E170" t="str">
        <x:v>Advanced</x:v>
      </x:c>
      <x:c r="F170" t="str">
        <x:v>Kaizo</x:v>
      </x:c>
      <x:c r="G170" t="n">
        <x:v>45742</x:v>
      </x:c>
      <x:c r="H170" t="str">
        <x:v>39637</x:v>
      </x:c>
      <x:c r="I170" t="str">
        <x:v>https://www.smwcentral.net/?a=details&amp;id=39637&amp;p=section</x:v>
      </x:c>
      <x:c r="J170" t="str">
        <x:v>https://dl.smwcentral.net/39637/Arkin.zip</x:v>
      </x:c>
    </x:row>
    <x:row r="171">
      <x:c r="A171" t="str">
        <x:v>ARMAGEDDON</x:v>
      </x:c>
      <x:c r="B171" t="str">
        <x:v>ARMAGEDDON</x:v>
      </x:c>
      <x:c r="C171" t="str">
        <x:v>dacin</x:v>
      </x:c>
      <x:c r="D171" t="n">
        <x:v>1</x:v>
      </x:c>
      <x:c r="E171" t="str">
        <x:v>Grandmaster</x:v>
      </x:c>
      <x:c r="F171" t="str">
        <x:v>Tool-Assisted, Pit</x:v>
      </x:c>
      <x:c r="G171" t="n">
        <x:v>44428</x:v>
      </x:c>
      <x:c r="H171" t="str">
        <x:v>27209</x:v>
      </x:c>
      <x:c r="I171" t="str">
        <x:v>https://www.smwcentral.net/?a=details&amp;id=27209&amp;p=section</x:v>
      </x:c>
      <x:c r="J171" t="str">
        <x:v>https://dl.smwcentral.net/27209/ARMAGEDDON_1.1.zip</x:v>
      </x:c>
    </x:row>
    <x:row r="172">
      <x:c r="A172" t="str">
        <x:v>Armaidia</x:v>
      </x:c>
      <x:c r="B172" t="str">
        <x:v>Armaidia</x:v>
      </x:c>
      <x:c r="C172" t="str">
        <x:v>34088, SMW Physicist, levelengine</x:v>
      </x:c>
      <x:c r="D172" t="n">
        <x:v>5</x:v>
      </x:c>
      <x:c r="E172" t="str">
        <x:v>Casual</x:v>
      </x:c>
      <x:c r="F172" t="str">
        <x:v>Standard</x:v>
      </x:c>
      <x:c r="G172" t="n">
        <x:v>43670</x:v>
      </x:c>
      <x:c r="H172" t="str">
        <x:v>20671</x:v>
      </x:c>
      <x:c r="I172" t="str">
        <x:v>https://www.smwcentral.net/?a=details&amp;id=20671&amp;p=section</x:v>
      </x:c>
      <x:c r="J172" t="str">
        <x:v>https://dl.smwcentral.net/20671/Armaidia.zip</x:v>
      </x:c>
    </x:row>
    <x:row r="173">
      <x:c r="A173" t="str">
        <x:v>Assortment Of Wyverns</x:v>
      </x:c>
      <x:c r="B173" t="str">
        <x:v>Assortment Of Wyverns</x:v>
      </x:c>
      <x:c r="C173" t="str">
        <x:v>SolveForX</x:v>
      </x:c>
      <x:c r="D173" t="n">
        <x:v>3</x:v>
      </x:c>
      <x:c r="E173" t="str">
        <x:v>Grandmaster</x:v>
      </x:c>
      <x:c r="F173" t="str">
        <x:v>Kaizo</x:v>
      </x:c>
      <x:c r="G173" t="n">
        <x:v>46097</x:v>
      </x:c>
      <x:c r="H173" t="str">
        <x:v>41455</x:v>
      </x:c>
      <x:c r="I173" t="str">
        <x:v>https://www.smwcentral.net/?a=details&amp;id=41455&amp;p=section</x:v>
      </x:c>
      <x:c r="J173" t="str">
        <x:v>https://dl.smwcentral.net/41455/AssortmentOfWyverns.zip</x:v>
      </x:c>
    </x:row>
    <x:row r="174">
      <x:c r="A174" t="str">
        <x:v>At Least The Music's Good</x:v>
      </x:c>
      <x:c r="B174" t="str">
        <x:v>At Least The Music's Good</x:v>
      </x:c>
      <x:c r="C174" t="str">
        <x:v>Worl</x:v>
      </x:c>
      <x:c r="D174" t="n">
        <x:v>15</x:v>
      </x:c>
      <x:c r="E174" t="str">
        <x:v>Expert</x:v>
      </x:c>
      <x:c r="F174" t="str">
        <x:v>Kaizo</x:v>
      </x:c>
      <x:c r="G174" t="n">
        <x:v>44523</x:v>
      </x:c>
      <x:c r="H174" t="str">
        <x:v>28839</x:v>
      </x:c>
      <x:c r="I174" t="str">
        <x:v>https://www.smwcentral.net/?a=details&amp;id=28839&amp;p=section</x:v>
      </x:c>
      <x:c r="J174" t="str">
        <x:v>https://dl.smwcentral.net/28839/At%20Least%20The%20Music%27s%20Good%20v1.1.zip</x:v>
      </x:c>
    </x:row>
    <x:row r="175">
      <x:c r="A175" t="str">
        <x:v>Athletic Plumber Twins</x:v>
      </x:c>
      <x:c r="B175" t="str">
        <x:v>Athletic Plumber Twins</x:v>
      </x:c>
      <x:c r="C175" t="str">
        <x:v>Shuffles</x:v>
      </x:c>
      <x:c r="D175" t="n">
        <x:v>24</x:v>
      </x:c>
      <x:c r="E175" t="str">
        <x:v>Casual</x:v>
      </x:c>
      <x:c r="F175" t="str">
        <x:v>Standard</x:v>
      </x:c>
      <x:c r="G175" t="n">
        <x:v>42238</x:v>
      </x:c>
      <x:c r="H175" t="str">
        <x:v>9857</x:v>
      </x:c>
      <x:c r="I175" t="str">
        <x:v>https://www.smwcentral.net/?a=details&amp;id=9857&amp;p=section</x:v>
      </x:c>
      <x:c r="J175" t="str">
        <x:v>https://dl.smwcentral.net/9857/Athletic%20Plumber%20Twins.zip</x:v>
      </x:c>
    </x:row>
    <x:row r="176">
      <x:c r="A176" t="str">
        <x:v>Attempt at a Normal Hack</x:v>
      </x:c>
      <x:c r="B176" t="str">
        <x:v>Attempt at a Normal Hack</x:v>
      </x:c>
      <x:c r="C176" t="str">
        <x:v>ft029</x:v>
      </x:c>
      <x:c r="D176" t="n">
        <x:v>40</x:v>
      </x:c>
      <x:c r="E176" t="str">
        <x:v>Intermediate</x:v>
      </x:c>
      <x:c r="F176" t="str">
        <x:v>Standard</x:v>
      </x:c>
      <x:c r="G176" t="n">
        <x:v>45430</x:v>
      </x:c>
      <x:c r="H176" t="str">
        <x:v>37783</x:v>
      </x:c>
      <x:c r="I176" t="str">
        <x:v>https://www.smwcentral.net/?a=details&amp;id=37783&amp;p=section</x:v>
      </x:c>
      <x:c r="J176" t="str">
        <x:v>https://dl.smwcentral.net/37783/Attempt%20at%20a%20normal%20hack%20v1.11.zip</x:v>
      </x:c>
    </x:row>
    <x:row r="177">
      <x:c r="A177" t="str">
        <x:v>Autumn</x:v>
      </x:c>
      <x:c r="B177" t="str">
        <x:v>Autumn</x:v>
      </x:c>
      <x:c r="C177" t="str">
        <x:v>Morph Moth</x:v>
      </x:c>
      <x:c r="D177" t="n">
        <x:v>18</x:v>
      </x:c>
      <x:c r="E177" t="str">
        <x:v>Expert</x:v>
      </x:c>
      <x:c r="F177" t="str">
        <x:v>Kaizo</x:v>
      </x:c>
      <x:c r="G177" t="n">
        <x:v>44622</x:v>
      </x:c>
      <x:c r="H177" t="str">
        <x:v>29994</x:v>
      </x:c>
      <x:c r="I177" t="str">
        <x:v>https://www.smwcentral.net/?a=details&amp;id=29994&amp;p=section</x:v>
      </x:c>
      <x:c r="J177" t="str">
        <x:v>https://dl.smwcentral.net/29994/Autumn%201.1.zip</x:v>
      </x:c>
    </x:row>
    <x:row r="178">
      <x:c r="A178" t="str">
        <x:v>Autumn Hike (Demo)</x:v>
      </x:c>
      <x:c r="B178" t="str">
        <x:v>Autumn Hike (Demo)</x:v>
      </x:c>
      <x:c r="C178" t="str">
        <x:v>its_heeho</x:v>
      </x:c>
      <x:c r="D178" t="n">
        <x:v>4</x:v>
      </x:c>
      <x:c r="E178" t="str">
        <x:v>Newcomer</x:v>
      </x:c>
      <x:c r="F178" t="str">
        <x:v>Standard</x:v>
      </x:c>
      <x:c r="G178" t="n">
        <x:v>45584</x:v>
      </x:c>
      <x:c r="H178" t="str">
        <x:v>38595</x:v>
      </x:c>
      <x:c r="I178" t="str">
        <x:v>https://www.smwcentral.net/?a=details&amp;id=38595&amp;p=section</x:v>
      </x:c>
      <x:c r="J178" t="str">
        <x:v>https://dl.smwcentral.net/38595/AutumnHike%28Demo%29.zip</x:v>
      </x:c>
    </x:row>
    <x:row r="179">
      <x:c r="A179" t="str">
        <x:v>Awesome Mario World</x:v>
      </x:c>
      <x:c r="B179" t="str">
        <x:v>Awesome Mario World</x:v>
      </x:c>
      <x:c r="C179" t="str">
        <x:v>NGB</x:v>
      </x:c>
      <x:c r="D179" t="n">
        <x:v>11</x:v>
      </x:c>
      <x:c r="E179" t="str">
        <x:v>Casual</x:v>
      </x:c>
      <x:c r="F179" t="str">
        <x:v>Standard</x:v>
      </x:c>
      <x:c r="G179" t="n">
        <x:v>42021</x:v>
      </x:c>
      <x:c r="H179" t="str">
        <x:v>10346</x:v>
      </x:c>
      <x:c r="I179" t="str">
        <x:v>https://www.smwcentral.net/?a=details&amp;id=10346&amp;p=section</x:v>
      </x:c>
      <x:c r="J179" t="str">
        <x:v>https://dl.smwcentral.net/10346/Awesome_Mario_World%20Ver.%201.0.zip</x:v>
      </x:c>
    </x:row>
    <x:row r="180">
      <x:c r="A180" t="str">
        <x:v>Awful Mario World</x:v>
      </x:c>
      <x:c r="B180" t="str">
        <x:v>Awful Mario World</x:v>
      </x:c>
      <x:c r="C180" t="str">
        <x:v>KoJi</x:v>
      </x:c>
      <x:c r="D180" t="n">
        <x:v>12</x:v>
      </x:c>
      <x:c r="E180" t="str">
        <x:v>Expert</x:v>
      </x:c>
      <x:c r="F180" t="str">
        <x:v>Kaizo</x:v>
      </x:c>
      <x:c r="G180" t="n">
        <x:v>45530</x:v>
      </x:c>
      <x:c r="H180" t="str">
        <x:v>38239</x:v>
      </x:c>
      <x:c r="I180" t="str">
        <x:v>https://www.smwcentral.net/?a=details&amp;id=38239&amp;p=section</x:v>
      </x:c>
      <x:c r="J180" t="str">
        <x:v>https://dl.smwcentral.net/38239/awfulmarioworld.zip</x:v>
      </x:c>
    </x:row>
    <x:row r="181">
      <x:c r="A181" t="str">
        <x:v>Ayashi Mario</x:v>
      </x:c>
      <x:c r="B181" t="str">
        <x:v>Ayashi Mario</x:v>
      </x:c>
      <x:c r="C181" t="str">
        <x:v>edidari</x:v>
      </x:c>
      <x:c r="D181" t="n">
        <x:v>5</x:v>
      </x:c>
      <x:c r="E181" t="str">
        <x:v>Expert</x:v>
      </x:c>
      <x:c r="F181" t="str">
        <x:v>Kaizo</x:v>
      </x:c>
      <x:c r="G181" t="n">
        <x:v>43774</x:v>
      </x:c>
      <x:c r="H181" t="str">
        <x:v>21408</x:v>
      </x:c>
      <x:c r="I181" t="str">
        <x:v>https://www.smwcentral.net/?a=details&amp;id=21408&amp;p=section</x:v>
      </x:c>
      <x:c r="J181" t="str">
        <x:v>https://dl.smwcentral.net/21408/Ayashi%20Mario.zip</x:v>
      </x:c>
    </x:row>
    <x:row r="182">
      <x:c r="A182" t="str">
        <x:v>Babby Builds Wevels</x:v>
      </x:c>
      <x:c r="B182" t="str">
        <x:v>Babby Builds Wevels</x:v>
      </x:c>
      <x:c r="C182" t="str">
        <x:v>liz_bean</x:v>
      </x:c>
      <x:c r="D182" t="n">
        <x:v>14</x:v>
      </x:c>
      <x:c r="E182" t="str">
        <x:v>Advanced</x:v>
      </x:c>
      <x:c r="F182" t="str">
        <x:v>Kaizo</x:v>
      </x:c>
      <x:c r="G182" t="n">
        <x:v>45899</x:v>
      </x:c>
      <x:c r="H182" t="str">
        <x:v>40535</x:v>
      </x:c>
      <x:c r="I182" t="str">
        <x:v>https://www.smwcentral.net/?a=details&amp;id=40535&amp;p=section</x:v>
      </x:c>
      <x:c r="J182" t="str">
        <x:v>https://dl.smwcentral.net/40535/Babby%20Builds%20Wevels%20-%20V1.0.zip</x:v>
      </x:c>
    </x:row>
    <x:row r="183">
      <x:c r="A183" t="str">
        <x:v>Baby Kaizo World</x:v>
      </x:c>
      <x:c r="B183" t="str">
        <x:v>Baby Kaizo World</x:v>
      </x:c>
      <x:c r="C183" t="str">
        <x:v>Nowieso</x:v>
      </x:c>
      <x:c r="D183" t="n">
        <x:v>44</x:v>
      </x:c>
      <x:c r="E183" t="str">
        <x:v>Advanced</x:v>
      </x:c>
      <x:c r="F183" t="str">
        <x:v>Kaizo</x:v>
      </x:c>
      <x:c r="G183" t="n">
        <x:v>43514</x:v>
      </x:c>
      <x:c r="H183" t="str">
        <x:v>19145</x:v>
      </x:c>
      <x:c r="I183" t="str">
        <x:v>https://www.smwcentral.net/?a=details&amp;id=19145&amp;p=section</x:v>
      </x:c>
      <x:c r="J183" t="str">
        <x:v>https://dl.smwcentral.net/19145/BabyKaizoWorld.zip</x:v>
      </x:c>
    </x:row>
    <x:row r="184">
      <x:c r="A184" t="str">
        <x:v>Baby Kaizo World 2</x:v>
      </x:c>
      <x:c r="B184" t="str">
        <x:v>Baby Kaizo World 2</x:v>
      </x:c>
      <x:c r="C184" t="str">
        <x:v>Phyll</x:v>
      </x:c>
      <x:c r="D184" t="n">
        <x:v>34</x:v>
      </x:c>
      <x:c r="E184" t="str">
        <x:v>Intermediate</x:v>
      </x:c>
      <x:c r="F184" t="str">
        <x:v>Kaizo</x:v>
      </x:c>
      <x:c r="G184" t="n">
        <x:v>44734</x:v>
      </x:c>
      <x:c r="H184" t="str">
        <x:v>31182</x:v>
      </x:c>
      <x:c r="I184" t="str">
        <x:v>https://www.smwcentral.net/?a=details&amp;id=31182&amp;p=section</x:v>
      </x:c>
      <x:c r="J184" t="str">
        <x:v>https://dl.smwcentral.net/31182/BKW2V1.1NeW.zip</x:v>
      </x:c>
    </x:row>
    <x:row r="185">
      <x:c r="A185" t="str">
        <x:v>Back to the Classics</x:v>
      </x:c>
      <x:c r="B185" t="str">
        <x:v>Back to the Classics</x:v>
      </x:c>
      <x:c r="C185" t="str">
        <x:v>Spud Alpha</x:v>
      </x:c>
      <x:c r="D185" t="n">
        <x:v>36</x:v>
      </x:c>
      <x:c r="E185" t="str">
        <x:v>Casual</x:v>
      </x:c>
      <x:c r="F185" t="str">
        <x:v>Standard</x:v>
      </x:c>
      <x:c r="G185" t="n">
        <x:v>41454</x:v>
      </x:c>
      <x:c r="H185" t="str">
        <x:v>5277</x:v>
      </x:c>
      <x:c r="I185" t="str">
        <x:v>https://www.smwcentral.net/?a=details&amp;id=5277&amp;p=section</x:v>
      </x:c>
      <x:c r="J185" t="str">
        <x:v>https://dl.smwcentral.net/5277/Back%20to%20the%20Classics.zip</x:v>
      </x:c>
    </x:row>
    <x:row r="186">
      <x:c r="A186" t="str">
        <x:v>Back to the Green Hill</x:v>
      </x:c>
      <x:c r="B186" t="str">
        <x:v>Back to the Green Hill</x:v>
      </x:c>
      <x:c r="C186" t="str">
        <x:v>sholmes</x:v>
      </x:c>
      <x:c r="D186" t="n">
        <x:v>25</x:v>
      </x:c>
      <x:c r="E186" t="str">
        <x:v>Master</x:v>
      </x:c>
      <x:c r="F186" t="str">
        <x:v>Kaizo</x:v>
      </x:c>
      <x:c r="G186" t="n">
        <x:v>46096</x:v>
      </x:c>
      <x:c r="H186" t="str">
        <x:v>41863</x:v>
      </x:c>
      <x:c r="I186" t="str">
        <x:v>https://www.smwcentral.net/?a=details&amp;id=41863&amp;p=section</x:v>
      </x:c>
      <x:c r="J186" t="str">
        <x:v>https://dl.smwcentral.net/41863/Back%20to%20the%20Green%20Hill%20Updated.zip</x:v>
      </x:c>
    </x:row>
    <x:row r="187">
      <x:c r="A187" t="str">
        <x:v>Backwards Mario World</x:v>
      </x:c>
      <x:c r="B187" t="str">
        <x:v>Backwards Mario World</x:v>
      </x:c>
      <x:c r="C187" t="str">
        <x:v>westslasher2</x:v>
      </x:c>
      <x:c r="D187" t="n">
        <x:v>13</x:v>
      </x:c>
      <x:c r="E187" t="str">
        <x:v>Intermediate</x:v>
      </x:c>
      <x:c r="F187" t="str">
        <x:v>Kaizo</x:v>
      </x:c>
      <x:c r="G187" t="n">
        <x:v>43335</x:v>
      </x:c>
      <x:c r="H187" t="str">
        <x:v>18071</x:v>
      </x:c>
      <x:c r="I187" t="str">
        <x:v>https://www.smwcentral.net/?a=details&amp;id=18071&amp;p=section</x:v>
      </x:c>
      <x:c r="J187" t="str">
        <x:v>https://dl.smwcentral.net/18071/BackwardsMarioWorld1.11.zip</x:v>
      </x:c>
    </x:row>
    <x:row r="188">
      <x:c r="A188" t="str">
        <x:v>Backyard Kaizo</x:v>
      </x:c>
      <x:c r="B188" t="str">
        <x:v>Backyard Kaizo</x:v>
      </x:c>
      <x:c r="C188" t="str">
        <x:v>zynnoir</x:v>
      </x:c>
      <x:c r="D188" t="n">
        <x:v>3</x:v>
      </x:c>
      <x:c r="E188" t="str">
        <x:v>Expert</x:v>
      </x:c>
      <x:c r="F188" t="str">
        <x:v>Kaizo</x:v>
      </x:c>
      <x:c r="G188" t="n">
        <x:v>44705</x:v>
      </x:c>
      <x:c r="H188" t="str">
        <x:v>30968</x:v>
      </x:c>
      <x:c r="I188" t="str">
        <x:v>https://www.smwcentral.net/?a=details&amp;id=30968&amp;p=section</x:v>
      </x:c>
      <x:c r="J188" t="str">
        <x:v>https://dl.smwcentral.net/30968/Backyard.zip</x:v>
      </x:c>
    </x:row>
    <x:row r="189">
      <x:c r="A189" t="str">
        <x:v>Baker's Dozen</x:v>
      </x:c>
      <x:c r="B189" t="str">
        <x:v>Baker's Dozen</x:v>
      </x:c>
      <x:c r="C189" t="str">
        <x:v>HaddonFeels</x:v>
      </x:c>
      <x:c r="D189" t="n">
        <x:v>13</x:v>
      </x:c>
      <x:c r="E189" t="str">
        <x:v>Advanced</x:v>
      </x:c>
      <x:c r="F189" t="str">
        <x:v>Kaizo</x:v>
      </x:c>
      <x:c r="G189" t="n">
        <x:v>45592</x:v>
      </x:c>
      <x:c r="H189" t="str">
        <x:v>38701</x:v>
      </x:c>
      <x:c r="I189" t="str">
        <x:v>https://www.smwcentral.net/?a=details&amp;id=38701&amp;p=section</x:v>
      </x:c>
      <x:c r="J189" t="str">
        <x:v>https://dl.smwcentral.net/38701/bakers1.1.zip</x:v>
      </x:c>
    </x:row>
    <x:row r="190">
      <x:c r="A190" t="str">
        <x:v>BALL BUSTER</x:v>
      </x:c>
      <x:c r="B190" t="str">
        <x:v>BALL BUSTER</x:v>
      </x:c>
      <x:c r="C190" t="str">
        <x:v>NerDose</x:v>
      </x:c>
      <x:c r="D190" t="n">
        <x:v>9</x:v>
      </x:c>
      <x:c r="E190" t="str">
        <x:v>Expert</x:v>
      </x:c>
      <x:c r="F190" t="str">
        <x:v>Kaizo</x:v>
      </x:c>
      <x:c r="G190" t="n">
        <x:v>46107</x:v>
      </x:c>
      <x:c r="H190" t="str">
        <x:v>41843</x:v>
      </x:c>
      <x:c r="I190" t="str">
        <x:v>https://www.smwcentral.net/?a=details&amp;id=41843&amp;p=section</x:v>
      </x:c>
      <x:c r="J190" t="str">
        <x:v>https://dl.smwcentral.net/41843/BallBusterV1.4.zip</x:v>
      </x:c>
    </x:row>
    <x:row r="191">
      <x:c r="A191" t="str">
        <x:v>Ball of Revenge</x:v>
      </x:c>
      <x:c r="B191" t="str">
        <x:v>Ball of Revenge</x:v>
      </x:c>
      <x:c r="C191" t="str">
        <x:v>Darky</x:v>
      </x:c>
      <x:c r="D191" t="n">
        <x:v>10</x:v>
      </x:c>
      <x:c r="E191" t="str">
        <x:v>Newcomer</x:v>
      </x:c>
      <x:c r="F191" t="str">
        <x:v>Standard</x:v>
      </x:c>
      <x:c r="G191" t="n">
        <x:v>42260</x:v>
      </x:c>
      <x:c r="H191" t="str">
        <x:v>9944</x:v>
      </x:c>
      <x:c r="I191" t="str">
        <x:v>https://www.smwcentral.net/?a=details&amp;id=9944&amp;p=section</x:v>
      </x:c>
      <x:c r="J191" t="str">
        <x:v>https://dl.smwcentral.net/9944/BoR.zip</x:v>
      </x:c>
    </x:row>
    <x:row r="192">
      <x:c r="A192" t="str">
        <x:v>Banana Is Missing!</x:v>
      </x:c>
      <x:c r="B192" t="str">
        <x:v>Banana Is Missing!</x:v>
      </x:c>
      <x:c r="C192" t="str">
        <x:v>BDgames2023</x:v>
      </x:c>
      <x:c r="D192" t="n">
        <x:v>19</x:v>
      </x:c>
      <x:c r="E192" t="str">
        <x:v>Intermediate</x:v>
      </x:c>
      <x:c r="F192" t="str">
        <x:v>Standard</x:v>
      </x:c>
      <x:c r="G192" t="n">
        <x:v>45928</x:v>
      </x:c>
      <x:c r="H192" t="str">
        <x:v>40622</x:v>
      </x:c>
      <x:c r="I192" t="str">
        <x:v>https://www.smwcentral.net/?a=details&amp;id=40622&amp;p=section</x:v>
      </x:c>
      <x:c r="J192" t="str">
        <x:v>https://dl.smwcentral.net/40622/BIM%21.zip</x:v>
      </x:c>
    </x:row>
    <x:row r="193">
      <x:c r="A193" t="str">
        <x:v>Banana's Quest</x:v>
      </x:c>
      <x:c r="B193" t="str">
        <x:v>Banana's Quest</x:v>
      </x:c>
      <x:c r="C193" t="str">
        <x:v>BDgames2023</x:v>
      </x:c>
      <x:c r="D193" t="n">
        <x:v>23</x:v>
      </x:c>
      <x:c r="E193" t="str">
        <x:v>Intermediate</x:v>
      </x:c>
      <x:c r="F193" t="str">
        <x:v>Standard</x:v>
      </x:c>
      <x:c r="G193" t="n">
        <x:v>45628</x:v>
      </x:c>
      <x:c r="H193" t="str">
        <x:v>38857</x:v>
      </x:c>
      <x:c r="I193" t="str">
        <x:v>https://www.smwcentral.net/?a=details&amp;id=38857&amp;p=section</x:v>
      </x:c>
      <x:c r="J193" t="str">
        <x:v>https://dl.smwcentral.net/38857/B%27SQ.zip</x:v>
      </x:c>
    </x:row>
    <x:row r="194">
      <x:c r="A194" t="str">
        <x:v>BanShell</x:v>
      </x:c>
      <x:c r="B194" t="str">
        <x:v>BanShell</x:v>
      </x:c>
      <x:c r="C194" t="str">
        <x:v>kLk</x:v>
      </x:c>
      <x:c r="D194" t="n">
        <x:v>6</x:v>
      </x:c>
      <x:c r="E194" t="str">
        <x:v>Master</x:v>
      </x:c>
      <x:c r="F194" t="str">
        <x:v>Kaizo</x:v>
      </x:c>
      <x:c r="G194" t="n">
        <x:v>44938</x:v>
      </x:c>
      <x:c r="H194" t="str">
        <x:v>32912</x:v>
      </x:c>
      <x:c r="I194" t="str">
        <x:v>https://www.smwcentral.net/?a=details&amp;id=32912&amp;p=section</x:v>
      </x:c>
      <x:c r="J194" t="str">
        <x:v>https://dl.smwcentral.net/32912/BanShell.zip</x:v>
      </x:c>
    </x:row>
    <x:row r="195">
      <x:c r="A195" t="str">
        <x:v>Banzai Mario World</x:v>
      </x:c>
      <x:c r="B195" t="str">
        <x:v>Banzai Mario World</x:v>
      </x:c>
      <x:c r="C195" t="str">
        <x:v>GbreezeSunset</x:v>
      </x:c>
      <x:c r="D195" t="n">
        <x:v>40</x:v>
      </x:c>
      <x:c r="E195" t="str">
        <x:v>Expert</x:v>
      </x:c>
      <x:c r="F195" t="str">
        <x:v>Kaizo</x:v>
      </x:c>
      <x:c r="G195" t="n">
        <x:v>42179</x:v>
      </x:c>
      <x:c r="H195" t="str">
        <x:v>11477</x:v>
      </x:c>
      <x:c r="I195" t="str">
        <x:v>https://www.smwcentral.net/?a=details&amp;id=11477&amp;p=section</x:v>
      </x:c>
      <x:c r="J195" t="str">
        <x:v>https://dl.smwcentral.net/11477/Banzai%20Mario%20World.zip</x:v>
      </x:c>
    </x:row>
    <x:row r="196">
      <x:c r="A196" t="str">
        <x:v>Banzai's Level Sampler</x:v>
      </x:c>
      <x:c r="B196" t="str">
        <x:v>Banzai's Level Sampler</x:v>
      </x:c>
      <x:c r="C196" t="str">
        <x:v>TheNewerGuy</x:v>
      </x:c>
      <x:c r="D196" t="n">
        <x:v>10</x:v>
      </x:c>
      <x:c r="E196" t="str">
        <x:v>Casual</x:v>
      </x:c>
      <x:c r="F196" t="str">
        <x:v>Standard</x:v>
      </x:c>
      <x:c r="G196" t="n">
        <x:v>42093</x:v>
      </x:c>
      <x:c r="H196" t="str">
        <x:v>9652</x:v>
      </x:c>
      <x:c r="I196" t="str">
        <x:v>https://www.smwcentral.net/?a=details&amp;id=9652&amp;p=section</x:v>
      </x:c>
      <x:c r="J196" t="str">
        <x:v>https://dl.smwcentral.net/9652/banzai%27s%20Level%20Sampler.zip</x:v>
      </x:c>
    </x:row>
    <x:row r="197">
      <x:c r="A197" t="str">
        <x:v>Baron of Shell</x:v>
      </x:c>
      <x:c r="B197" t="str">
        <x:v>Baron of Shell</x:v>
      </x:c>
      <x:c r="C197" t="str">
        <x:v>shaoshao</x:v>
      </x:c>
      <x:c r="D197" t="n">
        <x:v>22</x:v>
      </x:c>
      <x:c r="E197" t="str">
        <x:v>Master</x:v>
      </x:c>
      <x:c r="F197" t="str">
        <x:v>Kaizo</x:v>
      </x:c>
      <x:c r="G197" t="n">
        <x:v>45077</x:v>
      </x:c>
      <x:c r="H197" t="str">
        <x:v>34021</x:v>
      </x:c>
      <x:c r="I197" t="str">
        <x:v>https://www.smwcentral.net/?a=details&amp;id=34021&amp;p=section</x:v>
      </x:c>
      <x:c r="J197" t="str">
        <x:v>https://dl.smwcentral.net/34021/baron.zip</x:v>
      </x:c>
    </x:row>
    <x:row r="198">
      <x:c r="A198" t="str">
        <x:v>Basic Mario Hack</x:v>
      </x:c>
      <x:c r="B198" t="str">
        <x:v>Basic Mario Hack</x:v>
      </x:c>
      <x:c r="C198" t="str">
        <x:v>GMCHacker91</x:v>
      </x:c>
      <x:c r="D198" t="n">
        <x:v>13</x:v>
      </x:c>
      <x:c r="E198" t="str">
        <x:v>Intermediate</x:v>
      </x:c>
      <x:c r="F198" t="str">
        <x:v>Standard</x:v>
      </x:c>
      <x:c r="G198" t="n">
        <x:v>43918</x:v>
      </x:c>
      <x:c r="H198" t="str">
        <x:v>22210</x:v>
      </x:c>
      <x:c r="I198" t="str">
        <x:v>https://www.smwcentral.net/?a=details&amp;id=22210&amp;p=section</x:v>
      </x:c>
      <x:c r="J198" t="str">
        <x:v>https://dl.smwcentral.net/22210/2020%20Basic%20Mario%20UPDATE.zip</x:v>
      </x:c>
    </x:row>
    <x:row r="199">
      <x:c r="A199" t="str">
        <x:v>Basic Mario Hack 2 BETA</x:v>
      </x:c>
      <x:c r="B199" t="str">
        <x:v>Basic Mario Hack 2 BETA</x:v>
      </x:c>
      <x:c r="C199" t="str">
        <x:v>GMCHacker91</x:v>
      </x:c>
      <x:c r="D199" t="n">
        <x:v>11</x:v>
      </x:c>
      <x:c r="E199" t="str">
        <x:v>Intermediate</x:v>
      </x:c>
      <x:c r="F199" t="str">
        <x:v>Standard</x:v>
      </x:c>
      <x:c r="G199" t="n">
        <x:v>44505</x:v>
      </x:c>
      <x:c r="H199" t="str">
        <x:v>28720</x:v>
      </x:c>
      <x:c r="I199" t="str">
        <x:v>https://www.smwcentral.net/?a=details&amp;id=28720&amp;p=section</x:v>
      </x:c>
      <x:c r="J199" t="str">
        <x:v>https://dl.smwcentral.net/28720/Basic%20Mario%202%20BETA.zip</x:v>
      </x:c>
    </x:row>
    <x:row r="200">
      <x:c r="A200" t="str">
        <x:v>Bavario Bros.</x:v>
      </x:c>
      <x:c r="B200" t="str">
        <x:v>Bavario Bros.</x:v>
      </x:c>
      <x:c r="C200" t="str">
        <x:v>Ahrion, DoktorGroove, Edphonse15, Gulaschko, H3nt4ik4m3n, KoS, Maw, Nowieso, Rudi_Schrausch, Schlafkopf, Spedinja, neidoodle, xamexer</x:v>
      </x:c>
      <x:c r="D200" t="n">
        <x:v>16</x:v>
      </x:c>
      <x:c r="E200" t="str">
        <x:v>Expert</x:v>
      </x:c>
      <x:c r="F200" t="str">
        <x:v>Kaizo</x:v>
      </x:c>
      <x:c r="G200" t="n">
        <x:v>45347</x:v>
      </x:c>
      <x:c r="H200" t="str">
        <x:v>37056</x:v>
      </x:c>
      <x:c r="I200" t="str">
        <x:v>https://www.smwcentral.net/?a=details&amp;id=37056&amp;p=section</x:v>
      </x:c>
      <x:c r="J200" t="str">
        <x:v>https://dl.smwcentral.net/37056/Bavario%20Bros.%20v1.1.zip</x:v>
      </x:c>
    </x:row>
    <x:row r="201">
      <x:c r="A201" t="str">
        <x:v>Beach Park At Isla Blanca</x:v>
      </x:c>
      <x:c r="B201" t="str">
        <x:v>Beach Park At Isla Blanca</x:v>
      </x:c>
      <x:c r="C201" t="str">
        <x:v>El Cuh Fermin</x:v>
      </x:c>
      <x:c r="D201" t="n">
        <x:v>8</x:v>
      </x:c>
      <x:c r="E201" t="str">
        <x:v>Intermediate</x:v>
      </x:c>
      <x:c r="F201" t="str">
        <x:v>Standard</x:v>
      </x:c>
      <x:c r="G201" t="n">
        <x:v>44700</x:v>
      </x:c>
      <x:c r="H201" t="str">
        <x:v>30707</x:v>
      </x:c>
      <x:c r="I201" t="str">
        <x:v>https://www.smwcentral.net/?a=details&amp;id=30707&amp;p=section</x:v>
      </x:c>
      <x:c r="J201" t="str">
        <x:v>https://dl.smwcentral.net/30707/Beach%20Park%20At%20Isla%20Blanca%20Hack.zip</x:v>
      </x:c>
    </x:row>
    <x:row r="202">
      <x:c r="A202" t="str">
        <x:v>Beachside Blitz</x:v>
      </x:c>
      <x:c r="B202" t="str">
        <x:v>Beachside Blitz</x:v>
      </x:c>
      <x:c r="C202" t="str">
        <x:v>TheRealCatsup</x:v>
      </x:c>
      <x:c r="D202" t="n">
        <x:v>14</x:v>
      </x:c>
      <x:c r="E202" t="str">
        <x:v>Advanced</x:v>
      </x:c>
      <x:c r="F202" t="str">
        <x:v>Kaizo</x:v>
      </x:c>
      <x:c r="G202" t="n">
        <x:v>44577</x:v>
      </x:c>
      <x:c r="H202" t="str">
        <x:v>29528</x:v>
      </x:c>
      <x:c r="I202" t="str">
        <x:v>https://www.smwcentral.net/?a=details&amp;id=29528&amp;p=section</x:v>
      </x:c>
      <x:c r="J202" t="str">
        <x:v>https://dl.smwcentral.net/29528/BeachsideBlitz.zip</x:v>
      </x:c>
    </x:row>
    <x:row r="203">
      <x:c r="A203" t="str">
        <x:v>Bearded Comedy World</x:v>
      </x:c>
      <x:c r="B203" t="str">
        <x:v>Bearded Comedy World</x:v>
      </x:c>
      <x:c r="C203" t="str">
        <x:v>dotCoockie</x:v>
      </x:c>
      <x:c r="D203" t="n">
        <x:v>20</x:v>
      </x:c>
      <x:c r="E203" t="str">
        <x:v>Expert</x:v>
      </x:c>
      <x:c r="F203" t="str">
        <x:v>Kaizo</x:v>
      </x:c>
      <x:c r="G203" t="n">
        <x:v>44523</x:v>
      </x:c>
      <x:c r="H203" t="str">
        <x:v>28731</x:v>
      </x:c>
      <x:c r="I203" t="str">
        <x:v>https://www.smwcentral.net/?a=details&amp;id=28731&amp;p=section</x:v>
      </x:c>
      <x:c r="J203" t="str">
        <x:v>https://dl.smwcentral.net/28731/BCW_1.2.zip</x:v>
      </x:c>
    </x:row>
    <x:row r="204">
      <x:c r="A204" t="str">
        <x:v>Bearded Comedy World 2 Demo</x:v>
      </x:c>
      <x:c r="B204" t="str">
        <x:v>Bearded Comedy World 2 Demo</x:v>
      </x:c>
      <x:c r="C204" t="str">
        <x:v>dotCoockie</x:v>
      </x:c>
      <x:c r="D204" t="n">
        <x:v>5</x:v>
      </x:c>
      <x:c r="E204" t="str">
        <x:v>Expert</x:v>
      </x:c>
      <x:c r="F204" t="str">
        <x:v>Kaizo</x:v>
      </x:c>
      <x:c r="G204" t="n">
        <x:v>46005</x:v>
      </x:c>
      <x:c r="H204" t="str">
        <x:v>41268</x:v>
      </x:c>
      <x:c r="I204" t="str">
        <x:v>https://www.smwcentral.net/?a=details&amp;id=41268&amp;p=section</x:v>
      </x:c>
      <x:c r="J204" t="str">
        <x:v>https://dl.smwcentral.net/41268/BCW2-demo.zip</x:v>
      </x:c>
    </x:row>
    <x:row r="205">
      <x:c r="A205" t="str">
        <x:v>Beautiful (Not So) Dangerous</x:v>
      </x:c>
      <x:c r="B205" t="str">
        <x:v>Beautiful (Not So) Dangerous</x:v>
      </x:c>
      <x:c r="C205" t="str">
        <x:v>iamtheratio</x:v>
      </x:c>
      <x:c r="D205" t="n">
        <x:v>15</x:v>
      </x:c>
      <x:c r="E205" t="str">
        <x:v>Intermediate</x:v>
      </x:c>
      <x:c r="F205" t="str">
        <x:v>Kaizo</x:v>
      </x:c>
      <x:c r="G205" t="n">
        <x:v>45893</x:v>
      </x:c>
      <x:c r="H205" t="str">
        <x:v>40437</x:v>
      </x:c>
      <x:c r="I205" t="str">
        <x:v>https://www.smwcentral.net/?a=details&amp;id=40437&amp;p=section</x:v>
      </x:c>
      <x:c r="J205" t="str">
        <x:v>https://dl.smwcentral.net/40437/BeautifulNotSoDangerous_v1.0%20.zip</x:v>
      </x:c>
    </x:row>
    <x:row r="206">
      <x:c r="A206" t="str">
        <x:v>Beautiful Dangerous</x:v>
      </x:c>
      <x:c r="B206" t="str">
        <x:v>Beautiful Dangerous</x:v>
      </x:c>
      <x:c r="C206" t="str">
        <x:v>iamtheratio</x:v>
      </x:c>
      <x:c r="D206" t="n">
        <x:v>20</x:v>
      </x:c>
      <x:c r="E206" t="str">
        <x:v>Expert</x:v>
      </x:c>
      <x:c r="F206" t="str">
        <x:v>Kaizo</x:v>
      </x:c>
      <x:c r="G206" t="n">
        <x:v>45386</x:v>
      </x:c>
      <x:c r="H206" t="str">
        <x:v>37555</x:v>
      </x:c>
      <x:c r="I206" t="str">
        <x:v>https://www.smwcentral.net/?a=details&amp;id=37555&amp;p=section</x:v>
      </x:c>
      <x:c r="J206" t="str">
        <x:v>https://dl.smwcentral.net/37555/Beautiful%20Dangerous%20v1.1.zip</x:v>
      </x:c>
    </x:row>
    <x:row r="207">
      <x:c r="A207" t="str">
        <x:v>BEES in Space!</x:v>
      </x:c>
      <x:c r="B207" t="str">
        <x:v>BEES in Space!</x:v>
      </x:c>
      <x:c r="C207" t="str">
        <x:v>BEESphilly</x:v>
      </x:c>
      <x:c r="D207" t="n">
        <x:v>4</x:v>
      </x:c>
      <x:c r="E207" t="str">
        <x:v>Intermediate</x:v>
      </x:c>
      <x:c r="F207" t="str">
        <x:v>Standard</x:v>
      </x:c>
      <x:c r="G207" t="n">
        <x:v>44710</x:v>
      </x:c>
      <x:c r="H207" t="str">
        <x:v>31047</x:v>
      </x:c>
      <x:c r="I207" t="str">
        <x:v>https://www.smwcentral.net/?a=details&amp;id=31047&amp;p=section</x:v>
      </x:c>
      <x:c r="J207" t="str">
        <x:v>https://dl.smwcentral.net/31047/BEES%20in%20Space.zip</x:v>
      </x:c>
    </x:row>
    <x:row r="208">
      <x:c r="A208" t="str">
        <x:v>Before The Shrooms Kick In</x:v>
      </x:c>
      <x:c r="B208" t="str">
        <x:v>Before The Shrooms Kick In</x:v>
      </x:c>
      <x:c r="C208" t="str">
        <x:v>JudithPrietht</x:v>
      </x:c>
      <x:c r="D208" t="n">
        <x:v>12</x:v>
      </x:c>
      <x:c r="E208" t="str">
        <x:v>Advanced</x:v>
      </x:c>
      <x:c r="F208" t="str">
        <x:v>Kaizo</x:v>
      </x:c>
      <x:c r="G208" t="n">
        <x:v>45509</x:v>
      </x:c>
      <x:c r="H208" t="str">
        <x:v>38171</x:v>
      </x:c>
      <x:c r="I208" t="str">
        <x:v>https://www.smwcentral.net/?a=details&amp;id=38171&amp;p=section</x:v>
      </x:c>
      <x:c r="J208" t="str">
        <x:v>https://dl.smwcentral.net/38171/Shroomskickin.zip</x:v>
      </x:c>
    </x:row>
    <x:row r="209">
      <x:c r="A209" t="str">
        <x:v>Beginning of the End</x:v>
      </x:c>
      <x:c r="B209" t="str">
        <x:v>Beginning of the End</x:v>
      </x:c>
      <x:c r="C209" t="str">
        <x:v>ShadowBoxer_Sandshrew</x:v>
      </x:c>
      <x:c r="D209" t="n">
        <x:v>9</x:v>
      </x:c>
      <x:c r="E209" t="str">
        <x:v>Expert</x:v>
      </x:c>
      <x:c r="F209" t="str">
        <x:v>Kaizo</x:v>
      </x:c>
      <x:c r="G209" t="n">
        <x:v>45125</x:v>
      </x:c>
      <x:c r="H209" t="str">
        <x:v>34163</x:v>
      </x:c>
      <x:c r="I209" t="str">
        <x:v>https://www.smwcentral.net/?a=details&amp;id=34163&amp;p=section</x:v>
      </x:c>
      <x:c r="J209" t="str">
        <x:v>https://dl.smwcentral.net/34163/BeginningoftheEnd.zip</x:v>
      </x:c>
    </x:row>
    <x:row r="210">
      <x:c r="A210" t="str">
        <x:v>BeginningBrew - Super "Real" World</x:v>
      </x:c>
      <x:c r="B210" t="str">
        <x:v>BeginningBrew - Super "Real" World</x:v>
      </x:c>
      <x:c r="C210" t="str">
        <x:v>Hanzo</x:v>
      </x:c>
      <x:c r="D210" t="n">
        <x:v>11</x:v>
      </x:c>
      <x:c r="E210" t="str">
        <x:v>Advanced</x:v>
      </x:c>
      <x:c r="F210" t="str">
        <x:v>Kaizo</x:v>
      </x:c>
      <x:c r="G210" t="n">
        <x:v>44768</x:v>
      </x:c>
      <x:c r="H210" t="str">
        <x:v>31618</x:v>
      </x:c>
      <x:c r="I210" t="str">
        <x:v>https://www.smwcentral.net/?a=details&amp;id=31618&amp;p=section</x:v>
      </x:c>
      <x:c r="J210" t="str">
        <x:v>https://dl.smwcentral.net/31618/BeginningBrew%20-%20Super%20Real%20World.zip</x:v>
      </x:c>
    </x:row>
    <x:row r="211">
      <x:c r="A211" t="str">
        <x:v>Beneath the Bottom of the Screen</x:v>
      </x:c>
      <x:c r="B211" t="str">
        <x:v>Beneath the Bottom of the Screen</x:v>
      </x:c>
      <x:c r="C211" t="str">
        <x:v>xLyfu</x:v>
      </x:c>
      <x:c r="D211" t="n">
        <x:v>13</x:v>
      </x:c>
      <x:c r="E211" t="str">
        <x:v>Master</x:v>
      </x:c>
      <x:c r="F211" t="str">
        <x:v>Kaizo</x:v>
      </x:c>
      <x:c r="G211" t="n">
        <x:v>45941</x:v>
      </x:c>
      <x:c r="H211" t="str">
        <x:v>40744</x:v>
      </x:c>
      <x:c r="I211" t="str">
        <x:v>https://www.smwcentral.net/?a=details&amp;id=40744&amp;p=section</x:v>
      </x:c>
      <x:c r="J211" t="str">
        <x:v>https://dl.smwcentral.net/40744/Beneath%20the%20Bottom%20of%20the%20Screen.zip</x:v>
      </x:c>
    </x:row>
    <x:row r="212">
      <x:c r="A212" t="str">
        <x:v>BETO UNIVERSE</x:v>
      </x:c>
      <x:c r="B212" t="str">
        <x:v>BETO UNIVERSE</x:v>
      </x:c>
      <x:c r="C212" t="str">
        <x:v>alvinluis</x:v>
      </x:c>
      <x:c r="D212" t="n">
        <x:v>7</x:v>
      </x:c>
      <x:c r="E212" t="str">
        <x:v>Intermediate</x:v>
      </x:c>
      <x:c r="F212" t="str">
        <x:v>Kaizo</x:v>
      </x:c>
      <x:c r="G212" t="n">
        <x:v>44781</x:v>
      </x:c>
      <x:c r="H212" t="str">
        <x:v>31781</x:v>
      </x:c>
      <x:c r="I212" t="str">
        <x:v>https://www.smwcentral.net/?a=details&amp;id=31781&amp;p=section</x:v>
      </x:c>
      <x:c r="J212" t="str">
        <x:v>https://dl.smwcentral.net/31781/beto%20universe.zip</x:v>
      </x:c>
    </x:row>
    <x:row r="213">
      <x:c r="A213" t="str">
        <x:v>Beyond Beco World</x:v>
      </x:c>
      <x:c r="B213" t="str">
        <x:v>Beyond Beco World</x:v>
      </x:c>
      <x:c r="C213" t="str">
        <x:v>Azula16, SKAW Adri</x:v>
      </x:c>
      <x:c r="D213" t="n">
        <x:v>10</x:v>
      </x:c>
      <x:c r="E213" t="str">
        <x:v>Advanced</x:v>
      </x:c>
      <x:c r="F213" t="str">
        <x:v>Kaizo</x:v>
      </x:c>
      <x:c r="G213" t="n">
        <x:v>44994</x:v>
      </x:c>
      <x:c r="H213" t="str">
        <x:v>33461</x:v>
      </x:c>
      <x:c r="I213" t="str">
        <x:v>https://www.smwcentral.net/?a=details&amp;id=33461&amp;p=section</x:v>
      </x:c>
      <x:c r="J213" t="str">
        <x:v>https://dl.smwcentral.net/33461/Beyond%20Beco%20World.zip</x:v>
      </x:c>
    </x:row>
    <x:row r="214">
      <x:c r="A214" t="str">
        <x:v>Big Boo Gang</x:v>
      </x:c>
      <x:c r="B214" t="str">
        <x:v>Big Boo Gang</x:v>
      </x:c>
      <x:c r="C214" t="str">
        <x:v>GvS</x:v>
      </x:c>
      <x:c r="D214" t="n">
        <x:v>18</x:v>
      </x:c>
      <x:c r="E214" t="str">
        <x:v>Casual</x:v>
      </x:c>
      <x:c r="F214" t="str">
        <x:v>Standard</x:v>
      </x:c>
      <x:c r="G214" t="n">
        <x:v>41509</x:v>
      </x:c>
      <x:c r="H214" t="str">
        <x:v>5055</x:v>
      </x:c>
      <x:c r="I214" t="str">
        <x:v>https://www.smwcentral.net/?a=details&amp;id=5055&amp;p=section</x:v>
      </x:c>
      <x:c r="J214" t="str">
        <x:v>https://dl.smwcentral.net/5055/BBG.zip</x:v>
      </x:c>
    </x:row>
    <x:row r="215">
      <x:c r="A215" t="str">
        <x:v>Big Boo's Revenge</x:v>
      </x:c>
      <x:c r="B215" t="str">
        <x:v>Big Boo's Revenge</x:v>
      </x:c>
      <x:c r="C215" t="str">
        <x:v>Tobias94</x:v>
      </x:c>
      <x:c r="D215" t="n">
        <x:v>91</x:v>
      </x:c>
      <x:c r="E215" t="str">
        <x:v>Intermediate</x:v>
      </x:c>
      <x:c r="F215" t="str">
        <x:v>Standard</x:v>
      </x:c>
      <x:c r="G215" t="n">
        <x:v>44607</x:v>
      </x:c>
      <x:c r="H215" t="str">
        <x:v>29604</x:v>
      </x:c>
      <x:c r="I215" t="str">
        <x:v>https://www.smwcentral.net/?a=details&amp;id=29604&amp;p=section</x:v>
      </x:c>
      <x:c r="J215" t="str">
        <x:v>https://dl.smwcentral.net/29604/Big%20Boo%27s%20Revenge%20-%20Fixed.zip</x:v>
      </x:c>
    </x:row>
    <x:row r="216">
      <x:c r="A216" t="str">
        <x:v>Binary Perdition</x:v>
      </x:c>
      <x:c r="B216" t="str">
        <x:v>Binary Perdition</x:v>
      </x:c>
      <x:c r="C216" t="str">
        <x:v>dotCoockie</x:v>
      </x:c>
      <x:c r="D216" t="n">
        <x:v>5</x:v>
      </x:c>
      <x:c r="E216" t="str">
        <x:v>Grandmaster</x:v>
      </x:c>
      <x:c r="F216" t="str">
        <x:v>Kaizo</x:v>
      </x:c>
      <x:c r="G216" t="n">
        <x:v>45216</x:v>
      </x:c>
      <x:c r="H216" t="str">
        <x:v>35070</x:v>
      </x:c>
      <x:c r="I216" t="str">
        <x:v>https://www.smwcentral.net/?a=details&amp;id=35070&amp;p=section</x:v>
      </x:c>
      <x:c r="J216" t="str">
        <x:v>https://dl.smwcentral.net/35070/Binary.zip</x:v>
      </x:c>
    </x:row>
    <x:row r="217">
      <x:c r="A217" t="str">
        <x:v>Binary World</x:v>
      </x:c>
      <x:c r="B217" t="str">
        <x:v>Binary World</x:v>
      </x:c>
      <x:c r="C217" t="str">
        <x:v>Celestin_Goulvet, RussianMan, TheXander</x:v>
      </x:c>
      <x:c r="D217" t="n">
        <x:v>10</x:v>
      </x:c>
      <x:c r="E217" t="str">
        <x:v>Advanced</x:v>
      </x:c>
      <x:c r="F217" t="str">
        <x:v>Standard</x:v>
      </x:c>
      <x:c r="G217" t="n">
        <x:v>45690</x:v>
      </x:c>
      <x:c r="H217" t="str">
        <x:v>39116</x:v>
      </x:c>
      <x:c r="I217" t="str">
        <x:v>https://www.smwcentral.net/?a=details&amp;id=39116&amp;p=section</x:v>
      </x:c>
      <x:c r="J217" t="str">
        <x:v>https://dl.smwcentral.net/39116/Binary%20World%20Submission%201.0.11.zip</x:v>
      </x:c>
    </x:row>
    <x:row r="218">
      <x:c r="A218" t="str">
        <x:v>Biob's Challenge</x:v>
      </x:c>
      <x:c r="B218" t="str">
        <x:v>Biob's Challenge</x:v>
      </x:c>
      <x:c r="C218" t="str">
        <x:v>TheBiob</x:v>
      </x:c>
      <x:c r="D218" t="n">
        <x:v>1</x:v>
      </x:c>
      <x:c r="E218" t="str">
        <x:v>Master</x:v>
      </x:c>
      <x:c r="F218" t="str">
        <x:v>Tool-Assisted, Pit</x:v>
      </x:c>
      <x:c r="G218" t="n">
        <x:v>42796</x:v>
      </x:c>
      <x:c r="H218" t="str">
        <x:v>14999</x:v>
      </x:c>
      <x:c r="I218" t="str">
        <x:v>https://www.smwcentral.net/?a=details&amp;id=14999&amp;p=section</x:v>
      </x:c>
      <x:c r="J218" t="str">
        <x:v>https://dl.smwcentral.net/14999/BiobsChallenge.zip</x:v>
      </x:c>
    </x:row>
    <x:row r="219">
      <x:c r="A219" t="str">
        <x:v>Birola World</x:v>
      </x:c>
      <x:c r="B219" t="str">
        <x:v>Birola World</x:v>
      </x:c>
      <x:c r="C219" t="str">
        <x:v>TheMURAmatsu</x:v>
      </x:c>
      <x:c r="D219" t="n">
        <x:v>13</x:v>
      </x:c>
      <x:c r="E219" t="str">
        <x:v>Expert</x:v>
      </x:c>
      <x:c r="F219" t="str">
        <x:v>Kaizo</x:v>
      </x:c>
      <x:c r="G219" t="n">
        <x:v>44145</x:v>
      </x:c>
      <x:c r="H219" t="str">
        <x:v>25068</x:v>
      </x:c>
      <x:c r="I219" t="str">
        <x:v>https://www.smwcentral.net/?a=details&amp;id=25068&amp;p=section</x:v>
      </x:c>
      <x:c r="J219" t="str">
        <x:v>https://dl.smwcentral.net/25068/Birola_World_V2.zip</x:v>
      </x:c>
    </x:row>
    <x:row r="220">
      <x:c r="A220" t="str">
        <x:v>Bits and Pieces</x:v>
      </x:c>
      <x:c r="B220" t="str">
        <x:v>Bits and Pieces</x:v>
      </x:c>
      <x:c r="C220" t="str">
        <x:v>levelengine</x:v>
      </x:c>
      <x:c r="D220" t="n">
        <x:v>58</x:v>
      </x:c>
      <x:c r="E220" t="str">
        <x:v>Advanced</x:v>
      </x:c>
      <x:c r="F220" t="str">
        <x:v>Standard</x:v>
      </x:c>
      <x:c r="G220" t="n">
        <x:v>43372</x:v>
      </x:c>
      <x:c r="H220" t="str">
        <x:v>18119</x:v>
      </x:c>
      <x:c r="I220" t="str">
        <x:v>https://www.smwcentral.net/?a=details&amp;id=18119&amp;p=section</x:v>
      </x:c>
      <x:c r="J220" t="str">
        <x:v>https://dl.smwcentral.net/18119/Bits_and_Pieces_3rd_Edition.zip</x:v>
      </x:c>
    </x:row>
    <x:row r="221">
      <x:c r="A221" t="str">
        <x:v>Blackout Shells</x:v>
      </x:c>
      <x:c r="B221" t="str">
        <x:v>Blackout Shells</x:v>
      </x:c>
      <x:c r="C221" t="str">
        <x:v>Breno Henrique, Daniel Pedroza, flavioinsanity</x:v>
      </x:c>
      <x:c r="D221" t="n">
        <x:v>4</x:v>
      </x:c>
      <x:c r="E221" t="str">
        <x:v>Expert</x:v>
      </x:c>
      <x:c r="F221" t="str">
        <x:v>Kaizo</x:v>
      </x:c>
      <x:c r="G221" t="n">
        <x:v>46220</x:v>
      </x:c>
      <x:c r="H221" t="str">
        <x:v>42683</x:v>
      </x:c>
      <x:c r="I221" t="str">
        <x:v>https://www.smwcentral.net/?a=details&amp;id=42683&amp;p=section</x:v>
      </x:c>
      <x:c r="J221" t="str">
        <x:v>https://dl.smwcentral.net/42683/Blackout%20shells.zip</x:v>
      </x:c>
    </x:row>
    <x:row r="222">
      <x:c r="A222" t="str">
        <x:v>BLACKOUT.exe</x:v>
      </x:c>
      <x:c r="B222" t="str">
        <x:v>BLACKOUT.exe</x:v>
      </x:c>
      <x:c r="C222" t="str">
        <x:v>bald_ridge</x:v>
      </x:c>
      <x:c r="D222" t="n">
        <x:v>23</x:v>
      </x:c>
      <x:c r="E222" t="str">
        <x:v>Expert</x:v>
      </x:c>
      <x:c r="F222" t="str">
        <x:v>Kaizo</x:v>
      </x:c>
      <x:c r="G222" t="n">
        <x:v>45680</x:v>
      </x:c>
      <x:c r="H222" t="str">
        <x:v>38957</x:v>
      </x:c>
      <x:c r="I222" t="str">
        <x:v>https://www.smwcentral.net/?a=details&amp;id=38957&amp;p=section</x:v>
      </x:c>
      <x:c r="J222" t="str">
        <x:v>https://dl.smwcentral.net/38957/BlackOut.zip</x:v>
      </x:c>
    </x:row>
    <x:row r="223">
      <x:c r="A223" t="str">
        <x:v>Blind Devil's Trip Back in Time</x:v>
      </x:c>
      <x:c r="B223" t="str">
        <x:v>Blind Devil's Trip Back in Time</x:v>
      </x:c>
      <x:c r="C223" t="str">
        <x:v>Blind Devil</x:v>
      </x:c>
      <x:c r="D223" t="n">
        <x:v>33</x:v>
      </x:c>
      <x:c r="E223" t="str">
        <x:v>Intermediate</x:v>
      </x:c>
      <x:c r="F223" t="str">
        <x:v>Standard</x:v>
      </x:c>
      <x:c r="G223" t="n">
        <x:v>41450</x:v>
      </x:c>
      <x:c r="H223" t="str">
        <x:v>5527</x:v>
      </x:c>
      <x:c r="I223" t="str">
        <x:v>https://www.smwcentral.net/?a=details&amp;id=5527&amp;p=section</x:v>
      </x:c>
      <x:c r="J223" t="str">
        <x:v>https://dl.smwcentral.net/5527/BlindTripBackFixed.zip</x:v>
      </x:c>
    </x:row>
    <x:row r="224">
      <x:c r="A224" t="str">
        <x:v>Blind Race: Lucky Pick</x:v>
      </x:c>
      <x:c r="B224" t="str">
        <x:v>Blind Race: Lucky Pick</x:v>
      </x:c>
      <x:c r="C224" t="str">
        <x:v>Firstnamebutt, Justepic</x:v>
      </x:c>
      <x:c r="D224" t="n">
        <x:v>5</x:v>
      </x:c>
      <x:c r="E224" t="str">
        <x:v>Advanced</x:v>
      </x:c>
      <x:c r="F224" t="str">
        <x:v>Kaizo</x:v>
      </x:c>
      <x:c r="G224" t="n">
        <x:v>45215</x:v>
      </x:c>
      <x:c r="H224" t="str">
        <x:v>35280</x:v>
      </x:c>
      <x:c r="I224" t="str">
        <x:v>https://www.smwcentral.net/?a=details&amp;id=35280&amp;p=section</x:v>
      </x:c>
      <x:c r="J224" t="str">
        <x:v>https://dl.smwcentral.net/35280/Blind%20Race%20Lucky%20Pick.zip</x:v>
      </x:c>
    </x:row>
    <x:row r="225">
      <x:c r="A225" t="str">
        <x:v>Blockreator Hack</x:v>
      </x:c>
      <x:c r="B225" t="str">
        <x:v>Blockreator Hack</x:v>
      </x:c>
      <x:c r="C225" t="str">
        <x:v>Golden Yoshi</x:v>
      </x:c>
      <x:c r="D225" t="n">
        <x:v>7</x:v>
      </x:c>
      <x:c r="E225" t="str">
        <x:v>Advanced</x:v>
      </x:c>
      <x:c r="F225" t="str">
        <x:v>Standard</x:v>
      </x:c>
      <x:c r="G225" t="n">
        <x:v>46013</x:v>
      </x:c>
      <x:c r="H225" t="str">
        <x:v>41314</x:v>
      </x:c>
      <x:c r="I225" t="str">
        <x:v>https://www.smwcentral.net/?a=details&amp;id=41314&amp;p=section</x:v>
      </x:c>
      <x:c r="J225" t="str">
        <x:v>https://dl.smwcentral.net/41314/Blockreator%20Hack.zip</x:v>
      </x:c>
    </x:row>
    <x:row r="226">
      <x:c r="A226" t="str">
        <x:v>Blocks and Hammers and Coins and Spikes</x:v>
      </x:c>
      <x:c r="B226" t="str">
        <x:v>Blocks and Hammers and Coins and Spikes</x:v>
      </x:c>
      <x:c r="C226" t="str">
        <x:v>ageVerrly</x:v>
      </x:c>
      <x:c r="D226" t="n">
        <x:v>6</x:v>
      </x:c>
      <x:c r="E226" t="str">
        <x:v>Master</x:v>
      </x:c>
      <x:c r="F226" t="str">
        <x:v>Kaizo</x:v>
      </x:c>
      <x:c r="G226" t="n">
        <x:v>44657</x:v>
      </x:c>
      <x:c r="H226" t="str">
        <x:v>30171</x:v>
      </x:c>
      <x:c r="I226" t="str">
        <x:v>https://www.smwcentral.net/?a=details&amp;id=30171&amp;p=section</x:v>
      </x:c>
      <x:c r="J226" t="str">
        <x:v>https://dl.smwcentral.net/30171/blocks.zip</x:v>
      </x:c>
    </x:row>
    <x:row r="227">
      <x:c r="A227" t="str">
        <x:v>Blooper Stole My Cake</x:v>
      </x:c>
      <x:c r="B227" t="str">
        <x:v>Blooper Stole My Cake</x:v>
      </x:c>
      <x:c r="C227" t="str">
        <x:v>ShadowBoxer_Sandshrew</x:v>
      </x:c>
      <x:c r="D227" t="n">
        <x:v>12</x:v>
      </x:c>
      <x:c r="E227" t="str">
        <x:v>Master</x:v>
      </x:c>
      <x:c r="F227" t="str">
        <x:v>Kaizo</x:v>
      </x:c>
      <x:c r="G227" t="n">
        <x:v>44825</x:v>
      </x:c>
      <x:c r="H227" t="str">
        <x:v>31843</x:v>
      </x:c>
      <x:c r="I227" t="str">
        <x:v>https://www.smwcentral.net/?a=details&amp;id=31843&amp;p=section</x:v>
      </x:c>
      <x:c r="J227" t="str">
        <x:v>https://dl.smwcentral.net/31843/Blooper%20Stole%20My%20Cake%20%28Version%201.1%29.zip</x:v>
      </x:c>
    </x:row>
    <x:row r="228">
      <x:c r="A228" t="str">
        <x:v>Blue World</x:v>
      </x:c>
      <x:c r="B228" t="str">
        <x:v>Blue World</x:v>
      </x:c>
      <x:c r="C228" t="str">
        <x:v>johhankyuzu</x:v>
      </x:c>
      <x:c r="D228" t="n">
        <x:v>17</x:v>
      </x:c>
      <x:c r="E228" t="str">
        <x:v>Advanced</x:v>
      </x:c>
      <x:c r="F228" t="str">
        <x:v>Kaizo</x:v>
      </x:c>
      <x:c r="G228" t="n">
        <x:v>44900</x:v>
      </x:c>
      <x:c r="H228" t="str">
        <x:v>32646</x:v>
      </x:c>
      <x:c r="I228" t="str">
        <x:v>https://www.smwcentral.net/?a=details&amp;id=32646&amp;p=section</x:v>
      </x:c>
      <x:c r="J228" t="str">
        <x:v>https://dl.smwcentral.net/32646/Blue%20World.zip</x:v>
      </x:c>
    </x:row>
    <x:row r="229">
      <x:c r="A229" t="str">
        <x:v>Blue's Revenge</x:v>
      </x:c>
      <x:c r="B229" t="str">
        <x:v>Blue's Revenge</x:v>
      </x:c>
      <x:c r="C229" t="str">
        <x:v>TheRealCatsup</x:v>
      </x:c>
      <x:c r="D229" t="n">
        <x:v>17</x:v>
      </x:c>
      <x:c r="E229" t="str">
        <x:v>Advanced</x:v>
      </x:c>
      <x:c r="F229" t="str">
        <x:v>Kaizo</x:v>
      </x:c>
      <x:c r="G229" t="n">
        <x:v>44361</x:v>
      </x:c>
      <x:c r="H229" t="str">
        <x:v>27212</x:v>
      </x:c>
      <x:c r="I229" t="str">
        <x:v>https://www.smwcentral.net/?a=details&amp;id=27212&amp;p=section</x:v>
      </x:c>
      <x:c r="J229" t="str">
        <x:v>https://dl.smwcentral.net/27212/Blue%27sRevengeV1.1.zip</x:v>
      </x:c>
    </x:row>
    <x:row r="230">
      <x:c r="A230" t="str">
        <x:v>Bluerio's Adventure</x:v>
      </x:c>
      <x:c r="B230" t="str">
        <x:v>Bluerio's Adventure</x:v>
      </x:c>
      <x:c r="C230" t="str">
        <x:v>Inflagrandy</x:v>
      </x:c>
      <x:c r="D230" t="n">
        <x:v>11</x:v>
      </x:c>
      <x:c r="E230" t="str">
        <x:v>Expert</x:v>
      </x:c>
      <x:c r="F230" t="str">
        <x:v>Kaizo</x:v>
      </x:c>
      <x:c r="G230" t="n">
        <x:v>45733</x:v>
      </x:c>
      <x:c r="H230" t="str">
        <x:v>39591</x:v>
      </x:c>
      <x:c r="I230" t="str">
        <x:v>https://www.smwcentral.net/?a=details&amp;id=39591&amp;p=section</x:v>
      </x:c>
      <x:c r="J230" t="str">
        <x:v>https://dl.smwcentral.net/39591/Bluerio%27s%20Adventure.zip</x:v>
      </x:c>
    </x:row>
    <x:row r="231">
      <x:c r="A231" t="str">
        <x:v>Bluewater Kingdom</x:v>
      </x:c>
      <x:c r="B231" t="str">
        <x:v>Bluewater Kingdom</x:v>
      </x:c>
      <x:c r="C231" t="str">
        <x:v>Nic Nac</x:v>
      </x:c>
      <x:c r="D231" t="n">
        <x:v>24</x:v>
      </x:c>
      <x:c r="E231" t="str">
        <x:v>Casual</x:v>
      </x:c>
      <x:c r="F231" t="str">
        <x:v>Standard</x:v>
      </x:c>
      <x:c r="G231" t="n">
        <x:v>42147</x:v>
      </x:c>
      <x:c r="H231" t="str">
        <x:v>11347</x:v>
      </x:c>
      <x:c r="I231" t="str">
        <x:v>https://www.smwcentral.net/?a=details&amp;id=11347&amp;p=section</x:v>
      </x:c>
      <x:c r="J231" t="str">
        <x:v>https://dl.smwcentral.net/11347/Bluewater%20Kingdom.zip</x:v>
      </x:c>
    </x:row>
    <x:row r="232">
      <x:c r="A232" t="str">
        <x:v>Bob's Adventure</x:v>
      </x:c>
      <x:c r="B232" t="str">
        <x:v>Bob's Adventure</x:v>
      </x:c>
      <x:c r="C232" t="str">
        <x:v>thekenbaum</x:v>
      </x:c>
      <x:c r="D232" t="n">
        <x:v>6</x:v>
      </x:c>
      <x:c r="E232" t="str">
        <x:v>Casual</x:v>
      </x:c>
      <x:c r="F232" t="str">
        <x:v>Standard</x:v>
      </x:c>
      <x:c r="G232" t="n">
        <x:v>42309</x:v>
      </x:c>
      <x:c r="H232" t="str">
        <x:v>10194</x:v>
      </x:c>
      <x:c r="I232" t="str">
        <x:v>https://www.smwcentral.net/?a=details&amp;id=10194&amp;p=section</x:v>
      </x:c>
      <x:c r="J232" t="str">
        <x:v>https://dl.smwcentral.net/10194/Bob%27s%20adventure%20patch.zip</x:v>
      </x:c>
    </x:row>
    <x:row r="233">
      <x:c r="A233" t="str">
        <x:v>BokoBoko 2  - no yaba (smw remaster)</x:v>
      </x:c>
      <x:c r="B233" t="str">
        <x:v>BokoBoko 2  - no yaba (smw remaster)</x:v>
      </x:c>
      <x:c r="C233" t="str">
        <x:v>AnaRosaHD01</x:v>
      </x:c>
      <x:c r="D233" t="n">
        <x:v>11</x:v>
      </x:c>
      <x:c r="E233" t="str">
        <x:v>Intermediate</x:v>
      </x:c>
      <x:c r="F233" t="str">
        <x:v>Standard</x:v>
      </x:c>
      <x:c r="G233" t="n">
        <x:v>44872</x:v>
      </x:c>
      <x:c r="H233" t="str">
        <x:v>32466</x:v>
      </x:c>
      <x:c r="I233" t="str">
        <x:v>https://www.smwcentral.net/?a=details&amp;id=32466&amp;p=section</x:v>
      </x:c>
      <x:c r="J233" t="str">
        <x:v>https://dl.smwcentral.net/32466/BokoBoko2%20smw%20remaster.zip</x:v>
      </x:c>
    </x:row>
    <x:row r="234">
      <x:c r="A234" t="str">
        <x:v>BoliKa</x:v>
      </x:c>
      <x:c r="B234" t="str">
        <x:v>BoliKa</x:v>
      </x:c>
      <x:c r="C234" t="str">
        <x:v>Kazefbr</x:v>
      </x:c>
      <x:c r="D234" t="n">
        <x:v>9</x:v>
      </x:c>
      <x:c r="E234" t="str">
        <x:v>Expert</x:v>
      </x:c>
      <x:c r="F234" t="str">
        <x:v>Kaizo</x:v>
      </x:c>
      <x:c r="G234" t="n">
        <x:v>44400</x:v>
      </x:c>
      <x:c r="H234" t="str">
        <x:v>27797</x:v>
      </x:c>
      <x:c r="I234" t="str">
        <x:v>https://www.smwcentral.net/?a=details&amp;id=27797&amp;p=section</x:v>
      </x:c>
      <x:c r="J234" t="str">
        <x:v>https://dl.smwcentral.net/27797/BoliKa%20V1.1.zip</x:v>
      </x:c>
    </x:row>
    <x:row r="235">
      <x:c r="A235" t="str">
        <x:v>Bomberman X</x:v>
      </x:c>
      <x:c r="B235" t="str">
        <x:v>Bomberman X</x:v>
      </x:c>
      <x:c r="C235" t="str">
        <x:v>karen13505</x:v>
      </x:c>
      <x:c r="D235" t="n">
        <x:v>41</x:v>
      </x:c>
      <x:c r="E235" t="str">
        <x:v>Casual</x:v>
      </x:c>
      <x:c r="F235" t="str">
        <x:v>Standard</x:v>
      </x:c>
      <x:c r="G235" t="n">
        <x:v>42619</x:v>
      </x:c>
      <x:c r="H235" t="str">
        <x:v>14376</x:v>
      </x:c>
      <x:c r="I235" t="str">
        <x:v>https://www.smwcentral.net/?a=details&amp;id=14376&amp;p=section</x:v>
      </x:c>
      <x:c r="J235" t="str">
        <x:v>https://dl.smwcentral.net/14376/Bomberman_X%20final%20patch.zip</x:v>
      </x:c>
    </x:row>
    <x:row r="236">
      <x:c r="A236" t="str">
        <x:v>Bonni's Quest</x:v>
      </x:c>
      <x:c r="B236" t="str">
        <x:v>Bonni's Quest</x:v>
      </x:c>
      <x:c r="C236" t="str">
        <x:v>Ladida</x:v>
      </x:c>
      <x:c r="D236" t="n">
        <x:v>25</x:v>
      </x:c>
      <x:c r="E236" t="str">
        <x:v>Casual</x:v>
      </x:c>
      <x:c r="F236" t="str">
        <x:v>Standard</x:v>
      </x:c>
      <x:c r="G236" t="n">
        <x:v>41572</x:v>
      </x:c>
      <x:c r="H236" t="str">
        <x:v>5346</x:v>
      </x:c>
      <x:c r="I236" t="str">
        <x:v>https://www.smwcentral.net/?a=details&amp;id=5346&amp;p=section</x:v>
      </x:c>
      <x:c r="J236" t="str">
        <x:v>https://dl.smwcentral.net/5346/Bonni%27s%20Quest%20-%20Demo%202%20%5BFixed%5D.zip</x:v>
      </x:c>
    </x:row>
    <x:row r="237">
      <x:c r="A237" t="str">
        <x:v>Boogie Wonderland</x:v>
      </x:c>
      <x:c r="B237" t="str">
        <x:v>Boogie Wonderland</x:v>
      </x:c>
      <x:c r="C237" t="str">
        <x:v>BabaYegha</x:v>
      </x:c>
      <x:c r="D237" t="n">
        <x:v>20</x:v>
      </x:c>
      <x:c r="E237" t="str">
        <x:v>Master</x:v>
      </x:c>
      <x:c r="F237" t="str">
        <x:v>Kaizo</x:v>
      </x:c>
      <x:c r="G237" t="n">
        <x:v>44476</x:v>
      </x:c>
      <x:c r="H237" t="str">
        <x:v>28495</x:v>
      </x:c>
      <x:c r="I237" t="str">
        <x:v>https://www.smwcentral.net/?a=details&amp;id=28495&amp;p=section</x:v>
      </x:c>
      <x:c r="J237" t="str">
        <x:v>https://dl.smwcentral.net/28495/BoogieWonderLand_v2.0.zip</x:v>
      </x:c>
    </x:row>
    <x:row r="238">
      <x:c r="A238" t="str">
        <x:v>Boon's Adventure</x:v>
      </x:c>
      <x:c r="B238" t="str">
        <x:v>Boon's Adventure</x:v>
      </x:c>
      <x:c r="C238" t="str">
        <x:v>Phyll</x:v>
      </x:c>
      <x:c r="D238" t="n">
        <x:v>0</x:v>
      </x:c>
      <x:c r="E238" t="str">
        <x:v>Advanced</x:v>
      </x:c>
      <x:c r="F238" t="str">
        <x:v>Kaizo</x:v>
      </x:c>
      <x:c r="G238" t="n">
        <x:v>44887</x:v>
      </x:c>
      <x:c r="H238" t="str">
        <x:v>32564</x:v>
      </x:c>
      <x:c r="I238" t="str">
        <x:v>https://www.smwcentral.net/?a=details&amp;id=32564&amp;p=section</x:v>
      </x:c>
      <x:c r="J238" t="str">
        <x:v>https://dl.smwcentral.net/32564/Boon%27s%20Adventure%20Demo.zip</x:v>
      </x:c>
    </x:row>
    <x:row r="239">
      <x:c r="A239" t="str">
        <x:v>BooSide</x:v>
      </x:c>
      <x:c r="B239" t="str">
        <x:v>BooSide</x:v>
      </x:c>
      <x:c r="C239" t="str">
        <x:v>CousinCatnip</x:v>
      </x:c>
      <x:c r="D239" t="n">
        <x:v>8</x:v>
      </x:c>
      <x:c r="E239" t="str">
        <x:v>Intermediate</x:v>
      </x:c>
      <x:c r="F239" t="str">
        <x:v>Standard</x:v>
      </x:c>
      <x:c r="G239" t="n">
        <x:v>44341</x:v>
      </x:c>
      <x:c r="H239" t="str">
        <x:v>27043</x:v>
      </x:c>
      <x:c r="I239" t="str">
        <x:v>https://www.smwcentral.net/?a=details&amp;id=27043&amp;p=section</x:v>
      </x:c>
      <x:c r="J239" t="str">
        <x:v>https://dl.smwcentral.net/27043/BooSide%201.0.zip</x:v>
      </x:c>
    </x:row>
    <x:row r="240">
      <x:c r="A240" t="str">
        <x:v>BOOT IT UP</x:v>
      </x:c>
      <x:c r="B240" t="str">
        <x:v>BOOT IT UP</x:v>
      </x:c>
      <x:c r="C240" t="str">
        <x:v>Goon Nation, deported</x:v>
      </x:c>
      <x:c r="D240" t="n">
        <x:v>1</x:v>
      </x:c>
      <x:c r="E240" t="str">
        <x:v>Master</x:v>
      </x:c>
      <x:c r="F240" t="str">
        <x:v>Kaizo</x:v>
      </x:c>
      <x:c r="G240" t="n">
        <x:v>45749</x:v>
      </x:c>
      <x:c r="H240" t="str">
        <x:v>39679</x:v>
      </x:c>
      <x:c r="I240" t="str">
        <x:v>https://www.smwcentral.net/?a=details&amp;id=39679&amp;p=section</x:v>
      </x:c>
      <x:c r="J240" t="str">
        <x:v>https://dl.smwcentral.net/39679/boot.zip</x:v>
      </x:c>
    </x:row>
    <x:row r="241">
      <x:c r="A241" t="str">
        <x:v>Borealis Sh'El</x:v>
      </x:c>
      <x:c r="B241" t="str">
        <x:v>Borealis Sh'El</x:v>
      </x:c>
      <x:c r="C241" t="str">
        <x:v>elsaiz117</x:v>
      </x:c>
      <x:c r="D241" t="n">
        <x:v>9</x:v>
      </x:c>
      <x:c r="E241" t="str">
        <x:v>Master</x:v>
      </x:c>
      <x:c r="F241" t="str">
        <x:v>Kaizo</x:v>
      </x:c>
      <x:c r="G241" t="n">
        <x:v>45899</x:v>
      </x:c>
      <x:c r="H241" t="str">
        <x:v>40521</x:v>
      </x:c>
      <x:c r="I241" t="str">
        <x:v>https://www.smwcentral.net/?a=details&amp;id=40521&amp;p=section</x:v>
      </x:c>
      <x:c r="J241" t="str">
        <x:v>https://dl.smwcentral.net/40521/Borealis%20Sh%27El.zip</x:v>
      </x:c>
    </x:row>
    <x:row r="242">
      <x:c r="A242" t="str">
        <x:v>Boris</x:v>
      </x:c>
      <x:c r="B242" t="str">
        <x:v>Boris</x:v>
      </x:c>
      <x:c r="C242" t="str">
        <x:v>Sockbat Replica</x:v>
      </x:c>
      <x:c r="D242" t="n">
        <x:v>52</x:v>
      </x:c>
      <x:c r="E242" t="str">
        <x:v>Casual</x:v>
      </x:c>
      <x:c r="F242" t="str">
        <x:v>Standard</x:v>
      </x:c>
      <x:c r="G242" t="n">
        <x:v>43300</x:v>
      </x:c>
      <x:c r="H242" t="str">
        <x:v>17843</x:v>
      </x:c>
      <x:c r="I242" t="str">
        <x:v>https://www.smwcentral.net/?a=details&amp;id=17843&amp;p=section</x:v>
      </x:c>
      <x:c r="J242" t="str">
        <x:v>https://dl.smwcentral.net/17843/Boris%20V2.zip</x:v>
      </x:c>
    </x:row>
    <x:row r="243">
      <x:c r="A243" t="str">
        <x:v>Bounceland: The Quest for The Holy Springboard</x:v>
      </x:c>
      <x:c r="B243" t="str">
        <x:v>Bounceland: The Quest for The Holy Springboard</x:v>
      </x:c>
      <x:c r="C243" t="str">
        <x:v>Segment1Zone2</x:v>
      </x:c>
      <x:c r="D243" t="n">
        <x:v>10</x:v>
      </x:c>
      <x:c r="E243" t="str">
        <x:v>Intermediate</x:v>
      </x:c>
      <x:c r="F243" t="str">
        <x:v>Standard</x:v>
      </x:c>
      <x:c r="G243" t="n">
        <x:v>45717</x:v>
      </x:c>
      <x:c r="H243" t="str">
        <x:v>39209</x:v>
      </x:c>
      <x:c r="I243" t="str">
        <x:v>https://www.smwcentral.net/?a=details&amp;id=39209&amp;p=section</x:v>
      </x:c>
      <x:c r="J243" t="str">
        <x:v>https://dl.smwcentral.net/39209/Bounceland%20v1.02.zip</x:v>
      </x:c>
    </x:row>
    <x:row r="244">
      <x:c r="A244" t="str">
        <x:v>Bowser Forest</x:v>
      </x:c>
      <x:c r="B244" t="str">
        <x:v>Bowser Forest</x:v>
      </x:c>
      <x:c r="C244" t="str">
        <x:v>Dylan Yoshi</x:v>
      </x:c>
      <x:c r="D244" t="n">
        <x:v>9</x:v>
      </x:c>
      <x:c r="E244" t="str">
        <x:v>Intermediate</x:v>
      </x:c>
      <x:c r="F244" t="str">
        <x:v>Standard</x:v>
      </x:c>
      <x:c r="G244" t="n">
        <x:v>42039</x:v>
      </x:c>
      <x:c r="H244" t="str">
        <x:v>9752</x:v>
      </x:c>
      <x:c r="I244" t="str">
        <x:v>https://www.smwcentral.net/?a=details&amp;id=9752&amp;p=section</x:v>
      </x:c>
      <x:c r="J244" t="str">
        <x:v>https://dl.smwcentral.net/9752/Bowser%20Forest.zip</x:v>
      </x:c>
    </x:row>
    <x:row r="245">
      <x:c r="A245" t="str">
        <x:v>Bowser Jr's Adventure</x:v>
      </x:c>
      <x:c r="B245" t="str">
        <x:v>Bowser Jr's Adventure</x:v>
      </x:c>
      <x:c r="C245" t="str">
        <x:v>BBkaizo</x:v>
      </x:c>
      <x:c r="D245" t="n">
        <x:v>17</x:v>
      </x:c>
      <x:c r="E245" t="str">
        <x:v>Casual</x:v>
      </x:c>
      <x:c r="F245" t="str">
        <x:v>Standard</x:v>
      </x:c>
      <x:c r="G245" t="n">
        <x:v>42304</x:v>
      </x:c>
      <x:c r="H245" t="str">
        <x:v>10199</x:v>
      </x:c>
      <x:c r="I245" t="str">
        <x:v>https://www.smwcentral.net/?a=details&amp;id=10199&amp;p=section</x:v>
      </x:c>
      <x:c r="J245" t="str">
        <x:v>https://dl.smwcentral.net/10199/Bowser%20jr.zip</x:v>
      </x:c>
    </x:row>
    <x:row r="246">
      <x:c r="A246" t="str">
        <x:v>Bowser Jr.'s Pirate Ship</x:v>
      </x:c>
      <x:c r="B246" t="str">
        <x:v>Bowser Jr.'s Pirate Ship</x:v>
      </x:c>
      <x:c r="C246" t="str">
        <x:v>Shizufuzu</x:v>
      </x:c>
      <x:c r="D246" t="n">
        <x:v>7</x:v>
      </x:c>
      <x:c r="E246" t="str">
        <x:v>Intermediate</x:v>
      </x:c>
      <x:c r="F246" t="str">
        <x:v>Standard</x:v>
      </x:c>
      <x:c r="G246" t="n">
        <x:v>42306</x:v>
      </x:c>
      <x:c r="H246" t="str">
        <x:v>11682</x:v>
      </x:c>
      <x:c r="I246" t="str">
        <x:v>https://www.smwcentral.net/?a=details&amp;id=11682&amp;p=section</x:v>
      </x:c>
      <x:c r="J246" t="str">
        <x:v>https://dl.smwcentral.net/11682/Bowser%20JR.s%20pirate%20ship.zip</x:v>
      </x:c>
    </x:row>
    <x:row r="247">
      <x:c r="A247" t="str">
        <x:v>Bowser Rampages Again</x:v>
      </x:c>
      <x:c r="B247" t="str">
        <x:v>Bowser Rampages Again</x:v>
      </x:c>
      <x:c r="C247" t="str">
        <x:v>ZMann</x:v>
      </x:c>
      <x:c r="D247" t="n">
        <x:v>48</x:v>
      </x:c>
      <x:c r="E247" t="str">
        <x:v>Casual</x:v>
      </x:c>
      <x:c r="F247" t="str">
        <x:v>Standard</x:v>
      </x:c>
      <x:c r="G247" t="n">
        <x:v>41552</x:v>
      </x:c>
      <x:c r="H247" t="str">
        <x:v>5241</x:v>
      </x:c>
      <x:c r="I247" t="str">
        <x:v>https://www.smwcentral.net/?a=details&amp;id=5241&amp;p=section</x:v>
      </x:c>
      <x:c r="J247" t="str">
        <x:v>https://dl.smwcentral.net/5241/Bowser%20Rampages%20Again.zip</x:v>
      </x:c>
    </x:row>
    <x:row r="248">
      <x:c r="A248" t="str">
        <x:v>Bowser Rampages Again 2 - Peach Rampages Back!</x:v>
      </x:c>
      <x:c r="B248" t="str">
        <x:v>Bowser Rampages Again 2 - Peach Rampages Back!</x:v>
      </x:c>
      <x:c r="C248" t="str">
        <x:v>ZMann</x:v>
      </x:c>
      <x:c r="D248" t="n">
        <x:v>10</x:v>
      </x:c>
      <x:c r="E248" t="str">
        <x:v>Casual</x:v>
      </x:c>
      <x:c r="F248" t="str">
        <x:v>Standard</x:v>
      </x:c>
      <x:c r="G248" t="n">
        <x:v>42013</x:v>
      </x:c>
      <x:c r="H248" t="str">
        <x:v>10488</x:v>
      </x:c>
      <x:c r="I248" t="str">
        <x:v>https://www.smwcentral.net/?a=details&amp;id=10488&amp;p=section</x:v>
      </x:c>
      <x:c r="J248" t="str">
        <x:v>https://dl.smwcentral.net/10488/RAMPAGEII-REALDEMOI%20%282%29.zip</x:v>
      </x:c>
    </x:row>
    <x:row r="249">
      <x:c r="A249" t="str">
        <x:v>Bowser Runis Marios Vaction</x:v>
      </x:c>
      <x:c r="B249" t="str">
        <x:v>Bowser Runis Marios Vaction</x:v>
      </x:c>
      <x:c r="C249" t="str">
        <x:v>Enan63</x:v>
      </x:c>
      <x:c r="D249" t="n">
        <x:v>6</x:v>
      </x:c>
      <x:c r="E249" t="str">
        <x:v>Casual</x:v>
      </x:c>
      <x:c r="F249" t="str">
        <x:v>Standard</x:v>
      </x:c>
      <x:c r="G249" t="n">
        <x:v>43471</x:v>
      </x:c>
      <x:c r="H249" t="str">
        <x:v>18822</x:v>
      </x:c>
      <x:c r="I249" t="str">
        <x:v>https://www.smwcentral.net/?a=details&amp;id=18822&amp;p=section</x:v>
      </x:c>
      <x:c r="J249" t="str">
        <x:v>https://dl.smwcentral.net/18822/Bowser%20Runis%20Marios%20Vaction.zip</x:v>
      </x:c>
    </x:row>
    <x:row r="250">
      <x:c r="A250" t="str">
        <x:v>Bowser Stadium</x:v>
      </x:c>
      <x:c r="B250" t="str">
        <x:v>Bowser Stadium</x:v>
      </x:c>
      <x:c r="C250" t="str">
        <x:v>levelengine</x:v>
      </x:c>
      <x:c r="D250" t="n">
        <x:v>18</x:v>
      </x:c>
      <x:c r="E250" t="str">
        <x:v>Casual</x:v>
      </x:c>
      <x:c r="F250" t="str">
        <x:v>Standard</x:v>
      </x:c>
      <x:c r="G250" t="n">
        <x:v>41572</x:v>
      </x:c>
      <x:c r="H250" t="str">
        <x:v>5582</x:v>
      </x:c>
      <x:c r="I250" t="str">
        <x:v>https://www.smwcentral.net/?a=details&amp;id=5582&amp;p=section</x:v>
      </x:c>
      <x:c r="J250" t="str">
        <x:v>https://dl.smwcentral.net/5582/Bowser%20Stadium%20Gamma.zip</x:v>
      </x:c>
    </x:row>
    <x:row r="251">
      <x:c r="A251" t="str">
        <x:v>Bowser Strikes Back</x:v>
      </x:c>
      <x:c r="B251" t="str">
        <x:v>Bowser Strikes Back</x:v>
      </x:c>
      <x:c r="C251" t="str">
        <x:v>Jimmy</x:v>
      </x:c>
      <x:c r="D251" t="n">
        <x:v>11</x:v>
      </x:c>
      <x:c r="E251" t="str">
        <x:v>Casual</x:v>
      </x:c>
      <x:c r="F251" t="str">
        <x:v>Standard</x:v>
      </x:c>
      <x:c r="G251" t="n">
        <x:v>42208</x:v>
      </x:c>
      <x:c r="H251" t="str">
        <x:v>9774</x:v>
      </x:c>
      <x:c r="I251" t="str">
        <x:v>https://www.smwcentral.net/?a=details&amp;id=9774&amp;p=section</x:v>
      </x:c>
      <x:c r="J251" t="str">
        <x:v>https://dl.smwcentral.net/9774/BSB-Demo1v1.1.zip</x:v>
      </x:c>
    </x:row>
    <x:row r="252">
      <x:c r="A252" t="str">
        <x:v>Bowser's Armada</x:v>
      </x:c>
      <x:c r="B252" t="str">
        <x:v>Bowser's Armada</x:v>
      </x:c>
      <x:c r="C252" t="str">
        <x:v>Choco</x:v>
      </x:c>
      <x:c r="D252" t="n">
        <x:v>15</x:v>
      </x:c>
      <x:c r="E252" t="str">
        <x:v>Casual</x:v>
      </x:c>
      <x:c r="F252" t="str">
        <x:v>Standard</x:v>
      </x:c>
      <x:c r="G252" t="n">
        <x:v>42224</x:v>
      </x:c>
      <x:c r="H252" t="str">
        <x:v>9877</x:v>
      </x:c>
      <x:c r="I252" t="str">
        <x:v>https://www.smwcentral.net/?a=details&amp;id=9877&amp;p=section</x:v>
      </x:c>
      <x:c r="J252" t="str">
        <x:v>https://dl.smwcentral.net/9877/Kopia%20%284%29%20av%20Super%20Mario%20World%20%28U%29%20%5B%21%5D.zip</x:v>
      </x:c>
    </x:row>
    <x:row r="253">
      <x:c r="A253" t="str">
        <x:v>Bowser's Casino</x:v>
      </x:c>
      <x:c r="B253" t="str">
        <x:v>Bowser's Casino</x:v>
      </x:c>
      <x:c r="C253" t="str">
        <x:v>FreeKill2111</x:v>
      </x:c>
      <x:c r="D253" t="n">
        <x:v>0</x:v>
      </x:c>
      <x:c r="E253" t="str">
        <x:v>Newcomer</x:v>
      </x:c>
      <x:c r="F253" t="str">
        <x:v>Standard</x:v>
      </x:c>
      <x:c r="G253" t="n">
        <x:v>45876</x:v>
      </x:c>
      <x:c r="H253" t="str">
        <x:v>40169</x:v>
      </x:c>
      <x:c r="I253" t="str">
        <x:v>https://www.smwcentral.net/?a=details&amp;id=40169&amp;p=section</x:v>
      </x:c>
      <x:c r="J253" t="str">
        <x:v>https://dl.smwcentral.net/40169/BowsersCasino.zip</x:v>
      </x:c>
    </x:row>
    <x:row r="254">
      <x:c r="A254" t="str">
        <x:v>Bowser's Castle</x:v>
      </x:c>
      <x:c r="B254" t="str">
        <x:v>Bowser's Castle</x:v>
      </x:c>
      <x:c r="C254" t="str">
        <x:v>PMH</x:v>
      </x:c>
      <x:c r="D254" t="n">
        <x:v>1</x:v>
      </x:c>
      <x:c r="E254" t="str">
        <x:v>Casual</x:v>
      </x:c>
      <x:c r="F254" t="str">
        <x:v>Standard</x:v>
      </x:c>
      <x:c r="G254" t="n">
        <x:v>42579</x:v>
      </x:c>
      <x:c r="H254" t="str">
        <x:v>13982</x:v>
      </x:c>
      <x:c r="I254" t="str">
        <x:v>https://www.smwcentral.net/?a=details&amp;id=13982&amp;p=section</x:v>
      </x:c>
      <x:c r="J254" t="str">
        <x:v>https://dl.smwcentral.net/13982/Bowser%27s%20Castle.zip</x:v>
      </x:c>
    </x:row>
    <x:row r="255">
      <x:c r="A255" t="str">
        <x:v>Bowser's Castle 2</x:v>
      </x:c>
      <x:c r="B255" t="str">
        <x:v>Bowser's Castle 2</x:v>
      </x:c>
      <x:c r="C255" t="str">
        <x:v>PMH</x:v>
      </x:c>
      <x:c r="D255" t="n">
        <x:v>1</x:v>
      </x:c>
      <x:c r="E255" t="str">
        <x:v>Casual</x:v>
      </x:c>
      <x:c r="F255" t="str">
        <x:v>Standard</x:v>
      </x:c>
      <x:c r="G255" t="n">
        <x:v>43895</x:v>
      </x:c>
      <x:c r="H255" t="str">
        <x:v>22233</x:v>
      </x:c>
      <x:c r="I255" t="str">
        <x:v>https://www.smwcentral.net/?a=details&amp;id=22233&amp;p=section</x:v>
      </x:c>
      <x:c r="J255" t="str">
        <x:v>https://dl.smwcentral.net/22233/Bowser%27s%20Castle%202.zip</x:v>
      </x:c>
    </x:row>
    <x:row r="256">
      <x:c r="A256" t="str">
        <x:v>Bowser's Dangerous Castle 2</x:v>
      </x:c>
      <x:c r="B256" t="str">
        <x:v>Bowser's Dangerous Castle 2</x:v>
      </x:c>
      <x:c r="C256" t="str">
        <x:v>Vampire Killer</x:v>
      </x:c>
      <x:c r="D256" t="n">
        <x:v>1</x:v>
      </x:c>
      <x:c r="E256" t="str">
        <x:v>Casual</x:v>
      </x:c>
      <x:c r="F256" t="str">
        <x:v>Standard</x:v>
      </x:c>
      <x:c r="G256" t="n">
        <x:v>42322</x:v>
      </x:c>
      <x:c r="H256" t="str">
        <x:v>9707</x:v>
      </x:c>
      <x:c r="I256" t="str">
        <x:v>https://www.smwcentral.net/?a=details&amp;id=9707&amp;p=section</x:v>
      </x:c>
      <x:c r="J256" t="str">
        <x:v>https://dl.smwcentral.net/9707/BDC2.zip</x:v>
      </x:c>
    </x:row>
    <x:row r="257">
      <x:c r="A257" t="str">
        <x:v>Bowser's Hideout</x:v>
      </x:c>
      <x:c r="B257" t="str">
        <x:v>Bowser's Hideout</x:v>
      </x:c>
      <x:c r="C257" t="str">
        <x:v>Core</x:v>
      </x:c>
      <x:c r="D257" t="n">
        <x:v>4</x:v>
      </x:c>
      <x:c r="E257" t="str">
        <x:v>Intermediate</x:v>
      </x:c>
      <x:c r="F257" t="str">
        <x:v>Standard</x:v>
      </x:c>
      <x:c r="G257" t="n">
        <x:v>44908</x:v>
      </x:c>
      <x:c r="H257" t="str">
        <x:v>32728</x:v>
      </x:c>
      <x:c r="I257" t="str">
        <x:v>https://www.smwcentral.net/?a=details&amp;id=32728&amp;p=section</x:v>
      </x:c>
      <x:c r="J257" t="str">
        <x:v>https://dl.smwcentral.net/32728/BH1Fix.zip</x:v>
      </x:c>
    </x:row>
    <x:row r="258">
      <x:c r="A258" t="str">
        <x:v>Bowser's Hideout 2</x:v>
      </x:c>
      <x:c r="B258" t="str">
        <x:v>Bowser's Hideout 2</x:v>
      </x:c>
      <x:c r="C258" t="str">
        <x:v>Core</x:v>
      </x:c>
      <x:c r="D258" t="n">
        <x:v>5</x:v>
      </x:c>
      <x:c r="E258" t="str">
        <x:v>Expert</x:v>
      </x:c>
      <x:c r="F258" t="str">
        <x:v>Standard</x:v>
      </x:c>
      <x:c r="G258" t="n">
        <x:v>44505</x:v>
      </x:c>
      <x:c r="H258" t="str">
        <x:v>28708</x:v>
      </x:c>
      <x:c r="I258" t="str">
        <x:v>https://www.smwcentral.net/?a=details&amp;id=28708&amp;p=section</x:v>
      </x:c>
      <x:c r="J258" t="str">
        <x:v>https://dl.smwcentral.net/28708/Bowser%27s%20Hideout%202_fix.zip</x:v>
      </x:c>
    </x:row>
    <x:row r="259">
      <x:c r="A259" t="str">
        <x:v>Bowser's Hideout Deluxe</x:v>
      </x:c>
      <x:c r="B259" t="str">
        <x:v>Bowser's Hideout Deluxe</x:v>
      </x:c>
      <x:c r="C259" t="str">
        <x:v>Core, Mr. MS</x:v>
      </x:c>
      <x:c r="D259" t="n">
        <x:v>5</x:v>
      </x:c>
      <x:c r="E259" t="str">
        <x:v>Intermediate</x:v>
      </x:c>
      <x:c r="F259" t="str">
        <x:v>Standard</x:v>
      </x:c>
      <x:c r="G259" t="n">
        <x:v>44971</x:v>
      </x:c>
      <x:c r="H259" t="str">
        <x:v>33106</x:v>
      </x:c>
      <x:c r="I259" t="str">
        <x:v>https://www.smwcentral.net/?a=details&amp;id=33106&amp;p=section</x:v>
      </x:c>
      <x:c r="J259" t="str">
        <x:v>https://dl.smwcentral.net/33106/BH1R.zip</x:v>
      </x:c>
    </x:row>
    <x:row r="260">
      <x:c r="A260" t="str">
        <x:v>Bowser's Kingdom</x:v>
      </x:c>
      <x:c r="B260" t="str">
        <x:v>Bowser's Kingdom</x:v>
      </x:c>
      <x:c r="C260" t="str">
        <x:v>mario and luigi</x:v>
      </x:c>
      <x:c r="D260" t="n">
        <x:v>6</x:v>
      </x:c>
      <x:c r="E260" t="str">
        <x:v>Casual</x:v>
      </x:c>
      <x:c r="F260" t="str">
        <x:v>Standard</x:v>
      </x:c>
      <x:c r="G260" t="n">
        <x:v>41856</x:v>
      </x:c>
      <x:c r="H260" t="str">
        <x:v>6874</x:v>
      </x:c>
      <x:c r="I260" t="str">
        <x:v>https://www.smwcentral.net/?a=details&amp;id=6874&amp;p=section</x:v>
      </x:c>
      <x:c r="J260" t="str">
        <x:v>https://dl.smwcentral.net/6874/bowser%27s%20kingdom%20hack.zip</x:v>
      </x:c>
    </x:row>
    <x:row r="261">
      <x:c r="A261" t="str">
        <x:v>Bowser's Plan Part One: Alternate World</x:v>
      </x:c>
      <x:c r="B261" t="str">
        <x:v>Bowser's Plan Part One: Alternate World</x:v>
      </x:c>
      <x:c r="C261" t="str">
        <x:v>ShyGuyGuyShy</x:v>
      </x:c>
      <x:c r="D261" t="n">
        <x:v>9</x:v>
      </x:c>
      <x:c r="E261" t="str">
        <x:v>Newcomer</x:v>
      </x:c>
      <x:c r="F261" t="str">
        <x:v>Standard</x:v>
      </x:c>
      <x:c r="G261" t="n">
        <x:v>42275</x:v>
      </x:c>
      <x:c r="H261" t="str">
        <x:v>10046</x:v>
      </x:c>
      <x:c r="I261" t="str">
        <x:v>https://www.smwcentral.net/?a=details&amp;id=10046&amp;p=section</x:v>
      </x:c>
      <x:c r="J261" t="str">
        <x:v>https://dl.smwcentral.net/10046/SMB%20BP%20DEMO.zip</x:v>
      </x:c>
    </x:row>
    <x:row r="262">
      <x:c r="A262" t="str">
        <x:v>Bowser's Revenge</x:v>
      </x:c>
      <x:c r="B262" t="str">
        <x:v>Bowser's Revenge</x:v>
      </x:c>
      <x:c r="C262" t="str">
        <x:v>Easy Difficulty</x:v>
      </x:c>
      <x:c r="D262" t="n">
        <x:v>67</x:v>
      </x:c>
      <x:c r="E262" t="str">
        <x:v>Intermediate</x:v>
      </x:c>
      <x:c r="F262" t="str">
        <x:v>Standard</x:v>
      </x:c>
      <x:c r="G262" t="n">
        <x:v>45199</x:v>
      </x:c>
      <x:c r="H262" t="str">
        <x:v>35118</x:v>
      </x:c>
      <x:c r="I262" t="str">
        <x:v>https://www.smwcentral.net/?a=details&amp;id=35118&amp;p=section</x:v>
      </x:c>
      <x:c r="J262" t="str">
        <x:v>https://dl.smwcentral.net/35118/Bowser%27s%20Revenge%20v1.1.zip</x:v>
      </x:c>
    </x:row>
    <x:row r="263">
      <x:c r="A263" t="str">
        <x:v>Bowser's Revenge 2</x:v>
      </x:c>
      <x:c r="B263" t="str">
        <x:v>Bowser's Revenge 2</x:v>
      </x:c>
      <x:c r="C263" t="str">
        <x:v>Easy Difficulty</x:v>
      </x:c>
      <x:c r="D263" t="n">
        <x:v>68</x:v>
      </x:c>
      <x:c r="E263" t="str">
        <x:v>Intermediate</x:v>
      </x:c>
      <x:c r="F263" t="str">
        <x:v>Standard</x:v>
      </x:c>
      <x:c r="G263" t="n">
        <x:v>45420</x:v>
      </x:c>
      <x:c r="H263" t="str">
        <x:v>37751</x:v>
      </x:c>
      <x:c r="I263" t="str">
        <x:v>https://www.smwcentral.net/?a=details&amp;id=37751&amp;p=section</x:v>
      </x:c>
      <x:c r="J263" t="str">
        <x:v>https://dl.smwcentral.net/37751/Bowser%27s%20Revenge%202%20v1.1.zip</x:v>
      </x:c>
    </x:row>
    <x:row r="264">
      <x:c r="A264" t="str">
        <x:v>Bowser's Revenge 3</x:v>
      </x:c>
      <x:c r="B264" t="str">
        <x:v>Bowser's Revenge 3</x:v>
      </x:c>
      <x:c r="C264" t="str">
        <x:v>Easy Difficulty</x:v>
      </x:c>
      <x:c r="D264" t="n">
        <x:v>44</x:v>
      </x:c>
      <x:c r="E264" t="str">
        <x:v>Intermediate</x:v>
      </x:c>
      <x:c r="F264" t="str">
        <x:v>Standard</x:v>
      </x:c>
      <x:c r="G264" t="n">
        <x:v>45232</x:v>
      </x:c>
      <x:c r="H264" t="str">
        <x:v>35354</x:v>
      </x:c>
      <x:c r="I264" t="str">
        <x:v>https://www.smwcentral.net/?a=details&amp;id=35354&amp;p=section</x:v>
      </x:c>
      <x:c r="J264" t="str">
        <x:v>https://dl.smwcentral.net/35354/Bowser%27s%20Revenge%203.zip</x:v>
      </x:c>
    </x:row>
    <x:row r="265">
      <x:c r="A265" t="str">
        <x:v>Bowser's Revenge 4</x:v>
      </x:c>
      <x:c r="B265" t="str">
        <x:v>Bowser's Revenge 4</x:v>
      </x:c>
      <x:c r="C265" t="str">
        <x:v>Easy Difficulty</x:v>
      </x:c>
      <x:c r="D265" t="n">
        <x:v>70</x:v>
      </x:c>
      <x:c r="E265" t="str">
        <x:v>Intermediate</x:v>
      </x:c>
      <x:c r="F265" t="str">
        <x:v>Standard</x:v>
      </x:c>
      <x:c r="G265" t="n">
        <x:v>45391</x:v>
      </x:c>
      <x:c r="H265" t="str">
        <x:v>36606</x:v>
      </x:c>
      <x:c r="I265" t="str">
        <x:v>https://www.smwcentral.net/?a=details&amp;id=36606&amp;p=section</x:v>
      </x:c>
      <x:c r="J265" t="str">
        <x:v>https://dl.smwcentral.net/36606/Bowser%27s%20Revenge%204.zip</x:v>
      </x:c>
    </x:row>
    <x:row r="266">
      <x:c r="A266" t="str">
        <x:v>Bowser's Time Machine</x:v>
      </x:c>
      <x:c r="B266" t="str">
        <x:v>Bowser's Time Machine</x:v>
      </x:c>
      <x:c r="C266" t="str">
        <x:v>DarkBones</x:v>
      </x:c>
      <x:c r="D266" t="n">
        <x:v>6</x:v>
      </x:c>
      <x:c r="E266" t="str">
        <x:v>Newcomer</x:v>
      </x:c>
      <x:c r="F266" t="str">
        <x:v>Standard</x:v>
      </x:c>
      <x:c r="G266" t="n">
        <x:v>42293</x:v>
      </x:c>
      <x:c r="H266" t="str">
        <x:v>10178</x:v>
      </x:c>
      <x:c r="I266" t="str">
        <x:v>https://www.smwcentral.net/?a=details&amp;id=10178&amp;p=section</x:v>
      </x:c>
      <x:c r="J266" t="str">
        <x:v>https://dl.smwcentral.net/10178/Bowser%27s%20Time%20Machine.zip</x:v>
      </x:c>
    </x:row>
    <x:row r="267">
      <x:c r="A267" t="str">
        <x:v>Box of Shadows</x:v>
      </x:c>
      <x:c r="B267" t="str">
        <x:v>Box of Shadows</x:v>
      </x:c>
      <x:c r="C267" t="str">
        <x:v>ShadowBoxer_Sandshrew</x:v>
      </x:c>
      <x:c r="D267" t="n">
        <x:v>28</x:v>
      </x:c>
      <x:c r="E267" t="str">
        <x:v>Expert</x:v>
      </x:c>
      <x:c r="F267" t="str">
        <x:v>Kaizo</x:v>
      </x:c>
      <x:c r="G267" t="n">
        <x:v>44534</x:v>
      </x:c>
      <x:c r="H267" t="str">
        <x:v>28763</x:v>
      </x:c>
      <x:c r="I267" t="str">
        <x:v>https://www.smwcentral.net/?a=details&amp;id=28763&amp;p=section</x:v>
      </x:c>
      <x:c r="J267" t="str">
        <x:v>https://dl.smwcentral.net/28763/Box_of_Shadows.zip</x:v>
      </x:c>
    </x:row>
    <x:row r="268">
      <x:c r="A268" t="str">
        <x:v>Brave New World</x:v>
      </x:c>
      <x:c r="B268" t="str">
        <x:v>Brave New World</x:v>
      </x:c>
      <x:c r="C268" t="str">
        <x:v>derv82</x:v>
      </x:c>
      <x:c r="D268" t="n">
        <x:v>12</x:v>
      </x:c>
      <x:c r="E268" t="str">
        <x:v>Expert</x:v>
      </x:c>
      <x:c r="F268" t="str">
        <x:v>Kaizo</x:v>
      </x:c>
      <x:c r="G268" t="n">
        <x:v>44666</x:v>
      </x:c>
      <x:c r="H268" t="str">
        <x:v>30248</x:v>
      </x:c>
      <x:c r="I268" t="str">
        <x:v>https://www.smwcentral.net/?a=details&amp;id=30248&amp;p=section</x:v>
      </x:c>
      <x:c r="J268" t="str">
        <x:v>https://dl.smwcentral.net/30248/Brave%20New%20World%201.1.zip</x:v>
      </x:c>
    </x:row>
    <x:row r="269">
      <x:c r="A269" t="str">
        <x:v>Brave New World 2</x:v>
      </x:c>
      <x:c r="B269" t="str">
        <x:v>Brave New World 2</x:v>
      </x:c>
      <x:c r="C269" t="str">
        <x:v>derv82</x:v>
      </x:c>
      <x:c r="D269" t="n">
        <x:v>26</x:v>
      </x:c>
      <x:c r="E269" t="str">
        <x:v>Expert</x:v>
      </x:c>
      <x:c r="F269" t="str">
        <x:v>Kaizo</x:v>
      </x:c>
      <x:c r="G269" t="n">
        <x:v>45243</x:v>
      </x:c>
      <x:c r="H269" t="str">
        <x:v>35504</x:v>
      </x:c>
      <x:c r="I269" t="str">
        <x:v>https://www.smwcentral.net/?a=details&amp;id=35504&amp;p=section</x:v>
      </x:c>
      <x:c r="J269" t="str">
        <x:v>https://dl.smwcentral.net/35504/BraveNewWorld2.zip</x:v>
      </x:c>
    </x:row>
    <x:row r="270">
      <x:c r="A270" t="str">
        <x:v>Bread World</x:v>
      </x:c>
      <x:c r="B270" t="str">
        <x:v>Bread World</x:v>
      </x:c>
      <x:c r="C270" t="str">
        <x:v>MrBread</x:v>
      </x:c>
      <x:c r="D270" t="n">
        <x:v>11</x:v>
      </x:c>
      <x:c r="E270" t="str">
        <x:v>Intermediate</x:v>
      </x:c>
      <x:c r="F270" t="str">
        <x:v>Kaizo</x:v>
      </x:c>
      <x:c r="G270" t="n">
        <x:v>43920</x:v>
      </x:c>
      <x:c r="H270" t="str">
        <x:v>22536</x:v>
      </x:c>
      <x:c r="I270" t="str">
        <x:v>https://www.smwcentral.net/?a=details&amp;id=22536&amp;p=section</x:v>
      </x:c>
      <x:c r="J270" t="str">
        <x:v>https://dl.smwcentral.net/22536/BreadWorld.zip</x:v>
      </x:c>
    </x:row>
    <x:row r="271">
      <x:c r="A271" t="str">
        <x:v>Breakfast Kaizo 2: Elevensies</x:v>
      </x:c>
      <x:c r="B271" t="str">
        <x:v>Breakfast Kaizo 2: Elevensies</x:v>
      </x:c>
      <x:c r="C271" t="str">
        <x:v>GlitchCat7</x:v>
      </x:c>
      <x:c r="D271" t="n">
        <x:v>10</x:v>
      </x:c>
      <x:c r="E271" t="str">
        <x:v>Expert</x:v>
      </x:c>
      <x:c r="F271" t="str">
        <x:v>Kaizo</x:v>
      </x:c>
      <x:c r="G271" t="n">
        <x:v>43754</x:v>
      </x:c>
      <x:c r="H271" t="str">
        <x:v>21147</x:v>
      </x:c>
      <x:c r="I271" t="str">
        <x:v>https://www.smwcentral.net/?a=details&amp;id=21147&amp;p=section</x:v>
      </x:c>
      <x:c r="J271" t="str">
        <x:v>https://dl.smwcentral.net/21147/BKW2_1.1.zip</x:v>
      </x:c>
    </x:row>
    <x:row r="272">
      <x:c r="A272" t="str">
        <x:v>Breaking SMW</x:v>
      </x:c>
      <x:c r="B272" t="str">
        <x:v>Breaking SMW</x:v>
      </x:c>
      <x:c r="C272" t="str">
        <x:v>Devazure, Magikey, dacin, xHF01x</x:v>
      </x:c>
      <x:c r="D272" t="n">
        <x:v>6</x:v>
      </x:c>
      <x:c r="E272" t="str">
        <x:v>Master</x:v>
      </x:c>
      <x:c r="F272" t="str">
        <x:v>Kaizo</x:v>
      </x:c>
      <x:c r="G272" t="n">
        <x:v>44700</x:v>
      </x:c>
      <x:c r="H272" t="str">
        <x:v>30536</x:v>
      </x:c>
      <x:c r="I272" t="str">
        <x:v>https://www.smwcentral.net/?a=details&amp;id=30536&amp;p=section</x:v>
      </x:c>
      <x:c r="J272" t="str">
        <x:v>https://dl.smwcentral.net/30536/BreakingSMW.zip</x:v>
      </x:c>
    </x:row>
    <x:row r="273">
      <x:c r="A273" t="str">
        <x:v>Briefly12 World</x:v>
      </x:c>
      <x:c r="B273" t="str">
        <x:v>Briefly12 World</x:v>
      </x:c>
      <x:c r="C273" t="str">
        <x:v>Lee12UK</x:v>
      </x:c>
      <x:c r="D273" t="n">
        <x:v>11</x:v>
      </x:c>
      <x:c r="E273" t="str">
        <x:v>Advanced</x:v>
      </x:c>
      <x:c r="F273" t="str">
        <x:v>Kaizo</x:v>
      </x:c>
      <x:c r="G273" t="n">
        <x:v>44513</x:v>
      </x:c>
      <x:c r="H273" t="str">
        <x:v>28764</x:v>
      </x:c>
      <x:c r="I273" t="str">
        <x:v>https://www.smwcentral.net/?a=details&amp;id=28764&amp;p=section</x:v>
      </x:c>
      <x:c r="J273" t="str">
        <x:v>https://dl.smwcentral.net/28764/Briefly12v1.1.zip</x:v>
      </x:c>
    </x:row>
    <x:row r="274">
      <x:c r="A274" t="str">
        <x:v>BRMVR</x:v>
      </x:c>
      <x:c r="B274" t="str">
        <x:v>BRMVR</x:v>
      </x:c>
      <x:c r="C274" t="str">
        <x:v>Enan63</x:v>
      </x:c>
      <x:c r="D274" t="n">
        <x:v>23</x:v>
      </x:c>
      <x:c r="E274" t="str">
        <x:v>Casual</x:v>
      </x:c>
      <x:c r="F274" t="str">
        <x:v>Standard</x:v>
      </x:c>
      <x:c r="G274" t="n">
        <x:v>43657</x:v>
      </x:c>
      <x:c r="H274" t="str">
        <x:v>20443</x:v>
      </x:c>
      <x:c r="I274" t="str">
        <x:v>https://www.smwcentral.net/?a=details&amp;id=20443&amp;p=section</x:v>
      </x:c>
      <x:c r="J274" t="str">
        <x:v>https://dl.smwcentral.net/20443/BRMVR%20Demo%202%20C3%20July%202019.zip</x:v>
      </x:c>
    </x:row>
    <x:row r="275">
      <x:c r="A275" t="str">
        <x:v>Bro's Adventure</x:v>
      </x:c>
      <x:c r="B275" t="str">
        <x:v>Bro's Adventure</x:v>
      </x:c>
      <x:c r="C275" t="str">
        <x:v>Gringo Loco Jr.</x:v>
      </x:c>
      <x:c r="D275" t="n">
        <x:v>4</x:v>
      </x:c>
      <x:c r="E275" t="str">
        <x:v>Casual</x:v>
      </x:c>
      <x:c r="F275" t="str">
        <x:v>Standard</x:v>
      </x:c>
      <x:c r="G275" t="n">
        <x:v>45049</x:v>
      </x:c>
      <x:c r="H275" t="str">
        <x:v>33806</x:v>
      </x:c>
      <x:c r="I275" t="str">
        <x:v>https://www.smwcentral.net/?a=details&amp;id=33806&amp;p=section</x:v>
      </x:c>
      <x:c r="J275" t="str">
        <x:v>https://dl.smwcentral.net/33806/Bro%27s%20Adventure%20%28Demo%29.zip</x:v>
      </x:c>
    </x:row>
    <x:row r="276">
      <x:c r="A276" t="str">
        <x:v>Broken Shell</x:v>
      </x:c>
      <x:c r="B276" t="str">
        <x:v>Broken Shell</x:v>
      </x:c>
      <x:c r="C276" t="str">
        <x:v>Pottsie</x:v>
      </x:c>
      <x:c r="D276" t="n">
        <x:v>12</x:v>
      </x:c>
      <x:c r="E276" t="str">
        <x:v>Expert</x:v>
      </x:c>
      <x:c r="F276" t="str">
        <x:v>Kaizo</x:v>
      </x:c>
      <x:c r="G276" t="n">
        <x:v>45952</x:v>
      </x:c>
      <x:c r="H276" t="str">
        <x:v>40848</x:v>
      </x:c>
      <x:c r="I276" t="str">
        <x:v>https://www.smwcentral.net/?a=details&amp;id=40848&amp;p=section</x:v>
      </x:c>
      <x:c r="J276" t="str">
        <x:v>https://dl.smwcentral.net/40848/Broken%20Shell.zip</x:v>
      </x:c>
    </x:row>
    <x:row r="277">
      <x:c r="A277" t="str">
        <x:v>Brothermen</x:v>
      </x:c>
      <x:c r="B277" t="str">
        <x:v>Brothermen</x:v>
      </x:c>
      <x:c r="C277" t="str">
        <x:v>JezJitzu, MorrieTheMagpie, pnaha</x:v>
      </x:c>
      <x:c r="D277" t="n">
        <x:v>5</x:v>
      </x:c>
      <x:c r="E277" t="str">
        <x:v>Advanced</x:v>
      </x:c>
      <x:c r="F277" t="str">
        <x:v>Kaizo</x:v>
      </x:c>
      <x:c r="G277" t="n">
        <x:v>46214</x:v>
      </x:c>
      <x:c r="H277" t="str">
        <x:v>42661</x:v>
      </x:c>
      <x:c r="I277" t="str">
        <x:v>https://www.smwcentral.net/?a=details&amp;id=42661&amp;p=section</x:v>
      </x:c>
      <x:c r="J277" t="str">
        <x:v>https://dl.smwcentral.net/42661/Brothermen.zip</x:v>
      </x:c>
    </x:row>
    <x:row r="278">
      <x:c r="A278" t="str">
        <x:v>Brutal Bunny</x:v>
      </x:c>
      <x:c r="B278" t="str">
        <x:v>Brutal Bunny</x:v>
      </x:c>
      <x:c r="C278" t="str">
        <x:v>fanfan21</x:v>
      </x:c>
      <x:c r="D278" t="n">
        <x:v>5</x:v>
      </x:c>
      <x:c r="E278" t="str">
        <x:v>Intermediate</x:v>
      </x:c>
      <x:c r="F278" t="str">
        <x:v>Kaizo, Tool-Assisted</x:v>
      </x:c>
      <x:c r="G278" t="n">
        <x:v>45743</x:v>
      </x:c>
      <x:c r="H278" t="str">
        <x:v>39595</x:v>
      </x:c>
      <x:c r="I278" t="str">
        <x:v>https://www.smwcentral.net/?a=details&amp;id=39595&amp;p=section</x:v>
      </x:c>
      <x:c r="J278" t="str">
        <x:v>https://dl.smwcentral.net/39595/Brutal%20Bunny%20%28SMW%29.zip</x:v>
      </x:c>
    </x:row>
    <x:row r="279">
      <x:c r="A279" t="str">
        <x:v>Brutal Mario</x:v>
      </x:c>
      <x:c r="B279" t="str">
        <x:v>Brutal Mario</x:v>
      </x:c>
      <x:c r="C279" t="str">
        <x:v>carol</x:v>
      </x:c>
      <x:c r="D279" t="n">
        <x:v>98</x:v>
      </x:c>
      <x:c r="E279" t="str">
        <x:v>Intermediate</x:v>
      </x:c>
      <x:c r="F279" t="str">
        <x:v>Standard</x:v>
      </x:c>
      <x:c r="G279" t="n">
        <x:v>41644</x:v>
      </x:c>
      <x:c r="H279" t="str">
        <x:v>6099</x:v>
      </x:c>
      <x:c r="I279" t="str">
        <x:v>https://www.smwcentral.net/?a=details&amp;id=6099&amp;p=section</x:v>
      </x:c>
      <x:c r="J279" t="str">
        <x:v>https://dl.smwcentral.net/6099/Brutal%20Mario%20Demo%207.zip</x:v>
      </x:c>
    </x:row>
    <x:row r="280">
      <x:c r="A280" t="str">
        <x:v>Buddy Shell</x:v>
      </x:c>
      <x:c r="B280" t="str">
        <x:v>Buddy Shell</x:v>
      </x:c>
      <x:c r="C280" t="str">
        <x:v>Firstnamebutt</x:v>
      </x:c>
      <x:c r="D280" t="n">
        <x:v>12</x:v>
      </x:c>
      <x:c r="E280" t="str">
        <x:v>Advanced</x:v>
      </x:c>
      <x:c r="F280" t="str">
        <x:v>Kaizo</x:v>
      </x:c>
      <x:c r="G280" t="n">
        <x:v>45022</x:v>
      </x:c>
      <x:c r="H280" t="str">
        <x:v>33690</x:v>
      </x:c>
      <x:c r="I280" t="str">
        <x:v>https://www.smwcentral.net/?a=details&amp;id=33690&amp;p=section</x:v>
      </x:c>
      <x:c r="J280" t="str">
        <x:v>https://dl.smwcentral.net/33690/BUDDY%20SHELL%20v1.zip</x:v>
      </x:c>
    </x:row>
    <x:row r="281">
      <x:c r="A281" t="str">
        <x:v>Buddy Shell 2</x:v>
      </x:c>
      <x:c r="B281" t="str">
        <x:v>Buddy Shell 2</x:v>
      </x:c>
      <x:c r="C281" t="str">
        <x:v>Firstnamebutt</x:v>
      </x:c>
      <x:c r="D281" t="n">
        <x:v>25</x:v>
      </x:c>
      <x:c r="E281" t="str">
        <x:v>Expert</x:v>
      </x:c>
      <x:c r="F281" t="str">
        <x:v>Kaizo</x:v>
      </x:c>
      <x:c r="G281" t="n">
        <x:v>45329</x:v>
      </x:c>
      <x:c r="H281" t="str">
        <x:v>36816</x:v>
      </x:c>
      <x:c r="I281" t="str">
        <x:v>https://www.smwcentral.net/?a=details&amp;id=36816&amp;p=section</x:v>
      </x:c>
      <x:c r="J281" t="str">
        <x:v>https://dl.smwcentral.net/36816/Buddy_Shell2.zip</x:v>
      </x:c>
    </x:row>
    <x:row r="282">
      <x:c r="A282" t="str">
        <x:v>Buddy Shell 2 REDUX</x:v>
      </x:c>
      <x:c r="B282" t="str">
        <x:v>Buddy Shell 2 REDUX</x:v>
      </x:c>
      <x:c r="C282" t="str">
        <x:v>Firstnamebutt</x:v>
      </x:c>
      <x:c r="D282" t="n">
        <x:v>21</x:v>
      </x:c>
      <x:c r="E282" t="str">
        <x:v>Expert</x:v>
      </x:c>
      <x:c r="F282" t="str">
        <x:v>Kaizo</x:v>
      </x:c>
      <x:c r="G282" t="n">
        <x:v>45419</x:v>
      </x:c>
      <x:c r="H282" t="str">
        <x:v>37743</x:v>
      </x:c>
      <x:c r="I282" t="str">
        <x:v>https://www.smwcentral.net/?a=details&amp;id=37743&amp;p=section</x:v>
      </x:c>
      <x:c r="J282" t="str">
        <x:v>https://dl.smwcentral.net/37743/BuddyShell2REDUX.zip</x:v>
      </x:c>
    </x:row>
    <x:row r="283">
      <x:c r="A283" t="str">
        <x:v>Bullymario's New Super Mario World</x:v>
      </x:c>
      <x:c r="B283" t="str">
        <x:v>Bullymario's New Super Mario World</x:v>
      </x:c>
      <x:c r="C283" t="str">
        <x:v>Bullymario</x:v>
      </x:c>
      <x:c r="D283" t="n">
        <x:v>80</x:v>
      </x:c>
      <x:c r="E283" t="str">
        <x:v>Intermediate</x:v>
      </x:c>
      <x:c r="F283" t="str">
        <x:v>Standard</x:v>
      </x:c>
      <x:c r="G283" t="n">
        <x:v>44828</x:v>
      </x:c>
      <x:c r="H283" t="str">
        <x:v>31895</x:v>
      </x:c>
      <x:c r="I283" t="str">
        <x:v>https://www.smwcentral.net/?a=details&amp;id=31895&amp;p=section</x:v>
      </x:c>
      <x:c r="J283" t="str">
        <x:v>https://dl.smwcentral.net/31895/NSMW1%20%28Fixed%29.zip</x:v>
      </x:c>
    </x:row>
    <x:row r="284">
      <x:c r="A284" t="str">
        <x:v>Bunbun 3</x:v>
      </x:c>
      <x:c r="B284" t="str">
        <x:v>Bunbun 3</x:v>
      </x:c>
      <x:c r="C284" t="str">
        <x:v>sio-kedelic</x:v>
      </x:c>
      <x:c r="D284" t="n">
        <x:v>24</x:v>
      </x:c>
      <x:c r="E284" t="str">
        <x:v>Advanced</x:v>
      </x:c>
      <x:c r="F284" t="str">
        <x:v>Kaizo</x:v>
      </x:c>
      <x:c r="G284" t="n">
        <x:v>45137</x:v>
      </x:c>
      <x:c r="H284" t="str">
        <x:v>34494</x:v>
      </x:c>
      <x:c r="I284" t="str">
        <x:v>https://www.smwcentral.net/?a=details&amp;id=34494&amp;p=section</x:v>
      </x:c>
      <x:c r="J284" t="str">
        <x:v>https://dl.smwcentral.net/34494/bunbun3v1.01.zip</x:v>
      </x:c>
    </x:row>
    <x:row r="285">
      <x:c r="A285" t="str">
        <x:v>Bunbun World</x:v>
      </x:c>
      <x:c r="B285" t="str">
        <x:v>Bunbun World</x:v>
      </x:c>
      <x:c r="C285" t="str">
        <x:v>sio-kedelic</x:v>
      </x:c>
      <x:c r="D285" t="n">
        <x:v>19</x:v>
      </x:c>
      <x:c r="E285" t="str">
        <x:v>Advanced</x:v>
      </x:c>
      <x:c r="F285" t="str">
        <x:v>Kaizo</x:v>
      </x:c>
      <x:c r="G285" t="n">
        <x:v>43627</x:v>
      </x:c>
      <x:c r="H285" t="str">
        <x:v>20177</x:v>
      </x:c>
      <x:c r="I285" t="str">
        <x:v>https://www.smwcentral.net/?a=details&amp;id=20177&amp;p=section</x:v>
      </x:c>
      <x:c r="J285" t="str">
        <x:v>https://dl.smwcentral.net/20177/BunbunWorld_1.0.zip</x:v>
      </x:c>
    </x:row>
    <x:row r="286">
      <x:c r="A286" t="str">
        <x:v>Bunbun World 2</x:v>
      </x:c>
      <x:c r="B286" t="str">
        <x:v>Bunbun World 2</x:v>
      </x:c>
      <x:c r="C286" t="str">
        <x:v>sio-kedelic</x:v>
      </x:c>
      <x:c r="D286" t="n">
        <x:v>19</x:v>
      </x:c>
      <x:c r="E286" t="str">
        <x:v>Advanced</x:v>
      </x:c>
      <x:c r="F286" t="str">
        <x:v>Kaizo</x:v>
      </x:c>
      <x:c r="G286" t="n">
        <x:v>44073</x:v>
      </x:c>
      <x:c r="H286" t="str">
        <x:v>24356</x:v>
      </x:c>
      <x:c r="I286" t="str">
        <x:v>https://www.smwcentral.net/?a=details&amp;id=24356&amp;p=section</x:v>
      </x:c>
      <x:c r="J286" t="str">
        <x:v>https://dl.smwcentral.net/24356/BunbunWorld2_1.1.zip</x:v>
      </x:c>
    </x:row>
    <x:row r="287">
      <x:c r="A287" t="str">
        <x:v>Burning Star</x:v>
      </x:c>
      <x:c r="B287" t="str">
        <x:v>Burning Star</x:v>
      </x:c>
      <x:c r="C287" t="str">
        <x:v>PixlBitNick</x:v>
      </x:c>
      <x:c r="D287" t="n">
        <x:v>11</x:v>
      </x:c>
      <x:c r="E287" t="str">
        <x:v>Expert</x:v>
      </x:c>
      <x:c r="F287" t="str">
        <x:v>Kaizo</x:v>
      </x:c>
      <x:c r="G287" t="n">
        <x:v>45062</x:v>
      </x:c>
      <x:c r="H287" t="str">
        <x:v>33860</x:v>
      </x:c>
      <x:c r="I287" t="str">
        <x:v>https://www.smwcentral.net/?a=details&amp;id=33860&amp;p=section</x:v>
      </x:c>
      <x:c r="J287" t="str">
        <x:v>https://dl.smwcentral.net/33860/burningstar1.3.zip</x:v>
      </x:c>
    </x:row>
    <x:row r="288">
      <x:c r="A288" t="str">
        <x:v>Burning Star 2 Deluxe</x:v>
      </x:c>
      <x:c r="B288" t="str">
        <x:v>Burning Star 2 Deluxe</x:v>
      </x:c>
      <x:c r="C288" t="str">
        <x:v>PixlBitNick</x:v>
      </x:c>
      <x:c r="D288" t="n">
        <x:v>16</x:v>
      </x:c>
      <x:c r="E288" t="str">
        <x:v>Master</x:v>
      </x:c>
      <x:c r="F288" t="str">
        <x:v>Kaizo</x:v>
      </x:c>
      <x:c r="G288" t="n">
        <x:v>45539</x:v>
      </x:c>
      <x:c r="H288" t="str">
        <x:v>38340</x:v>
      </x:c>
      <x:c r="I288" t="str">
        <x:v>https://www.smwcentral.net/?a=details&amp;id=38340&amp;p=section</x:v>
      </x:c>
      <x:c r="J288" t="str">
        <x:v>https://dl.smwcentral.net/38340/BurningStar2Deluxe.zip</x:v>
      </x:c>
    </x:row>
    <x:row r="289">
      <x:c r="A289" t="str">
        <x:v>Burrito Rings</x:v>
      </x:c>
      <x:c r="B289" t="str">
        <x:v>Burrito Rings</x:v>
      </x:c>
      <x:c r="C289" t="str">
        <x:v>Sammmoo</x:v>
      </x:c>
      <x:c r="D289" t="n">
        <x:v>10</x:v>
      </x:c>
      <x:c r="E289" t="str">
        <x:v>Expert</x:v>
      </x:c>
      <x:c r="F289" t="str">
        <x:v>Standard</x:v>
      </x:c>
      <x:c r="G289" t="n">
        <x:v>44143</x:v>
      </x:c>
      <x:c r="H289" t="str">
        <x:v>25065</x:v>
      </x:c>
      <x:c r="I289" t="str">
        <x:v>https://www.smwcentral.net/?a=details&amp;id=25065&amp;p=section</x:v>
      </x:c>
      <x:c r="J289" t="str">
        <x:v>https://dl.smwcentral.net/25065/Burrito%20Rings.zip</x:v>
      </x:c>
    </x:row>
    <x:row r="290">
      <x:c r="A290" t="str">
        <x:v>BUTT GRAVY</x:v>
      </x:c>
      <x:c r="B290" t="str">
        <x:v>BUTT GRAVY</x:v>
      </x:c>
      <x:c r="C290" t="str">
        <x:v>xMANGRAVYx</x:v>
      </x:c>
      <x:c r="D290" t="n">
        <x:v>1</x:v>
      </x:c>
      <x:c r="E290" t="str">
        <x:v>Advanced</x:v>
      </x:c>
      <x:c r="F290" t="str">
        <x:v>Kaizo</x:v>
      </x:c>
      <x:c r="G290" t="n">
        <x:v>45767</x:v>
      </x:c>
      <x:c r="H290" t="str">
        <x:v>39760</x:v>
      </x:c>
      <x:c r="I290" t="str">
        <x:v>https://www.smwcentral.net/?a=details&amp;id=39760&amp;p=section</x:v>
      </x:c>
      <x:c r="J290" t="str">
        <x:v>https://dl.smwcentral.net/39760/BUTT%20GRAVY.zip</x:v>
      </x:c>
    </x:row>
    <x:row r="291">
      <x:c r="A291" t="str">
        <x:v>Buzzed</x:v>
      </x:c>
      <x:c r="B291" t="str">
        <x:v>Buzzed</x:v>
      </x:c>
      <x:c r="C291" t="str">
        <x:v>bald_ridge</x:v>
      </x:c>
      <x:c r="D291" t="n">
        <x:v>10</x:v>
      </x:c>
      <x:c r="E291" t="str">
        <x:v>Advanced</x:v>
      </x:c>
      <x:c r="F291" t="str">
        <x:v>Kaizo</x:v>
      </x:c>
      <x:c r="G291" t="n">
        <x:v>45833</x:v>
      </x:c>
      <x:c r="H291" t="str">
        <x:v>40001</x:v>
      </x:c>
      <x:c r="I291" t="str">
        <x:v>https://www.smwcentral.net/?a=details&amp;id=40001&amp;p=section</x:v>
      </x:c>
      <x:c r="J291" t="str">
        <x:v>https://dl.smwcentral.net/40001/BUZZED.zip</x:v>
      </x:c>
    </x:row>
    <x:row r="292">
      <x:c r="A292" t="str">
        <x:v>Buzzy's World Tour</x:v>
      </x:c>
      <x:c r="B292" t="str">
        <x:v>Buzzy's World Tour</x:v>
      </x:c>
      <x:c r="C292" t="str">
        <x:v>Stivi</x:v>
      </x:c>
      <x:c r="D292" t="n">
        <x:v>6</x:v>
      </x:c>
      <x:c r="E292" t="str">
        <x:v>Intermediate</x:v>
      </x:c>
      <x:c r="F292" t="str">
        <x:v>Standard</x:v>
      </x:c>
      <x:c r="G292" t="n">
        <x:v>43651</x:v>
      </x:c>
      <x:c r="H292" t="str">
        <x:v>20379</x:v>
      </x:c>
      <x:c r="I292" t="str">
        <x:v>https://www.smwcentral.net/?a=details&amp;id=20379&amp;p=section</x:v>
      </x:c>
      <x:c r="J292" t="str">
        <x:v>https://dl.smwcentral.net/20379/Buzzy%27s%20World%20Tour%20%28DISCONTINUED%29.zip</x:v>
      </x:c>
    </x:row>
    <x:row r="293">
      <x:c r="A293" t="str">
        <x:v>By The Harvest Moon</x:v>
      </x:c>
      <x:c r="B293" t="str">
        <x:v>By The Harvest Moon</x:v>
      </x:c>
      <x:c r="C293" t="str">
        <x:v>levelengine</x:v>
      </x:c>
      <x:c r="D293" t="n">
        <x:v>5</x:v>
      </x:c>
      <x:c r="E293" t="str">
        <x:v>Intermediate</x:v>
      </x:c>
      <x:c r="F293" t="str">
        <x:v>Standard</x:v>
      </x:c>
      <x:c r="G293" t="n">
        <x:v>41900</x:v>
      </x:c>
      <x:c r="H293" t="str">
        <x:v>9267</x:v>
      </x:c>
      <x:c r="I293" t="str">
        <x:v>https://www.smwcentral.net/?a=details&amp;id=9267&amp;p=section</x:v>
      </x:c>
      <x:c r="J293" t="str">
        <x:v>https://dl.smwcentral.net/9267/By%20The%20Harvest%20Moon%202nd%20Edition.zip</x:v>
      </x:c>
    </x:row>
    <x:row r="294">
      <x:c r="A294" t="str">
        <x:v>Cacaphonic Chrysalis</x:v>
      </x:c>
      <x:c r="B294" t="str">
        <x:v>Cacaphonic Chrysalis</x:v>
      </x:c>
      <x:c r="C294" t="str">
        <x:v>Hwailaluta</x:v>
      </x:c>
      <x:c r="D294" t="n">
        <x:v>1</x:v>
      </x:c>
      <x:c r="E294" t="str">
        <x:v>Master</x:v>
      </x:c>
      <x:c r="F294" t="str">
        <x:v>Kaizo</x:v>
      </x:c>
      <x:c r="G294" t="n">
        <x:v>44798</x:v>
      </x:c>
      <x:c r="H294" t="str">
        <x:v>31877</x:v>
      </x:c>
      <x:c r="I294" t="str">
        <x:v>https://www.smwcentral.net/?a=details&amp;id=31877&amp;p=section</x:v>
      </x:c>
      <x:c r="J294" t="str">
        <x:v>https://dl.smwcentral.net/31877/CacaphonicChrysalis.zip</x:v>
      </x:c>
    </x:row>
    <x:row r="295">
      <x:c r="A295" t="str">
        <x:v>Cadaverous Chains</x:v>
      </x:c>
      <x:c r="B295" t="str">
        <x:v>Cadaverous Chains</x:v>
      </x:c>
      <x:c r="C295" t="str">
        <x:v>ft029</x:v>
      </x:c>
      <x:c r="D295" t="n">
        <x:v>1</x:v>
      </x:c>
      <x:c r="E295" t="str">
        <x:v>Expert</x:v>
      </x:c>
      <x:c r="F295" t="str">
        <x:v>Kaizo</x:v>
      </x:c>
      <x:c r="G295" t="n">
        <x:v>42674</x:v>
      </x:c>
      <x:c r="H295" t="str">
        <x:v>14605</x:v>
      </x:c>
      <x:c r="I295" t="str">
        <x:v>https://www.smwcentral.net/?a=details&amp;id=14605&amp;p=section</x:v>
      </x:c>
      <x:c r="J295" t="str">
        <x:v>https://dl.smwcentral.net/14605/Cadaverous%20Chains.zip</x:v>
      </x:c>
    </x:row>
    <x:row r="296">
      <x:c r="A296" t="str">
        <x:v>Can't Stop Won't Stop</x:v>
      </x:c>
      <x:c r="B296" t="str">
        <x:v>Can't Stop Won't Stop</x:v>
      </x:c>
      <x:c r="C296" t="str">
        <x:v>brown_tower</x:v>
      </x:c>
      <x:c r="D296" t="n">
        <x:v>6</x:v>
      </x:c>
      <x:c r="E296" t="str">
        <x:v>Expert</x:v>
      </x:c>
      <x:c r="F296" t="str">
        <x:v>Kaizo</x:v>
      </x:c>
      <x:c r="G296" t="n">
        <x:v>46080</x:v>
      </x:c>
      <x:c r="H296" t="str">
        <x:v>41726</x:v>
      </x:c>
      <x:c r="I296" t="str">
        <x:v>https://www.smwcentral.net/?a=details&amp;id=41726&amp;p=section</x:v>
      </x:c>
      <x:c r="J296" t="str">
        <x:v>https://dl.smwcentral.net/41726/CantStopWontStop_v1.1.zip</x:v>
      </x:c>
    </x:row>
    <x:row r="297">
      <x:c r="A297" t="str">
        <x:v>Candy Shop</x:v>
      </x:c>
      <x:c r="B297" t="str">
        <x:v>Candy Shop</x:v>
      </x:c>
      <x:c r="C297" t="str">
        <x:v>Saphros</x:v>
      </x:c>
      <x:c r="D297" t="n">
        <x:v>12</x:v>
      </x:c>
      <x:c r="E297" t="str">
        <x:v>Advanced</x:v>
      </x:c>
      <x:c r="F297" t="str">
        <x:v>Kaizo</x:v>
      </x:c>
      <x:c r="G297" t="n">
        <x:v>45540</x:v>
      </x:c>
      <x:c r="H297" t="str">
        <x:v>38387</x:v>
      </x:c>
      <x:c r="I297" t="str">
        <x:v>https://www.smwcentral.net/?a=details&amp;id=38387&amp;p=section</x:v>
      </x:c>
      <x:c r="J297" t="str">
        <x:v>https://dl.smwcentral.net/38387/Candy_Shop.zip</x:v>
      </x:c>
    </x:row>
    <x:row r="298">
      <x:c r="A298" t="str">
        <x:v>Candy Shop - Light Edition</x:v>
      </x:c>
      <x:c r="B298" t="str">
        <x:v>Candy Shop - Light Edition</x:v>
      </x:c>
      <x:c r="C298" t="str">
        <x:v>Saphros</x:v>
      </x:c>
      <x:c r="D298" t="n">
        <x:v>10</x:v>
      </x:c>
      <x:c r="E298" t="str">
        <x:v>Intermediate</x:v>
      </x:c>
      <x:c r="F298" t="str">
        <x:v>Kaizo</x:v>
      </x:c>
      <x:c r="G298" t="n">
        <x:v>45717</x:v>
      </x:c>
      <x:c r="H298" t="str">
        <x:v>39487</x:v>
      </x:c>
      <x:c r="I298" t="str">
        <x:v>https://www.smwcentral.net/?a=details&amp;id=39487&amp;p=section</x:v>
      </x:c>
      <x:c r="J298" t="str">
        <x:v>https://dl.smwcentral.net/39487/Candyshop%20-%20Light%20Edition%201.1.zip</x:v>
      </x:c>
    </x:row>
    <x:row r="299">
      <x:c r="A299" t="str">
        <x:v>Cangrejo Kaizo Land</x:v>
      </x:c>
      <x:c r="B299" t="str">
        <x:v>Cangrejo Kaizo Land</x:v>
      </x:c>
      <x:c r="C299" t="str">
        <x:v>Hiroki</x:v>
      </x:c>
      <x:c r="D299" t="n">
        <x:v>17</x:v>
      </x:c>
      <x:c r="E299" t="str">
        <x:v>Advanced</x:v>
      </x:c>
      <x:c r="F299" t="str">
        <x:v>Kaizo</x:v>
      </x:c>
      <x:c r="G299" t="n">
        <x:v>44285</x:v>
      </x:c>
      <x:c r="H299" t="str">
        <x:v>26500</x:v>
      </x:c>
      <x:c r="I299" t="str">
        <x:v>https://www.smwcentral.net/?a=details&amp;id=26500&amp;p=section</x:v>
      </x:c>
      <x:c r="J299" t="str">
        <x:v>https://dl.smwcentral.net/26500/Cangrejo%20Kaizo%20Land%20v1.1.zip</x:v>
      </x:c>
    </x:row>
    <x:row r="300">
      <x:c r="A300" t="str">
        <x:v>Cape is Good</x:v>
      </x:c>
      <x:c r="B300" t="str">
        <x:v>Cape is Good</x:v>
      </x:c>
      <x:c r="C300" t="str">
        <x:v>Insanit</x:v>
      </x:c>
      <x:c r="D300" t="n">
        <x:v>7</x:v>
      </x:c>
      <x:c r="E300" t="str">
        <x:v>Expert</x:v>
      </x:c>
      <x:c r="F300" t="str">
        <x:v>Kaizo</x:v>
      </x:c>
      <x:c r="G300" t="n">
        <x:v>45778</x:v>
      </x:c>
      <x:c r="H300" t="str">
        <x:v>39796</x:v>
      </x:c>
      <x:c r="I300" t="str">
        <x:v>https://www.smwcentral.net/?a=details&amp;id=39796&amp;p=section</x:v>
      </x:c>
      <x:c r="J300" t="str">
        <x:v>https://dl.smwcentral.net/39796/Cape%20is%20Good%201.3.zip</x:v>
      </x:c>
    </x:row>
    <x:row r="301">
      <x:c r="A301" t="str">
        <x:v>Capirotada Land</x:v>
      </x:c>
      <x:c r="B301" t="str">
        <x:v>Capirotada Land</x:v>
      </x:c>
      <x:c r="C301" t="str">
        <x:v>Mane Bros.</x:v>
      </x:c>
      <x:c r="D301" t="n">
        <x:v>10</x:v>
      </x:c>
      <x:c r="E301" t="str">
        <x:v>Expert</x:v>
      </x:c>
      <x:c r="F301" t="str">
        <x:v>Kaizo</x:v>
      </x:c>
      <x:c r="G301" t="n">
        <x:v>44827</x:v>
      </x:c>
      <x:c r="H301" t="str">
        <x:v>32084</x:v>
      </x:c>
      <x:c r="I301" t="str">
        <x:v>https://www.smwcentral.net/?a=details&amp;id=32084&amp;p=section</x:v>
      </x:c>
      <x:c r="J301" t="str">
        <x:v>https://dl.smwcentral.net/32084/Capirotada%20Land%202.1.zip</x:v>
      </x:c>
    </x:row>
    <x:row r="302">
      <x:c r="A302" t="str">
        <x:v>Capirotada Land 2: Meta Knight's Intervention</x:v>
      </x:c>
      <x:c r="B302" t="str">
        <x:v>Capirotada Land 2: Meta Knight's Intervention</x:v>
      </x:c>
      <x:c r="C302" t="str">
        <x:v>Mane Bros.</x:v>
      </x:c>
      <x:c r="D302" t="n">
        <x:v>18</x:v>
      </x:c>
      <x:c r="E302" t="str">
        <x:v>Master</x:v>
      </x:c>
      <x:c r="F302" t="str">
        <x:v>Kaizo</x:v>
      </x:c>
      <x:c r="G302" t="n">
        <x:v>45054</x:v>
      </x:c>
      <x:c r="H302" t="str">
        <x:v>33805</x:v>
      </x:c>
      <x:c r="I302" t="str">
        <x:v>https://www.smwcentral.net/?a=details&amp;id=33805&amp;p=section</x:v>
      </x:c>
      <x:c r="J302" t="str">
        <x:v>https://dl.smwcentral.net/33805/Capirotada%20Land%202.zip</x:v>
      </x:c>
    </x:row>
    <x:row r="303">
      <x:c r="A303" t="str">
        <x:v>Captain Barry's Treasure</x:v>
      </x:c>
      <x:c r="B303" t="str">
        <x:v>Captain Barry's Treasure</x:v>
      </x:c>
      <x:c r="C303" t="str">
        <x:v>MORC</x:v>
      </x:c>
      <x:c r="D303" t="n">
        <x:v>8</x:v>
      </x:c>
      <x:c r="E303" t="str">
        <x:v>Casual</x:v>
      </x:c>
      <x:c r="F303" t="str">
        <x:v>Standard</x:v>
      </x:c>
      <x:c r="G303" t="n">
        <x:v>43700</x:v>
      </x:c>
      <x:c r="H303" t="str">
        <x:v>21010</x:v>
      </x:c>
      <x:c r="I303" t="str">
        <x:v>https://www.smwcentral.net/?a=details&amp;id=21010&amp;p=section</x:v>
      </x:c>
      <x:c r="J303" t="str">
        <x:v>https://dl.smwcentral.net/21010/Captain%20Barry%27s%20Treasure%20V1.2.zip</x:v>
      </x:c>
    </x:row>
    <x:row r="304">
      <x:c r="A304" t="str">
        <x:v>Captain Toad treasure tracker for snes</x:v>
      </x:c>
      <x:c r="B304" t="str">
        <x:v>Captain Toad treasure tracker for snes</x:v>
      </x:c>
      <x:c r="C304" t="str">
        <x:v>zacmario</x:v>
      </x:c>
      <x:c r="D304" t="n">
        <x:v>24</x:v>
      </x:c>
      <x:c r="E304" t="str">
        <x:v>Intermediate</x:v>
      </x:c>
      <x:c r="F304" t="str">
        <x:v>Standard</x:v>
      </x:c>
      <x:c r="G304" t="n">
        <x:v>42719</x:v>
      </x:c>
      <x:c r="H304" t="str">
        <x:v>14736</x:v>
      </x:c>
      <x:c r="I304" t="str">
        <x:v>https://www.smwcentral.net/?a=details&amp;id=14736&amp;p=section</x:v>
      </x:c>
      <x:c r="J304" t="str">
        <x:v>https://dl.smwcentral.net/14736/Capttoad1.1.zip</x:v>
      </x:c>
    </x:row>
    <x:row r="305">
      <x:c r="A305" t="str">
        <x:v>Captain Toad Treasure Tracker for SNES II</x:v>
      </x:c>
      <x:c r="B305" t="str">
        <x:v>Captain Toad Treasure Tracker for SNES II</x:v>
      </x:c>
      <x:c r="C305" t="str">
        <x:v>zacmario</x:v>
      </x:c>
      <x:c r="D305" t="n">
        <x:v>25</x:v>
      </x:c>
      <x:c r="E305" t="str">
        <x:v>Casual</x:v>
      </x:c>
      <x:c r="F305" t="str">
        <x:v>Standard</x:v>
      </x:c>
      <x:c r="G305" t="n">
        <x:v>43275</x:v>
      </x:c>
      <x:c r="H305" t="str">
        <x:v>17594</x:v>
      </x:c>
      <x:c r="I305" t="str">
        <x:v>https://www.smwcentral.net/?a=details&amp;id=17594&amp;p=section</x:v>
      </x:c>
      <x:c r="J305" t="str">
        <x:v>https://dl.smwcentral.net/17594/Captain%20Toad%20IIv1.2.zip</x:v>
      </x:c>
    </x:row>
    <x:row r="306">
      <x:c r="A306" t="str">
        <x:v>Capture That Cake!</x:v>
      </x:c>
      <x:c r="B306" t="str">
        <x:v>Capture That Cake!</x:v>
      </x:c>
      <x:c r="C306" t="str">
        <x:v>Zildjian</x:v>
      </x:c>
      <x:c r="D306" t="n">
        <x:v>6</x:v>
      </x:c>
      <x:c r="E306" t="str">
        <x:v>Casual</x:v>
      </x:c>
      <x:c r="F306" t="str">
        <x:v>Standard</x:v>
      </x:c>
      <x:c r="G306" t="n">
        <x:v>41675</x:v>
      </x:c>
      <x:c r="H306" t="str">
        <x:v>6264</x:v>
      </x:c>
      <x:c r="I306" t="str">
        <x:v>https://www.smwcentral.net/?a=details&amp;id=6264&amp;p=section</x:v>
      </x:c>
      <x:c r="J306" t="str">
        <x:v>https://dl.smwcentral.net/6264/ctc%21.zip</x:v>
      </x:c>
    </x:row>
    <x:row r="307">
      <x:c r="A307" t="str">
        <x:v>Carl vs Juz: Carl's Toilet</x:v>
      </x:c>
      <x:c r="B307" t="str">
        <x:v>Carl vs Juz: Carl's Toilet</x:v>
      </x:c>
      <x:c r="C307" t="str">
        <x:v>juzcook</x:v>
      </x:c>
      <x:c r="D307" t="n">
        <x:v>1</x:v>
      </x:c>
      <x:c r="E307" t="str">
        <x:v>Intermediate</x:v>
      </x:c>
      <x:c r="F307" t="str">
        <x:v>Kaizo</x:v>
      </x:c>
      <x:c r="G307" t="n">
        <x:v>43946</x:v>
      </x:c>
      <x:c r="H307" t="str">
        <x:v>22475</x:v>
      </x:c>
      <x:c r="I307" t="str">
        <x:v>https://www.smwcentral.net/?a=details&amp;id=22475&amp;p=section</x:v>
      </x:c>
      <x:c r="J307" t="str">
        <x:v>https://dl.smwcentral.net/22475/Carls_Toilet.zip</x:v>
      </x:c>
    </x:row>
    <x:row r="308">
      <x:c r="A308" t="str">
        <x:v>Carl vs Juz: Juzt Desserts</x:v>
      </x:c>
      <x:c r="B308" t="str">
        <x:v>Carl vs Juz: Juzt Desserts</x:v>
      </x:c>
      <x:c r="C308" t="str">
        <x:v>juzcook</x:v>
      </x:c>
      <x:c r="D308" t="n">
        <x:v>1</x:v>
      </x:c>
      <x:c r="E308" t="str">
        <x:v>Expert</x:v>
      </x:c>
      <x:c r="F308" t="str">
        <x:v>Standard, Kaizo</x:v>
      </x:c>
      <x:c r="G308" t="n">
        <x:v>43972</x:v>
      </x:c>
      <x:c r="H308" t="str">
        <x:v>22856</x:v>
      </x:c>
      <x:c r="I308" t="str">
        <x:v>https://www.smwcentral.net/?a=details&amp;id=22856&amp;p=section</x:v>
      </x:c>
      <x:c r="J308" t="str">
        <x:v>https://dl.smwcentral.net/22856/JuztDesserts.zip</x:v>
      </x:c>
    </x:row>
    <x:row r="309">
      <x:c r="A309" t="str">
        <x:v>Cartuchito World</x:v>
      </x:c>
      <x:c r="B309" t="str">
        <x:v>Cartuchito World</x:v>
      </x:c>
      <x:c r="C309" t="str">
        <x:v>MaxwelHacks</x:v>
      </x:c>
      <x:c r="D309" t="n">
        <x:v>26</x:v>
      </x:c>
      <x:c r="E309" t="str">
        <x:v>Casual</x:v>
      </x:c>
      <x:c r="F309" t="str">
        <x:v>Standard</x:v>
      </x:c>
      <x:c r="G309" t="n">
        <x:v>42615</x:v>
      </x:c>
      <x:c r="H309" t="str">
        <x:v>14348</x:v>
      </x:c>
      <x:c r="I309" t="str">
        <x:v>https://www.smwcentral.net/?a=details&amp;id=14348&amp;p=section</x:v>
      </x:c>
      <x:c r="J309" t="str">
        <x:v>https://dl.smwcentral.net/14348/Cartuchito%20World.zip</x:v>
      </x:c>
    </x:row>
    <x:row r="310">
      <x:c r="A310" t="str">
        <x:v>Casio Mario World</x:v>
      </x:c>
      <x:c r="B310" t="str">
        <x:v>Casio Mario World</x:v>
      </x:c>
      <x:c r="C310" t="str">
        <x:v>Wyatt</x:v>
      </x:c>
      <x:c r="D310" t="n">
        <x:v>9</x:v>
      </x:c>
      <x:c r="E310" t="str">
        <x:v>Grandmaster</x:v>
      </x:c>
      <x:c r="F310" t="str">
        <x:v>Kaizo</x:v>
      </x:c>
      <x:c r="G310" t="n">
        <x:v>44135</x:v>
      </x:c>
      <x:c r="H310" t="str">
        <x:v>24990</x:v>
      </x:c>
      <x:c r="I310" t="str">
        <x:v>https://www.smwcentral.net/?a=details&amp;id=24990&amp;p=section</x:v>
      </x:c>
      <x:c r="J310" t="str">
        <x:v>https://dl.smwcentral.net/24990/Casio%20Mario%20World.zip</x:v>
      </x:c>
    </x:row>
    <x:row r="311">
      <x:c r="A311" t="str">
        <x:v>Castle of Terror 3</x:v>
      </x:c>
      <x:c r="B311" t="str">
        <x:v>Castle of Terror 3</x:v>
      </x:c>
      <x:c r="C311" t="str">
        <x:v>IgorS777</x:v>
      </x:c>
      <x:c r="D311" t="n">
        <x:v>1</x:v>
      </x:c>
      <x:c r="E311" t="str">
        <x:v>Advanced</x:v>
      </x:c>
      <x:c r="F311" t="str">
        <x:v>Kaizo, Tool-Assisted</x:v>
      </x:c>
      <x:c r="G311" t="n">
        <x:v>42897</x:v>
      </x:c>
      <x:c r="H311" t="str">
        <x:v>15634</x:v>
      </x:c>
      <x:c r="I311" t="str">
        <x:v>https://www.smwcentral.net/?a=details&amp;id=15634&amp;p=section</x:v>
      </x:c>
      <x:c r="J311" t="str">
        <x:v>https://dl.smwcentral.net/15634/CastleOfTerror3.zip</x:v>
      </x:c>
    </x:row>
    <x:row r="312">
      <x:c r="A312" t="str">
        <x:v>Castle of Time</x:v>
      </x:c>
      <x:c r="B312" t="str">
        <x:v>Castle of Time</x:v>
      </x:c>
      <x:c r="C312" t="str">
        <x:v>Yoshiro</x:v>
      </x:c>
      <x:c r="D312" t="n">
        <x:v>5</x:v>
      </x:c>
      <x:c r="E312" t="str">
        <x:v>Casual</x:v>
      </x:c>
      <x:c r="F312" t="str">
        <x:v>Standard</x:v>
      </x:c>
      <x:c r="G312" t="n">
        <x:v>42276</x:v>
      </x:c>
      <x:c r="H312" t="str">
        <x:v>10063</x:v>
      </x:c>
      <x:c r="I312" t="str">
        <x:v>https://www.smwcentral.net/?a=details&amp;id=10063&amp;p=section</x:v>
      </x:c>
      <x:c r="J312" t="str">
        <x:v>https://dl.smwcentral.net/10063/Cot.zip</x:v>
      </x:c>
    </x:row>
    <x:row r="313">
      <x:c r="A313" t="str">
        <x:v>Castlemania</x:v>
      </x:c>
      <x:c r="B313" t="str">
        <x:v>Castlemania</x:v>
      </x:c>
      <x:c r="C313" t="str">
        <x:v>xMANGRAVYx</x:v>
      </x:c>
      <x:c r="D313" t="n">
        <x:v>6</x:v>
      </x:c>
      <x:c r="E313" t="str">
        <x:v>Intermediate</x:v>
      </x:c>
      <x:c r="F313" t="str">
        <x:v>Standard</x:v>
      </x:c>
      <x:c r="G313" t="n">
        <x:v>46142</x:v>
      </x:c>
      <x:c r="H313" t="str">
        <x:v>42285</x:v>
      </x:c>
      <x:c r="I313" t="str">
        <x:v>https://www.smwcentral.net/?a=details&amp;id=42285&amp;p=section</x:v>
      </x:c>
      <x:c r="J313" t="str">
        <x:v>https://dl.smwcentral.net/42285/Castlemania%20v1.1.zip</x:v>
      </x:c>
    </x:row>
    <x:row r="314">
      <x:c r="A314" t="str">
        <x:v>Castlemania - REVAMPED</x:v>
      </x:c>
      <x:c r="B314" t="str">
        <x:v>Castlemania - REVAMPED</x:v>
      </x:c>
      <x:c r="C314" t="str">
        <x:v>xMANGRAVYx</x:v>
      </x:c>
      <x:c r="D314" t="n">
        <x:v>6</x:v>
      </x:c>
      <x:c r="E314" t="str">
        <x:v>Intermediate</x:v>
      </x:c>
      <x:c r="F314" t="str">
        <x:v>Standard</x:v>
      </x:c>
      <x:c r="G314" t="n">
        <x:v>46198</x:v>
      </x:c>
      <x:c r="H314" t="str">
        <x:v>42459</x:v>
      </x:c>
      <x:c r="I314" t="str">
        <x:v>https://www.smwcentral.net/?a=details&amp;id=42459&amp;p=section</x:v>
      </x:c>
      <x:c r="J314" t="str">
        <x:v>https://dl.smwcentral.net/42459/Castlemania%20-%20REVAMPED.zip</x:v>
      </x:c>
    </x:row>
    <x:row r="315">
      <x:c r="A315" t="str">
        <x:v>Castlemania II</x:v>
      </x:c>
      <x:c r="B315" t="str">
        <x:v>Castlemania II</x:v>
      </x:c>
      <x:c r="C315" t="str">
        <x:v>xMANGRAVYx</x:v>
      </x:c>
      <x:c r="D315" t="n">
        <x:v>6</x:v>
      </x:c>
      <x:c r="E315" t="str">
        <x:v>Advanced</x:v>
      </x:c>
      <x:c r="F315" t="str">
        <x:v>Standard</x:v>
      </x:c>
      <x:c r="G315" t="n">
        <x:v>46164</x:v>
      </x:c>
      <x:c r="H315" t="str">
        <x:v>42393</x:v>
      </x:c>
      <x:c r="I315" t="str">
        <x:v>https://www.smwcentral.net/?a=details&amp;id=42393&amp;p=section</x:v>
      </x:c>
      <x:c r="J315" t="str">
        <x:v>https://dl.smwcentral.net/42393/Castlemania%20II%20v1.1.zip</x:v>
      </x:c>
    </x:row>
    <x:row r="316">
      <x:c r="A316" t="str">
        <x:v>Castlemania II - REVAMPED</x:v>
      </x:c>
      <x:c r="B316" t="str">
        <x:v>Castlemania II - REVAMPED</x:v>
      </x:c>
      <x:c r="C316" t="str">
        <x:v>xMANGRAVYx</x:v>
      </x:c>
      <x:c r="D316" t="n">
        <x:v>6</x:v>
      </x:c>
      <x:c r="E316" t="str">
        <x:v>Advanced</x:v>
      </x:c>
      <x:c r="F316" t="str">
        <x:v>Standard</x:v>
      </x:c>
      <x:c r="G316" t="n">
        <x:v>46202</x:v>
      </x:c>
      <x:c r="H316" t="str">
        <x:v>42602</x:v>
      </x:c>
      <x:c r="I316" t="str">
        <x:v>https://www.smwcentral.net/?a=details&amp;id=42602&amp;p=section</x:v>
      </x:c>
      <x:c r="J316" t="str">
        <x:v>https://dl.smwcentral.net/42602/Castlemania%20II%20-%20REVAMPED.zip</x:v>
      </x:c>
    </x:row>
    <x:row r="317">
      <x:c r="A317" t="str">
        <x:v>CATACLYSM</x:v>
      </x:c>
      <x:c r="B317" t="str">
        <x:v>CATACLYSM</x:v>
      </x:c>
      <x:c r="C317" t="str">
        <x:v>xHF01x</x:v>
      </x:c>
      <x:c r="D317" t="n">
        <x:v>1</x:v>
      </x:c>
      <x:c r="E317" t="str">
        <x:v>Grandmaster</x:v>
      </x:c>
      <x:c r="F317" t="str">
        <x:v>Tool-Assisted, Pit</x:v>
      </x:c>
      <x:c r="G317" t="n">
        <x:v>43962</x:v>
      </x:c>
      <x:c r="H317" t="str">
        <x:v>21933</x:v>
      </x:c>
      <x:c r="I317" t="str">
        <x:v>https://www.smwcentral.net/?a=details&amp;id=21933&amp;p=section</x:v>
      </x:c>
      <x:c r="J317" t="str">
        <x:v>https://dl.smwcentral.net/21933/CATACLYSM%20v1.2.zip</x:v>
      </x:c>
    </x:row>
    <x:row r="318">
      <x:c r="A318" t="str">
        <x:v>Cave Escape</x:v>
      </x:c>
      <x:c r="B318" t="str">
        <x:v>Cave Escape</x:v>
      </x:c>
      <x:c r="C318" t="str">
        <x:v>MarioFan22</x:v>
      </x:c>
      <x:c r="D318" t="n">
        <x:v>2</x:v>
      </x:c>
      <x:c r="E318" t="str">
        <x:v>Casual</x:v>
      </x:c>
      <x:c r="F318" t="str">
        <x:v>Standard</x:v>
      </x:c>
      <x:c r="G318" t="n">
        <x:v>41999</x:v>
      </x:c>
      <x:c r="H318" t="str">
        <x:v>9704</x:v>
      </x:c>
      <x:c r="I318" t="str">
        <x:v>https://www.smwcentral.net/?a=details&amp;id=9704&amp;p=section</x:v>
      </x:c>
      <x:c r="J318" t="str">
        <x:v>https://dl.smwcentral.net/9704/CaveEscape1.5.zip</x:v>
      </x:c>
    </x:row>
    <x:row r="319">
      <x:c r="A319" t="str">
        <x:v>Caveat Emptor 2</x:v>
      </x:c>
      <x:c r="B319" t="str">
        <x:v>Caveat Emptor 2</x:v>
      </x:c>
      <x:c r="C319" t="str">
        <x:v>ElohssaYtrid</x:v>
      </x:c>
      <x:c r="D319" t="n">
        <x:v>11</x:v>
      </x:c>
      <x:c r="E319" t="str">
        <x:v>Expert</x:v>
      </x:c>
      <x:c r="F319" t="str">
        <x:v>Kaizo</x:v>
      </x:c>
      <x:c r="G319" t="n">
        <x:v>44237</x:v>
      </x:c>
      <x:c r="H319" t="str">
        <x:v>25656</x:v>
      </x:c>
      <x:c r="I319" t="str">
        <x:v>https://www.smwcentral.net/?a=details&amp;id=25656&amp;p=section</x:v>
      </x:c>
      <x:c r="J319" t="str">
        <x:v>https://dl.smwcentral.net/25656/CaveatEmptor2v1.11.zip</x:v>
      </x:c>
    </x:row>
    <x:row r="320">
      <x:c r="A320" t="str">
        <x:v>Cazeaje World</x:v>
      </x:c>
      <x:c r="B320" t="str">
        <x:v>Cazeaje World</x:v>
      </x:c>
      <x:c r="C320" t="str">
        <x:v>Deivid Borba</x:v>
      </x:c>
      <x:c r="D320" t="n">
        <x:v>6</x:v>
      </x:c>
      <x:c r="E320" t="str">
        <x:v>Expert</x:v>
      </x:c>
      <x:c r="F320" t="str">
        <x:v>Kaizo</x:v>
      </x:c>
      <x:c r="G320" t="n">
        <x:v>44362</x:v>
      </x:c>
      <x:c r="H320" t="str">
        <x:v>27260</x:v>
      </x:c>
      <x:c r="I320" t="str">
        <x:v>https://www.smwcentral.net/?a=details&amp;id=27260&amp;p=section</x:v>
      </x:c>
      <x:c r="J320" t="str">
        <x:v>https://dl.smwcentral.net/27260/Cazeaje%20World.zip</x:v>
      </x:c>
    </x:row>
    <x:row r="321">
      <x:c r="A321" t="str">
        <x:v>Celery</x:v>
      </x:c>
      <x:c r="B321" t="str">
        <x:v>Celery</x:v>
      </x:c>
      <x:c r="C321" t="str">
        <x:v>Jordan</x:v>
      </x:c>
      <x:c r="D321" t="n">
        <x:v>20</x:v>
      </x:c>
      <x:c r="E321" t="str">
        <x:v>Casual</x:v>
      </x:c>
      <x:c r="F321" t="str">
        <x:v>Kaizo</x:v>
      </x:c>
      <x:c r="G321" t="n">
        <x:v>46006</x:v>
      </x:c>
      <x:c r="H321" t="str">
        <x:v>41254</x:v>
      </x:c>
      <x:c r="I321" t="str">
        <x:v>https://www.smwcentral.net/?a=details&amp;id=41254&amp;p=section</x:v>
      </x:c>
      <x:c r="J321" t="str">
        <x:v>https://dl.smwcentral.net/41254/Celery%201.1.zip</x:v>
      </x:c>
    </x:row>
    <x:row r="322">
      <x:c r="A322" t="str">
        <x:v>Celeste.smc</x:v>
      </x:c>
      <x:c r="B322" t="str">
        <x:v>Celeste.smc</x:v>
      </x:c>
      <x:c r="C322" t="str">
        <x:v>MarkAlarm</x:v>
      </x:c>
      <x:c r="D322" t="n">
        <x:v>9</x:v>
      </x:c>
      <x:c r="E322" t="str">
        <x:v>Expert</x:v>
      </x:c>
      <x:c r="F322" t="str">
        <x:v>Kaizo</x:v>
      </x:c>
      <x:c r="G322" t="n">
        <x:v>44594</x:v>
      </x:c>
      <x:c r="H322" t="str">
        <x:v>29613</x:v>
      </x:c>
      <x:c r="I322" t="str">
        <x:v>https://www.smwcentral.net/?a=details&amp;id=29613&amp;p=section</x:v>
      </x:c>
      <x:c r="J322" t="str">
        <x:v>https://dl.smwcentral.net/29613/Celeste.zip</x:v>
      </x:c>
    </x:row>
    <x:row r="323">
      <x:c r="A323" t="str">
        <x:v>Chain Reaction</x:v>
      </x:c>
      <x:c r="B323" t="str">
        <x:v>Chain Reaction</x:v>
      </x:c>
      <x:c r="C323" t="str">
        <x:v>Sweetdude</x:v>
      </x:c>
      <x:c r="D323" t="n">
        <x:v>15</x:v>
      </x:c>
      <x:c r="E323" t="str">
        <x:v>Expert</x:v>
      </x:c>
      <x:c r="F323" t="str">
        <x:v>Kaizo</x:v>
      </x:c>
      <x:c r="G323" t="n">
        <x:v>43452</x:v>
      </x:c>
      <x:c r="H323" t="str">
        <x:v>18669</x:v>
      </x:c>
      <x:c r="I323" t="str">
        <x:v>https://www.smwcentral.net/?a=details&amp;id=18669&amp;p=section</x:v>
      </x:c>
      <x:c r="J323" t="str">
        <x:v>https://dl.smwcentral.net/18669/Chain%20Reaction.zip</x:v>
      </x:c>
    </x:row>
    <x:row r="324">
      <x:c r="A324" t="str">
        <x:v>Chain Reaction 2</x:v>
      </x:c>
      <x:c r="B324" t="str">
        <x:v>Chain Reaction 2</x:v>
      </x:c>
      <x:c r="C324" t="str">
        <x:v>Sweetdude</x:v>
      </x:c>
      <x:c r="D324" t="n">
        <x:v>0</x:v>
      </x:c>
      <x:c r="E324" t="str">
        <x:v>Expert</x:v>
      </x:c>
      <x:c r="F324" t="str">
        <x:v>Kaizo</x:v>
      </x:c>
      <x:c r="G324" t="n">
        <x:v>45902</x:v>
      </x:c>
      <x:c r="H324" t="str">
        <x:v>40504</x:v>
      </x:c>
      <x:c r="I324" t="str">
        <x:v>https://www.smwcentral.net/?a=details&amp;id=40504&amp;p=section</x:v>
      </x:c>
      <x:c r="J324" t="str">
        <x:v>https://dl.smwcentral.net/40504/CR2.zip</x:v>
      </x:c>
    </x:row>
    <x:row r="325">
      <x:c r="A325" t="str">
        <x:v>Chaos Chronicles</x:v>
      </x:c>
      <x:c r="B325" t="str">
        <x:v>Chaos Chronicles</x:v>
      </x:c>
      <x:c r="C325" t="str">
        <x:v>PhoenixTN</x:v>
      </x:c>
      <x:c r="D325" t="n">
        <x:v>11</x:v>
      </x:c>
      <x:c r="E325" t="str">
        <x:v>Casual</x:v>
      </x:c>
      <x:c r="F325" t="str">
        <x:v>Standard</x:v>
      </x:c>
      <x:c r="G325" t="n">
        <x:v>42215</x:v>
      </x:c>
      <x:c r="H325" t="str">
        <x:v>9713</x:v>
      </x:c>
      <x:c r="I325" t="str">
        <x:v>https://www.smwcentral.net/?a=details&amp;id=9713&amp;p=section</x:v>
      </x:c>
      <x:c r="J325" t="str">
        <x:v>https://dl.smwcentral.net/9713/Chaos%20Chronicles%20Demo%201%20%28Fixed%29.zip</x:v>
      </x:c>
    </x:row>
    <x:row r="326">
      <x:c r="A326" t="str">
        <x:v>Chaos CompleXX</x:v>
      </x:c>
      <x:c r="B326" t="str">
        <x:v>Chaos CompleXX</x:v>
      </x:c>
      <x:c r="C326" t="str">
        <x:v>FPI</x:v>
      </x:c>
      <x:c r="D326" t="n">
        <x:v>26</x:v>
      </x:c>
      <x:c r="E326" t="str">
        <x:v>Intermediate</x:v>
      </x:c>
      <x:c r="F326" t="str">
        <x:v>Standard</x:v>
      </x:c>
      <x:c r="G326" t="n">
        <x:v>42037</x:v>
      </x:c>
      <x:c r="H326" t="str">
        <x:v>9680</x:v>
      </x:c>
      <x:c r="I326" t="str">
        <x:v>https://www.smwcentral.net/?a=details&amp;id=9680&amp;p=section</x:v>
      </x:c>
      <x:c r="J326" t="str">
        <x:v>https://dl.smwcentral.net/9680/chaoscomplexx.zip</x:v>
      </x:c>
    </x:row>
    <x:row r="327">
      <x:c r="A327" t="str">
        <x:v>Chaotic Realm</x:v>
      </x:c>
      <x:c r="B327" t="str">
        <x:v>Chaotic Realm</x:v>
      </x:c>
      <x:c r="C327" t="str">
        <x:v>anonimato</x:v>
      </x:c>
      <x:c r="D327" t="n">
        <x:v>10</x:v>
      </x:c>
      <x:c r="E327" t="str">
        <x:v>Intermediate</x:v>
      </x:c>
      <x:c r="F327" t="str">
        <x:v>Standard</x:v>
      </x:c>
      <x:c r="G327" t="n">
        <x:v>45314</x:v>
      </x:c>
      <x:c r="H327" t="str">
        <x:v>35560</x:v>
      </x:c>
      <x:c r="I327" t="str">
        <x:v>https://www.smwcentral.net/?a=details&amp;id=35560&amp;p=section</x:v>
      </x:c>
      <x:c r="J327" t="str">
        <x:v>https://dl.smwcentral.net/35560/Chaotic%20Realm%20V1.22_fixed.zip</x:v>
      </x:c>
    </x:row>
    <x:row r="328">
      <x:c r="A328" t="str">
        <x:v>Cheap &amp; Nasty</x:v>
      </x:c>
      <x:c r="B328" t="str">
        <x:v>Cheap &amp; Nasty</x:v>
      </x:c>
      <x:c r="C328" t="str">
        <x:v>DashGamer</x:v>
      </x:c>
      <x:c r="D328" t="n">
        <x:v>4</x:v>
      </x:c>
      <x:c r="E328" t="str">
        <x:v>Expert</x:v>
      </x:c>
      <x:c r="F328" t="str">
        <x:v>Kaizo</x:v>
      </x:c>
      <x:c r="G328" t="n">
        <x:v>45111</x:v>
      </x:c>
      <x:c r="H328" t="str">
        <x:v>34198</x:v>
      </x:c>
      <x:c r="I328" t="str">
        <x:v>https://www.smwcentral.net/?a=details&amp;id=34198&amp;p=section</x:v>
      </x:c>
      <x:c r="J328" t="str">
        <x:v>https://dl.smwcentral.net/34198/CheapNasty.zip</x:v>
      </x:c>
    </x:row>
    <x:row r="329">
      <x:c r="A329" t="str">
        <x:v>Cheep Cheep Challenge</x:v>
      </x:c>
      <x:c r="B329" t="str">
        <x:v>Cheep Cheep Challenge</x:v>
      </x:c>
      <x:c r="C329" t="str">
        <x:v>zacmario</x:v>
      </x:c>
      <x:c r="D329" t="n">
        <x:v>0</x:v>
      </x:c>
      <x:c r="E329" t="str">
        <x:v>Intermediate</x:v>
      </x:c>
      <x:c r="F329" t="str">
        <x:v>Standard</x:v>
      </x:c>
      <x:c r="G329" t="n">
        <x:v>42718</x:v>
      </x:c>
      <x:c r="H329" t="str">
        <x:v>14735</x:v>
      </x:c>
      <x:c r="I329" t="str">
        <x:v>https://www.smwcentral.net/?a=details&amp;id=14735&amp;p=section</x:v>
      </x:c>
      <x:c r="J329" t="str">
        <x:v>https://dl.smwcentral.net/14735/Cheepfix.zip</x:v>
      </x:c>
    </x:row>
    <x:row r="330">
      <x:c r="A330" t="str">
        <x:v>Cheese Island</x:v>
      </x:c>
      <x:c r="B330" t="str">
        <x:v>Cheese Island</x:v>
      </x:c>
      <x:c r="C330" t="str">
        <x:v>cardboardknoxmonkey</x:v>
      </x:c>
      <x:c r="D330" t="n">
        <x:v>8</x:v>
      </x:c>
      <x:c r="E330" t="str">
        <x:v>Newcomer</x:v>
      </x:c>
      <x:c r="F330" t="str">
        <x:v>Standard</x:v>
      </x:c>
      <x:c r="G330" t="n">
        <x:v>44614</x:v>
      </x:c>
      <x:c r="H330" t="str">
        <x:v>29819</x:v>
      </x:c>
      <x:c r="I330" t="str">
        <x:v>https://www.smwcentral.net/?a=details&amp;id=29819&amp;p=section</x:v>
      </x:c>
      <x:c r="J330" t="str">
        <x:v>https://dl.smwcentral.net/29819/Cheese%20Island.zip</x:v>
      </x:c>
    </x:row>
    <x:row r="331">
      <x:c r="A331" t="str">
        <x:v>CHI</x:v>
      </x:c>
      <x:c r="B331" t="str">
        <x:v>CHI</x:v>
      </x:c>
      <x:c r="C331" t="str">
        <x:v>MorrieTheMagpie</x:v>
      </x:c>
      <x:c r="D331" t="n">
        <x:v>11</x:v>
      </x:c>
      <x:c r="E331" t="str">
        <x:v>Advanced</x:v>
      </x:c>
      <x:c r="F331" t="str">
        <x:v>Kaizo</x:v>
      </x:c>
      <x:c r="G331" t="n">
        <x:v>44685</x:v>
      </x:c>
      <x:c r="H331" t="str">
        <x:v>30753</x:v>
      </x:c>
      <x:c r="I331" t="str">
        <x:v>https://www.smwcentral.net/?a=details&amp;id=30753&amp;p=section</x:v>
      </x:c>
      <x:c r="J331" t="str">
        <x:v>https://dl.smwcentral.net/30753/CHIV1.1.zip</x:v>
      </x:c>
    </x:row>
    <x:row r="332">
      <x:c r="A332" t="str">
        <x:v>Chicanery</x:v>
      </x:c>
      <x:c r="B332" t="str">
        <x:v>Chicanery</x:v>
      </x:c>
      <x:c r="C332" t="str">
        <x:v>Buflen, Nirv</x:v>
      </x:c>
      <x:c r="D332" t="n">
        <x:v>17</x:v>
      </x:c>
      <x:c r="E332" t="str">
        <x:v>Expert</x:v>
      </x:c>
      <x:c r="F332" t="str">
        <x:v>Kaizo</x:v>
      </x:c>
      <x:c r="G332" t="n">
        <x:v>45040</x:v>
      </x:c>
      <x:c r="H332" t="str">
        <x:v>33810</x:v>
      </x:c>
      <x:c r="I332" t="str">
        <x:v>https://www.smwcentral.net/?a=details&amp;id=33810&amp;p=section</x:v>
      </x:c>
      <x:c r="J332" t="str">
        <x:v>https://dl.smwcentral.net/33810/Chicanery.zip</x:v>
      </x:c>
    </x:row>
    <x:row r="333">
      <x:c r="A333" t="str">
        <x:v>Chicanery Beginner Edition</x:v>
      </x:c>
      <x:c r="B333" t="str">
        <x:v>Chicanery Beginner Edition</x:v>
      </x:c>
      <x:c r="C333" t="str">
        <x:v>Buflen</x:v>
      </x:c>
      <x:c r="D333" t="n">
        <x:v>23</x:v>
      </x:c>
      <x:c r="E333" t="str">
        <x:v>Intermediate</x:v>
      </x:c>
      <x:c r="F333" t="str">
        <x:v>Kaizo</x:v>
      </x:c>
      <x:c r="G333" t="n">
        <x:v>45477</x:v>
      </x:c>
      <x:c r="H333" t="str">
        <x:v>38058</x:v>
      </x:c>
      <x:c r="I333" t="str">
        <x:v>https://www.smwcentral.net/?a=details&amp;id=38058&amp;p=section</x:v>
      </x:c>
      <x:c r="J333" t="str">
        <x:v>https://dl.smwcentral.net/38058/Chicanery%20Beginner%20Edition%201.0.zip</x:v>
      </x:c>
    </x:row>
    <x:row r="334">
      <x:c r="A334" t="str">
        <x:v>Chirality</x:v>
      </x:c>
      <x:c r="B334" t="str">
        <x:v>Chirality</x:v>
      </x:c>
      <x:c r="C334" t="str">
        <x:v>LightAligns</x:v>
      </x:c>
      <x:c r="D334" t="n">
        <x:v>10</x:v>
      </x:c>
      <x:c r="E334" t="str">
        <x:v>Advanced</x:v>
      </x:c>
      <x:c r="F334" t="str">
        <x:v>Kaizo</x:v>
      </x:c>
      <x:c r="G334" t="n">
        <x:v>45613</x:v>
      </x:c>
      <x:c r="H334" t="str">
        <x:v>38787</x:v>
      </x:c>
      <x:c r="I334" t="str">
        <x:v>https://www.smwcentral.net/?a=details&amp;id=38787&amp;p=section</x:v>
      </x:c>
      <x:c r="J334" t="str">
        <x:v>https://dl.smwcentral.net/38787/Chirality.zip</x:v>
      </x:c>
    </x:row>
    <x:row r="335">
      <x:c r="A335" t="str">
        <x:v>Choco COLLAB - MaSeHiHa 2</x:v>
      </x:c>
      <x:c r="B335" t="str">
        <x:v>Choco COLLAB - MaSeHiHa 2</x:v>
      </x:c>
      <x:c r="C335" t="str">
        <x:v>neidoodle</x:v>
      </x:c>
      <x:c r="D335" t="n">
        <x:v>12</x:v>
      </x:c>
      <x:c r="E335" t="str">
        <x:v>Newcomer</x:v>
      </x:c>
      <x:c r="F335" t="str">
        <x:v>Standard</x:v>
      </x:c>
      <x:c r="G335" t="n">
        <x:v>42132</x:v>
      </x:c>
      <x:c r="H335" t="str">
        <x:v>11289</x:v>
      </x:c>
      <x:c r="I335" t="str">
        <x:v>https://www.smwcentral.net/?a=details&amp;id=11289&amp;p=section</x:v>
      </x:c>
      <x:c r="J335" t="str">
        <x:v>https://dl.smwcentral.net/11289/ChocollabMase2.zip</x:v>
      </x:c>
    </x:row>
    <x:row r="336">
      <x:c r="A336" t="str">
        <x:v>Chocolate Flavour!</x:v>
      </x:c>
      <x:c r="B336" t="str">
        <x:v>Chocolate Flavour!</x:v>
      </x:c>
      <x:c r="C336" t="str">
        <x:v>JDC</x:v>
      </x:c>
      <x:c r="D336" t="n">
        <x:v>1</x:v>
      </x:c>
      <x:c r="E336" t="str">
        <x:v>Casual</x:v>
      </x:c>
      <x:c r="F336" t="str">
        <x:v>Standard</x:v>
      </x:c>
      <x:c r="G336" t="n">
        <x:v>42003</x:v>
      </x:c>
      <x:c r="H336" t="str">
        <x:v>10151</x:v>
      </x:c>
      <x:c r="I336" t="str">
        <x:v>https://www.smwcentral.net/?a=details&amp;id=10151&amp;p=section</x:v>
      </x:c>
      <x:c r="J336" t="str">
        <x:v>https://dl.smwcentral.net/10151/ChocolateFlavour.zip</x:v>
      </x:c>
    </x:row>
    <x:row r="337">
      <x:c r="A337" t="str">
        <x:v>Chocolate Sunday</x:v>
      </x:c>
      <x:c r="B337" t="str">
        <x:v>Chocolate Sunday</x:v>
      </x:c>
      <x:c r="C337" t="str">
        <x:v>snomangaming</x:v>
      </x:c>
      <x:c r="D337" t="n">
        <x:v>19</x:v>
      </x:c>
      <x:c r="E337" t="str">
        <x:v>Expert</x:v>
      </x:c>
      <x:c r="F337" t="str">
        <x:v>Kaizo</x:v>
      </x:c>
      <x:c r="G337" t="n">
        <x:v>44523</x:v>
      </x:c>
      <x:c r="H337" t="str">
        <x:v>28862</x:v>
      </x:c>
      <x:c r="I337" t="str">
        <x:v>https://www.smwcentral.net/?a=details&amp;id=28862&amp;p=section</x:v>
      </x:c>
      <x:c r="J337" t="str">
        <x:v>https://dl.smwcentral.net/28862/Chocolate%20Sunday%201.2.zip</x:v>
      </x:c>
    </x:row>
    <x:row r="338">
      <x:c r="A338" t="str">
        <x:v>Choconilla Kaizo Island</x:v>
      </x:c>
      <x:c r="B338" t="str">
        <x:v>Choconilla Kaizo Island</x:v>
      </x:c>
      <x:c r="C338" t="str">
        <x:v>Azula16</x:v>
      </x:c>
      <x:c r="D338" t="n">
        <x:v>13</x:v>
      </x:c>
      <x:c r="E338" t="str">
        <x:v>Expert</x:v>
      </x:c>
      <x:c r="F338" t="str">
        <x:v>Kaizo</x:v>
      </x:c>
      <x:c r="G338" t="n">
        <x:v>44722</x:v>
      </x:c>
      <x:c r="H338" t="str">
        <x:v>31080</x:v>
      </x:c>
      <x:c r="I338" t="str">
        <x:v>https://www.smwcentral.net/?a=details&amp;id=31080&amp;p=section</x:v>
      </x:c>
      <x:c r="J338" t="str">
        <x:v>https://dl.smwcentral.net/31080/Choconilla%20Kaizo%20Island%20v1.2.zip</x:v>
      </x:c>
    </x:row>
    <x:row r="339">
      <x:c r="A339" t="str">
        <x:v>Chomp's Coin Hunt</x:v>
      </x:c>
      <x:c r="B339" t="str">
        <x:v>Chomp's Coin Hunt</x:v>
      </x:c>
      <x:c r="C339" t="str">
        <x:v>Matt, Mr. MS</x:v>
      </x:c>
      <x:c r="D339" t="n">
        <x:v>5</x:v>
      </x:c>
      <x:c r="E339" t="str">
        <x:v>Intermediate</x:v>
      </x:c>
      <x:c r="F339" t="str">
        <x:v>Standard, Kaizo</x:v>
      </x:c>
      <x:c r="G339" t="n">
        <x:v>44383</x:v>
      </x:c>
      <x:c r="H339" t="str">
        <x:v>27385</x:v>
      </x:c>
      <x:c r="I339" t="str">
        <x:v>https://www.smwcentral.net/?a=details&amp;id=27385&amp;p=section</x:v>
      </x:c>
      <x:c r="J339" t="str">
        <x:v>https://dl.smwcentral.net/27385/Chomp%27s%20Coin%20Hunt.zip</x:v>
      </x:c>
    </x:row>
    <x:row r="340">
      <x:c r="A340" t="str">
        <x:v>Chopped N' Screwed</x:v>
      </x:c>
      <x:c r="B340" t="str">
        <x:v>Chopped N' Screwed</x:v>
      </x:c>
      <x:c r="C340" t="str">
        <x:v>deported</x:v>
      </x:c>
      <x:c r="D340" t="n">
        <x:v>8</x:v>
      </x:c>
      <x:c r="E340" t="str">
        <x:v>Master</x:v>
      </x:c>
      <x:c r="F340" t="str">
        <x:v>Kaizo</x:v>
      </x:c>
      <x:c r="G340" t="n">
        <x:v>45452</x:v>
      </x:c>
      <x:c r="H340" t="str">
        <x:v>37901</x:v>
      </x:c>
      <x:c r="I340" t="str">
        <x:v>https://www.smwcentral.net/?a=details&amp;id=37901&amp;p=section</x:v>
      </x:c>
      <x:c r="J340" t="str">
        <x:v>https://dl.smwcentral.net/37901/Chopped.zip</x:v>
      </x:c>
    </x:row>
    <x:row r="341">
      <x:c r="A341" t="str">
        <x:v>Christmas Balls</x:v>
      </x:c>
      <x:c r="B341" t="str">
        <x:v>Christmas Balls</x:v>
      </x:c>
      <x:c r="C341" t="str">
        <x:v>levelengine</x:v>
      </x:c>
      <x:c r="D341" t="n">
        <x:v>12</x:v>
      </x:c>
      <x:c r="E341" t="str">
        <x:v>Intermediate</x:v>
      </x:c>
      <x:c r="F341" t="str">
        <x:v>Standard</x:v>
      </x:c>
      <x:c r="G341" t="n">
        <x:v>42380</x:v>
      </x:c>
      <x:c r="H341" t="str">
        <x:v>13028</x:v>
      </x:c>
      <x:c r="I341" t="str">
        <x:v>https://www.smwcentral.net/?a=details&amp;id=13028&amp;p=section</x:v>
      </x:c>
      <x:c r="J341" t="str">
        <x:v>https://dl.smwcentral.net/13028/Christmas%20Balls%20%28Hack%2016%29.zip</x:v>
      </x:c>
    </x:row>
    <x:row r="342">
      <x:c r="A342" t="str">
        <x:v>Christmas Hack</x:v>
      </x:c>
      <x:c r="B342" t="str">
        <x:v>Christmas Hack</x:v>
      </x:c>
      <x:c r="C342" t="str">
        <x:v>Golden Yoshi</x:v>
      </x:c>
      <x:c r="D342" t="n">
        <x:v>6</x:v>
      </x:c>
      <x:c r="E342" t="str">
        <x:v>Intermediate</x:v>
      </x:c>
      <x:c r="F342" t="str">
        <x:v>Standard</x:v>
      </x:c>
      <x:c r="G342" t="n">
        <x:v>45534</x:v>
      </x:c>
      <x:c r="H342" t="str">
        <x:v>38345</x:v>
      </x:c>
      <x:c r="I342" t="str">
        <x:v>https://www.smwcentral.net/?a=details&amp;id=38345&amp;p=section</x:v>
      </x:c>
      <x:c r="J342" t="str">
        <x:v>https://dl.smwcentral.net/38345/ChristmasHack.zip</x:v>
      </x:c>
    </x:row>
    <x:row r="343">
      <x:c r="A343" t="str">
        <x:v>Christmas Island</x:v>
      </x:c>
      <x:c r="B343" t="str">
        <x:v>Christmas Island</x:v>
      </x:c>
      <x:c r="C343" t="str">
        <x:v>Segment1Zone2</x:v>
      </x:c>
      <x:c r="D343" t="n">
        <x:v>4</x:v>
      </x:c>
      <x:c r="E343" t="str">
        <x:v>Intermediate</x:v>
      </x:c>
      <x:c r="F343" t="str">
        <x:v>Standard</x:v>
      </x:c>
      <x:c r="G343" t="n">
        <x:v>45627</x:v>
      </x:c>
      <x:c r="H343" t="str">
        <x:v>38847</x:v>
      </x:c>
      <x:c r="I343" t="str">
        <x:v>https://www.smwcentral.net/?a=details&amp;id=38847&amp;p=section</x:v>
      </x:c>
      <x:c r="J343" t="str">
        <x:v>https://dl.smwcentral.net/38847/Christmas%20Island%20v2.zip</x:v>
      </x:c>
    </x:row>
    <x:row r="344">
      <x:c r="A344" t="str">
        <x:v>Christmas Island 2</x:v>
      </x:c>
      <x:c r="B344" t="str">
        <x:v>Christmas Island 2</x:v>
      </x:c>
      <x:c r="C344" t="str">
        <x:v>Segment1Zone2</x:v>
      </x:c>
      <x:c r="D344" t="n">
        <x:v>8</x:v>
      </x:c>
      <x:c r="E344" t="str">
        <x:v>Casual</x:v>
      </x:c>
      <x:c r="F344" t="str">
        <x:v>Standard</x:v>
      </x:c>
      <x:c r="G344" t="n">
        <x:v>45565</x:v>
      </x:c>
      <x:c r="H344" t="str">
        <x:v>38522</x:v>
      </x:c>
      <x:c r="I344" t="str">
        <x:v>https://www.smwcentral.net/?a=details&amp;id=38522&amp;p=section</x:v>
      </x:c>
      <x:c r="J344" t="str">
        <x:v>https://dl.smwcentral.net/38522/Christmas%20Island%202%20v1.1.zip</x:v>
      </x:c>
    </x:row>
    <x:row r="345">
      <x:c r="A345" t="str">
        <x:v>Christmas Puzzle</x:v>
      </x:c>
      <x:c r="B345" t="str">
        <x:v>Christmas Puzzle</x:v>
      </x:c>
      <x:c r="C345" t="str">
        <x:v>TheOrangeToad</x:v>
      </x:c>
      <x:c r="D345" t="n">
        <x:v>27</x:v>
      </x:c>
      <x:c r="E345" t="str">
        <x:v>Intermediate</x:v>
      </x:c>
      <x:c r="F345" t="str">
        <x:v>Standard</x:v>
      </x:c>
      <x:c r="G345" t="n">
        <x:v>42733</x:v>
      </x:c>
      <x:c r="H345" t="str">
        <x:v>14831</x:v>
      </x:c>
      <x:c r="I345" t="str">
        <x:v>https://www.smwcentral.net/?a=details&amp;id=14831&amp;p=section</x:v>
      </x:c>
      <x:c r="J345" t="str">
        <x:v>https://dl.smwcentral.net/14831/CP.zip</x:v>
      </x:c>
    </x:row>
    <x:row r="346">
      <x:c r="A346" t="str">
        <x:v>Chronoclasm</x:v>
      </x:c>
      <x:c r="B346" t="str">
        <x:v>Chronoclasm</x:v>
      </x:c>
      <x:c r="C346" t="str">
        <x:v>LightAligns, Saela</x:v>
      </x:c>
      <x:c r="D346" t="n">
        <x:v>0</x:v>
      </x:c>
      <x:c r="E346" t="str">
        <x:v>Expert</x:v>
      </x:c>
      <x:c r="F346" t="str">
        <x:v>Kaizo</x:v>
      </x:c>
      <x:c r="G346" t="n">
        <x:v>45747</x:v>
      </x:c>
      <x:c r="H346" t="str">
        <x:v>39652</x:v>
      </x:c>
      <x:c r="I346" t="str">
        <x:v>https://www.smwcentral.net/?a=details&amp;id=39652&amp;p=section</x:v>
      </x:c>
      <x:c r="J346" t="str">
        <x:v>https://dl.smwcentral.net/39652/Chronoclasm.zip</x:v>
      </x:c>
    </x:row>
    <x:row r="347">
      <x:c r="A347" t="str">
        <x:v>Chrysalis</x:v>
      </x:c>
      <x:c r="B347" t="str">
        <x:v>Chrysalis</x:v>
      </x:c>
      <x:c r="C347" t="str">
        <x:v>random_box</x:v>
      </x:c>
      <x:c r="D347" t="n">
        <x:v>9</x:v>
      </x:c>
      <x:c r="E347" t="str">
        <x:v>Grandmaster</x:v>
      </x:c>
      <x:c r="F347" t="str">
        <x:v>Kaizo</x:v>
      </x:c>
      <x:c r="G347" t="n">
        <x:v>45781</x:v>
      </x:c>
      <x:c r="H347" t="str">
        <x:v>39655</x:v>
      </x:c>
      <x:c r="I347" t="str">
        <x:v>https://www.smwcentral.net/?a=details&amp;id=39655&amp;p=section</x:v>
      </x:c>
      <x:c r="J347" t="str">
        <x:v>https://dl.smwcentral.net/39655/Chrysalis.zip</x:v>
      </x:c>
    </x:row>
    <x:row r="348">
      <x:c r="A348" t="str">
        <x:v>Chuck Must Die</x:v>
      </x:c>
      <x:c r="B348" t="str">
        <x:v>Chuck Must Die</x:v>
      </x:c>
      <x:c r="C348" t="str">
        <x:v>Flavvless</x:v>
      </x:c>
      <x:c r="D348" t="n">
        <x:v>22</x:v>
      </x:c>
      <x:c r="E348" t="str">
        <x:v>Expert</x:v>
      </x:c>
      <x:c r="F348" t="str">
        <x:v>Kaizo</x:v>
      </x:c>
      <x:c r="G348" t="n">
        <x:v>45608</x:v>
      </x:c>
      <x:c r="H348" t="str">
        <x:v>38758</x:v>
      </x:c>
      <x:c r="I348" t="str">
        <x:v>https://www.smwcentral.net/?a=details&amp;id=38758&amp;p=section</x:v>
      </x:c>
      <x:c r="J348" t="str">
        <x:v>https://dl.smwcentral.net/38758/Chuck%20Must%20Die.zip</x:v>
      </x:c>
    </x:row>
    <x:row r="349">
      <x:c r="A349" t="str">
        <x:v>Cinnamon Hills</x:v>
      </x:c>
      <x:c r="B349" t="str">
        <x:v>Cinnamon Hills</x:v>
      </x:c>
      <x:c r="C349" t="str">
        <x:v>AlanJacobs</x:v>
      </x:c>
      <x:c r="D349" t="n">
        <x:v>15</x:v>
      </x:c>
      <x:c r="E349" t="str">
        <x:v>Casual</x:v>
      </x:c>
      <x:c r="F349" t="str">
        <x:v>Standard</x:v>
      </x:c>
      <x:c r="G349" t="n">
        <x:v>41569</x:v>
      </x:c>
      <x:c r="H349" t="str">
        <x:v>5546</x:v>
      </x:c>
      <x:c r="I349" t="str">
        <x:v>https://www.smwcentral.net/?a=details&amp;id=5546&amp;p=section</x:v>
      </x:c>
      <x:c r="J349" t="str">
        <x:v>https://dl.smwcentral.net/5546/Cinnamon%20Hills.zip</x:v>
      </x:c>
    </x:row>
    <x:row r="350">
      <x:c r="A350" t="str">
        <x:v>Classic Mario</x:v>
      </x:c>
      <x:c r="B350" t="str">
        <x:v>Classic Mario</x:v>
      </x:c>
      <x:c r="C350" t="str">
        <x:v>Xgen_Product</x:v>
      </x:c>
      <x:c r="D350" t="n">
        <x:v>7</x:v>
      </x:c>
      <x:c r="E350" t="str">
        <x:v>Casual</x:v>
      </x:c>
      <x:c r="F350" t="str">
        <x:v>Standard</x:v>
      </x:c>
      <x:c r="G350" t="n">
        <x:v>43167</x:v>
      </x:c>
      <x:c r="H350" t="str">
        <x:v>17198</x:v>
      </x:c>
      <x:c r="I350" t="str">
        <x:v>https://www.smwcentral.net/?a=details&amp;id=17198&amp;p=section</x:v>
      </x:c>
      <x:c r="J350" t="str">
        <x:v>https://dl.smwcentral.net/17198/Classic%20Mario%20Demo%202.zip</x:v>
      </x:c>
    </x:row>
    <x:row r="351">
      <x:c r="A351" t="str">
        <x:v>Classic Mario World 2: The Great Alliance</x:v>
      </x:c>
      <x:c r="B351" t="str">
        <x:v>Classic Mario World 2: The Great Alliance</x:v>
      </x:c>
      <x:c r="C351" t="str">
        <x:v>bandicoot</x:v>
      </x:c>
      <x:c r="D351" t="n">
        <x:v>120</x:v>
      </x:c>
      <x:c r="E351" t="str">
        <x:v>Intermediate</x:v>
      </x:c>
      <x:c r="F351" t="str">
        <x:v>Standard</x:v>
      </x:c>
      <x:c r="G351" t="n">
        <x:v>43571</x:v>
      </x:c>
      <x:c r="H351" t="str">
        <x:v>19575</x:v>
      </x:c>
      <x:c r="I351" t="str">
        <x:v>https://www.smwcentral.net/?a=details&amp;id=19575&amp;p=section</x:v>
      </x:c>
      <x:c r="J351" t="str">
        <x:v>https://dl.smwcentral.net/19575/CMW2_fixed.zip</x:v>
      </x:c>
    </x:row>
    <x:row r="352">
      <x:c r="A352" t="str">
        <x:v>Classic Mario World 3: The Finale</x:v>
      </x:c>
      <x:c r="B352" t="str">
        <x:v>Classic Mario World 3: The Finale</x:v>
      </x:c>
      <x:c r="C352" t="str">
        <x:v>bandicoot</x:v>
      </x:c>
      <x:c r="D352" t="n">
        <x:v>120</x:v>
      </x:c>
      <x:c r="E352" t="str">
        <x:v>Intermediate</x:v>
      </x:c>
      <x:c r="F352" t="str">
        <x:v>Standard</x:v>
      </x:c>
      <x:c r="G352" t="n">
        <x:v>43995</x:v>
      </x:c>
      <x:c r="H352" t="str">
        <x:v>22988</x:v>
      </x:c>
      <x:c r="I352" t="str">
        <x:v>https://www.smwcentral.net/?a=details&amp;id=22988&amp;p=section</x:v>
      </x:c>
      <x:c r="J352" t="str">
        <x:v>https://dl.smwcentral.net/22988/CMW3_The_Finale_Update.zip</x:v>
      </x:c>
    </x:row>
    <x:row r="353">
      <x:c r="A353" t="str">
        <x:v>Classic Mario World: The Magical Crystals</x:v>
      </x:c>
      <x:c r="B353" t="str">
        <x:v>Classic Mario World: The Magical Crystals</x:v>
      </x:c>
      <x:c r="C353" t="str">
        <x:v>bandicoot</x:v>
      </x:c>
      <x:c r="D353" t="n">
        <x:v>113</x:v>
      </x:c>
      <x:c r="E353" t="str">
        <x:v>Intermediate</x:v>
      </x:c>
      <x:c r="F353" t="str">
        <x:v>Standard</x:v>
      </x:c>
      <x:c r="G353" t="n">
        <x:v>43615</x:v>
      </x:c>
      <x:c r="H353" t="str">
        <x:v>19817</x:v>
      </x:c>
      <x:c r="I353" t="str">
        <x:v>https://www.smwcentral.net/?a=details&amp;id=19817&amp;p=section</x:v>
      </x:c>
      <x:c r="J353" t="str">
        <x:v>https://dl.smwcentral.net/19817/CMW1%2005-08-2019.zip</x:v>
      </x:c>
    </x:row>
    <x:row r="354">
      <x:c r="A354" t="str">
        <x:v>Classic's Super Mario Brothers</x:v>
      </x:c>
      <x:c r="B354" t="str">
        <x:v>Classic's Super Mario Brothers</x:v>
      </x:c>
      <x:c r="C354" t="str">
        <x:v>Lunartoad</x:v>
      </x:c>
      <x:c r="D354" t="n">
        <x:v>32</x:v>
      </x:c>
      <x:c r="E354" t="str">
        <x:v>Newcomer</x:v>
      </x:c>
      <x:c r="F354" t="str">
        <x:v>Standard</x:v>
      </x:c>
      <x:c r="G354" t="n">
        <x:v>42108</x:v>
      </x:c>
      <x:c r="H354" t="str">
        <x:v>9726</x:v>
      </x:c>
      <x:c r="I354" t="str">
        <x:v>https://www.smwcentral.net/?a=details&amp;id=9726&amp;p=section</x:v>
      </x:c>
      <x:c r="J354" t="str">
        <x:v>https://dl.smwcentral.net/9726/ClassicSMB%20IPS.zip</x:v>
      </x:c>
    </x:row>
    <x:row r="355">
      <x:c r="A355" t="str">
        <x:v>Claustrophobia</x:v>
      </x:c>
      <x:c r="B355" t="str">
        <x:v>Claustrophobia</x:v>
      </x:c>
      <x:c r="C355" t="str">
        <x:v>NaroGugul</x:v>
      </x:c>
      <x:c r="D355" t="n">
        <x:v>96</x:v>
      </x:c>
      <x:c r="E355" t="str">
        <x:v>Expert</x:v>
      </x:c>
      <x:c r="F355" t="str">
        <x:v>Kaizo</x:v>
      </x:c>
      <x:c r="G355" t="n">
        <x:v>43263</x:v>
      </x:c>
      <x:c r="H355" t="str">
        <x:v>17620</x:v>
      </x:c>
      <x:c r="I355" t="str">
        <x:v>https://www.smwcentral.net/?a=details&amp;id=17620&amp;p=section</x:v>
      </x:c>
      <x:c r="J355" t="str">
        <x:v>https://dl.smwcentral.net/17620/Claustrophobia%201.2.1.zip</x:v>
      </x:c>
    </x:row>
    <x:row r="356">
      <x:c r="A356" t="str">
        <x:v>Climb The Tower</x:v>
      </x:c>
      <x:c r="B356" t="str">
        <x:v>Climb The Tower</x:v>
      </x:c>
      <x:c r="C356" t="str">
        <x:v>Sweetdude</x:v>
      </x:c>
      <x:c r="D356" t="n">
        <x:v>9</x:v>
      </x:c>
      <x:c r="E356" t="str">
        <x:v>Intermediate</x:v>
      </x:c>
      <x:c r="F356" t="str">
        <x:v>Kaizo</x:v>
      </x:c>
      <x:c r="G356" t="n">
        <x:v>43558</x:v>
      </x:c>
      <x:c r="H356" t="str">
        <x:v>19550</x:v>
      </x:c>
      <x:c r="I356" t="str">
        <x:v>https://www.smwcentral.net/?a=details&amp;id=19550&amp;p=section</x:v>
      </x:c>
      <x:c r="J356" t="str">
        <x:v>https://dl.smwcentral.net/19550/Let%27s%20Climb.zip</x:v>
      </x:c>
    </x:row>
    <x:row r="357">
      <x:c r="A357" t="str">
        <x:v>Coffee &amp; TV</x:v>
      </x:c>
      <x:c r="B357" t="str">
        <x:v>Coffee &amp; TV</x:v>
      </x:c>
      <x:c r="C357" t="str">
        <x:v>GiraffeKiller</x:v>
      </x:c>
      <x:c r="D357" t="n">
        <x:v>11</x:v>
      </x:c>
      <x:c r="E357" t="str">
        <x:v>Advanced</x:v>
      </x:c>
      <x:c r="F357" t="str">
        <x:v>Kaizo</x:v>
      </x:c>
      <x:c r="G357" t="n">
        <x:v>44822</x:v>
      </x:c>
      <x:c r="H357" t="str">
        <x:v>32102</x:v>
      </x:c>
      <x:c r="I357" t="str">
        <x:v>https://www.smwcentral.net/?a=details&amp;id=32102&amp;p=section</x:v>
      </x:c>
      <x:c r="J357" t="str">
        <x:v>https://dl.smwcentral.net/32102/Coffee%20And%20TV%201.1.zip</x:v>
      </x:c>
    </x:row>
    <x:row r="358">
      <x:c r="A358" t="str">
        <x:v>Coldsweat and Tears</x:v>
      </x:c>
      <x:c r="B358" t="str">
        <x:v>Coldsweat and Tears</x:v>
      </x:c>
      <x:c r="C358" t="str">
        <x:v>Blaagon</x:v>
      </x:c>
      <x:c r="D358" t="n">
        <x:v>10</x:v>
      </x:c>
      <x:c r="E358" t="str">
        <x:v>Master</x:v>
      </x:c>
      <x:c r="F358" t="str">
        <x:v>Kaizo</x:v>
      </x:c>
      <x:c r="G358" t="n">
        <x:v>44952</x:v>
      </x:c>
      <x:c r="H358" t="str">
        <x:v>32999</x:v>
      </x:c>
      <x:c r="I358" t="str">
        <x:v>https://www.smwcentral.net/?a=details&amp;id=32999&amp;p=section</x:v>
      </x:c>
      <x:c r="J358" t="str">
        <x:v>https://dl.smwcentral.net/32999/ColdsweatandTears.zip</x:v>
      </x:c>
    </x:row>
    <x:row r="359">
      <x:c r="A359" t="str">
        <x:v>COLLAB</x:v>
      </x:c>
      <x:c r="B359" t="str">
        <x:v>COLLAB</x:v>
      </x:c>
      <x:c r="C359" t="str">
        <x:v>Daizo Dee Von, neidoodle</x:v>
      </x:c>
      <x:c r="D359" t="n">
        <x:v>11</x:v>
      </x:c>
      <x:c r="E359" t="str">
        <x:v>Casual</x:v>
      </x:c>
      <x:c r="F359" t="str">
        <x:v>Standard</x:v>
      </x:c>
      <x:c r="G359" t="n">
        <x:v>41856</x:v>
      </x:c>
      <x:c r="H359" t="str">
        <x:v>6970</x:v>
      </x:c>
      <x:c r="I359" t="str">
        <x:v>https://www.smwcentral.net/?a=details&amp;id=6970&amp;p=section</x:v>
      </x:c>
      <x:c r="J359" t="str">
        <x:v>https://dl.smwcentral.net/6970/COLLAB%20%28Update%21%29.zip</x:v>
      </x:c>
    </x:row>
    <x:row r="360">
      <x:c r="A360" t="str">
        <x:v>Collection</x:v>
      </x:c>
      <x:c r="B360" t="str">
        <x:v>Collection</x:v>
      </x:c>
      <x:c r="C360" t="str">
        <x:v>ZMann</x:v>
      </x:c>
      <x:c r="D360" t="n">
        <x:v>15</x:v>
      </x:c>
      <x:c r="E360" t="str">
        <x:v>Casual</x:v>
      </x:c>
      <x:c r="F360" t="str">
        <x:v>Standard</x:v>
      </x:c>
      <x:c r="G360" t="n">
        <x:v>41614</x:v>
      </x:c>
      <x:c r="H360" t="str">
        <x:v>5963</x:v>
      </x:c>
      <x:c r="I360" t="str">
        <x:v>https://www.smwcentral.net/?a=details&amp;id=5963&amp;p=section</x:v>
      </x:c>
      <x:c r="J360" t="str">
        <x:v>https://dl.smwcentral.net/5963/Collection.zip</x:v>
      </x:c>
    </x:row>
    <x:row r="361">
      <x:c r="A361" t="str">
        <x:v>ColonThree</x:v>
      </x:c>
      <x:c r="B361" t="str">
        <x:v>ColonThree</x:v>
      </x:c>
      <x:c r="C361" t="str">
        <x:v>HoorayForJay, ShadowDragon121</x:v>
      </x:c>
      <x:c r="D361" t="n">
        <x:v>2</x:v>
      </x:c>
      <x:c r="E361" t="str">
        <x:v>Master</x:v>
      </x:c>
      <x:c r="F361" t="str">
        <x:v>Tool-Assisted, Pit</x:v>
      </x:c>
      <x:c r="G361" t="n">
        <x:v>42753</x:v>
      </x:c>
      <x:c r="H361" t="str">
        <x:v>14967</x:v>
      </x:c>
      <x:c r="I361" t="str">
        <x:v>https://www.smwcentral.net/?a=details&amp;id=14967&amp;p=section</x:v>
      </x:c>
      <x:c r="J361" t="str">
        <x:v>https://dl.smwcentral.net/14967/ColonThree.zip</x:v>
      </x:c>
    </x:row>
    <x:row r="362">
      <x:c r="A362" t="str">
        <x:v>COLORS 2</x:v>
      </x:c>
      <x:c r="B362" t="str">
        <x:v>COLORS 2</x:v>
      </x:c>
      <x:c r="C362" t="str">
        <x:v>MolSno</x:v>
      </x:c>
      <x:c r="D362" t="n">
        <x:v>8</x:v>
      </x:c>
      <x:c r="E362" t="str">
        <x:v>Intermediate</x:v>
      </x:c>
      <x:c r="F362" t="str">
        <x:v>Standard</x:v>
      </x:c>
      <x:c r="G362" t="n">
        <x:v>42334</x:v>
      </x:c>
      <x:c r="H362" t="str">
        <x:v>12725</x:v>
      </x:c>
      <x:c r="I362" t="str">
        <x:v>https://www.smwcentral.net/?a=details&amp;id=12725&amp;p=section</x:v>
      </x:c>
      <x:c r="J362" t="str">
        <x:v>https://dl.smwcentral.net/12725/COLORS%202.zip</x:v>
      </x:c>
    </x:row>
    <x:row r="363">
      <x:c r="A363" t="str">
        <x:v>Colors [SMWC #28250]</x:v>
      </x:c>
      <x:c r="B363" t="str">
        <x:v>Colors</x:v>
      </x:c>
      <x:c r="C363" t="str">
        <x:v>simplyawful</x:v>
      </x:c>
      <x:c r="D363" t="n">
        <x:v>22</x:v>
      </x:c>
      <x:c r="E363" t="str">
        <x:v>Master</x:v>
      </x:c>
      <x:c r="F363" t="str">
        <x:v>Kaizo</x:v>
      </x:c>
      <x:c r="G363" t="n">
        <x:v>44449</x:v>
      </x:c>
      <x:c r="H363" t="str">
        <x:v>28250</x:v>
      </x:c>
      <x:c r="I363" t="str">
        <x:v>https://www.smwcentral.net/?a=details&amp;id=28250&amp;p=section</x:v>
      </x:c>
      <x:c r="J363" t="str">
        <x:v>https://dl.smwcentral.net/28250/Colors_1.1.zip</x:v>
      </x:c>
    </x:row>
    <x:row r="364">
      <x:c r="A364" t="str">
        <x:v>COLORS [SMWC #6095]</x:v>
      </x:c>
      <x:c r="B364" t="str">
        <x:v>COLORS</x:v>
      </x:c>
      <x:c r="C364" t="str">
        <x:v>MolSno</x:v>
      </x:c>
      <x:c r="D364" t="n">
        <x:v>5</x:v>
      </x:c>
      <x:c r="E364" t="str">
        <x:v>Intermediate</x:v>
      </x:c>
      <x:c r="F364" t="str">
        <x:v>Standard</x:v>
      </x:c>
      <x:c r="G364" t="n">
        <x:v>41644</x:v>
      </x:c>
      <x:c r="H364" t="str">
        <x:v>6095</x:v>
      </x:c>
      <x:c r="I364" t="str">
        <x:v>https://www.smwcentral.net/?a=details&amp;id=6095&amp;p=section</x:v>
      </x:c>
      <x:c r="J364" t="str">
        <x:v>https://dl.smwcentral.net/6095/COLORS.zip</x:v>
      </x:c>
    </x:row>
    <x:row r="365">
      <x:c r="A365" t="str">
        <x:v>Colossus</x:v>
      </x:c>
      <x:c r="B365" t="str">
        <x:v>Colossus</x:v>
      </x:c>
      <x:c r="C365" t="str">
        <x:v>levelengine</x:v>
      </x:c>
      <x:c r="D365" t="n">
        <x:v>95</x:v>
      </x:c>
      <x:c r="E365" t="str">
        <x:v>Master</x:v>
      </x:c>
      <x:c r="F365" t="str">
        <x:v>Standard</x:v>
      </x:c>
      <x:c r="G365" t="n">
        <x:v>42211</x:v>
      </x:c>
      <x:c r="H365" t="str">
        <x:v>11776</x:v>
      </x:c>
      <x:c r="I365" t="str">
        <x:v>https://www.smwcentral.net/?a=details&amp;id=11776&amp;p=section</x:v>
      </x:c>
      <x:c r="J365" t="str">
        <x:v>https://dl.smwcentral.net/11776/Colossus%20final%203.zip</x:v>
      </x:c>
    </x:row>
    <x:row r="366">
      <x:c r="A366" t="str">
        <x:v>Combo Breaker</x:v>
      </x:c>
      <x:c r="B366" t="str">
        <x:v>Combo Breaker</x:v>
      </x:c>
      <x:c r="C366" t="str">
        <x:v>Sokobansolver</x:v>
      </x:c>
      <x:c r="D366" t="n">
        <x:v>18</x:v>
      </x:c>
      <x:c r="E366" t="str">
        <x:v>Casual</x:v>
      </x:c>
      <x:c r="F366" t="str">
        <x:v>Standard</x:v>
      </x:c>
      <x:c r="G366" t="n">
        <x:v>42288</x:v>
      </x:c>
      <x:c r="H366" t="str">
        <x:v>10248</x:v>
      </x:c>
      <x:c r="I366" t="str">
        <x:v>https://www.smwcentral.net/?a=details&amp;id=10248&amp;p=section</x:v>
      </x:c>
      <x:c r="J366" t="str">
        <x:v>https://dl.smwcentral.net/10248/Combo_Breaker_demo.zip</x:v>
      </x:c>
    </x:row>
    <x:row r="367">
      <x:c r="A367" t="str">
        <x:v>Combo Killer: Ultra Alpha Turbo HD Remix, Arcade Edition</x:v>
      </x:c>
      <x:c r="B367" t="str">
        <x:v>Combo Killer: Ultra Alpha Turbo HD Remix, Arcade Edition</x:v>
      </x:c>
      <x:c r="C367" t="str">
        <x:v>Doownayr89</x:v>
      </x:c>
      <x:c r="D367" t="n">
        <x:v>36</x:v>
      </x:c>
      <x:c r="E367" t="str">
        <x:v>Intermediate</x:v>
      </x:c>
      <x:c r="F367" t="str">
        <x:v>Kaizo, Tool-Assisted</x:v>
      </x:c>
      <x:c r="G367" t="n">
        <x:v>42654</x:v>
      </x:c>
      <x:c r="H367" t="str">
        <x:v>14289</x:v>
      </x:c>
      <x:c r="I367" t="str">
        <x:v>https://www.smwcentral.net/?a=details&amp;id=14289&amp;p=section</x:v>
      </x:c>
      <x:c r="J367" t="str">
        <x:v>https://dl.smwcentral.net/14289/Combo%20Killer%20Ultra%20Alpha%20Turbo%20HD%20Remix%2C%20Arcade%20Edition.zip</x:v>
      </x:c>
    </x:row>
    <x:row r="368">
      <x:c r="A368" t="str">
        <x:v>Comfort Zone</x:v>
      </x:c>
      <x:c r="B368" t="str">
        <x:v>Comfort Zone</x:v>
      </x:c>
      <x:c r="C368" t="str">
        <x:v>orka-bln</x:v>
      </x:c>
      <x:c r="D368" t="n">
        <x:v>18</x:v>
      </x:c>
      <x:c r="E368" t="str">
        <x:v>Expert</x:v>
      </x:c>
      <x:c r="F368" t="str">
        <x:v>Kaizo</x:v>
      </x:c>
      <x:c r="G368" t="n">
        <x:v>44156</x:v>
      </x:c>
      <x:c r="H368" t="str">
        <x:v>25095</x:v>
      </x:c>
      <x:c r="I368" t="str">
        <x:v>https://www.smwcentral.net/?a=details&amp;id=25095&amp;p=section</x:v>
      </x:c>
      <x:c r="J368" t="str">
        <x:v>https://dl.smwcentral.net/25095/Comfy1.2.zip</x:v>
      </x:c>
    </x:row>
    <x:row r="369">
      <x:c r="A369" t="str">
        <x:v>Commuter</x:v>
      </x:c>
      <x:c r="B369" t="str">
        <x:v>Commuter</x:v>
      </x:c>
      <x:c r="C369" t="str">
        <x:v>megaBC333</x:v>
      </x:c>
      <x:c r="D369" t="n">
        <x:v>13</x:v>
      </x:c>
      <x:c r="E369" t="str">
        <x:v>Advanced</x:v>
      </x:c>
      <x:c r="F369" t="str">
        <x:v>Kaizo</x:v>
      </x:c>
      <x:c r="G369" t="n">
        <x:v>45262</x:v>
      </x:c>
      <x:c r="H369" t="str">
        <x:v>35616</x:v>
      </x:c>
      <x:c r="I369" t="str">
        <x:v>https://www.smwcentral.net/?a=details&amp;id=35616&amp;p=section</x:v>
      </x:c>
      <x:c r="J369" t="str">
        <x:v>https://dl.smwcentral.net/35616/Commuter_V1.zip</x:v>
      </x:c>
    </x:row>
    <x:row r="370">
      <x:c r="A370" t="str">
        <x:v>Contest Maniac</x:v>
      </x:c>
      <x:c r="B370" t="str">
        <x:v>Contest Maniac</x:v>
      </x:c>
      <x:c r="C370" t="str">
        <x:v>RussianMan</x:v>
      </x:c>
      <x:c r="D370" t="n">
        <x:v>4</x:v>
      </x:c>
      <x:c r="E370" t="str">
        <x:v>Casual</x:v>
      </x:c>
      <x:c r="F370" t="str">
        <x:v>Standard</x:v>
      </x:c>
      <x:c r="G370" t="n">
        <x:v>43035</x:v>
      </x:c>
      <x:c r="H370" t="str">
        <x:v>16466</x:v>
      </x:c>
      <x:c r="I370" t="str">
        <x:v>https://www.smwcentral.net/?a=details&amp;id=16466&amp;p=section</x:v>
      </x:c>
      <x:c r="J370" t="str">
        <x:v>https://dl.smwcentral.net/16466/Contest%20Maniac.zip</x:v>
      </x:c>
    </x:row>
    <x:row r="371">
      <x:c r="A371" t="str">
        <x:v>Cool (Speedrun!)</x:v>
      </x:c>
      <x:c r="B371" t="str">
        <x:v>Cool (Speedrun!)</x:v>
      </x:c>
      <x:c r="C371" t="str">
        <x:v>Koll5</x:v>
      </x:c>
      <x:c r="D371" t="n">
        <x:v>8</x:v>
      </x:c>
      <x:c r="E371" t="str">
        <x:v>Intermediate</x:v>
      </x:c>
      <x:c r="F371" t="str">
        <x:v>Standard</x:v>
      </x:c>
      <x:c r="G371" t="n">
        <x:v>44724</x:v>
      </x:c>
      <x:c r="H371" t="str">
        <x:v>31137</x:v>
      </x:c>
      <x:c r="I371" t="str">
        <x:v>https://www.smwcentral.net/?a=details&amp;id=31137&amp;p=section</x:v>
      </x:c>
      <x:c r="J371" t="str">
        <x:v>https://dl.smwcentral.net/31137/Cool.zip</x:v>
      </x:c>
    </x:row>
    <x:row r="372">
      <x:c r="A372" t="str">
        <x:v>Cool or Cruel Stage 12 - Tubular</x:v>
      </x:c>
      <x:c r="B372" t="str">
        <x:v>Cool or Cruel Stage 12 - Tubular</x:v>
      </x:c>
      <x:c r="C372" t="str">
        <x:v>worldpeace</x:v>
      </x:c>
      <x:c r="D372" t="n">
        <x:v>1</x:v>
      </x:c>
      <x:c r="E372" t="str">
        <x:v>Advanced</x:v>
      </x:c>
      <x:c r="F372" t="str">
        <x:v>Kaizo, Tool-Assisted</x:v>
      </x:c>
      <x:c r="G372" t="n">
        <x:v>41710</x:v>
      </x:c>
      <x:c r="H372" t="str">
        <x:v>6085</x:v>
      </x:c>
      <x:c r="I372" t="str">
        <x:v>https://www.smwcentral.net/?a=details&amp;id=6085&amp;p=section</x:v>
      </x:c>
      <x:c r="J372" t="str">
        <x:v>https://dl.smwcentral.net/6085/tubular.zip</x:v>
      </x:c>
    </x:row>
    <x:row r="373">
      <x:c r="A373" t="str">
        <x:v>Cool Zone</x:v>
      </x:c>
      <x:c r="B373" t="str">
        <x:v>Cool Zone</x:v>
      </x:c>
      <x:c r="C373" t="str">
        <x:v>FridayFables</x:v>
      </x:c>
      <x:c r="D373" t="n">
        <x:v>16</x:v>
      </x:c>
      <x:c r="E373" t="str">
        <x:v>Advanced</x:v>
      </x:c>
      <x:c r="F373" t="str">
        <x:v>Kaizo</x:v>
      </x:c>
      <x:c r="G373" t="n">
        <x:v>43424</x:v>
      </x:c>
      <x:c r="H373" t="str">
        <x:v>18476</x:v>
      </x:c>
      <x:c r="I373" t="str">
        <x:v>https://www.smwcentral.net/?a=details&amp;id=18476&amp;p=section</x:v>
      </x:c>
      <x:c r="J373" t="str">
        <x:v>https://dl.smwcentral.net/18476/CoolZone.zip</x:v>
      </x:c>
    </x:row>
    <x:row r="374">
      <x:c r="A374" t="str">
        <x:v>Copy and Paste</x:v>
      </x:c>
      <x:c r="B374" t="str">
        <x:v>Copy and Paste</x:v>
      </x:c>
      <x:c r="C374" t="str">
        <x:v>NewPointless</x:v>
      </x:c>
      <x:c r="D374" t="n">
        <x:v>4</x:v>
      </x:c>
      <x:c r="E374" t="str">
        <x:v>Expert</x:v>
      </x:c>
      <x:c r="F374" t="str">
        <x:v>Kaizo</x:v>
      </x:c>
      <x:c r="G374" t="n">
        <x:v>45230</x:v>
      </x:c>
      <x:c r="H374" t="str">
        <x:v>35348</x:v>
      </x:c>
      <x:c r="I374" t="str">
        <x:v>https://www.smwcentral.net/?a=details&amp;id=35348&amp;p=section</x:v>
      </x:c>
      <x:c r="J374" t="str">
        <x:v>https://dl.smwcentral.net/35348/CopyAndPaste1_1.zip</x:v>
      </x:c>
    </x:row>
    <x:row r="375">
      <x:c r="A375" t="str">
        <x:v>Coriolis</x:v>
      </x:c>
      <x:c r="B375" t="str">
        <x:v>Coriolis</x:v>
      </x:c>
      <x:c r="C375" t="str">
        <x:v>D_O_M</x:v>
      </x:c>
      <x:c r="D375" t="n">
        <x:v>23</x:v>
      </x:c>
      <x:c r="E375" t="str">
        <x:v>Expert</x:v>
      </x:c>
      <x:c r="F375" t="str">
        <x:v>Kaizo</x:v>
      </x:c>
      <x:c r="G375" t="n">
        <x:v>46219</x:v>
      </x:c>
      <x:c r="H375" t="str">
        <x:v>42700</x:v>
      </x:c>
      <x:c r="I375" t="str">
        <x:v>https://www.smwcentral.net/?a=details&amp;id=42700&amp;p=section</x:v>
      </x:c>
      <x:c r="J375" t="str">
        <x:v>https://dl.smwcentral.net/42700/Coriolis.zip</x:v>
      </x:c>
    </x:row>
    <x:row r="376">
      <x:c r="A376" t="str">
        <x:v>Cornucopia of Kaizo</x:v>
      </x:c>
      <x:c r="B376" t="str">
        <x:v>Cornucopia of Kaizo</x:v>
      </x:c>
      <x:c r="C376" t="str">
        <x:v>CoozieShawn</x:v>
      </x:c>
      <x:c r="D376" t="n">
        <x:v>27</x:v>
      </x:c>
      <x:c r="E376" t="str">
        <x:v>Advanced</x:v>
      </x:c>
      <x:c r="F376" t="str">
        <x:v>Kaizo</x:v>
      </x:c>
      <x:c r="G376" t="n">
        <x:v>44413</x:v>
      </x:c>
      <x:c r="H376" t="str">
        <x:v>27923</x:v>
      </x:c>
      <x:c r="I376" t="str">
        <x:v>https://www.smwcentral.net/?a=details&amp;id=27923&amp;p=section</x:v>
      </x:c>
      <x:c r="J376" t="str">
        <x:v>https://dl.smwcentral.net/27923/Cornucopia_of_Kaizo.zip</x:v>
      </x:c>
    </x:row>
    <x:row r="377">
      <x:c r="A377" t="str">
        <x:v>Cosmic Expedition</x:v>
      </x:c>
      <x:c r="B377" t="str">
        <x:v>Cosmic Expedition</x:v>
      </x:c>
      <x:c r="C377" t="str">
        <x:v>GrenudoGames</x:v>
      </x:c>
      <x:c r="D377" t="n">
        <x:v>45</x:v>
      </x:c>
      <x:c r="E377" t="str">
        <x:v>Expert</x:v>
      </x:c>
      <x:c r="F377" t="str">
        <x:v>Kaizo</x:v>
      </x:c>
      <x:c r="G377" t="n">
        <x:v>45836</x:v>
      </x:c>
      <x:c r="H377" t="str">
        <x:v>39939</x:v>
      </x:c>
      <x:c r="I377" t="str">
        <x:v>https://www.smwcentral.net/?a=details&amp;id=39939&amp;p=section</x:v>
      </x:c>
      <x:c r="J377" t="str">
        <x:v>https://dl.smwcentral.net/39939/Cosmic%20Expedition%201.2.zip</x:v>
      </x:c>
    </x:row>
    <x:row r="378">
      <x:c r="A378" t="str">
        <x:v>CowaBunga</x:v>
      </x:c>
      <x:c r="B378" t="str">
        <x:v>CowaBunga</x:v>
      </x:c>
      <x:c r="C378" t="str">
        <x:v>Connnnair</x:v>
      </x:c>
      <x:c r="D378" t="n">
        <x:v>23</x:v>
      </x:c>
      <x:c r="E378" t="str">
        <x:v>Expert</x:v>
      </x:c>
      <x:c r="F378" t="str">
        <x:v>Kaizo</x:v>
      </x:c>
      <x:c r="G378" t="n">
        <x:v>45484</x:v>
      </x:c>
      <x:c r="H378" t="str">
        <x:v>38046</x:v>
      </x:c>
      <x:c r="I378" t="str">
        <x:v>https://www.smwcentral.net/?a=details&amp;id=38046&amp;p=section</x:v>
      </x:c>
      <x:c r="J378" t="str">
        <x:v>https://dl.smwcentral.net/38046/CowaBunga1.1.zip</x:v>
      </x:c>
    </x:row>
    <x:row r="379">
      <x:c r="A379" t="str">
        <x:v>Crab Shells</x:v>
      </x:c>
      <x:c r="B379" t="str">
        <x:v>Crab Shells</x:v>
      </x:c>
      <x:c r="C379" t="str">
        <x:v>Jaozin712</x:v>
      </x:c>
      <x:c r="D379" t="n">
        <x:v>14</x:v>
      </x:c>
      <x:c r="E379" t="str">
        <x:v>Expert</x:v>
      </x:c>
      <x:c r="F379" t="str">
        <x:v>Kaizo</x:v>
      </x:c>
      <x:c r="G379" t="n">
        <x:v>45587</x:v>
      </x:c>
      <x:c r="H379" t="str">
        <x:v>38657</x:v>
      </x:c>
      <x:c r="I379" t="str">
        <x:v>https://www.smwcentral.net/?a=details&amp;id=38657&amp;p=section</x:v>
      </x:c>
      <x:c r="J379" t="str">
        <x:v>https://dl.smwcentral.net/38657/Crab_Shells.zip</x:v>
      </x:c>
    </x:row>
    <x:row r="380">
      <x:c r="A380" t="str">
        <x:v>Crash Bandicoot and the Retro Dimension</x:v>
      </x:c>
      <x:c r="B380" t="str">
        <x:v>Crash Bandicoot and the Retro Dimension</x:v>
      </x:c>
      <x:c r="C380" t="str">
        <x:v>bandicoot</x:v>
      </x:c>
      <x:c r="D380" t="n">
        <x:v>102</x:v>
      </x:c>
      <x:c r="E380" t="str">
        <x:v>Intermediate</x:v>
      </x:c>
      <x:c r="F380" t="str">
        <x:v>Standard</x:v>
      </x:c>
      <x:c r="G380" t="n">
        <x:v>46204</x:v>
      </x:c>
      <x:c r="H380" t="str">
        <x:v>42500</x:v>
      </x:c>
      <x:c r="I380" t="str">
        <x:v>https://www.smwcentral.net/?a=details&amp;id=42500&amp;p=section</x:v>
      </x:c>
      <x:c r="J380" t="str">
        <x:v>https://dl.smwcentral.net/42500/Crash%20Bandicoot%20and%20the%20Retro%20Dimension%20Enhanced.zip</x:v>
      </x:c>
    </x:row>
    <x:row r="381">
      <x:c r="A381" t="str">
        <x:v>Crash Bandicoot and the Retro Dimension 2 - The Crystal Hunt</x:v>
      </x:c>
      <x:c r="B381" t="str">
        <x:v>Crash Bandicoot and the Retro Dimension 2 - The Crystal Hunt</x:v>
      </x:c>
      <x:c r="C381" t="str">
        <x:v>bandicoot</x:v>
      </x:c>
      <x:c r="D381" t="n">
        <x:v>120</x:v>
      </x:c>
      <x:c r="E381" t="str">
        <x:v>Intermediate</x:v>
      </x:c>
      <x:c r="F381" t="str">
        <x:v>Standard</x:v>
      </x:c>
      <x:c r="G381" t="n">
        <x:v>46215</x:v>
      </x:c>
      <x:c r="H381" t="str">
        <x:v>42541</x:v>
      </x:c>
      <x:c r="I381" t="str">
        <x:v>https://www.smwcentral.net/?a=details&amp;id=42541&amp;p=section</x:v>
      </x:c>
      <x:c r="J381" t="str">
        <x:v>https://dl.smwcentral.net/42541/Crash%20Bandicoot%20and%20The%20Retro%20Dimension%202%20-%20The%20Crystal%20Hunt.zip</x:v>
      </x:c>
    </x:row>
    <x:row r="382">
      <x:c r="A382" t="str">
        <x:v>Critter Quest</x:v>
      </x:c>
      <x:c r="B382" t="str">
        <x:v>Critter Quest</x:v>
      </x:c>
      <x:c r="C382" t="str">
        <x:v>JakesBRjust</x:v>
      </x:c>
      <x:c r="D382" t="n">
        <x:v>10</x:v>
      </x:c>
      <x:c r="E382" t="str">
        <x:v>Advanced</x:v>
      </x:c>
      <x:c r="F382" t="str">
        <x:v>Kaizo</x:v>
      </x:c>
      <x:c r="G382" t="n">
        <x:v>45867</x:v>
      </x:c>
      <x:c r="H382" t="str">
        <x:v>40194</x:v>
      </x:c>
      <x:c r="I382" t="str">
        <x:v>https://www.smwcentral.net/?a=details&amp;id=40194&amp;p=section</x:v>
      </x:c>
      <x:c r="J382" t="str">
        <x:v>https://dl.smwcentral.net/40194/Critter%20Quest%20v1.1.zip</x:v>
      </x:c>
    </x:row>
    <x:row r="383">
      <x:c r="A383" t="str">
        <x:v>Critter Quest Jr</x:v>
      </x:c>
      <x:c r="B383" t="str">
        <x:v>Critter Quest Jr</x:v>
      </x:c>
      <x:c r="C383" t="str">
        <x:v>JakesBRjust</x:v>
      </x:c>
      <x:c r="D383" t="n">
        <x:v>14</x:v>
      </x:c>
      <x:c r="E383" t="str">
        <x:v>Advanced</x:v>
      </x:c>
      <x:c r="F383" t="str">
        <x:v>Kaizo</x:v>
      </x:c>
      <x:c r="G383" t="n">
        <x:v>46007</x:v>
      </x:c>
      <x:c r="H383" t="str">
        <x:v>41278</x:v>
      </x:c>
      <x:c r="I383" t="str">
        <x:v>https://www.smwcentral.net/?a=details&amp;id=41278&amp;p=section</x:v>
      </x:c>
      <x:c r="J383" t="str">
        <x:v>https://dl.smwcentral.net/41278/Critter%20Quest%20Jr.zip</x:v>
      </x:c>
    </x:row>
    <x:row r="384">
      <x:c r="A384" t="str">
        <x:v>CroNos Trigger</x:v>
      </x:c>
      <x:c r="B384" t="str">
        <x:v>CroNos Trigger</x:v>
      </x:c>
      <x:c r="C384" t="str">
        <x:v>Justepic</x:v>
      </x:c>
      <x:c r="D384" t="n">
        <x:v>15</x:v>
      </x:c>
      <x:c r="E384" t="str">
        <x:v>Expert</x:v>
      </x:c>
      <x:c r="F384" t="str">
        <x:v>Kaizo</x:v>
      </x:c>
      <x:c r="G384" t="n">
        <x:v>45120</x:v>
      </x:c>
      <x:c r="H384" t="str">
        <x:v>33950</x:v>
      </x:c>
      <x:c r="I384" t="str">
        <x:v>https://www.smwcentral.net/?a=details&amp;id=33950&amp;p=section</x:v>
      </x:c>
      <x:c r="J384" t="str">
        <x:v>https://dl.smwcentral.net/33950/Cronos%20Trigger%20V2.zip</x:v>
      </x:c>
    </x:row>
    <x:row r="385">
      <x:c r="A385" t="str">
        <x:v>Crossfire</x:v>
      </x:c>
      <x:c r="B385" t="str">
        <x:v>Crossfire</x:v>
      </x:c>
      <x:c r="C385" t="str">
        <x:v>NeptuneNeon</x:v>
      </x:c>
      <x:c r="D385" t="n">
        <x:v>22</x:v>
      </x:c>
      <x:c r="E385" t="str">
        <x:v>Expert</x:v>
      </x:c>
      <x:c r="F385" t="str">
        <x:v>Kaizo</x:v>
      </x:c>
      <x:c r="G385" t="n">
        <x:v>44378</x:v>
      </x:c>
      <x:c r="H385" t="str">
        <x:v>27238</x:v>
      </x:c>
      <x:c r="I385" t="str">
        <x:v>https://www.smwcentral.net/?a=details&amp;id=27238&amp;p=section</x:v>
      </x:c>
      <x:c r="J385" t="str">
        <x:v>https://dl.smwcentral.net/27238/crossfire_v1.2.zip</x:v>
      </x:c>
    </x:row>
    <x:row r="386">
      <x:c r="A386" t="str">
        <x:v>Cruisy</x:v>
      </x:c>
      <x:c r="B386" t="str">
        <x:v>Cruisy</x:v>
      </x:c>
      <x:c r="C386" t="str">
        <x:v>Lush_50</x:v>
      </x:c>
      <x:c r="D386" t="n">
        <x:v>11</x:v>
      </x:c>
      <x:c r="E386" t="str">
        <x:v>Advanced</x:v>
      </x:c>
      <x:c r="F386" t="str">
        <x:v>Kaizo</x:v>
      </x:c>
      <x:c r="G386" t="n">
        <x:v>44861</x:v>
      </x:c>
      <x:c r="H386" t="str">
        <x:v>32446</x:v>
      </x:c>
      <x:c r="I386" t="str">
        <x:v>https://www.smwcentral.net/?a=details&amp;id=32446&amp;p=section</x:v>
      </x:c>
      <x:c r="J386" t="str">
        <x:v>https://dl.smwcentral.net/32446/Cruisy%20v1.1.zip</x:v>
      </x:c>
    </x:row>
    <x:row r="387">
      <x:c r="A387" t="str">
        <x:v>Cube´s Kaizo World</x:v>
      </x:c>
      <x:c r="B387" t="str">
        <x:v>Cube´s Kaizo World</x:v>
      </x:c>
      <x:c r="C387" t="str">
        <x:v>Cube</x:v>
      </x:c>
      <x:c r="D387" t="n">
        <x:v>8</x:v>
      </x:c>
      <x:c r="E387" t="str">
        <x:v>Expert</x:v>
      </x:c>
      <x:c r="F387" t="str">
        <x:v>Kaizo</x:v>
      </x:c>
      <x:c r="G387" t="n">
        <x:v>44330</x:v>
      </x:c>
      <x:c r="H387" t="str">
        <x:v>26998</x:v>
      </x:c>
      <x:c r="I387" t="str">
        <x:v>https://www.smwcentral.net/?a=details&amp;id=26998&amp;p=section</x:v>
      </x:c>
      <x:c r="J387" t="str">
        <x:v>https://dl.smwcentral.net/26998/Cubes%20Kaizo%20World1.1.zip</x:v>
      </x:c>
    </x:row>
    <x:row r="388">
      <x:c r="A388" t="str">
        <x:v>Cube´s Kaizo World 2</x:v>
      </x:c>
      <x:c r="B388" t="str">
        <x:v>Cube´s Kaizo World 2</x:v>
      </x:c>
      <x:c r="C388" t="str">
        <x:v>Cube</x:v>
      </x:c>
      <x:c r="D388" t="n">
        <x:v>9</x:v>
      </x:c>
      <x:c r="E388" t="str">
        <x:v>Expert</x:v>
      </x:c>
      <x:c r="F388" t="str">
        <x:v>Kaizo</x:v>
      </x:c>
      <x:c r="G388" t="n">
        <x:v>44373</x:v>
      </x:c>
      <x:c r="H388" t="str">
        <x:v>27355</x:v>
      </x:c>
      <x:c r="I388" t="str">
        <x:v>https://www.smwcentral.net/?a=details&amp;id=27355&amp;p=section</x:v>
      </x:c>
      <x:c r="J388" t="str">
        <x:v>https://dl.smwcentral.net/27355/Cubes%20Kaizo%20World%202.zip</x:v>
      </x:c>
    </x:row>
    <x:row r="389">
      <x:c r="A389" t="str">
        <x:v>Cube´s Kaizo World 3</x:v>
      </x:c>
      <x:c r="B389" t="str">
        <x:v>Cube´s Kaizo World 3</x:v>
      </x:c>
      <x:c r="C389" t="str">
        <x:v>Cube</x:v>
      </x:c>
      <x:c r="D389" t="n">
        <x:v>12</x:v>
      </x:c>
      <x:c r="E389" t="str">
        <x:v>Expert</x:v>
      </x:c>
      <x:c r="F389" t="str">
        <x:v>Kaizo</x:v>
      </x:c>
      <x:c r="G389" t="n">
        <x:v>44724</x:v>
      </x:c>
      <x:c r="H389" t="str">
        <x:v>31127</x:v>
      </x:c>
      <x:c r="I389" t="str">
        <x:v>https://www.smwcentral.net/?a=details&amp;id=31127&amp;p=section</x:v>
      </x:c>
      <x:c r="J389" t="str">
        <x:v>https://dl.smwcentral.net/31127/Cubes%20Kaizo%20World%203%20v1.2.zip</x:v>
      </x:c>
    </x:row>
    <x:row r="390">
      <x:c r="A390" t="str">
        <x:v>Cube´s Kaizo World 4</x:v>
      </x:c>
      <x:c r="B390" t="str">
        <x:v>Cube´s Kaizo World 4</x:v>
      </x:c>
      <x:c r="C390" t="str">
        <x:v>Cube</x:v>
      </x:c>
      <x:c r="D390" t="n">
        <x:v>13</x:v>
      </x:c>
      <x:c r="E390" t="str">
        <x:v>Expert</x:v>
      </x:c>
      <x:c r="F390" t="str">
        <x:v>Kaizo</x:v>
      </x:c>
      <x:c r="G390" t="n">
        <x:v>45150</x:v>
      </x:c>
      <x:c r="H390" t="str">
        <x:v>34784</x:v>
      </x:c>
      <x:c r="I390" t="str">
        <x:v>https://www.smwcentral.net/?a=details&amp;id=34784&amp;p=section</x:v>
      </x:c>
      <x:c r="J390" t="str">
        <x:v>https://dl.smwcentral.net/34784/CubesKaizoWorld4_1.1.zip</x:v>
      </x:c>
    </x:row>
    <x:row r="391">
      <x:c r="A391" t="str">
        <x:v>Cube´s Kaizo World 5</x:v>
      </x:c>
      <x:c r="B391" t="str">
        <x:v>Cube´s Kaizo World 5</x:v>
      </x:c>
      <x:c r="C391" t="str">
        <x:v>Cube</x:v>
      </x:c>
      <x:c r="D391" t="n">
        <x:v>23</x:v>
      </x:c>
      <x:c r="E391" t="str">
        <x:v>Master</x:v>
      </x:c>
      <x:c r="F391" t="str">
        <x:v>Kaizo</x:v>
      </x:c>
      <x:c r="G391" t="n">
        <x:v>45522</x:v>
      </x:c>
      <x:c r="H391" t="str">
        <x:v>38168</x:v>
      </x:c>
      <x:c r="I391" t="str">
        <x:v>https://www.smwcentral.net/?a=details&amp;id=38168&amp;p=section</x:v>
      </x:c>
      <x:c r="J391" t="str">
        <x:v>https://dl.smwcentral.net/38168/CubesKaizoWorld5%201.1.zip</x:v>
      </x:c>
    </x:row>
    <x:row r="392">
      <x:c r="A392" t="str">
        <x:v>Cute as Shell</x:v>
      </x:c>
      <x:c r="B392" t="str">
        <x:v>Cute as Shell</x:v>
      </x:c>
      <x:c r="C392" t="str">
        <x:v>slopcore</x:v>
      </x:c>
      <x:c r="D392" t="n">
        <x:v>10</x:v>
      </x:c>
      <x:c r="E392" t="str">
        <x:v>Advanced</x:v>
      </x:c>
      <x:c r="F392" t="str">
        <x:v>Kaizo</x:v>
      </x:c>
      <x:c r="G392" t="n">
        <x:v>45567</x:v>
      </x:c>
      <x:c r="H392" t="str">
        <x:v>38571</x:v>
      </x:c>
      <x:c r="I392" t="str">
        <x:v>https://www.smwcentral.net/?a=details&amp;id=38571&amp;p=section</x:v>
      </x:c>
      <x:c r="J392" t="str">
        <x:v>https://dl.smwcentral.net/38571/CuteAsShell1.2.zip</x:v>
      </x:c>
    </x:row>
    <x:row r="393">
      <x:c r="A393" t="str">
        <x:v>Cute Kaizo World</x:v>
      </x:c>
      <x:c r="B393" t="str">
        <x:v>Cute Kaizo World</x:v>
      </x:c>
      <x:c r="C393" t="str">
        <x:v>slopcore</x:v>
      </x:c>
      <x:c r="D393" t="n">
        <x:v>14</x:v>
      </x:c>
      <x:c r="E393" t="str">
        <x:v>Advanced</x:v>
      </x:c>
      <x:c r="F393" t="str">
        <x:v>Kaizo</x:v>
      </x:c>
      <x:c r="G393" t="n">
        <x:v>44249</x:v>
      </x:c>
      <x:c r="H393" t="str">
        <x:v>26252</x:v>
      </x:c>
      <x:c r="I393" t="str">
        <x:v>https://www.smwcentral.net/?a=details&amp;id=26252&amp;p=section</x:v>
      </x:c>
      <x:c r="J393" t="str">
        <x:v>https://dl.smwcentral.net/26252/CuteKaizoWorldv1.1.zip</x:v>
      </x:c>
    </x:row>
    <x:row r="394">
      <x:c r="A394" t="str">
        <x:v>Cuter Kaizo World</x:v>
      </x:c>
      <x:c r="B394" t="str">
        <x:v>Cuter Kaizo World</x:v>
      </x:c>
      <x:c r="C394" t="str">
        <x:v>slopcore</x:v>
      </x:c>
      <x:c r="D394" t="n">
        <x:v>15</x:v>
      </x:c>
      <x:c r="E394" t="str">
        <x:v>Advanced</x:v>
      </x:c>
      <x:c r="F394" t="str">
        <x:v>Kaizo</x:v>
      </x:c>
      <x:c r="G394" t="n">
        <x:v>44698</x:v>
      </x:c>
      <x:c r="H394" t="str">
        <x:v>30915</x:v>
      </x:c>
      <x:c r="I394" t="str">
        <x:v>https://www.smwcentral.net/?a=details&amp;id=30915&amp;p=section</x:v>
      </x:c>
      <x:c r="J394" t="str">
        <x:v>https://dl.smwcentral.net/30915/CuterKaizo.zip</x:v>
      </x:c>
    </x:row>
    <x:row r="395">
      <x:c r="A395" t="str">
        <x:v>Cygnus</x:v>
      </x:c>
      <x:c r="B395" t="str">
        <x:v>Cygnus</x:v>
      </x:c>
      <x:c r="C395" t="str">
        <x:v>oyok</x:v>
      </x:c>
      <x:c r="D395" t="n">
        <x:v>10</x:v>
      </x:c>
      <x:c r="E395" t="str">
        <x:v>Expert</x:v>
      </x:c>
      <x:c r="F395" t="str">
        <x:v>Kaizo</x:v>
      </x:c>
      <x:c r="G395" t="n">
        <x:v>45914</x:v>
      </x:c>
      <x:c r="H395" t="str">
        <x:v>40612</x:v>
      </x:c>
      <x:c r="I395" t="str">
        <x:v>https://www.smwcentral.net/?a=details&amp;id=40612&amp;p=section</x:v>
      </x:c>
      <x:c r="J395" t="str">
        <x:v>https://dl.smwcentral.net/40612/cygnus.zip</x:v>
      </x:c>
    </x:row>
    <x:row r="396">
      <x:c r="A396" t="str">
        <x:v>D.O.L.L.S.</x:v>
      </x:c>
      <x:c r="B396" t="str">
        <x:v>D.O.L.L.S.</x:v>
      </x:c>
      <x:c r="C396" t="str">
        <x:v>Jordan</x:v>
      </x:c>
      <x:c r="D396" t="n">
        <x:v>0</x:v>
      </x:c>
      <x:c r="E396" t="str">
        <x:v>Intermediate</x:v>
      </x:c>
      <x:c r="F396" t="str">
        <x:v>Standard</x:v>
      </x:c>
      <x:c r="G396" t="n">
        <x:v>45747</x:v>
      </x:c>
      <x:c r="H396" t="str">
        <x:v>39486</x:v>
      </x:c>
      <x:c r="I396" t="str">
        <x:v>https://www.smwcentral.net/?a=details&amp;id=39486&amp;p=section</x:v>
      </x:c>
      <x:c r="J396" t="str">
        <x:v>https://dl.smwcentral.net/39486/DOLLS.zip</x:v>
      </x:c>
    </x:row>
    <x:row r="397">
      <x:c r="A397" t="str">
        <x:v>DADDY</x:v>
      </x:c>
      <x:c r="B397" t="str">
        <x:v>DADDY</x:v>
      </x:c>
      <x:c r="C397" t="str">
        <x:v>Ludachrizzle</x:v>
      </x:c>
      <x:c r="D397" t="n">
        <x:v>9</x:v>
      </x:c>
      <x:c r="E397" t="str">
        <x:v>Expert</x:v>
      </x:c>
      <x:c r="F397" t="str">
        <x:v>Kaizo</x:v>
      </x:c>
      <x:c r="G397" t="n">
        <x:v>44879</x:v>
      </x:c>
      <x:c r="H397" t="str">
        <x:v>32552</x:v>
      </x:c>
      <x:c r="I397" t="str">
        <x:v>https://www.smwcentral.net/?a=details&amp;id=32552&amp;p=section</x:v>
      </x:c>
      <x:c r="J397" t="str">
        <x:v>https://dl.smwcentral.net/32552/Daddy_v1.2.zip</x:v>
      </x:c>
    </x:row>
    <x:row r="398">
      <x:c r="A398" t="str">
        <x:v>Daemon Land</x:v>
      </x:c>
      <x:c r="B398" t="str">
        <x:v>Daemon Land</x:v>
      </x:c>
      <x:c r="C398" t="str">
        <x:v>51690</x:v>
      </x:c>
      <x:c r="D398" t="n">
        <x:v>8</x:v>
      </x:c>
      <x:c r="E398" t="str">
        <x:v>Master</x:v>
      </x:c>
      <x:c r="F398" t="str">
        <x:v>Kaizo</x:v>
      </x:c>
      <x:c r="G398" t="n">
        <x:v>44729</x:v>
      </x:c>
      <x:c r="H398" t="str">
        <x:v>31117</x:v>
      </x:c>
      <x:c r="I398" t="str">
        <x:v>https://www.smwcentral.net/?a=details&amp;id=31117&amp;p=section</x:v>
      </x:c>
      <x:c r="J398" t="str">
        <x:v>https://dl.smwcentral.net/31117/daemon%20land%201.2.zip</x:v>
      </x:c>
    </x:row>
    <x:row r="399">
      <x:c r="A399" t="str">
        <x:v>Daemon Land 2</x:v>
      </x:c>
      <x:c r="B399" t="str">
        <x:v>Daemon Land 2</x:v>
      </x:c>
      <x:c r="C399" t="str">
        <x:v>51690</x:v>
      </x:c>
      <x:c r="D399" t="n">
        <x:v>10</x:v>
      </x:c>
      <x:c r="E399" t="str">
        <x:v>Master</x:v>
      </x:c>
      <x:c r="F399" t="str">
        <x:v>Kaizo</x:v>
      </x:c>
      <x:c r="G399" t="n">
        <x:v>44529</x:v>
      </x:c>
      <x:c r="H399" t="str">
        <x:v>28678</x:v>
      </x:c>
      <x:c r="I399" t="str">
        <x:v>https://www.smwcentral.net/?a=details&amp;id=28678&amp;p=section</x:v>
      </x:c>
      <x:c r="J399" t="str">
        <x:v>https://dl.smwcentral.net/28678/daemon%20land%202.zip</x:v>
      </x:c>
    </x:row>
    <x:row r="400">
      <x:c r="A400" t="str">
        <x:v>Daemon Land 3</x:v>
      </x:c>
      <x:c r="B400" t="str">
        <x:v>Daemon Land 3</x:v>
      </x:c>
      <x:c r="C400" t="str">
        <x:v>51690</x:v>
      </x:c>
      <x:c r="D400" t="n">
        <x:v>8</x:v>
      </x:c>
      <x:c r="E400" t="str">
        <x:v>Master</x:v>
      </x:c>
      <x:c r="F400" t="str">
        <x:v>Kaizo</x:v>
      </x:c>
      <x:c r="G400" t="n">
        <x:v>44832</x:v>
      </x:c>
      <x:c r="H400" t="str">
        <x:v>32105</x:v>
      </x:c>
      <x:c r="I400" t="str">
        <x:v>https://www.smwcentral.net/?a=details&amp;id=32105&amp;p=section</x:v>
      </x:c>
      <x:c r="J400" t="str">
        <x:v>https://dl.smwcentral.net/32105/daemon%20land%203.zip</x:v>
      </x:c>
    </x:row>
    <x:row r="401">
      <x:c r="A401" t="str">
        <x:v>Daisy's Crazy Adventure</x:v>
      </x:c>
      <x:c r="B401" t="str">
        <x:v>Daisy's Crazy Adventure</x:v>
      </x:c>
      <x:c r="C401" t="str">
        <x:v>BlueSheep123</x:v>
      </x:c>
      <x:c r="D401" t="n">
        <x:v>17</x:v>
      </x:c>
      <x:c r="E401" t="str">
        <x:v>Intermediate</x:v>
      </x:c>
      <x:c r="F401" t="str">
        <x:v>Standard</x:v>
      </x:c>
      <x:c r="G401" t="n">
        <x:v>45494</x:v>
      </x:c>
      <x:c r="H401" t="str">
        <x:v>38109</x:v>
      </x:c>
      <x:c r="I401" t="str">
        <x:v>https://www.smwcentral.net/?a=details&amp;id=38109&amp;p=section</x:v>
      </x:c>
      <x:c r="J401" t="str">
        <x:v>https://dl.smwcentral.net/38109/Daisy%27s_Crazy_Adventure_1.1.0.zip</x:v>
      </x:c>
    </x:row>
    <x:row r="402">
      <x:c r="A402" t="str">
        <x:v>Dancer to a Discordant System</x:v>
      </x:c>
      <x:c r="B402" t="str">
        <x:v>Dancer to a Discordant System</x:v>
      </x:c>
      <x:c r="C402" t="str">
        <x:v>slopcore</x:v>
      </x:c>
      <x:c r="D402" t="n">
        <x:v>22</x:v>
      </x:c>
      <x:c r="E402" t="str">
        <x:v>Expert</x:v>
      </x:c>
      <x:c r="F402" t="str">
        <x:v>Kaizo</x:v>
      </x:c>
      <x:c r="G402" t="n">
        <x:v>44154</x:v>
      </x:c>
      <x:c r="H402" t="str">
        <x:v>25165</x:v>
      </x:c>
      <x:c r="I402" t="str">
        <x:v>https://www.smwcentral.net/?a=details&amp;id=25165&amp;p=section</x:v>
      </x:c>
      <x:c r="J402" t="str">
        <x:v>https://dl.smwcentral.net/25165/Dancer.zip</x:v>
      </x:c>
    </x:row>
    <x:row r="403">
      <x:c r="A403" t="str">
        <x:v>Danmaku Mario World</x:v>
      </x:c>
      <x:c r="B403" t="str">
        <x:v>Danmaku Mario World</x:v>
      </x:c>
      <x:c r="C403" t="str">
        <x:v>NikSik1</x:v>
      </x:c>
      <x:c r="D403" t="n">
        <x:v>0</x:v>
      </x:c>
      <x:c r="E403" t="str">
        <x:v>Intermediate</x:v>
      </x:c>
      <x:c r="F403" t="str">
        <x:v>Standard</x:v>
      </x:c>
      <x:c r="G403" t="n">
        <x:v>44635</x:v>
      </x:c>
      <x:c r="H403" t="str">
        <x:v>29831</x:v>
      </x:c>
      <x:c r="I403" t="str">
        <x:v>https://www.smwcentral.net/?a=details&amp;id=29831&amp;p=section</x:v>
      </x:c>
      <x:c r="J403" t="str">
        <x:v>https://dl.smwcentral.net/29831/Danmaku%20Mario%20World.zip</x:v>
      </x:c>
    </x:row>
    <x:row r="404">
      <x:c r="A404" t="str">
        <x:v>Dark Shelly World</x:v>
      </x:c>
      <x:c r="B404" t="str">
        <x:v>Dark Shelly World</x:v>
      </x:c>
      <x:c r="C404" t="str">
        <x:v>redkiller</x:v>
      </x:c>
      <x:c r="D404" t="n">
        <x:v>0</x:v>
      </x:c>
      <x:c r="E404" t="str">
        <x:v>Master</x:v>
      </x:c>
      <x:c r="F404" t="str">
        <x:v>Kaizo</x:v>
      </x:c>
      <x:c r="G404" t="n">
        <x:v>44480</x:v>
      </x:c>
      <x:c r="H404" t="str">
        <x:v>28537</x:v>
      </x:c>
      <x:c r="I404" t="str">
        <x:v>https://www.smwcentral.net/?a=details&amp;id=28537&amp;p=section</x:v>
      </x:c>
      <x:c r="J404" t="str">
        <x:v>https://dl.smwcentral.net/28537/Dark%20Shelly%20World.zip</x:v>
      </x:c>
    </x:row>
    <x:row r="405">
      <x:c r="A405" t="str">
        <x:v>Darkside 2</x:v>
      </x:c>
      <x:c r="B405" t="str">
        <x:v>Darkside 2</x:v>
      </x:c>
      <x:c r="C405" t="str">
        <x:v>Insanit</x:v>
      </x:c>
      <x:c r="D405" t="n">
        <x:v>8</x:v>
      </x:c>
      <x:c r="E405" t="str">
        <x:v>Expert</x:v>
      </x:c>
      <x:c r="F405" t="str">
        <x:v>Kaizo</x:v>
      </x:c>
      <x:c r="G405" t="n">
        <x:v>45781</x:v>
      </x:c>
      <x:c r="H405" t="str">
        <x:v>39786</x:v>
      </x:c>
      <x:c r="I405" t="str">
        <x:v>https://www.smwcentral.net/?a=details&amp;id=39786&amp;p=section</x:v>
      </x:c>
      <x:c r="J405" t="str">
        <x:v>https://dl.smwcentral.net/39786/Darkside%202.41.zip</x:v>
      </x:c>
    </x:row>
    <x:row r="406">
      <x:c r="A406" t="str">
        <x:v>Darkstar</x:v>
      </x:c>
      <x:c r="B406" t="str">
        <x:v>Darkstar</x:v>
      </x:c>
      <x:c r="C406" t="str">
        <x:v>MDBattleFrog</x:v>
      </x:c>
      <x:c r="D406" t="n">
        <x:v>18</x:v>
      </x:c>
      <x:c r="E406" t="str">
        <x:v>Master</x:v>
      </x:c>
      <x:c r="F406" t="str">
        <x:v>Kaizo</x:v>
      </x:c>
      <x:c r="G406" t="n">
        <x:v>43849</x:v>
      </x:c>
      <x:c r="H406" t="str">
        <x:v>21730</x:v>
      </x:c>
      <x:c r="I406" t="str">
        <x:v>https://www.smwcentral.net/?a=details&amp;id=21730&amp;p=section</x:v>
      </x:c>
      <x:c r="J406" t="str">
        <x:v>https://dl.smwcentral.net/21730/DarkstarV1.11.zip</x:v>
      </x:c>
    </x:row>
    <x:row r="407">
      <x:c r="A407" t="str">
        <x:v>Day at the races</x:v>
      </x:c>
      <x:c r="B407" t="str">
        <x:v>Day at the races</x:v>
      </x:c>
      <x:c r="C407" t="str">
        <x:v>Lush_50</x:v>
      </x:c>
      <x:c r="D407" t="n">
        <x:v>1</x:v>
      </x:c>
      <x:c r="E407" t="str">
        <x:v>Intermediate</x:v>
      </x:c>
      <x:c r="F407" t="str">
        <x:v>Kaizo</x:v>
      </x:c>
      <x:c r="G407" t="n">
        <x:v>44885</x:v>
      </x:c>
      <x:c r="H407" t="str">
        <x:v>32591</x:v>
      </x:c>
      <x:c r="I407" t="str">
        <x:v>https://www.smwcentral.net/?a=details&amp;id=32591&amp;p=section</x:v>
      </x:c>
      <x:c r="J407" t="str">
        <x:v>https://dl.smwcentral.net/32591/Day%20at%20the%20races%20v1.zip</x:v>
      </x:c>
    </x:row>
    <x:row r="408">
      <x:c r="A408" t="str">
        <x:v>Day At The Turkey Races</x:v>
      </x:c>
      <x:c r="B408" t="str">
        <x:v>Day At The Turkey Races</x:v>
      </x:c>
      <x:c r="C408" t="str">
        <x:v>Fryinb</x:v>
      </x:c>
      <x:c r="D408" t="n">
        <x:v>12</x:v>
      </x:c>
      <x:c r="E408" t="str">
        <x:v>Expert</x:v>
      </x:c>
      <x:c r="F408" t="str">
        <x:v>Kaizo</x:v>
      </x:c>
      <x:c r="G408" t="n">
        <x:v>45021</x:v>
      </x:c>
      <x:c r="H408" t="str">
        <x:v>33684</x:v>
      </x:c>
      <x:c r="I408" t="str">
        <x:v>https://www.smwcentral.net/?a=details&amp;id=33684&amp;p=section</x:v>
      </x:c>
      <x:c r="J408" t="str">
        <x:v>https://dl.smwcentral.net/33684/Turkey.zip</x:v>
      </x:c>
    </x:row>
    <x:row r="409">
      <x:c r="A409" t="str">
        <x:v>Day In The Life</x:v>
      </x:c>
      <x:c r="B409" t="str">
        <x:v>Day In The Life</x:v>
      </x:c>
      <x:c r="C409" t="str">
        <x:v>Darkanine</x:v>
      </x:c>
      <x:c r="D409" t="n">
        <x:v>10</x:v>
      </x:c>
      <x:c r="E409" t="str">
        <x:v>Expert</x:v>
      </x:c>
      <x:c r="F409" t="str">
        <x:v>Kaizo</x:v>
      </x:c>
      <x:c r="G409" t="n">
        <x:v>44561</x:v>
      </x:c>
      <x:c r="H409" t="str">
        <x:v>29121</x:v>
      </x:c>
      <x:c r="I409" t="str">
        <x:v>https://www.smwcentral.net/?a=details&amp;id=29121&amp;p=section</x:v>
      </x:c>
      <x:c r="J409" t="str">
        <x:v>https://dl.smwcentral.net/29121/DayInTheLife.zip</x:v>
      </x:c>
    </x:row>
    <x:row r="410">
      <x:c r="A410" t="str">
        <x:v>Day of the Muncher</x:v>
      </x:c>
      <x:c r="B410" t="str">
        <x:v>Day of the Muncher</x:v>
      </x:c>
      <x:c r="C410" t="str">
        <x:v>Dark Prince, Knucklesfan</x:v>
      </x:c>
      <x:c r="D410" t="n">
        <x:v>4</x:v>
      </x:c>
      <x:c r="E410" t="str">
        <x:v>Casual</x:v>
      </x:c>
      <x:c r="F410" t="str">
        <x:v>Standard</x:v>
      </x:c>
      <x:c r="G410" t="n">
        <x:v>44007</x:v>
      </x:c>
      <x:c r="H410" t="str">
        <x:v>23431</x:v>
      </x:c>
      <x:c r="I410" t="str">
        <x:v>https://www.smwcentral.net/?a=details&amp;id=23431&amp;p=section</x:v>
      </x:c>
      <x:c r="J410" t="str">
        <x:v>https://dl.smwcentral.net/23431/DayOfTheMuncher.zip</x:v>
      </x:c>
    </x:row>
    <x:row r="411">
      <x:c r="A411" t="str">
        <x:v>Daymaker: Release From Doomsday</x:v>
      </x:c>
      <x:c r="B411" t="str">
        <x:v>Daymaker: Release From Doomsday</x:v>
      </x:c>
      <x:c r="C411" t="str">
        <x:v>Plasma303</x:v>
      </x:c>
      <x:c r="D411" t="n">
        <x:v>89</x:v>
      </x:c>
      <x:c r="E411" t="str">
        <x:v>Casual</x:v>
      </x:c>
      <x:c r="F411" t="str">
        <x:v>Standard</x:v>
      </x:c>
      <x:c r="G411" t="n">
        <x:v>45638</x:v>
      </x:c>
      <x:c r="H411" t="str">
        <x:v>38884</x:v>
      </x:c>
      <x:c r="I411" t="str">
        <x:v>https://www.smwcentral.net/?a=details&amp;id=38884&amp;p=section</x:v>
      </x:c>
      <x:c r="J411" t="str">
        <x:v>https://dl.smwcentral.net/38884/drfdv1-4-1u.zip</x:v>
      </x:c>
    </x:row>
    <x:row r="412">
      <x:c r="A412" t="str">
        <x:v>Dead Man's Quest - Vagabond to Phantlore Island</x:v>
      </x:c>
      <x:c r="B412" t="str">
        <x:v>Dead Man's Quest - Vagabond to Phantlore Island</x:v>
      </x:c>
      <x:c r="C412" t="str">
        <x:v>Vamperumbra</x:v>
      </x:c>
      <x:c r="D412" t="n">
        <x:v>18</x:v>
      </x:c>
      <x:c r="E412" t="str">
        <x:v>Intermediate</x:v>
      </x:c>
      <x:c r="F412" t="str">
        <x:v>Standard</x:v>
      </x:c>
      <x:c r="G412" t="n">
        <x:v>42615</x:v>
      </x:c>
      <x:c r="H412" t="str">
        <x:v>14329</x:v>
      </x:c>
      <x:c r="I412" t="str">
        <x:v>https://www.smwcentral.net/?a=details&amp;id=14329&amp;p=section</x:v>
      </x:c>
      <x:c r="J412" t="str">
        <x:v>https://dl.smwcentral.net/14329/DMQ.zip</x:v>
      </x:c>
    </x:row>
    <x:row r="413">
      <x:c r="A413" t="str">
        <x:v>Dead-Man Mario World</x:v>
      </x:c>
      <x:c r="B413" t="str">
        <x:v>Dead-Man Mario World</x:v>
      </x:c>
      <x:c r="C413" t="str">
        <x:v>Uncle Dumbass, gamed9x</x:v>
      </x:c>
      <x:c r="D413" t="n">
        <x:v>7</x:v>
      </x:c>
      <x:c r="E413" t="str">
        <x:v>Casual</x:v>
      </x:c>
      <x:c r="F413" t="str">
        <x:v>Standard</x:v>
      </x:c>
      <x:c r="G413" t="n">
        <x:v>42134</x:v>
      </x:c>
      <x:c r="H413" t="str">
        <x:v>11304</x:v>
      </x:c>
      <x:c r="I413" t="str">
        <x:v>https://www.smwcentral.net/?a=details&amp;id=11304&amp;p=section</x:v>
      </x:c>
      <x:c r="J413" t="str">
        <x:v>https://dl.smwcentral.net/11304/deadman_mario.zip</x:v>
      </x:c>
    </x:row>
    <x:row r="414">
      <x:c r="A414" t="str">
        <x:v>Dearly Detested</x:v>
      </x:c>
      <x:c r="B414" t="str">
        <x:v>Dearly Detested</x:v>
      </x:c>
      <x:c r="C414" t="str">
        <x:v>Lazy</x:v>
      </x:c>
      <x:c r="D414" t="n">
        <x:v>0</x:v>
      </x:c>
      <x:c r="E414" t="str">
        <x:v>Master</x:v>
      </x:c>
      <x:c r="F414" t="str">
        <x:v>Kaizo</x:v>
      </x:c>
      <x:c r="G414" t="n">
        <x:v>46072</x:v>
      </x:c>
      <x:c r="H414" t="str">
        <x:v>41540</x:v>
      </x:c>
      <x:c r="I414" t="str">
        <x:v>https://www.smwcentral.net/?a=details&amp;id=41540&amp;p=section</x:v>
      </x:c>
      <x:c r="J414" t="str">
        <x:v>https://dl.smwcentral.net/41540/Dearly%20Detested.zip</x:v>
      </x:c>
    </x:row>
    <x:row r="415">
      <x:c r="A415" t="str">
        <x:v>Death of a Plumber</x:v>
      </x:c>
      <x:c r="B415" t="str">
        <x:v>Death of a Plumber</x:v>
      </x:c>
      <x:c r="C415" t="str">
        <x:v>cur</x:v>
      </x:c>
      <x:c r="D415" t="n">
        <x:v>23</x:v>
      </x:c>
      <x:c r="E415" t="str">
        <x:v>Expert</x:v>
      </x:c>
      <x:c r="F415" t="str">
        <x:v>Kaizo</x:v>
      </x:c>
      <x:c r="G415" t="n">
        <x:v>44349</x:v>
      </x:c>
      <x:c r="H415" t="str">
        <x:v>27165</x:v>
      </x:c>
      <x:c r="I415" t="str">
        <x:v>https://www.smwcentral.net/?a=details&amp;id=27165&amp;p=section</x:v>
      </x:c>
      <x:c r="J415" t="str">
        <x:v>https://dl.smwcentral.net/27165/Death%20of%20a%20Plumber%201.2.zip</x:v>
      </x:c>
    </x:row>
    <x:row r="416">
      <x:c r="A416" t="str">
        <x:v>Death Zone</x:v>
      </x:c>
      <x:c r="B416" t="str">
        <x:v>Death Zone</x:v>
      </x:c>
      <x:c r="C416" t="str">
        <x:v>turbofa</x:v>
      </x:c>
      <x:c r="D416" t="n">
        <x:v>11</x:v>
      </x:c>
      <x:c r="E416" t="str">
        <x:v>Advanced</x:v>
      </x:c>
      <x:c r="F416" t="str">
        <x:v>Kaizo, Tool-Assisted</x:v>
      </x:c>
      <x:c r="G416" t="n">
        <x:v>42873</x:v>
      </x:c>
      <x:c r="H416" t="str">
        <x:v>15505</x:v>
      </x:c>
      <x:c r="I416" t="str">
        <x:v>https://www.smwcentral.net/?a=details&amp;id=15505&amp;p=section</x:v>
      </x:c>
      <x:c r="J416" t="str">
        <x:v>https://dl.smwcentral.net/15505/DeathZone.zip</x:v>
      </x:c>
    </x:row>
    <x:row r="417">
      <x:c r="A417" t="str">
        <x:v>Deathshredder</x:v>
      </x:c>
      <x:c r="B417" t="str">
        <x:v>Deathshredder</x:v>
      </x:c>
      <x:c r="C417" t="str">
        <x:v>Reese</x:v>
      </x:c>
      <x:c r="D417" t="n">
        <x:v>1</x:v>
      </x:c>
      <x:c r="E417" t="str">
        <x:v>Expert</x:v>
      </x:c>
      <x:c r="F417" t="str">
        <x:v>Kaizo</x:v>
      </x:c>
      <x:c r="G417" t="n">
        <x:v>45595</x:v>
      </x:c>
      <x:c r="H417" t="str">
        <x:v>38714</x:v>
      </x:c>
      <x:c r="I417" t="str">
        <x:v>https://www.smwcentral.net/?a=details&amp;id=38714&amp;p=section</x:v>
      </x:c>
      <x:c r="J417" t="str">
        <x:v>https://dl.smwcentral.net/38714/Deathshredder.zip</x:v>
      </x:c>
    </x:row>
    <x:row r="418">
      <x:c r="A418" t="str">
        <x:v>DeClock Mario World Remastered</x:v>
      </x:c>
      <x:c r="B418" t="str">
        <x:v>DeClock Mario World Remastered</x:v>
      </x:c>
      <x:c r="C418" t="str">
        <x:v>Sammmoo</x:v>
      </x:c>
      <x:c r="D418" t="n">
        <x:v>20</x:v>
      </x:c>
      <x:c r="E418" t="str">
        <x:v>Expert</x:v>
      </x:c>
      <x:c r="F418" t="str">
        <x:v>Kaizo</x:v>
      </x:c>
      <x:c r="G418" t="n">
        <x:v>44033</x:v>
      </x:c>
      <x:c r="H418" t="str">
        <x:v>23833</x:v>
      </x:c>
      <x:c r="I418" t="str">
        <x:v>https://www.smwcentral.net/?a=details&amp;id=23833&amp;p=section</x:v>
      </x:c>
      <x:c r="J418" t="str">
        <x:v>https://dl.smwcentral.net/23833/DeClock%20Mario%20World%20Remastered%201.1.zip</x:v>
      </x:c>
    </x:row>
    <x:row r="419">
      <x:c r="A419" t="str">
        <x:v>Deep In The Island</x:v>
      </x:c>
      <x:c r="B419" t="str">
        <x:v>Deep In The Island</x:v>
      </x:c>
      <x:c r="C419" t="str">
        <x:v>dashlet</x:v>
      </x:c>
      <x:c r="D419" t="n">
        <x:v>7</x:v>
      </x:c>
      <x:c r="E419" t="str">
        <x:v>Intermediate</x:v>
      </x:c>
      <x:c r="F419" t="str">
        <x:v>Standard</x:v>
      </x:c>
      <x:c r="G419" t="n">
        <x:v>44779</x:v>
      </x:c>
      <x:c r="H419" t="str">
        <x:v>31559</x:v>
      </x:c>
      <x:c r="I419" t="str">
        <x:v>https://www.smwcentral.net/?a=details&amp;id=31559&amp;p=section</x:v>
      </x:c>
      <x:c r="J419" t="str">
        <x:v>https://dl.smwcentral.net/31559/Deep%20In%20The%20Island%20%28Ver%201.1%29.zip</x:v>
      </x:c>
    </x:row>
    <x:row r="420">
      <x:c r="A420" t="str">
        <x:v>DeepDreamWorld</x:v>
      </x:c>
      <x:c r="B420" t="str">
        <x:v>DeepDreamWorld</x:v>
      </x:c>
      <x:c r="C420" t="str">
        <x:v>Dobosco</x:v>
      </x:c>
      <x:c r="D420" t="n">
        <x:v>22</x:v>
      </x:c>
      <x:c r="E420" t="str">
        <x:v>Advanced</x:v>
      </x:c>
      <x:c r="F420" t="str">
        <x:v>Kaizo</x:v>
      </x:c>
      <x:c r="G420" t="n">
        <x:v>43879</x:v>
      </x:c>
      <x:c r="H420" t="str">
        <x:v>22110</x:v>
      </x:c>
      <x:c r="I420" t="str">
        <x:v>https://www.smwcentral.net/?a=details&amp;id=22110&amp;p=section</x:v>
      </x:c>
      <x:c r="J420" t="str">
        <x:v>https://dl.smwcentral.net/22110/DeepDreamWorld.zip</x:v>
      </x:c>
    </x:row>
    <x:row r="421">
      <x:c r="A421" t="str">
        <x:v>DEEZ shells</x:v>
      </x:c>
      <x:c r="B421" t="str">
        <x:v>DEEZ shells</x:v>
      </x:c>
      <x:c r="C421" t="str">
        <x:v>Firstnamebutt</x:v>
      </x:c>
      <x:c r="D421" t="n">
        <x:v>17</x:v>
      </x:c>
      <x:c r="E421" t="str">
        <x:v>Expert</x:v>
      </x:c>
      <x:c r="F421" t="str">
        <x:v>Kaizo</x:v>
      </x:c>
      <x:c r="G421" t="n">
        <x:v>45076</x:v>
      </x:c>
      <x:c r="H421" t="str">
        <x:v>34025</x:v>
      </x:c>
      <x:c r="I421" t="str">
        <x:v>https://www.smwcentral.net/?a=details&amp;id=34025&amp;p=section</x:v>
      </x:c>
      <x:c r="J421" t="str">
        <x:v>https://dl.smwcentral.net/34025/DEEZ%20shells.zip</x:v>
      </x:c>
    </x:row>
    <x:row r="422">
      <x:c r="A422" t="str">
        <x:v>Deja Vu</x:v>
      </x:c>
      <x:c r="B422" t="str">
        <x:v>Deja Vu</x:v>
      </x:c>
      <x:c r="C422" t="str">
        <x:v>Razberry</x:v>
      </x:c>
      <x:c r="D422" t="n">
        <x:v>10</x:v>
      </x:c>
      <x:c r="E422" t="str">
        <x:v>Expert</x:v>
      </x:c>
      <x:c r="F422" t="str">
        <x:v>Kaizo</x:v>
      </x:c>
      <x:c r="G422" t="n">
        <x:v>44817</x:v>
      </x:c>
      <x:c r="H422" t="str">
        <x:v>32023</x:v>
      </x:c>
      <x:c r="I422" t="str">
        <x:v>https://www.smwcentral.net/?a=details&amp;id=32023&amp;p=section</x:v>
      </x:c>
      <x:c r="J422" t="str">
        <x:v>https://dl.smwcentral.net/32023/Deja%20Vu%201.3.zip</x:v>
      </x:c>
    </x:row>
    <x:row r="423">
      <x:c r="A423" t="str">
        <x:v>Delirious Mario</x:v>
      </x:c>
      <x:c r="B423" t="str">
        <x:v>Delirious Mario</x:v>
      </x:c>
      <x:c r="C423" t="str">
        <x:v>ageVerrly</x:v>
      </x:c>
      <x:c r="D423" t="n">
        <x:v>5</x:v>
      </x:c>
      <x:c r="E423" t="str">
        <x:v>Master</x:v>
      </x:c>
      <x:c r="F423" t="str">
        <x:v>Kaizo</x:v>
      </x:c>
      <x:c r="G423" t="n">
        <x:v>44304</x:v>
      </x:c>
      <x:c r="H423" t="str">
        <x:v>26493</x:v>
      </x:c>
      <x:c r="I423" t="str">
        <x:v>https://www.smwcentral.net/?a=details&amp;id=26493&amp;p=section</x:v>
      </x:c>
      <x:c r="J423" t="str">
        <x:v>https://dl.smwcentral.net/26493/delirious.zip</x:v>
      </x:c>
    </x:row>
    <x:row r="424">
      <x:c r="A424" t="str">
        <x:v>Delirium</x:v>
      </x:c>
      <x:c r="B424" t="str">
        <x:v>Delirium</x:v>
      </x:c>
      <x:c r="C424" t="str">
        <x:v>LightAligns</x:v>
      </x:c>
      <x:c r="D424" t="n">
        <x:v>9</x:v>
      </x:c>
      <x:c r="E424" t="str">
        <x:v>Expert</x:v>
      </x:c>
      <x:c r="F424" t="str">
        <x:v>Kaizo</x:v>
      </x:c>
      <x:c r="G424" t="n">
        <x:v>46081</x:v>
      </x:c>
      <x:c r="H424" t="str">
        <x:v>41773</x:v>
      </x:c>
      <x:c r="I424" t="str">
        <x:v>https://www.smwcentral.net/?a=details&amp;id=41773&amp;p=section</x:v>
      </x:c>
      <x:c r="J424" t="str">
        <x:v>https://dl.smwcentral.net/41773/Delirium.zip</x:v>
      </x:c>
    </x:row>
    <x:row r="425">
      <x:c r="A425" t="str">
        <x:v>Demonsul's Fortress</x:v>
      </x:c>
      <x:c r="B425" t="str">
        <x:v>Demonsul's Fortress</x:v>
      </x:c>
      <x:c r="C425" t="str">
        <x:v>Demonsul</x:v>
      </x:c>
      <x:c r="D425" t="n">
        <x:v>1</x:v>
      </x:c>
      <x:c r="E425" t="str">
        <x:v>Intermediate</x:v>
      </x:c>
      <x:c r="F425" t="str">
        <x:v>Standard</x:v>
      </x:c>
      <x:c r="G425" t="n">
        <x:v>42161</x:v>
      </x:c>
      <x:c r="H425" t="str">
        <x:v>9950</x:v>
      </x:c>
      <x:c r="I425" t="str">
        <x:v>https://www.smwcentral.net/?a=details&amp;id=9950&amp;p=section</x:v>
      </x:c>
      <x:c r="J425" t="str">
        <x:v>https://dl.smwcentral.net/9950/DemonsulsFortressDemo2W.zip</x:v>
      </x:c>
    </x:row>
    <x:row r="426">
      <x:c r="A426" t="str">
        <x:v>Denali's Tail</x:v>
      </x:c>
      <x:c r="B426" t="str">
        <x:v>Denali's Tail</x:v>
      </x:c>
      <x:c r="C426" t="str">
        <x:v>Atomic-Citrus</x:v>
      </x:c>
      <x:c r="D426" t="n">
        <x:v>10</x:v>
      </x:c>
      <x:c r="E426" t="str">
        <x:v>Expert</x:v>
      </x:c>
      <x:c r="F426" t="str">
        <x:v>Standard, Kaizo</x:v>
      </x:c>
      <x:c r="G426" t="n">
        <x:v>43817</x:v>
      </x:c>
      <x:c r="H426" t="str">
        <x:v>21639</x:v>
      </x:c>
      <x:c r="I426" t="str">
        <x:v>https://www.smwcentral.net/?a=details&amp;id=21639&amp;p=section</x:v>
      </x:c>
      <x:c r="J426" t="str">
        <x:v>https://dl.smwcentral.net/21639/Denali%27s%20Tail.zip</x:v>
      </x:c>
    </x:row>
    <x:row r="427">
      <x:c r="A427" t="str">
        <x:v>Desert Traveling</x:v>
      </x:c>
      <x:c r="B427" t="str">
        <x:v>Desert Traveling</x:v>
      </x:c>
      <x:c r="C427" t="str">
        <x:v>2362</x:v>
      </x:c>
      <x:c r="D427" t="n">
        <x:v>1</x:v>
      </x:c>
      <x:c r="E427" t="str">
        <x:v>Newcomer</x:v>
      </x:c>
      <x:c r="F427" t="str">
        <x:v>Standard</x:v>
      </x:c>
      <x:c r="G427" t="n">
        <x:v>42339</x:v>
      </x:c>
      <x:c r="H427" t="str">
        <x:v>10541</x:v>
      </x:c>
      <x:c r="I427" t="str">
        <x:v>https://www.smwcentral.net/?a=details&amp;id=10541&amp;p=section</x:v>
      </x:c>
      <x:c r="J427" t="str">
        <x:v>https://dl.smwcentral.net/10541/DesertTraveling.zip</x:v>
      </x:c>
    </x:row>
    <x:row r="428">
      <x:c r="A428" t="str">
        <x:v>Devil's Asylum</x:v>
      </x:c>
      <x:c r="B428" t="str">
        <x:v>Devil's Asylum</x:v>
      </x:c>
      <x:c r="C428" t="str">
        <x:v>TheMorganah</x:v>
      </x:c>
      <x:c r="D428" t="n">
        <x:v>2</x:v>
      </x:c>
      <x:c r="E428" t="str">
        <x:v>Intermediate</x:v>
      </x:c>
      <x:c r="F428" t="str">
        <x:v>Standard</x:v>
      </x:c>
      <x:c r="G428" t="n">
        <x:v>45957</x:v>
      </x:c>
      <x:c r="H428" t="str">
        <x:v>40873</x:v>
      </x:c>
      <x:c r="I428" t="str">
        <x:v>https://www.smwcentral.net/?a=details&amp;id=40873&amp;p=section</x:v>
      </x:c>
      <x:c r="J428" t="str">
        <x:v>https://dl.smwcentral.net/40873/%5B2021%5D%20Devil%27s%20Asylum%20DEMO.zip</x:v>
      </x:c>
    </x:row>
    <x:row r="429">
      <x:c r="A429" t="str">
        <x:v>Diffidence</x:v>
      </x:c>
      <x:c r="B429" t="str">
        <x:v>Diffidence</x:v>
      </x:c>
      <x:c r="C429" t="str">
        <x:v>Firstnamebutt</x:v>
      </x:c>
      <x:c r="D429" t="n">
        <x:v>20</x:v>
      </x:c>
      <x:c r="E429" t="str">
        <x:v>Expert</x:v>
      </x:c>
      <x:c r="F429" t="str">
        <x:v>Kaizo</x:v>
      </x:c>
      <x:c r="G429" t="n">
        <x:v>45463</x:v>
      </x:c>
      <x:c r="H429" t="str">
        <x:v>37981</x:v>
      </x:c>
      <x:c r="I429" t="str">
        <x:v>https://www.smwcentral.net/?a=details&amp;id=37981&amp;p=section</x:v>
      </x:c>
      <x:c r="J429" t="str">
        <x:v>https://dl.smwcentral.net/37981/Diffidence.zip</x:v>
      </x:c>
    </x:row>
    <x:row r="430">
      <x:c r="A430" t="str">
        <x:v>Digital Rage World</x:v>
      </x:c>
      <x:c r="B430" t="str">
        <x:v>Digital Rage World</x:v>
      </x:c>
      <x:c r="C430" t="str">
        <x:v>MarioFan1337</x:v>
      </x:c>
      <x:c r="D430" t="n">
        <x:v>15</x:v>
      </x:c>
      <x:c r="E430" t="str">
        <x:v>Advanced</x:v>
      </x:c>
      <x:c r="F430" t="str">
        <x:v>Kaizo</x:v>
      </x:c>
      <x:c r="G430" t="n">
        <x:v>45635</x:v>
      </x:c>
      <x:c r="H430" t="str">
        <x:v>38888</x:v>
      </x:c>
      <x:c r="I430" t="str">
        <x:v>https://www.smwcentral.net/?a=details&amp;id=38888&amp;p=section</x:v>
      </x:c>
      <x:c r="J430" t="str">
        <x:v>https://dl.smwcentral.net/38888/Digital_Rage_World.zip</x:v>
      </x:c>
    </x:row>
    <x:row r="431">
      <x:c r="A431" t="str">
        <x:v>Dim Spirits: In-Blood - Complete Edition</x:v>
      </x:c>
      <x:c r="B431" t="str">
        <x:v>Dim Spirits: In-Blood - Complete Edition</x:v>
      </x:c>
      <x:c r="C431" t="str">
        <x:v>blackhart</x:v>
      </x:c>
      <x:c r="D431" t="n">
        <x:v>5</x:v>
      </x:c>
      <x:c r="E431" t="str">
        <x:v>Expert</x:v>
      </x:c>
      <x:c r="F431" t="str">
        <x:v>Kaizo</x:v>
      </x:c>
      <x:c r="G431" t="n">
        <x:v>44536</x:v>
      </x:c>
      <x:c r="H431" t="str">
        <x:v>28925</x:v>
      </x:c>
      <x:c r="I431" t="str">
        <x:v>https://www.smwcentral.net/?a=details&amp;id=28925&amp;p=section</x:v>
      </x:c>
      <x:c r="J431" t="str">
        <x:v>https://dl.smwcentral.net/28925/Dim%20Spirits.zip</x:v>
      </x:c>
    </x:row>
    <x:row r="432">
      <x:c r="A432" t="str">
        <x:v>DINGS</x:v>
      </x:c>
      <x:c r="B432" t="str">
        <x:v>DINGS</x:v>
      </x:c>
      <x:c r="C432" t="str">
        <x:v>neidoodle</x:v>
      </x:c>
      <x:c r="D432" t="n">
        <x:v>3</x:v>
      </x:c>
      <x:c r="E432" t="str">
        <x:v>Casual</x:v>
      </x:c>
      <x:c r="F432" t="str">
        <x:v>Standard</x:v>
      </x:c>
      <x:c r="G432" t="n">
        <x:v>42270</x:v>
      </x:c>
      <x:c r="H432" t="str">
        <x:v>12147</x:v>
      </x:c>
      <x:c r="I432" t="str">
        <x:v>https://www.smwcentral.net/?a=details&amp;id=12147&amp;p=section</x:v>
      </x:c>
      <x:c r="J432" t="str">
        <x:v>https://dl.smwcentral.net/12147/DINGS.zip</x:v>
      </x:c>
    </x:row>
    <x:row r="433">
      <x:c r="A433" t="str">
        <x:v>Dininho World</x:v>
      </x:c>
      <x:c r="B433" t="str">
        <x:v>Dininho World</x:v>
      </x:c>
      <x:c r="C433" t="str">
        <x:v>MIRANHA</x:v>
      </x:c>
      <x:c r="D433" t="n">
        <x:v>9</x:v>
      </x:c>
      <x:c r="E433" t="str">
        <x:v>Expert</x:v>
      </x:c>
      <x:c r="F433" t="str">
        <x:v>Kaizo</x:v>
      </x:c>
      <x:c r="G433" t="n">
        <x:v>43860</x:v>
      </x:c>
      <x:c r="H433" t="str">
        <x:v>22036</x:v>
      </x:c>
      <x:c r="I433" t="str">
        <x:v>https://www.smwcentral.net/?a=details&amp;id=22036&amp;p=section</x:v>
      </x:c>
      <x:c r="J433" t="str">
        <x:v>https://dl.smwcentral.net/22036/dininhoworld.zip</x:v>
      </x:c>
    </x:row>
    <x:row r="434">
      <x:c r="A434" t="str">
        <x:v>Dinomar: Adventure of a SMWCentral User</x:v>
      </x:c>
      <x:c r="B434" t="str">
        <x:v>Dinomar: Adventure of a SMWCentral User</x:v>
      </x:c>
      <x:c r="C434" t="str">
        <x:v>Saturn the Donkey</x:v>
      </x:c>
      <x:c r="D434" t="n">
        <x:v>20</x:v>
      </x:c>
      <x:c r="E434" t="str">
        <x:v>Casual</x:v>
      </x:c>
      <x:c r="F434" t="str">
        <x:v>Standard</x:v>
      </x:c>
      <x:c r="G434" t="n">
        <x:v>42276</x:v>
      </x:c>
      <x:c r="H434" t="str">
        <x:v>10087</x:v>
      </x:c>
      <x:c r="I434" t="str">
        <x:v>https://www.smwcentral.net/?a=details&amp;id=10087&amp;p=section</x:v>
      </x:c>
      <x:c r="J434" t="str">
        <x:v>https://dl.smwcentral.net/10087/Dinomar.zip</x:v>
      </x:c>
    </x:row>
    <x:row r="435">
      <x:c r="A435" t="str">
        <x:v>Disk Defrag</x:v>
      </x:c>
      <x:c r="B435" t="str">
        <x:v>Disk Defrag</x:v>
      </x:c>
      <x:c r="C435" t="str">
        <x:v>levelengine</x:v>
      </x:c>
      <x:c r="D435" t="n">
        <x:v>12</x:v>
      </x:c>
      <x:c r="E435" t="str">
        <x:v>Advanced</x:v>
      </x:c>
      <x:c r="F435" t="str">
        <x:v>Standard</x:v>
      </x:c>
      <x:c r="G435" t="n">
        <x:v>44317</x:v>
      </x:c>
      <x:c r="H435" t="str">
        <x:v>25772</x:v>
      </x:c>
      <x:c r="I435" t="str">
        <x:v>https://www.smwcentral.net/?a=details&amp;id=25772&amp;p=section</x:v>
      </x:c>
      <x:c r="J435" t="str">
        <x:v>https://dl.smwcentral.net/25772/DiskDefrag.zip</x:v>
      </x:c>
    </x:row>
    <x:row r="436">
      <x:c r="A436" t="str">
        <x:v>Do The Mario</x:v>
      </x:c>
      <x:c r="B436" t="str">
        <x:v>Do The Mario</x:v>
      </x:c>
      <x:c r="C436" t="str">
        <x:v>Tob</x:v>
      </x:c>
      <x:c r="D436" t="n">
        <x:v>8</x:v>
      </x:c>
      <x:c r="E436" t="str">
        <x:v>Intermediate</x:v>
      </x:c>
      <x:c r="F436" t="str">
        <x:v>Standard</x:v>
      </x:c>
      <x:c r="G436" t="n">
        <x:v>42694</x:v>
      </x:c>
      <x:c r="H436" t="str">
        <x:v>14675</x:v>
      </x:c>
      <x:c r="I436" t="str">
        <x:v>https://www.smwcentral.net/?a=details&amp;id=14675&amp;p=section</x:v>
      </x:c>
      <x:c r="J436" t="str">
        <x:v>https://dl.smwcentral.net/14675/Do%20The%20Mario%20Demo%201.2.2.1.zip</x:v>
      </x:c>
    </x:row>
    <x:row r="437">
      <x:c r="A437" t="str">
        <x:v>domenyX Christmas</x:v>
      </x:c>
      <x:c r="B437" t="str">
        <x:v>domenyX Christmas</x:v>
      </x:c>
      <x:c r="C437" t="str">
        <x:v>LucasMegaStriker, domenyX</x:v>
      </x:c>
      <x:c r="D437" t="n">
        <x:v>8</x:v>
      </x:c>
      <x:c r="E437" t="str">
        <x:v>Casual</x:v>
      </x:c>
      <x:c r="F437" t="str">
        <x:v>Standard</x:v>
      </x:c>
      <x:c r="G437" t="n">
        <x:v>43827</x:v>
      </x:c>
      <x:c r="H437" t="str">
        <x:v>21689</x:v>
      </x:c>
      <x:c r="I437" t="str">
        <x:v>https://www.smwcentral.net/?a=details&amp;id=21689&amp;p=section</x:v>
      </x:c>
      <x:c r="J437" t="str">
        <x:v>https://dl.smwcentral.net/21689/domenyXChristmas.zip</x:v>
      </x:c>
    </x:row>
    <x:row r="438">
      <x:c r="A438" t="str">
        <x:v>domenyX Generations</x:v>
      </x:c>
      <x:c r="B438" t="str">
        <x:v>domenyX Generations</x:v>
      </x:c>
      <x:c r="C438" t="str">
        <x:v>LucasMegaStriker</x:v>
      </x:c>
      <x:c r="D438" t="n">
        <x:v>30</x:v>
      </x:c>
      <x:c r="E438" t="str">
        <x:v>Intermediate</x:v>
      </x:c>
      <x:c r="F438" t="str">
        <x:v>Standard</x:v>
      </x:c>
      <x:c r="G438" t="n">
        <x:v>44617</x:v>
      </x:c>
      <x:c r="H438" t="str">
        <x:v>29956</x:v>
      </x:c>
      <x:c r="I438" t="str">
        <x:v>https://www.smwcentral.net/?a=details&amp;id=29956&amp;p=section</x:v>
      </x:c>
      <x:c r="J438" t="str">
        <x:v>https://dl.smwcentral.net/29956/domenyXGenerations.zip</x:v>
      </x:c>
    </x:row>
    <x:row r="439">
      <x:c r="A439" t="str">
        <x:v>domenyX vs Coronavirus</x:v>
      </x:c>
      <x:c r="B439" t="str">
        <x:v>domenyX vs Coronavirus</x:v>
      </x:c>
      <x:c r="C439" t="str">
        <x:v>LucasMegaStriker</x:v>
      </x:c>
      <x:c r="D439" t="n">
        <x:v>21</x:v>
      </x:c>
      <x:c r="E439" t="str">
        <x:v>Intermediate</x:v>
      </x:c>
      <x:c r="F439" t="str">
        <x:v>Standard</x:v>
      </x:c>
      <x:c r="G439" t="n">
        <x:v>43949</x:v>
      </x:c>
      <x:c r="H439" t="str">
        <x:v>22814</x:v>
      </x:c>
      <x:c r="I439" t="str">
        <x:v>https://www.smwcentral.net/?a=details&amp;id=22814&amp;p=section</x:v>
      </x:c>
      <x:c r="J439" t="str">
        <x:v>https://dl.smwcentral.net/22814/domenyXvsCorona.zip</x:v>
      </x:c>
    </x:row>
    <x:row r="440">
      <x:c r="A440" t="str">
        <x:v>domenyX: Trouble in Paradise</x:v>
      </x:c>
      <x:c r="B440" t="str">
        <x:v>domenyX: Trouble in Paradise</x:v>
      </x:c>
      <x:c r="C440" t="str">
        <x:v>LucasMegaStriker, Mpereira</x:v>
      </x:c>
      <x:c r="D440" t="n">
        <x:v>12</x:v>
      </x:c>
      <x:c r="E440" t="str">
        <x:v>Intermediate</x:v>
      </x:c>
      <x:c r="F440" t="str">
        <x:v>Standard</x:v>
      </x:c>
      <x:c r="G440" t="n">
        <x:v>44414</x:v>
      </x:c>
      <x:c r="H440" t="str">
        <x:v>27847</x:v>
      </x:c>
      <x:c r="I440" t="str">
        <x:v>https://www.smwcentral.net/?a=details&amp;id=27847&amp;p=section</x:v>
      </x:c>
      <x:c r="J440" t="str">
        <x:v>https://dl.smwcentral.net/27847/domenyX_Paradise.zip</x:v>
      </x:c>
    </x:row>
    <x:row r="441">
      <x:c r="A441" t="str">
        <x:v>Don't Dig Down</x:v>
      </x:c>
      <x:c r="B441" t="str">
        <x:v>Don't Dig Down</x:v>
      </x:c>
      <x:c r="C441" t="str">
        <x:v>TheGremlin</x:v>
      </x:c>
      <x:c r="D441" t="n">
        <x:v>2</x:v>
      </x:c>
      <x:c r="E441" t="str">
        <x:v>Intermediate</x:v>
      </x:c>
      <x:c r="F441" t="str">
        <x:v>Standard, Kaizo</x:v>
      </x:c>
      <x:c r="G441" t="n">
        <x:v>45174</x:v>
      </x:c>
      <x:c r="H441" t="str">
        <x:v>34952</x:v>
      </x:c>
      <x:c r="I441" t="str">
        <x:v>https://www.smwcentral.net/?a=details&amp;id=34952&amp;p=section</x:v>
      </x:c>
      <x:c r="J441" t="str">
        <x:v>https://dl.smwcentral.net/34952/DontDigDown%20v7.zip</x:v>
      </x:c>
    </x:row>
    <x:row r="442">
      <x:c r="A442" t="str">
        <x:v>Don't Panic</x:v>
      </x:c>
      <x:c r="B442" t="str">
        <x:v>Don't Panic</x:v>
      </x:c>
      <x:c r="C442" t="str">
        <x:v>Nicoke42</x:v>
      </x:c>
      <x:c r="D442" t="n">
        <x:v>11</x:v>
      </x:c>
      <x:c r="E442" t="str">
        <x:v>Expert</x:v>
      </x:c>
      <x:c r="F442" t="str">
        <x:v>Kaizo</x:v>
      </x:c>
      <x:c r="G442" t="n">
        <x:v>44252</x:v>
      </x:c>
      <x:c r="H442" t="str">
        <x:v>26179</x:v>
      </x:c>
      <x:c r="I442" t="str">
        <x:v>https://www.smwcentral.net/?a=details&amp;id=26179&amp;p=section</x:v>
      </x:c>
      <x:c r="J442" t="str">
        <x:v>https://dl.smwcentral.net/26179/DontPanic.zip</x:v>
      </x:c>
    </x:row>
    <x:row r="443">
      <x:c r="A443" t="str">
        <x:v>Don't Spare the Horses</x:v>
      </x:c>
      <x:c r="B443" t="str">
        <x:v>Don't Spare the Horses</x:v>
      </x:c>
      <x:c r="C443" t="str">
        <x:v>Morsel</x:v>
      </x:c>
      <x:c r="D443" t="n">
        <x:v>8</x:v>
      </x:c>
      <x:c r="E443" t="str">
        <x:v>Master</x:v>
      </x:c>
      <x:c r="F443" t="str">
        <x:v>Kaizo</x:v>
      </x:c>
      <x:c r="G443" t="n">
        <x:v>44420</x:v>
      </x:c>
      <x:c r="H443" t="str">
        <x:v>27833</x:v>
      </x:c>
      <x:c r="I443" t="str">
        <x:v>https://www.smwcentral.net/?a=details&amp;id=27833&amp;p=section</x:v>
      </x:c>
      <x:c r="J443" t="str">
        <x:v>https://dl.smwcentral.net/27833/horses1.2.zip</x:v>
      </x:c>
    </x:row>
    <x:row r="444">
      <x:c r="A444" t="str">
        <x:v>Dongs! The Hack</x:v>
      </x:c>
      <x:c r="B444" t="str">
        <x:v>Dongs! The Hack</x:v>
      </x:c>
      <x:c r="C444" t="str">
        <x:v>The Kins</x:v>
      </x:c>
      <x:c r="D444" t="n">
        <x:v>5</x:v>
      </x:c>
      <x:c r="E444" t="str">
        <x:v>Newcomer</x:v>
      </x:c>
      <x:c r="F444" t="str">
        <x:v>Standard</x:v>
      </x:c>
      <x:c r="G444" t="n">
        <x:v>41462</x:v>
      </x:c>
      <x:c r="H444" t="str">
        <x:v>5224</x:v>
      </x:c>
      <x:c r="I444" t="str">
        <x:v>https://www.smwcentral.net/?a=details&amp;id=5224&amp;p=section</x:v>
      </x:c>
      <x:c r="J444" t="str">
        <x:v>https://dl.smwcentral.net/5224/dongs.zip</x:v>
      </x:c>
    </x:row>
    <x:row r="445">
      <x:c r="A445" t="str">
        <x:v>Donkey Kong 2: The Rise of Jumpman!</x:v>
      </x:c>
      <x:c r="B445" t="str">
        <x:v>Donkey Kong 2: The Rise of Jumpman!</x:v>
      </x:c>
      <x:c r="C445" t="str">
        <x:v>Big Brawler</x:v>
      </x:c>
      <x:c r="D445" t="n">
        <x:v>4</x:v>
      </x:c>
      <x:c r="E445" t="str">
        <x:v>Intermediate</x:v>
      </x:c>
      <x:c r="F445" t="str">
        <x:v>Standard</x:v>
      </x:c>
      <x:c r="G445" t="n">
        <x:v>42933</x:v>
      </x:c>
      <x:c r="H445" t="str">
        <x:v>15853</x:v>
      </x:c>
      <x:c r="I445" t="str">
        <x:v>https://www.smwcentral.net/?a=details&amp;id=15853&amp;p=section</x:v>
      </x:c>
      <x:c r="J445" t="str">
        <x:v>https://dl.smwcentral.net/15853/DK2%20-%20The%20Rise%20of%20Jumpman.zip</x:v>
      </x:c>
    </x:row>
    <x:row r="446">
      <x:c r="A446" t="str">
        <x:v>Donkey Kong 3: Another Rise!</x:v>
      </x:c>
      <x:c r="B446" t="str">
        <x:v>Donkey Kong 3: Another Rise!</x:v>
      </x:c>
      <x:c r="C446" t="str">
        <x:v>Big Brawler</x:v>
      </x:c>
      <x:c r="D446" t="n">
        <x:v>4</x:v>
      </x:c>
      <x:c r="E446" t="str">
        <x:v>Intermediate</x:v>
      </x:c>
      <x:c r="F446" t="str">
        <x:v>Standard</x:v>
      </x:c>
      <x:c r="G446" t="n">
        <x:v>43305</x:v>
      </x:c>
      <x:c r="H446" t="str">
        <x:v>17934</x:v>
      </x:c>
      <x:c r="I446" t="str">
        <x:v>https://www.smwcentral.net/?a=details&amp;id=17934&amp;p=section</x:v>
      </x:c>
      <x:c r="J446" t="str">
        <x:v>https://dl.smwcentral.net/17934/Donkey%20Kong%203%20Another%20Rise%21%20Ver1.3.zip</x:v>
      </x:c>
    </x:row>
    <x:row r="447">
      <x:c r="A447" t="str">
        <x:v>Donkey Kong 4: Rise and Repeat</x:v>
      </x:c>
      <x:c r="B447" t="str">
        <x:v>Donkey Kong 4: Rise and Repeat</x:v>
      </x:c>
      <x:c r="C447" t="str">
        <x:v>Big Brawler</x:v>
      </x:c>
      <x:c r="D447" t="n">
        <x:v>4</x:v>
      </x:c>
      <x:c r="E447" t="str">
        <x:v>Intermediate</x:v>
      </x:c>
      <x:c r="F447" t="str">
        <x:v>Standard</x:v>
      </x:c>
      <x:c r="G447" t="n">
        <x:v>45710</x:v>
      </x:c>
      <x:c r="H447" t="str">
        <x:v>39212</x:v>
      </x:c>
      <x:c r="I447" t="str">
        <x:v>https://www.smwcentral.net/?a=details&amp;id=39212&amp;p=section</x:v>
      </x:c>
      <x:c r="J447" t="str">
        <x:v>https://dl.smwcentral.net/39212/DK4%20Rise%20and%20Repeat.zip</x:v>
      </x:c>
    </x:row>
    <x:row r="448">
      <x:c r="A448" t="str">
        <x:v>Doodlebob's Revenge</x:v>
      </x:c>
      <x:c r="B448" t="str">
        <x:v>Doodlebob's Revenge</x:v>
      </x:c>
      <x:c r="C448" t="str">
        <x:v>Boosius</x:v>
      </x:c>
      <x:c r="D448" t="n">
        <x:v>1</x:v>
      </x:c>
      <x:c r="E448" t="str">
        <x:v>Intermediate</x:v>
      </x:c>
      <x:c r="F448" t="str">
        <x:v>Standard</x:v>
      </x:c>
      <x:c r="G448" t="n">
        <x:v>44362</x:v>
      </x:c>
      <x:c r="H448" t="str">
        <x:v>27143</x:v>
      </x:c>
      <x:c r="I448" t="str">
        <x:v>https://www.smwcentral.net/?a=details&amp;id=27143&amp;p=section</x:v>
      </x:c>
      <x:c r="J448" t="str">
        <x:v>https://dl.smwcentral.net/27143/doodlebob%27s%20revenge.zip</x:v>
      </x:c>
    </x:row>
    <x:row r="449">
      <x:c r="A449" t="str">
        <x:v>Doomscroll</x:v>
      </x:c>
      <x:c r="B449" t="str">
        <x:v>Doomscroll</x:v>
      </x:c>
      <x:c r="C449" t="str">
        <x:v>VLSkoot</x:v>
      </x:c>
      <x:c r="D449" t="n">
        <x:v>19</x:v>
      </x:c>
      <x:c r="E449" t="str">
        <x:v>Expert</x:v>
      </x:c>
      <x:c r="F449" t="str">
        <x:v>Kaizo</x:v>
      </x:c>
      <x:c r="G449" t="n">
        <x:v>46046</x:v>
      </x:c>
      <x:c r="H449" t="str">
        <x:v>41481</x:v>
      </x:c>
      <x:c r="I449" t="str">
        <x:v>https://www.smwcentral.net/?a=details&amp;id=41481&amp;p=section</x:v>
      </x:c>
      <x:c r="J449" t="str">
        <x:v>https://dl.smwcentral.net/41481/Doomscroll.zip</x:v>
      </x:c>
    </x:row>
    <x:row r="450">
      <x:c r="A450" t="str">
        <x:v>Dooooors</x:v>
      </x:c>
      <x:c r="B450" t="str">
        <x:v>Dooooors</x:v>
      </x:c>
      <x:c r="C450" t="str">
        <x:v>Stairkase</x:v>
      </x:c>
      <x:c r="D450" t="n">
        <x:v>21</x:v>
      </x:c>
      <x:c r="E450" t="str">
        <x:v>Advanced</x:v>
      </x:c>
      <x:c r="F450" t="str">
        <x:v>Kaizo</x:v>
      </x:c>
      <x:c r="G450" t="n">
        <x:v>43658</x:v>
      </x:c>
      <x:c r="H450" t="str">
        <x:v>20577</x:v>
      </x:c>
      <x:c r="I450" t="str">
        <x:v>https://www.smwcentral.net/?a=details&amp;id=20577&amp;p=section</x:v>
      </x:c>
      <x:c r="J450" t="str">
        <x:v>https://dl.smwcentral.net/20577/Dooooors.zip</x:v>
      </x:c>
    </x:row>
    <x:row r="451">
      <x:c r="A451" t="str">
        <x:v>Doopliss Revenge</x:v>
      </x:c>
      <x:c r="B451" t="str">
        <x:v>Doopliss Revenge</x:v>
      </x:c>
      <x:c r="C451" t="str">
        <x:v>kirbydavy</x:v>
      </x:c>
      <x:c r="D451" t="n">
        <x:v>4</x:v>
      </x:c>
      <x:c r="E451" t="str">
        <x:v>Casual</x:v>
      </x:c>
      <x:c r="F451" t="str">
        <x:v>Standard</x:v>
      </x:c>
      <x:c r="G451" t="n">
        <x:v>42108</x:v>
      </x:c>
      <x:c r="H451" t="str">
        <x:v>9655</x:v>
      </x:c>
      <x:c r="I451" t="str">
        <x:v>https://www.smwcentral.net/?a=details&amp;id=9655&amp;p=section</x:v>
      </x:c>
      <x:c r="J451" t="str">
        <x:v>https://dl.smwcentral.net/9655/Doopliss%20Revenge.zip</x:v>
      </x:c>
    </x:row>
    <x:row r="452">
      <x:c r="A452" t="str">
        <x:v>Doro Chill</x:v>
      </x:c>
      <x:c r="B452" t="str">
        <x:v>Doro Chill</x:v>
      </x:c>
      <x:c r="C452" t="str">
        <x:v>xLyfu</x:v>
      </x:c>
      <x:c r="D452" t="n">
        <x:v>17</x:v>
      </x:c>
      <x:c r="E452" t="str">
        <x:v>Intermediate</x:v>
      </x:c>
      <x:c r="F452" t="str">
        <x:v>Kaizo</x:v>
      </x:c>
      <x:c r="G452" t="n">
        <x:v>45349</x:v>
      </x:c>
      <x:c r="H452" t="str">
        <x:v>37065</x:v>
      </x:c>
      <x:c r="I452" t="str">
        <x:v>https://www.smwcentral.net/?a=details&amp;id=37065&amp;p=section</x:v>
      </x:c>
      <x:c r="J452" t="str">
        <x:v>https://dl.smwcentral.net/37065/Doro%20Chill.zip</x:v>
      </x:c>
    </x:row>
    <x:row r="453">
      <x:c r="A453" t="str">
        <x:v>Doro Kaizo</x:v>
      </x:c>
      <x:c r="B453" t="str">
        <x:v>Doro Kaizo</x:v>
      </x:c>
      <x:c r="C453" t="str">
        <x:v>Lyfah</x:v>
      </x:c>
      <x:c r="D453" t="n">
        <x:v>20</x:v>
      </x:c>
      <x:c r="E453" t="str">
        <x:v>Expert</x:v>
      </x:c>
      <x:c r="F453" t="str">
        <x:v>Kaizo</x:v>
      </x:c>
      <x:c r="G453" t="n">
        <x:v>44937</x:v>
      </x:c>
      <x:c r="H453" t="str">
        <x:v>32883</x:v>
      </x:c>
      <x:c r="I453" t="str">
        <x:v>https://www.smwcentral.net/?a=details&amp;id=32883&amp;p=section</x:v>
      </x:c>
      <x:c r="J453" t="str">
        <x:v>https://dl.smwcentral.net/32883/Doro%20Kaizo.zip</x:v>
      </x:c>
    </x:row>
    <x:row r="454">
      <x:c r="A454" t="str">
        <x:v>Double Jump Man</x:v>
      </x:c>
      <x:c r="B454" t="str">
        <x:v>Double Jump Man</x:v>
      </x:c>
      <x:c r="C454" t="str">
        <x:v>Morsel</x:v>
      </x:c>
      <x:c r="D454" t="n">
        <x:v>16</x:v>
      </x:c>
      <x:c r="E454" t="str">
        <x:v>Master</x:v>
      </x:c>
      <x:c r="F454" t="str">
        <x:v>Kaizo</x:v>
      </x:c>
      <x:c r="G454" t="n">
        <x:v>44218</x:v>
      </x:c>
      <x:c r="H454" t="str">
        <x:v>26004</x:v>
      </x:c>
      <x:c r="I454" t="str">
        <x:v>https://www.smwcentral.net/?a=details&amp;id=26004&amp;p=section</x:v>
      </x:c>
      <x:c r="J454" t="str">
        <x:v>https://dl.smwcentral.net/26004/double.zip</x:v>
      </x:c>
    </x:row>
    <x:row r="455">
      <x:c r="A455" t="str">
        <x:v>Dr. Mario World Redrawn</x:v>
      </x:c>
      <x:c r="B455" t="str">
        <x:v>Dr. Mario World Redrawn</x:v>
      </x:c>
      <x:c r="C455" t="str">
        <x:v>B.B.Link</x:v>
      </x:c>
      <x:c r="D455" t="n">
        <x:v>60</x:v>
      </x:c>
      <x:c r="E455" t="str">
        <x:v>Casual</x:v>
      </x:c>
      <x:c r="F455" t="str">
        <x:v>Standard</x:v>
      </x:c>
      <x:c r="G455" t="n">
        <x:v>41673</x:v>
      </x:c>
      <x:c r="H455" t="str">
        <x:v>6255</x:v>
      </x:c>
      <x:c r="I455" t="str">
        <x:v>https://www.smwcentral.net/?a=details&amp;id=6255&amp;p=section</x:v>
      </x:c>
      <x:c r="J455" t="str">
        <x:v>https://dl.smwcentral.net/6255/Dr.%20Mario%20World%20Redrawn%20SMWC.zip</x:v>
      </x:c>
    </x:row>
    <x:row r="456">
      <x:c r="A456" t="str">
        <x:v>Dreadshredder</x:v>
      </x:c>
      <x:c r="B456" t="str">
        <x:v>Dreadshredder</x:v>
      </x:c>
      <x:c r="C456" t="str">
        <x:v>Reese</x:v>
      </x:c>
      <x:c r="D456" t="n">
        <x:v>5</x:v>
      </x:c>
      <x:c r="E456" t="str">
        <x:v>Master</x:v>
      </x:c>
      <x:c r="F456" t="str">
        <x:v>Kaizo</x:v>
      </x:c>
      <x:c r="G456" t="n">
        <x:v>45613</x:v>
      </x:c>
      <x:c r="H456" t="str">
        <x:v>38795</x:v>
      </x:c>
      <x:c r="I456" t="str">
        <x:v>https://www.smwcentral.net/?a=details&amp;id=38795&amp;p=section</x:v>
      </x:c>
      <x:c r="J456" t="str">
        <x:v>https://dl.smwcentral.net/38795/Dreadshredder%20v1.01.zip</x:v>
      </x:c>
    </x:row>
    <x:row r="457">
      <x:c r="A457" t="str">
        <x:v>Dream Collider</x:v>
      </x:c>
      <x:c r="B457" t="str">
        <x:v>Dream Collider</x:v>
      </x:c>
      <x:c r="C457" t="str">
        <x:v>VLSkoot</x:v>
      </x:c>
      <x:c r="D457" t="n">
        <x:v>0</x:v>
      </x:c>
      <x:c r="E457" t="str">
        <x:v>Expert</x:v>
      </x:c>
      <x:c r="F457" t="str">
        <x:v>Kaizo</x:v>
      </x:c>
      <x:c r="G457" t="n">
        <x:v>44963</x:v>
      </x:c>
      <x:c r="H457" t="str">
        <x:v>33031</x:v>
      </x:c>
      <x:c r="I457" t="str">
        <x:v>https://www.smwcentral.net/?a=details&amp;id=33031&amp;p=section</x:v>
      </x:c>
      <x:c r="J457" t="str">
        <x:v>https://dl.smwcentral.net/33031/Dream%20Collider.zip</x:v>
      </x:c>
    </x:row>
    <x:row r="458">
      <x:c r="A458" t="str">
        <x:v>Dream Eater</x:v>
      </x:c>
      <x:c r="B458" t="str">
        <x:v>Dream Eater</x:v>
      </x:c>
      <x:c r="C458" t="str">
        <x:v>Sleppy</x:v>
      </x:c>
      <x:c r="D458" t="n">
        <x:v>11</x:v>
      </x:c>
      <x:c r="E458" t="str">
        <x:v>Expert</x:v>
      </x:c>
      <x:c r="F458" t="str">
        <x:v>Kaizo</x:v>
      </x:c>
      <x:c r="G458" t="n">
        <x:v>46105</x:v>
      </x:c>
      <x:c r="H458" t="str">
        <x:v>42023</x:v>
      </x:c>
      <x:c r="I458" t="str">
        <x:v>https://www.smwcentral.net/?a=details&amp;id=42023&amp;p=section</x:v>
      </x:c>
      <x:c r="J458" t="str">
        <x:v>https://dl.smwcentral.net/42023/Dream%20Eater.zip</x:v>
      </x:c>
    </x:row>
    <x:row r="459">
      <x:c r="A459" t="str">
        <x:v>Dreams</x:v>
      </x:c>
      <x:c r="B459" t="str">
        <x:v>Dreams</x:v>
      </x:c>
      <x:c r="C459" t="str">
        <x:v>Panicdream1</x:v>
      </x:c>
      <x:c r="D459" t="n">
        <x:v>15</x:v>
      </x:c>
      <x:c r="E459" t="str">
        <x:v>Advanced</x:v>
      </x:c>
      <x:c r="F459" t="str">
        <x:v>Kaizo</x:v>
      </x:c>
      <x:c r="G459" t="n">
        <x:v>44522</x:v>
      </x:c>
      <x:c r="H459" t="str">
        <x:v>28857</x:v>
      </x:c>
      <x:c r="I459" t="str">
        <x:v>https://www.smwcentral.net/?a=details&amp;id=28857&amp;p=section</x:v>
      </x:c>
      <x:c r="J459" t="str">
        <x:v>https://dl.smwcentral.net/28857/Dreams.zip</x:v>
      </x:c>
    </x:row>
    <x:row r="460">
      <x:c r="A460" t="str">
        <x:v>Dreza Demo 1st Public Release</x:v>
      </x:c>
      <x:c r="B460" t="str">
        <x:v>Dreza Demo 1st Public Release</x:v>
      </x:c>
      <x:c r="C460" t="str">
        <x:v>ADAMEI5TER</x:v>
      </x:c>
      <x:c r="D460" t="n">
        <x:v>5</x:v>
      </x:c>
      <x:c r="E460" t="str">
        <x:v>Expert</x:v>
      </x:c>
      <x:c r="F460" t="str">
        <x:v>Kaizo</x:v>
      </x:c>
      <x:c r="G460" t="n">
        <x:v>45931</x:v>
      </x:c>
      <x:c r="H460" t="str">
        <x:v>40261</x:v>
      </x:c>
      <x:c r="I460" t="str">
        <x:v>https://www.smwcentral.net/?a=details&amp;id=40261&amp;p=section</x:v>
      </x:c>
      <x:c r="J460" t="str">
        <x:v>https://dl.smwcentral.net/40261/drezademo.zip</x:v>
      </x:c>
    </x:row>
    <x:row r="461">
      <x:c r="A461" t="str">
        <x:v>Drive the Desert Bus</x:v>
      </x:c>
      <x:c r="B461" t="str">
        <x:v>Drive the Desert Bus</x:v>
      </x:c>
      <x:c r="C461" t="str">
        <x:v>HuFlungDu</x:v>
      </x:c>
      <x:c r="D461" t="n">
        <x:v>2</x:v>
      </x:c>
      <x:c r="E461" t="str">
        <x:v>Intermediate</x:v>
      </x:c>
      <x:c r="F461" t="str">
        <x:v>Standard</x:v>
      </x:c>
      <x:c r="G461" t="n">
        <x:v>42003</x:v>
      </x:c>
      <x:c r="H461" t="str">
        <x:v>9978</x:v>
      </x:c>
      <x:c r="I461" t="str">
        <x:v>https://www.smwcentral.net/?a=details&amp;id=9978&amp;p=section</x:v>
      </x:c>
      <x:c r="J461" t="str">
        <x:v>https://dl.smwcentral.net/9978/DriveTheDesertBus.zip</x:v>
      </x:c>
    </x:row>
    <x:row r="462">
      <x:c r="A462" t="str">
        <x:v>Drkrdnk World</x:v>
      </x:c>
      <x:c r="B462" t="str">
        <x:v>Drkrdnk World</x:v>
      </x:c>
      <x:c r="C462" t="str">
        <x:v>Desert</x:v>
      </x:c>
      <x:c r="D462" t="n">
        <x:v>25</x:v>
      </x:c>
      <x:c r="E462" t="str">
        <x:v>Advanced</x:v>
      </x:c>
      <x:c r="F462" t="str">
        <x:v>Kaizo</x:v>
      </x:c>
      <x:c r="G462" t="n">
        <x:v>44417</x:v>
      </x:c>
      <x:c r="H462" t="str">
        <x:v>27931</x:v>
      </x:c>
      <x:c r="I462" t="str">
        <x:v>https://www.smwcentral.net/?a=details&amp;id=27931&amp;p=section</x:v>
      </x:c>
      <x:c r="J462" t="str">
        <x:v>https://dl.smwcentral.net/27931/Drkrdnk%20World.zip</x:v>
      </x:c>
    </x:row>
    <x:row r="463">
      <x:c r="A463" t="str">
        <x:v>Duck Island</x:v>
      </x:c>
      <x:c r="B463" t="str">
        <x:v>Duck Island</x:v>
      </x:c>
      <x:c r="C463" t="str">
        <x:v>decentduck</x:v>
      </x:c>
      <x:c r="D463" t="n">
        <x:v>4</x:v>
      </x:c>
      <x:c r="E463" t="str">
        <x:v>Advanced</x:v>
      </x:c>
      <x:c r="F463" t="str">
        <x:v>Kaizo</x:v>
      </x:c>
      <x:c r="G463" t="n">
        <x:v>43534</x:v>
      </x:c>
      <x:c r="H463" t="str">
        <x:v>19263</x:v>
      </x:c>
      <x:c r="I463" t="str">
        <x:v>https://www.smwcentral.net/?a=details&amp;id=19263&amp;p=section</x:v>
      </x:c>
      <x:c r="J463" t="str">
        <x:v>https://dl.smwcentral.net/19263/Duck%20Island.zip</x:v>
      </x:c>
    </x:row>
    <x:row r="464">
      <x:c r="A464" t="str">
        <x:v>Duck Season</x:v>
      </x:c>
      <x:c r="B464" t="str">
        <x:v>Duck Season</x:v>
      </x:c>
      <x:c r="C464" t="str">
        <x:v>2dareduck</x:v>
      </x:c>
      <x:c r="D464" t="n">
        <x:v>11</x:v>
      </x:c>
      <x:c r="E464" t="str">
        <x:v>Master</x:v>
      </x:c>
      <x:c r="F464" t="str">
        <x:v>Kaizo</x:v>
      </x:c>
      <x:c r="G464" t="n">
        <x:v>42124</x:v>
      </x:c>
      <x:c r="H464" t="str">
        <x:v>10895</x:v>
      </x:c>
      <x:c r="I464" t="str">
        <x:v>https://www.smwcentral.net/?a=details&amp;id=10895&amp;p=section</x:v>
      </x:c>
      <x:c r="J464" t="str">
        <x:v>https://dl.smwcentral.net/10895/Duck%20Season.zip</x:v>
      </x:c>
    </x:row>
    <x:row r="465">
      <x:c r="A465" t="str">
        <x:v>dumb</x:v>
      </x:c>
      <x:c r="B465" t="str">
        <x:v>dumb</x:v>
      </x:c>
      <x:c r="C465" t="str">
        <x:v>OEO6</x:v>
      </x:c>
      <x:c r="D465" t="n">
        <x:v>38</x:v>
      </x:c>
      <x:c r="E465" t="str">
        <x:v>Advanced</x:v>
      </x:c>
      <x:c r="F465" t="str">
        <x:v>Standard</x:v>
      </x:c>
      <x:c r="G465" t="n">
        <x:v>43892</x:v>
      </x:c>
      <x:c r="H465" t="str">
        <x:v>22132</x:v>
      </x:c>
      <x:c r="I465" t="str">
        <x:v>https://www.smwcentral.net/?a=details&amp;id=22132&amp;p=section</x:v>
      </x:c>
      <x:c r="J465" t="str">
        <x:v>https://dl.smwcentral.net/22132/dumb.zip</x:v>
      </x:c>
    </x:row>
    <x:row r="466">
      <x:c r="A466" t="str">
        <x:v>Dusty Shells</x:v>
      </x:c>
      <x:c r="B466" t="str">
        <x:v>Dusty Shells</x:v>
      </x:c>
      <x:c r="C466" t="str">
        <x:v>BielDusty</x:v>
      </x:c>
      <x:c r="D466" t="n">
        <x:v>10</x:v>
      </x:c>
      <x:c r="E466" t="str">
        <x:v>Master</x:v>
      </x:c>
      <x:c r="F466" t="str">
        <x:v>Kaizo</x:v>
      </x:c>
      <x:c r="G466" t="n">
        <x:v>45967</x:v>
      </x:c>
      <x:c r="H466" t="str">
        <x:v>40965</x:v>
      </x:c>
      <x:c r="I466" t="str">
        <x:v>https://www.smwcentral.net/?a=details&amp;id=40965&amp;p=section</x:v>
      </x:c>
      <x:c r="J466" t="str">
        <x:v>https://dl.smwcentral.net/40965/Dusty%20Shells.zip</x:v>
      </x:c>
    </x:row>
    <x:row r="467">
      <x:c r="A467" t="str">
        <x:v>Dynamic Mario</x:v>
      </x:c>
      <x:c r="B467" t="str">
        <x:v>Dynamic Mario</x:v>
      </x:c>
      <x:c r="C467" t="str">
        <x:v>Maw</x:v>
      </x:c>
      <x:c r="D467" t="n">
        <x:v>10</x:v>
      </x:c>
      <x:c r="E467" t="str">
        <x:v>Advanced</x:v>
      </x:c>
      <x:c r="F467" t="str">
        <x:v>Kaizo</x:v>
      </x:c>
      <x:c r="G467" t="n">
        <x:v>44677</x:v>
      </x:c>
      <x:c r="H467" t="str">
        <x:v>30589</x:v>
      </x:c>
      <x:c r="I467" t="str">
        <x:v>https://www.smwcentral.net/?a=details&amp;id=30589&amp;p=section</x:v>
      </x:c>
      <x:c r="J467" t="str">
        <x:v>https://dl.smwcentral.net/30589/Dynamic%20Mario1.1.zip</x:v>
      </x:c>
    </x:row>
    <x:row r="468">
      <x:c r="A468" t="str">
        <x:v>Dynasty's Choconilla Seasons Hack</x:v>
      </x:c>
      <x:c r="B468" t="str">
        <x:v>Dynasty's Choconilla Seasons Hack</x:v>
      </x:c>
      <x:c r="C468" t="str">
        <x:v>DynastyLobster</x:v>
      </x:c>
      <x:c r="D468" t="n">
        <x:v>4</x:v>
      </x:c>
      <x:c r="E468" t="str">
        <x:v>Casual</x:v>
      </x:c>
      <x:c r="F468" t="str">
        <x:v>Standard</x:v>
      </x:c>
      <x:c r="G468" t="n">
        <x:v>44493</x:v>
      </x:c>
      <x:c r="H468" t="str">
        <x:v>28586</x:v>
      </x:c>
      <x:c r="I468" t="str">
        <x:v>https://www.smwcentral.net/?a=details&amp;id=28586&amp;p=section</x:v>
      </x:c>
      <x:c r="J468" t="str">
        <x:v>https://dl.smwcentral.net/28586/dynasty_vanilla_hack_1.zip</x:v>
      </x:c>
    </x:row>
    <x:row r="469">
      <x:c r="A469" t="str">
        <x:v>Dysphoria</x:v>
      </x:c>
      <x:c r="B469" t="str">
        <x:v>Dysphoria</x:v>
      </x:c>
      <x:c r="C469" t="str">
        <x:v>shovda</x:v>
      </x:c>
      <x:c r="D469" t="n">
        <x:v>7</x:v>
      </x:c>
      <x:c r="E469" t="str">
        <x:v>Expert</x:v>
      </x:c>
      <x:c r="F469" t="str">
        <x:v>Kaizo</x:v>
      </x:c>
      <x:c r="G469" t="n">
        <x:v>45144</x:v>
      </x:c>
      <x:c r="H469" t="str">
        <x:v>34492</x:v>
      </x:c>
      <x:c r="I469" t="str">
        <x:v>https://www.smwcentral.net/?a=details&amp;id=34492&amp;p=section</x:v>
      </x:c>
      <x:c r="J469" t="str">
        <x:v>https://dl.smwcentral.net/34492/Dysphoria.zip</x:v>
      </x:c>
    </x:row>
    <x:row r="470">
      <x:c r="A470" t="str">
        <x:v>Easy One Screen Puzzle</x:v>
      </x:c>
      <x:c r="B470" t="str">
        <x:v>Easy One Screen Puzzle</x:v>
      </x:c>
      <x:c r="C470" t="str">
        <x:v>Magikey</x:v>
      </x:c>
      <x:c r="D470" t="n">
        <x:v>1</x:v>
      </x:c>
      <x:c r="E470" t="str">
        <x:v>Master</x:v>
      </x:c>
      <x:c r="F470" t="str">
        <x:v>Tool-Assisted, Pit</x:v>
      </x:c>
      <x:c r="G470" t="n">
        <x:v>44087</x:v>
      </x:c>
      <x:c r="H470" t="str">
        <x:v>24535</x:v>
      </x:c>
      <x:c r="I470" t="str">
        <x:v>https://www.smwcentral.net/?a=details&amp;id=24535&amp;p=section</x:v>
      </x:c>
      <x:c r="J470" t="str">
        <x:v>https://dl.smwcentral.net/24535/EasyOneScreenPuzzle.zip</x:v>
      </x:c>
    </x:row>
    <x:row r="471">
      <x:c r="A471" t="str">
        <x:v>Easy Two Screen Puzzle</x:v>
      </x:c>
      <x:c r="B471" t="str">
        <x:v>Easy Two Screen Puzzle</x:v>
      </x:c>
      <x:c r="C471" t="str">
        <x:v>Magikey</x:v>
      </x:c>
      <x:c r="D471" t="n">
        <x:v>3</x:v>
      </x:c>
      <x:c r="E471" t="str">
        <x:v>Grandmaster</x:v>
      </x:c>
      <x:c r="F471" t="str">
        <x:v>Tool-Assisted, Pit</x:v>
      </x:c>
      <x:c r="G471" t="n">
        <x:v>45816</x:v>
      </x:c>
      <x:c r="H471" t="str">
        <x:v>39699</x:v>
      </x:c>
      <x:c r="I471" t="str">
        <x:v>https://www.smwcentral.net/?a=details&amp;id=39699&amp;p=section</x:v>
      </x:c>
      <x:c r="J471" t="str">
        <x:v>https://dl.smwcentral.net/39699/EasyTwoScreenPuzzle.zip</x:v>
      </x:c>
    </x:row>
    <x:row r="472">
      <x:c r="A472" t="str">
        <x:v>Easyland</x:v>
      </x:c>
      <x:c r="B472" t="str">
        <x:v>Easyland</x:v>
      </x:c>
      <x:c r="C472" t="str">
        <x:v>RicardoDeMelo</x:v>
      </x:c>
      <x:c r="D472" t="n">
        <x:v>14</x:v>
      </x:c>
      <x:c r="E472" t="str">
        <x:v>Intermediate</x:v>
      </x:c>
      <x:c r="F472" t="str">
        <x:v>Kaizo</x:v>
      </x:c>
      <x:c r="G472" t="n">
        <x:v>45386</x:v>
      </x:c>
      <x:c r="H472" t="str">
        <x:v>37583</x:v>
      </x:c>
      <x:c r="I472" t="str">
        <x:v>https://www.smwcentral.net/?a=details&amp;id=37583&amp;p=section</x:v>
      </x:c>
      <x:c r="J472" t="str">
        <x:v>https://dl.smwcentral.net/37583/Easyland.zip</x:v>
      </x:c>
    </x:row>
    <x:row r="473">
      <x:c r="A473" t="str">
        <x:v>Easyland 2</x:v>
      </x:c>
      <x:c r="B473" t="str">
        <x:v>Easyland 2</x:v>
      </x:c>
      <x:c r="C473" t="str">
        <x:v>RicardoDeMelo</x:v>
      </x:c>
      <x:c r="D473" t="n">
        <x:v>16</x:v>
      </x:c>
      <x:c r="E473" t="str">
        <x:v>Intermediate</x:v>
      </x:c>
      <x:c r="F473" t="str">
        <x:v>Kaizo</x:v>
      </x:c>
      <x:c r="G473" t="n">
        <x:v>45572</x:v>
      </x:c>
      <x:c r="H473" t="str">
        <x:v>38528</x:v>
      </x:c>
      <x:c r="I473" t="str">
        <x:v>https://www.smwcentral.net/?a=details&amp;id=38528&amp;p=section</x:v>
      </x:c>
      <x:c r="J473" t="str">
        <x:v>https://dl.smwcentral.net/38528/Easyland%202.zip</x:v>
      </x:c>
    </x:row>
    <x:row r="474">
      <x:c r="A474" t="str">
        <x:v>Easyland 3</x:v>
      </x:c>
      <x:c r="B474" t="str">
        <x:v>Easyland 3</x:v>
      </x:c>
      <x:c r="C474" t="str">
        <x:v>RicardoDeMelo</x:v>
      </x:c>
      <x:c r="D474" t="n">
        <x:v>19</x:v>
      </x:c>
      <x:c r="E474" t="str">
        <x:v>Advanced</x:v>
      </x:c>
      <x:c r="F474" t="str">
        <x:v>Kaizo</x:v>
      </x:c>
      <x:c r="G474" t="n">
        <x:v>45996</x:v>
      </x:c>
      <x:c r="H474" t="str">
        <x:v>41159</x:v>
      </x:c>
      <x:c r="I474" t="str">
        <x:v>https://www.smwcentral.net/?a=details&amp;id=41159&amp;p=section</x:v>
      </x:c>
      <x:c r="J474" t="str">
        <x:v>https://dl.smwcentral.net/41159/Easyland%203.zip</x:v>
      </x:c>
    </x:row>
    <x:row r="475">
      <x:c r="A475" t="str">
        <x:v>echoestopia</x:v>
      </x:c>
      <x:c r="B475" t="str">
        <x:v>echoestopia</x:v>
      </x:c>
      <x:c r="C475" t="str">
        <x:v>elwawa</x:v>
      </x:c>
      <x:c r="D475" t="n">
        <x:v>0</x:v>
      </x:c>
      <x:c r="E475" t="str">
        <x:v>Intermediate</x:v>
      </x:c>
      <x:c r="F475" t="str">
        <x:v>Kaizo</x:v>
      </x:c>
      <x:c r="G475" t="n">
        <x:v>46093</x:v>
      </x:c>
      <x:c r="H475" t="str">
        <x:v>41895</x:v>
      </x:c>
      <x:c r="I475" t="str">
        <x:v>https://www.smwcentral.net/?a=details&amp;id=41895&amp;p=section</x:v>
      </x:c>
      <x:c r="J475" t="str">
        <x:v>https://dl.smwcentral.net/41895/echoesto%20topia.zip</x:v>
      </x:c>
    </x:row>
    <x:row r="476">
      <x:c r="A476" t="str">
        <x:v>Eclectic Shell</x:v>
      </x:c>
      <x:c r="B476" t="str">
        <x:v>Eclectic Shell</x:v>
      </x:c>
      <x:c r="C476" t="str">
        <x:v>Firstnamebutt</x:v>
      </x:c>
      <x:c r="D476" t="n">
        <x:v>12</x:v>
      </x:c>
      <x:c r="E476" t="str">
        <x:v>Intermediate</x:v>
      </x:c>
      <x:c r="F476" t="str">
        <x:v>Kaizo</x:v>
      </x:c>
      <x:c r="G476" t="n">
        <x:v>45394</x:v>
      </x:c>
      <x:c r="H476" t="str">
        <x:v>37611</x:v>
      </x:c>
      <x:c r="I476" t="str">
        <x:v>https://www.smwcentral.net/?a=details&amp;id=37611&amp;p=section</x:v>
      </x:c>
      <x:c r="J476" t="str">
        <x:v>https://dl.smwcentral.net/37611/EclecticShellv2.zip</x:v>
      </x:c>
    </x:row>
    <x:row r="477">
      <x:c r="A477" t="str">
        <x:v>EF Land</x:v>
      </x:c>
      <x:c r="B477" t="str">
        <x:v>EF Land</x:v>
      </x:c>
      <x:c r="C477" t="str">
        <x:v>Electrofire</x:v>
      </x:c>
      <x:c r="D477" t="n">
        <x:v>6</x:v>
      </x:c>
      <x:c r="E477" t="str">
        <x:v>Newcomer</x:v>
      </x:c>
      <x:c r="F477" t="str">
        <x:v>Standard</x:v>
      </x:c>
      <x:c r="G477" t="n">
        <x:v>42093</x:v>
      </x:c>
      <x:c r="H477" t="str">
        <x:v>9784</x:v>
      </x:c>
      <x:c r="I477" t="str">
        <x:v>https://www.smwcentral.net/?a=details&amp;id=9784&amp;p=section</x:v>
      </x:c>
      <x:c r="J477" t="str">
        <x:v>https://dl.smwcentral.net/9784/EF_Land.zip</x:v>
      </x:c>
    </x:row>
    <x:row r="478">
      <x:c r="A478" t="str">
        <x:v>Effortworld</x:v>
      </x:c>
      <x:c r="B478" t="str">
        <x:v>Effortworld</x:v>
      </x:c>
      <x:c r="C478" t="str">
        <x:v>JUMP Team</x:v>
      </x:c>
      <x:c r="D478" t="n">
        <x:v>57</x:v>
      </x:c>
      <x:c r="E478" t="str">
        <x:v>Expert</x:v>
      </x:c>
      <x:c r="F478" t="str">
        <x:v>Standard</x:v>
      </x:c>
      <x:c r="G478" t="n">
        <x:v>45151</x:v>
      </x:c>
      <x:c r="H478" t="str">
        <x:v>34383</x:v>
      </x:c>
      <x:c r="I478" t="str">
        <x:v>https://www.smwcentral.net/?a=details&amp;id=34383&amp;p=section</x:v>
      </x:c>
      <x:c r="J478" t="str">
        <x:v>https://dl.smwcentral.net/34383/effortworld.zip</x:v>
      </x:c>
    </x:row>
    <x:row r="479">
      <x:c r="A479" t="str">
        <x:v>EGO WORLD</x:v>
      </x:c>
      <x:c r="B479" t="str">
        <x:v>EGO WORLD</x:v>
      </x:c>
      <x:c r="C479" t="str">
        <x:v>mmmdoggy</x:v>
      </x:c>
      <x:c r="D479" t="n">
        <x:v>10</x:v>
      </x:c>
      <x:c r="E479" t="str">
        <x:v>Advanced</x:v>
      </x:c>
      <x:c r="F479" t="str">
        <x:v>Kaizo</x:v>
      </x:c>
      <x:c r="G479" t="n">
        <x:v>45534</x:v>
      </x:c>
      <x:c r="H479" t="str">
        <x:v>38298</x:v>
      </x:c>
      <x:c r="I479" t="str">
        <x:v>https://www.smwcentral.net/?a=details&amp;id=38298&amp;p=section</x:v>
      </x:c>
      <x:c r="J479" t="str">
        <x:v>https://dl.smwcentral.net/38298/EGO%20WORLD.zip</x:v>
      </x:c>
    </x:row>
    <x:row r="480">
      <x:c r="A480" t="str">
        <x:v>Eh</x:v>
      </x:c>
      <x:c r="B480" t="str">
        <x:v>Eh</x:v>
      </x:c>
      <x:c r="C480" t="str">
        <x:v>RussianMan</x:v>
      </x:c>
      <x:c r="D480" t="n">
        <x:v>8</x:v>
      </x:c>
      <x:c r="E480" t="str">
        <x:v>Expert</x:v>
      </x:c>
      <x:c r="F480" t="str">
        <x:v>Kaizo</x:v>
      </x:c>
      <x:c r="G480" t="n">
        <x:v>45883</x:v>
      </x:c>
      <x:c r="H480" t="str">
        <x:v>40018</x:v>
      </x:c>
      <x:c r="I480" t="str">
        <x:v>https://www.smwcentral.net/?a=details&amp;id=40018&amp;p=section</x:v>
      </x:c>
      <x:c r="J480" t="str">
        <x:v>https://dl.smwcentral.net/40018/Eh%20v1.2.zip</x:v>
      </x:c>
    </x:row>
    <x:row r="481">
      <x:c r="A481" t="str">
        <x:v>Eidolon</x:v>
      </x:c>
      <x:c r="B481" t="str">
        <x:v>Eidolon</x:v>
      </x:c>
      <x:c r="C481" t="str">
        <x:v>ageVerrly</x:v>
      </x:c>
      <x:c r="D481" t="n">
        <x:v>50</x:v>
      </x:c>
      <x:c r="E481" t="str">
        <x:v>Master</x:v>
      </x:c>
      <x:c r="F481" t="str">
        <x:v>Standard, Kaizo</x:v>
      </x:c>
      <x:c r="G481" t="n">
        <x:v>45457</x:v>
      </x:c>
      <x:c r="H481" t="str">
        <x:v>35343</x:v>
      </x:c>
      <x:c r="I481" t="str">
        <x:v>https://www.smwcentral.net/?a=details&amp;id=35343&amp;p=section</x:v>
      </x:c>
      <x:c r="J481" t="str">
        <x:v>https://dl.smwcentral.net/35343/hack.zip</x:v>
      </x:c>
    </x:row>
    <x:row r="482">
      <x:c r="A482" t="str">
        <x:v>Eikro: The Children of Darloum</x:v>
      </x:c>
      <x:c r="B482" t="str">
        <x:v>Eikro: The Children of Darloum</x:v>
      </x:c>
      <x:c r="C482" t="str">
        <x:v>Jordan</x:v>
      </x:c>
      <x:c r="D482" t="n">
        <x:v>19</x:v>
      </x:c>
      <x:c r="E482" t="str">
        <x:v>Expert</x:v>
      </x:c>
      <x:c r="F482" t="str">
        <x:v>Kaizo</x:v>
      </x:c>
      <x:c r="G482" t="n">
        <x:v>44940</x:v>
      </x:c>
      <x:c r="H482" t="str">
        <x:v>32913</x:v>
      </x:c>
      <x:c r="I482" t="str">
        <x:v>https://www.smwcentral.net/?a=details&amp;id=32913&amp;p=section</x:v>
      </x:c>
      <x:c r="J482" t="str">
        <x:v>https://dl.smwcentral.net/32913/Eikro%20-%20The%20Children%20of%20Darloum.zip</x:v>
      </x:c>
    </x:row>
    <x:row r="483">
      <x:c r="A483" t="str">
        <x:v>El Dorado</x:v>
      </x:c>
      <x:c r="B483" t="str">
        <x:v>El Dorado</x:v>
      </x:c>
      <x:c r="C483" t="str">
        <x:v>mmBeefStew</x:v>
      </x:c>
      <x:c r="D483" t="n">
        <x:v>10</x:v>
      </x:c>
      <x:c r="E483" t="str">
        <x:v>Expert</x:v>
      </x:c>
      <x:c r="F483" t="str">
        <x:v>Kaizo</x:v>
      </x:c>
      <x:c r="G483" t="n">
        <x:v>44291</x:v>
      </x:c>
      <x:c r="H483" t="str">
        <x:v>26644</x:v>
      </x:c>
      <x:c r="I483" t="str">
        <x:v>https://www.smwcentral.net/?a=details&amp;id=26644&amp;p=section</x:v>
      </x:c>
      <x:c r="J483" t="str">
        <x:v>https://dl.smwcentral.net/26644/El%20Dorado.zip</x:v>
      </x:c>
    </x:row>
    <x:row r="484">
      <x:c r="A484" t="str">
        <x:v>Electra</x:v>
      </x:c>
      <x:c r="B484" t="str">
        <x:v>Electra</x:v>
      </x:c>
      <x:c r="C484" t="str">
        <x:v>WeegeeBen</x:v>
      </x:c>
      <x:c r="D484" t="n">
        <x:v>8</x:v>
      </x:c>
      <x:c r="E484" t="str">
        <x:v>Casual</x:v>
      </x:c>
      <x:c r="F484" t="str">
        <x:v>Standard</x:v>
      </x:c>
      <x:c r="G484" t="n">
        <x:v>41856</x:v>
      </x:c>
      <x:c r="H484" t="str">
        <x:v>6983</x:v>
      </x:c>
      <x:c r="I484" t="str">
        <x:v>https://www.smwcentral.net/?a=details&amp;id=6983&amp;p=section</x:v>
      </x:c>
      <x:c r="J484" t="str">
        <x:v>https://dl.smwcentral.net/6983/Electra%20Demo%20C3.zip</x:v>
      </x:c>
    </x:row>
    <x:row r="485">
      <x:c r="A485" t="str">
        <x:v>Elephants and Snakes and Crocodiles</x:v>
      </x:c>
      <x:c r="B485" t="str">
        <x:v>Elephants and Snakes and Crocodiles</x:v>
      </x:c>
      <x:c r="C485" t="str">
        <x:v>Morsel</x:v>
      </x:c>
      <x:c r="D485" t="n">
        <x:v>13</x:v>
      </x:c>
      <x:c r="E485" t="str">
        <x:v>Master</x:v>
      </x:c>
      <x:c r="F485" t="str">
        <x:v>Kaizo</x:v>
      </x:c>
      <x:c r="G485" t="n">
        <x:v>43538</x:v>
      </x:c>
      <x:c r="H485" t="str">
        <x:v>19167</x:v>
      </x:c>
      <x:c r="I485" t="str">
        <x:v>https://www.smwcentral.net/?a=details&amp;id=19167&amp;p=section</x:v>
      </x:c>
      <x:c r="J485" t="str">
        <x:v>https://dl.smwcentral.net/19167/snakes1.05.zip</x:v>
      </x:c>
    </x:row>
    <x:row r="486">
      <x:c r="A486" t="str">
        <x:v>Elysium Shells</x:v>
      </x:c>
      <x:c r="B486" t="str">
        <x:v>Elysium Shells</x:v>
      </x:c>
      <x:c r="C486" t="str">
        <x:v>Eryck</x:v>
      </x:c>
      <x:c r="D486" t="n">
        <x:v>11</x:v>
      </x:c>
      <x:c r="E486" t="str">
        <x:v>Expert</x:v>
      </x:c>
      <x:c r="F486" t="str">
        <x:v>Kaizo</x:v>
      </x:c>
      <x:c r="G486" t="n">
        <x:v>44694</x:v>
      </x:c>
      <x:c r="H486" t="str">
        <x:v>30888</x:v>
      </x:c>
      <x:c r="I486" t="str">
        <x:v>https://www.smwcentral.net/?a=details&amp;id=30888&amp;p=section</x:v>
      </x:c>
      <x:c r="J486" t="str">
        <x:v>https://dl.smwcentral.net/30888/Elysium%20Shells%20v2.0.zip</x:v>
      </x:c>
    </x:row>
    <x:row r="487">
      <x:c r="A487" t="str">
        <x:v>Empyrean</x:v>
      </x:c>
      <x:c r="B487" t="str">
        <x:v>Empyrean</x:v>
      </x:c>
      <x:c r="C487" t="str">
        <x:v>swissy</x:v>
      </x:c>
      <x:c r="D487" t="n">
        <x:v>12</x:v>
      </x:c>
      <x:c r="E487" t="str">
        <x:v>Expert</x:v>
      </x:c>
      <x:c r="F487" t="str">
        <x:v>Kaizo</x:v>
      </x:c>
      <x:c r="G487" t="n">
        <x:v>44462</x:v>
      </x:c>
      <x:c r="H487" t="str">
        <x:v>28338</x:v>
      </x:c>
      <x:c r="I487" t="str">
        <x:v>https://www.smwcentral.net/?a=details&amp;id=28338&amp;p=section</x:v>
      </x:c>
      <x:c r="J487" t="str">
        <x:v>https://dl.smwcentral.net/28338/Empyrean_v1.0.zip</x:v>
      </x:c>
    </x:row>
    <x:row r="488">
      <x:c r="A488" t="str">
        <x:v>Endeavor</x:v>
      </x:c>
      <x:c r="B488" t="str">
        <x:v>Endeavor</x:v>
      </x:c>
      <x:c r="C488" t="str">
        <x:v>NixKillsMyths</x:v>
      </x:c>
      <x:c r="D488" t="n">
        <x:v>12</x:v>
      </x:c>
      <x:c r="E488" t="str">
        <x:v>Expert</x:v>
      </x:c>
      <x:c r="F488" t="str">
        <x:v>Kaizo</x:v>
      </x:c>
      <x:c r="G488" t="n">
        <x:v>44913</x:v>
      </x:c>
      <x:c r="H488" t="str">
        <x:v>32749</x:v>
      </x:c>
      <x:c r="I488" t="str">
        <x:v>https://www.smwcentral.net/?a=details&amp;id=32749&amp;p=section</x:v>
      </x:c>
      <x:c r="J488" t="str">
        <x:v>https://dl.smwcentral.net/32749/Endeavor%20%281.0%29.zip</x:v>
      </x:c>
    </x:row>
    <x:row r="489">
      <x:c r="A489" t="str">
        <x:v>Enter the Gizzverse</x:v>
      </x:c>
      <x:c r="B489" t="str">
        <x:v>Enter the Gizzverse</x:v>
      </x:c>
      <x:c r="C489" t="str">
        <x:v>kaigem</x:v>
      </x:c>
      <x:c r="D489" t="n">
        <x:v>9</x:v>
      </x:c>
      <x:c r="E489" t="str">
        <x:v>Expert</x:v>
      </x:c>
      <x:c r="F489" t="str">
        <x:v>Kaizo</x:v>
      </x:c>
      <x:c r="G489" t="n">
        <x:v>45337</x:v>
      </x:c>
      <x:c r="H489" t="str">
        <x:v>36871</x:v>
      </x:c>
      <x:c r="I489" t="str">
        <x:v>https://www.smwcentral.net/?a=details&amp;id=36871&amp;p=section</x:v>
      </x:c>
      <x:c r="J489" t="str">
        <x:v>https://dl.smwcentral.net/36871/Enter%20the%20Gizzverse.zip</x:v>
      </x:c>
    </x:row>
    <x:row r="490">
      <x:c r="A490" t="str">
        <x:v>Enter the Void</x:v>
      </x:c>
      <x:c r="B490" t="str">
        <x:v>Enter the Void</x:v>
      </x:c>
      <x:c r="C490" t="str">
        <x:v>Saela</x:v>
      </x:c>
      <x:c r="D490" t="n">
        <x:v>10</x:v>
      </x:c>
      <x:c r="E490" t="str">
        <x:v>Expert</x:v>
      </x:c>
      <x:c r="F490" t="str">
        <x:v>Kaizo</x:v>
      </x:c>
      <x:c r="G490" t="n">
        <x:v>44602</x:v>
      </x:c>
      <x:c r="H490" t="str">
        <x:v>29699</x:v>
      </x:c>
      <x:c r="I490" t="str">
        <x:v>https://www.smwcentral.net/?a=details&amp;id=29699&amp;p=section</x:v>
      </x:c>
      <x:c r="J490" t="str">
        <x:v>https://dl.smwcentral.net/29699/Enter%20the%20Void.zip</x:v>
      </x:c>
    </x:row>
    <x:row r="491">
      <x:c r="A491" t="str">
        <x:v>Entropy</x:v>
      </x:c>
      <x:c r="B491" t="str">
        <x:v>Entropy</x:v>
      </x:c>
      <x:c r="C491" t="str">
        <x:v>drkrdnk</x:v>
      </x:c>
      <x:c r="D491" t="n">
        <x:v>16</x:v>
      </x:c>
      <x:c r="E491" t="str">
        <x:v>Expert</x:v>
      </x:c>
      <x:c r="F491" t="str">
        <x:v>Kaizo</x:v>
      </x:c>
      <x:c r="G491" t="n">
        <x:v>45143</x:v>
      </x:c>
      <x:c r="H491" t="str">
        <x:v>34714</x:v>
      </x:c>
      <x:c r="I491" t="str">
        <x:v>https://www.smwcentral.net/?a=details&amp;id=34714&amp;p=section</x:v>
      </x:c>
      <x:c r="J491" t="str">
        <x:v>https://dl.smwcentral.net/34714/entropy_v101.zip</x:v>
      </x:c>
    </x:row>
    <x:row r="492">
      <x:c r="A492" t="str">
        <x:v>EP</x:v>
      </x:c>
      <x:c r="B492" t="str">
        <x:v>EP</x:v>
      </x:c>
      <x:c r="C492" t="str">
        <x:v>Egadd</x:v>
      </x:c>
      <x:c r="D492" t="n">
        <x:v>7</x:v>
      </x:c>
      <x:c r="E492" t="str">
        <x:v>Casual</x:v>
      </x:c>
      <x:c r="F492" t="str">
        <x:v>Standard</x:v>
      </x:c>
      <x:c r="G492" t="n">
        <x:v>41667</x:v>
      </x:c>
      <x:c r="H492" t="str">
        <x:v>6208</x:v>
      </x:c>
      <x:c r="I492" t="str">
        <x:v>https://www.smwcentral.net/?a=details&amp;id=6208&amp;p=section</x:v>
      </x:c>
      <x:c r="J492" t="str">
        <x:v>https://dl.smwcentral.net/6208/EP.zip</x:v>
      </x:c>
    </x:row>
    <x:row r="493">
      <x:c r="A493" t="str">
        <x:v>Epic Gamer World</x:v>
      </x:c>
      <x:c r="B493" t="str">
        <x:v>Epic Gamer World</x:v>
      </x:c>
      <x:c r="C493" t="str">
        <x:v>Yetibucca</x:v>
      </x:c>
      <x:c r="D493" t="n">
        <x:v>8</x:v>
      </x:c>
      <x:c r="E493" t="str">
        <x:v>Expert</x:v>
      </x:c>
      <x:c r="F493" t="str">
        <x:v>Kaizo</x:v>
      </x:c>
      <x:c r="G493" t="n">
        <x:v>43999</x:v>
      </x:c>
      <x:c r="H493" t="str">
        <x:v>23363</x:v>
      </x:c>
      <x:c r="I493" t="str">
        <x:v>https://www.smwcentral.net/?a=details&amp;id=23363&amp;p=section</x:v>
      </x:c>
      <x:c r="J493" t="str">
        <x:v>https://dl.smwcentral.net/23363/EGW%20V1.1.zip</x:v>
      </x:c>
    </x:row>
    <x:row r="494">
      <x:c r="A494" t="str">
        <x:v>Epiphany</x:v>
      </x:c>
      <x:c r="B494" t="str">
        <x:v>Epiphany</x:v>
      </x:c>
      <x:c r="C494" t="str">
        <x:v>Saela</x:v>
      </x:c>
      <x:c r="D494" t="n">
        <x:v>21</x:v>
      </x:c>
      <x:c r="E494" t="str">
        <x:v>Expert</x:v>
      </x:c>
      <x:c r="F494" t="str">
        <x:v>Kaizo</x:v>
      </x:c>
      <x:c r="G494" t="n">
        <x:v>45654</x:v>
      </x:c>
      <x:c r="H494" t="str">
        <x:v>38966</x:v>
      </x:c>
      <x:c r="I494" t="str">
        <x:v>https://www.smwcentral.net/?a=details&amp;id=38966&amp;p=section</x:v>
      </x:c>
      <x:c r="J494" t="str">
        <x:v>https://dl.smwcentral.net/38966/Epiphany.zip</x:v>
      </x:c>
    </x:row>
    <x:row r="495">
      <x:c r="A495" t="str">
        <x:v>Eroi del passato</x:v>
      </x:c>
      <x:c r="B495" t="str">
        <x:v>Eroi del passato</x:v>
      </x:c>
      <x:c r="C495" t="str">
        <x:v>bluesaint</x:v>
      </x:c>
      <x:c r="D495" t="n">
        <x:v>8</x:v>
      </x:c>
      <x:c r="E495" t="str">
        <x:v>Expert</x:v>
      </x:c>
      <x:c r="F495" t="str">
        <x:v>Kaizo</x:v>
      </x:c>
      <x:c r="G495" t="n">
        <x:v>43789</x:v>
      </x:c>
      <x:c r="H495" t="str">
        <x:v>21512</x:v>
      </x:c>
      <x:c r="I495" t="str">
        <x:v>https://www.smwcentral.net/?a=details&amp;id=21512&amp;p=section</x:v>
      </x:c>
      <x:c r="J495" t="str">
        <x:v>https://dl.smwcentral.net/21512/eroi%20del%20passato.zip</x:v>
      </x:c>
    </x:row>
    <x:row r="496">
      <x:c r="A496" t="str">
        <x:v>Escape from Kudzu Planet</x:v>
      </x:c>
      <x:c r="B496" t="str">
        <x:v>Escape from Kudzu Planet</x:v>
      </x:c>
      <x:c r="C496" t="str">
        <x:v>JudithPrietht</x:v>
      </x:c>
      <x:c r="D496" t="n">
        <x:v>13</x:v>
      </x:c>
      <x:c r="E496" t="str">
        <x:v>Advanced</x:v>
      </x:c>
      <x:c r="F496" t="str">
        <x:v>Kaizo</x:v>
      </x:c>
      <x:c r="G496" t="n">
        <x:v>45126</x:v>
      </x:c>
      <x:c r="H496" t="str">
        <x:v>34176</x:v>
      </x:c>
      <x:c r="I496" t="str">
        <x:v>https://www.smwcentral.net/?a=details&amp;id=34176&amp;p=section</x:v>
      </x:c>
      <x:c r="J496" t="str">
        <x:v>https://dl.smwcentral.net/34176/Escape%20from%20Kudzu%20Planet%201.1.zip</x:v>
      </x:c>
    </x:row>
    <x:row r="497">
      <x:c r="A497" t="str">
        <x:v>ESCAPE FROM LA PLUME</x:v>
      </x:c>
      <x:c r="B497" t="str">
        <x:v>ESCAPE FROM LA PLUME</x:v>
      </x:c>
      <x:c r="C497" t="str">
        <x:v>bonjoursauce, uriel2k3</x:v>
      </x:c>
      <x:c r="D497" t="n">
        <x:v>9</x:v>
      </x:c>
      <x:c r="E497" t="str">
        <x:v>Advanced</x:v>
      </x:c>
      <x:c r="F497" t="str">
        <x:v>Kaizo</x:v>
      </x:c>
      <x:c r="G497" t="n">
        <x:v>46071</x:v>
      </x:c>
      <x:c r="H497" t="str">
        <x:v>41609</x:v>
      </x:c>
      <x:c r="I497" t="str">
        <x:v>https://www.smwcentral.net/?a=details&amp;id=41609&amp;p=section</x:v>
      </x:c>
      <x:c r="J497" t="str">
        <x:v>https://dl.smwcentral.net/41609/Escape%20from%20La%20Plume.zip</x:v>
      </x:c>
    </x:row>
    <x:row r="498">
      <x:c r="A498" t="str">
        <x:v>Eternal Mario World</x:v>
      </x:c>
      <x:c r="B498" t="str">
        <x:v>Eternal Mario World</x:v>
      </x:c>
      <x:c r="C498" t="str">
        <x:v>Aguni_</x:v>
      </x:c>
      <x:c r="D498" t="n">
        <x:v>4</x:v>
      </x:c>
      <x:c r="E498" t="str">
        <x:v>Expert</x:v>
      </x:c>
      <x:c r="F498" t="str">
        <x:v>Kaizo</x:v>
      </x:c>
      <x:c r="G498" t="n">
        <x:v>42950</x:v>
      </x:c>
      <x:c r="H498" t="str">
        <x:v>15985</x:v>
      </x:c>
      <x:c r="I498" t="str">
        <x:v>https://www.smwcentral.net/?a=details&amp;id=15985&amp;p=section</x:v>
      </x:c>
      <x:c r="J498" t="str">
        <x:v>https://dl.smwcentral.net/15985/Eternal%20Mario%20World.zip</x:v>
      </x:c>
    </x:row>
    <x:row r="499">
      <x:c r="A499" t="str">
        <x:v>Eternal Nightfall</x:v>
      </x:c>
      <x:c r="B499" t="str">
        <x:v>Eternal Nightfall</x:v>
      </x:c>
      <x:c r="C499" t="str">
        <x:v>superwiidude</x:v>
      </x:c>
      <x:c r="D499" t="n">
        <x:v>5</x:v>
      </x:c>
      <x:c r="E499" t="str">
        <x:v>Casual</x:v>
      </x:c>
      <x:c r="F499" t="str">
        <x:v>Standard</x:v>
      </x:c>
      <x:c r="G499" t="n">
        <x:v>42657</x:v>
      </x:c>
      <x:c r="H499" t="str">
        <x:v>14533</x:v>
      </x:c>
      <x:c r="I499" t="str">
        <x:v>https://www.smwcentral.net/?a=details&amp;id=14533&amp;p=section</x:v>
      </x:c>
      <x:c r="J499" t="str">
        <x:v>https://dl.smwcentral.net/14533/eternal%20nightfall.zip</x:v>
      </x:c>
    </x:row>
    <x:row r="500">
      <x:c r="A500" t="str">
        <x:v>Eudaimonia</x:v>
      </x:c>
      <x:c r="B500" t="str">
        <x:v>Eudaimonia</x:v>
      </x:c>
      <x:c r="C500" t="str">
        <x:v>NerDose</x:v>
      </x:c>
      <x:c r="D500" t="n">
        <x:v>10</x:v>
      </x:c>
      <x:c r="E500" t="str">
        <x:v>Expert</x:v>
      </x:c>
      <x:c r="F500" t="str">
        <x:v>Kaizo</x:v>
      </x:c>
      <x:c r="G500" t="n">
        <x:v>44755</x:v>
      </x:c>
      <x:c r="H500" t="str">
        <x:v>31318</x:v>
      </x:c>
      <x:c r="I500" t="str">
        <x:v>https://www.smwcentral.net/?a=details&amp;id=31318&amp;p=section</x:v>
      </x:c>
      <x:c r="J500" t="str">
        <x:v>https://dl.smwcentral.net/31318/Eudaimonia.zip</x:v>
      </x:c>
    </x:row>
    <x:row r="501">
      <x:c r="A501" t="str">
        <x:v>Euphoria Isle</x:v>
      </x:c>
      <x:c r="B501" t="str">
        <x:v>Euphoria Isle</x:v>
      </x:c>
      <x:c r="C501" t="str">
        <x:v>Caracc, Crispy, NoelYoshi, Spud Alpha, SyStemkraSh, Zildjian</x:v>
      </x:c>
      <x:c r="D501" t="n">
        <x:v>12</x:v>
      </x:c>
      <x:c r="E501" t="str">
        <x:v>Casual</x:v>
      </x:c>
      <x:c r="F501" t="str">
        <x:v>Standard</x:v>
      </x:c>
      <x:c r="G501" t="n">
        <x:v>41535</x:v>
      </x:c>
      <x:c r="H501" t="str">
        <x:v>5499</x:v>
      </x:c>
      <x:c r="I501" t="str">
        <x:v>https://www.smwcentral.net/?a=details&amp;id=5499&amp;p=section</x:v>
      </x:c>
      <x:c r="J501" t="str">
        <x:v>https://dl.smwcentral.net/5499/Euphoria%20Isle.zip</x:v>
      </x:c>
    </x:row>
    <x:row r="502">
      <x:c r="A502" t="str">
        <x:v>EVERY LEVEL IGGY!</x:v>
      </x:c>
      <x:c r="B502" t="str">
        <x:v>EVERY LEVEL IGGY!</x:v>
      </x:c>
      <x:c r="C502" t="str">
        <x:v>Nimono</x:v>
      </x:c>
      <x:c r="D502" t="n">
        <x:v>7</x:v>
      </x:c>
      <x:c r="E502" t="str">
        <x:v>Casual</x:v>
      </x:c>
      <x:c r="F502" t="str">
        <x:v>Standard</x:v>
      </x:c>
      <x:c r="G502" t="n">
        <x:v>42058</x:v>
      </x:c>
      <x:c r="H502" t="str">
        <x:v>9734</x:v>
      </x:c>
      <x:c r="I502" t="str">
        <x:v>https://www.smwcentral.net/?a=details&amp;id=9734&amp;p=section</x:v>
      </x:c>
      <x:c r="J502" t="str">
        <x:v>https://dl.smwcentral.net/9734/EVERY%20LEVEL%20IGGY%21.zip</x:v>
      </x:c>
    </x:row>
    <x:row r="503">
      <x:c r="A503" t="str">
        <x:v>EVERY LEVEL LEMMY!</x:v>
      </x:c>
      <x:c r="B503" t="str">
        <x:v>EVERY LEVEL LEMMY!</x:v>
      </x:c>
      <x:c r="C503" t="str">
        <x:v>mario and luigi</x:v>
      </x:c>
      <x:c r="D503" t="n">
        <x:v>10</x:v>
      </x:c>
      <x:c r="E503" t="str">
        <x:v>Casual</x:v>
      </x:c>
      <x:c r="F503" t="str">
        <x:v>Standard</x:v>
      </x:c>
      <x:c r="G503" t="n">
        <x:v>41885</x:v>
      </x:c>
      <x:c r="H503" t="str">
        <x:v>9038</x:v>
      </x:c>
      <x:c r="I503" t="str">
        <x:v>https://www.smwcentral.net/?a=details&amp;id=9038&amp;p=section</x:v>
      </x:c>
      <x:c r="J503" t="str">
        <x:v>https://dl.smwcentral.net/9038/every%20level%20lemmy%20-%20version%203.zip</x:v>
      </x:c>
    </x:row>
    <x:row r="504">
      <x:c r="A504" t="str">
        <x:v>EVERY LEVEL LUDWIG!</x:v>
      </x:c>
      <x:c r="B504" t="str">
        <x:v>EVERY LEVEL LUDWIG!</x:v>
      </x:c>
      <x:c r="C504" t="str">
        <x:v>Green Jerry</x:v>
      </x:c>
      <x:c r="D504" t="n">
        <x:v>9</x:v>
      </x:c>
      <x:c r="E504" t="str">
        <x:v>Intermediate</x:v>
      </x:c>
      <x:c r="F504" t="str">
        <x:v>Standard</x:v>
      </x:c>
      <x:c r="G504" t="n">
        <x:v>45004</x:v>
      </x:c>
      <x:c r="H504" t="str">
        <x:v>33233</x:v>
      </x:c>
      <x:c r="I504" t="str">
        <x:v>https://www.smwcentral.net/?a=details&amp;id=33233&amp;p=section</x:v>
      </x:c>
      <x:c r="J504" t="str">
        <x:v>https://dl.smwcentral.net/33233/EVERY%20LEVEL%20LUDWIG%21%20%28V1.0.2%29.zip</x:v>
      </x:c>
    </x:row>
    <x:row r="505">
      <x:c r="A505" t="str">
        <x:v>EVERY LEVEL MORTON!</x:v>
      </x:c>
      <x:c r="B505" t="str">
        <x:v>EVERY LEVEL MORTON!</x:v>
      </x:c>
      <x:c r="C505" t="str">
        <x:v>Nimono</x:v>
      </x:c>
      <x:c r="D505" t="n">
        <x:v>9</x:v>
      </x:c>
      <x:c r="E505" t="str">
        <x:v>Casual</x:v>
      </x:c>
      <x:c r="F505" t="str">
        <x:v>Standard</x:v>
      </x:c>
      <x:c r="G505" t="n">
        <x:v>42233</x:v>
      </x:c>
      <x:c r="H505" t="str">
        <x:v>9911</x:v>
      </x:c>
      <x:c r="I505" t="str">
        <x:v>https://www.smwcentral.net/?a=details&amp;id=9911&amp;p=section</x:v>
      </x:c>
      <x:c r="J505" t="str">
        <x:v>https://dl.smwcentral.net/9911/EVERY%20LEVEL%20MORTON%21.zip</x:v>
      </x:c>
    </x:row>
    <x:row r="506">
      <x:c r="A506" t="str">
        <x:v>Everyone's Gone</x:v>
      </x:c>
      <x:c r="B506" t="str">
        <x:v>Everyone's Gone</x:v>
      </x:c>
      <x:c r="C506" t="str">
        <x:v>GamesInTweed</x:v>
      </x:c>
      <x:c r="D506" t="n">
        <x:v>3</x:v>
      </x:c>
      <x:c r="E506" t="str">
        <x:v>Casual</x:v>
      </x:c>
      <x:c r="F506" t="str">
        <x:v>Standard, Puzzle</x:v>
      </x:c>
      <x:c r="G506" t="n">
        <x:v>45958</x:v>
      </x:c>
      <x:c r="H506" t="str">
        <x:v>40892</x:v>
      </x:c>
      <x:c r="I506" t="str">
        <x:v>https://www.smwcentral.net/?a=details&amp;id=40892&amp;p=section</x:v>
      </x:c>
      <x:c r="J506" t="str">
        <x:v>https://dl.smwcentral.net/40892/Everyone%27s%20Gone%20v1.1.zip</x:v>
      </x:c>
    </x:row>
    <x:row r="507">
      <x:c r="A507" t="str">
        <x:v>Everything Is Not All Right</x:v>
      </x:c>
      <x:c r="B507" t="str">
        <x:v>Everything Is Not All Right</x:v>
      </x:c>
      <x:c r="C507" t="str">
        <x:v>Jordan</x:v>
      </x:c>
      <x:c r="D507" t="n">
        <x:v>11</x:v>
      </x:c>
      <x:c r="E507" t="str">
        <x:v>Advanced</x:v>
      </x:c>
      <x:c r="F507" t="str">
        <x:v>Kaizo</x:v>
      </x:c>
      <x:c r="G507" t="n">
        <x:v>44763</x:v>
      </x:c>
      <x:c r="H507" t="str">
        <x:v>31571</x:v>
      </x:c>
      <x:c r="I507" t="str">
        <x:v>https://www.smwcentral.net/?a=details&amp;id=31571&amp;p=section</x:v>
      </x:c>
      <x:c r="J507" t="str">
        <x:v>https://dl.smwcentral.net/31571/Everything%20Is%20Not%20All%20Right.zip</x:v>
      </x:c>
    </x:row>
    <x:row r="508">
      <x:c r="A508" t="str">
        <x:v>Evil Conquest</x:v>
      </x:c>
      <x:c r="B508" t="str">
        <x:v>Evil Conquest</x:v>
      </x:c>
      <x:c r="C508" t="str">
        <x:v>Darkdlp02, Luks</x:v>
      </x:c>
      <x:c r="D508" t="n">
        <x:v>63</x:v>
      </x:c>
      <x:c r="E508" t="str">
        <x:v>Expert</x:v>
      </x:c>
      <x:c r="F508" t="str">
        <x:v>Standard</x:v>
      </x:c>
      <x:c r="G508" t="n">
        <x:v>42230</x:v>
      </x:c>
      <x:c r="H508" t="str">
        <x:v>11946</x:v>
      </x:c>
      <x:c r="I508" t="str">
        <x:v>https://www.smwcentral.net/?a=details&amp;id=11946&amp;p=section</x:v>
      </x:c>
      <x:c r="J508" t="str">
        <x:v>https://dl.smwcentral.net/11946/Evil%20Conquest%20Release%201.9.zip</x:v>
      </x:c>
    </x:row>
    <x:row r="509">
      <x:c r="A509" t="str">
        <x:v>Evil Doopu World</x:v>
      </x:c>
      <x:c r="B509" t="str">
        <x:v>Evil Doopu World</x:v>
      </x:c>
      <x:c r="C509" t="str">
        <x:v>EvilAdmiralKivi</x:v>
      </x:c>
      <x:c r="D509" t="n">
        <x:v>6</x:v>
      </x:c>
      <x:c r="E509" t="str">
        <x:v>Expert</x:v>
      </x:c>
      <x:c r="F509" t="str">
        <x:v>Kaizo</x:v>
      </x:c>
      <x:c r="G509" t="n">
        <x:v>44861</x:v>
      </x:c>
      <x:c r="H509" t="str">
        <x:v>32358</x:v>
      </x:c>
      <x:c r="I509" t="str">
        <x:v>https://www.smwcentral.net/?a=details&amp;id=32358&amp;p=section</x:v>
      </x:c>
      <x:c r="J509" t="str">
        <x:v>https://dl.smwcentral.net/32358/EvilDoopuWorld_v1.0.0.zip</x:v>
      </x:c>
    </x:row>
    <x:row r="510">
      <x:c r="A510" t="str">
        <x:v>Evil Doopu World 2</x:v>
      </x:c>
      <x:c r="B510" t="str">
        <x:v>Evil Doopu World 2</x:v>
      </x:c>
      <x:c r="C510" t="str">
        <x:v>EvilAdmiralKivi</x:v>
      </x:c>
      <x:c r="D510" t="n">
        <x:v>7</x:v>
      </x:c>
      <x:c r="E510" t="str">
        <x:v>Master</x:v>
      </x:c>
      <x:c r="F510" t="str">
        <x:v>Kaizo</x:v>
      </x:c>
      <x:c r="G510" t="n">
        <x:v>45389</x:v>
      </x:c>
      <x:c r="H510" t="str">
        <x:v>37571</x:v>
      </x:c>
      <x:c r="I510" t="str">
        <x:v>https://www.smwcentral.net/?a=details&amp;id=37571&amp;p=section</x:v>
      </x:c>
      <x:c r="J510" t="str">
        <x:v>https://dl.smwcentral.net/37571/evil-doopu-world-2_v1.0.6.zip</x:v>
      </x:c>
    </x:row>
    <x:row r="511">
      <x:c r="A511" t="str">
        <x:v>Evolve or Die</x:v>
      </x:c>
      <x:c r="B511" t="str">
        <x:v>Evolve or Die</x:v>
      </x:c>
      <x:c r="C511" t="str">
        <x:v>MarsAmPear</x:v>
      </x:c>
      <x:c r="D511" t="n">
        <x:v>3</x:v>
      </x:c>
      <x:c r="E511" t="str">
        <x:v>Advanced</x:v>
      </x:c>
      <x:c r="F511" t="str">
        <x:v>Standard, Kaizo</x:v>
      </x:c>
      <x:c r="G511" t="n">
        <x:v>45915</x:v>
      </x:c>
      <x:c r="H511" t="str">
        <x:v>40635</x:v>
      </x:c>
      <x:c r="I511" t="str">
        <x:v>https://www.smwcentral.net/?a=details&amp;id=40635&amp;p=section</x:v>
      </x:c>
      <x:c r="J511" t="str">
        <x:v>https://dl.smwcentral.net/40635/Evolve%20or%20Die.zip</x:v>
      </x:c>
    </x:row>
    <x:row r="512">
      <x:c r="A512" t="str">
        <x:v>EVW</x:v>
      </x:c>
      <x:c r="B512" t="str">
        <x:v>EVW</x:v>
      </x:c>
      <x:c r="C512" t="str">
        <x:v>Snifit</x:v>
      </x:c>
      <x:c r="D512" t="n">
        <x:v>15</x:v>
      </x:c>
      <x:c r="E512" t="str">
        <x:v>Intermediate</x:v>
      </x:c>
      <x:c r="F512" t="str">
        <x:v>Standard</x:v>
      </x:c>
      <x:c r="G512" t="n">
        <x:v>42225</x:v>
      </x:c>
      <x:c r="H512" t="str">
        <x:v>10001</x:v>
      </x:c>
      <x:c r="I512" t="str">
        <x:v>https://www.smwcentral.net/?a=details&amp;id=10001&amp;p=section</x:v>
      </x:c>
      <x:c r="J512" t="str">
        <x:v>https://dl.smwcentral.net/10001/EVW_Updated.zip</x:v>
      </x:c>
    </x:row>
    <x:row r="513">
      <x:c r="A513" t="str">
        <x:v>Exodius</x:v>
      </x:c>
      <x:c r="B513" t="str">
        <x:v>Exodius</x:v>
      </x:c>
      <x:c r="C513" t="str">
        <x:v>Nint</x:v>
      </x:c>
      <x:c r="D513" t="n">
        <x:v>21</x:v>
      </x:c>
      <x:c r="E513" t="str">
        <x:v>Expert</x:v>
      </x:c>
      <x:c r="F513" t="str">
        <x:v>Kaizo</x:v>
      </x:c>
      <x:c r="G513" t="n">
        <x:v>43830</x:v>
      </x:c>
      <x:c r="H513" t="str">
        <x:v>21563</x:v>
      </x:c>
      <x:c r="I513" t="str">
        <x:v>https://www.smwcentral.net/?a=details&amp;id=21563&amp;p=section</x:v>
      </x:c>
      <x:c r="J513" t="str">
        <x:v>https://dl.smwcentral.net/21563/Exodius%201.1.zip</x:v>
      </x:c>
    </x:row>
    <x:row r="514">
      <x:c r="A514" t="str">
        <x:v>Exshellsior</x:v>
      </x:c>
      <x:c r="B514" t="str">
        <x:v>Exshellsior</x:v>
      </x:c>
      <x:c r="C514" t="str">
        <x:v>xLyfu</x:v>
      </x:c>
      <x:c r="D514" t="n">
        <x:v>9</x:v>
      </x:c>
      <x:c r="E514" t="str">
        <x:v>Expert</x:v>
      </x:c>
      <x:c r="F514" t="str">
        <x:v>Kaizo</x:v>
      </x:c>
      <x:c r="G514" t="n">
        <x:v>46014</x:v>
      </x:c>
      <x:c r="H514" t="str">
        <x:v>41309</x:v>
      </x:c>
      <x:c r="I514" t="str">
        <x:v>https://www.smwcentral.net/?a=details&amp;id=41309&amp;p=section</x:v>
      </x:c>
      <x:c r="J514" t="str">
        <x:v>https://dl.smwcentral.net/41309/Exshellsior.zip</x:v>
      </x:c>
    </x:row>
    <x:row r="515">
      <x:c r="A515" t="str">
        <x:v>Extended Interactions</x:v>
      </x:c>
      <x:c r="B515" t="str">
        <x:v>Extended Interactions</x:v>
      </x:c>
      <x:c r="C515" t="str">
        <x:v>GbreezeSunset</x:v>
      </x:c>
      <x:c r="D515" t="n">
        <x:v>24</x:v>
      </x:c>
      <x:c r="E515" t="str">
        <x:v>Expert</x:v>
      </x:c>
      <x:c r="F515" t="str">
        <x:v>Kaizo</x:v>
      </x:c>
      <x:c r="G515" t="n">
        <x:v>45713</x:v>
      </x:c>
      <x:c r="H515" t="str">
        <x:v>39342</x:v>
      </x:c>
      <x:c r="I515" t="str">
        <x:v>https://www.smwcentral.net/?a=details&amp;id=39342&amp;p=section</x:v>
      </x:c>
      <x:c r="J515" t="str">
        <x:v>https://dl.smwcentral.net/39342/Extended%20Interactions%20V1.1.1.zip</x:v>
      </x:c>
    </x:row>
    <x:row r="516">
      <x:c r="A516" t="str">
        <x:v>Extinction Rebellion</x:v>
      </x:c>
      <x:c r="B516" t="str">
        <x:v>Extinction Rebellion</x:v>
      </x:c>
      <x:c r="C516" t="str">
        <x:v>xamen81x</x:v>
      </x:c>
      <x:c r="D516" t="n">
        <x:v>10</x:v>
      </x:c>
      <x:c r="E516" t="str">
        <x:v>Advanced</x:v>
      </x:c>
      <x:c r="F516" t="str">
        <x:v>Kaizo</x:v>
      </x:c>
      <x:c r="G516" t="n">
        <x:v>44439</x:v>
      </x:c>
      <x:c r="H516" t="str">
        <x:v>28119</x:v>
      </x:c>
      <x:c r="I516" t="str">
        <x:v>https://www.smwcentral.net/?a=details&amp;id=28119&amp;p=section</x:v>
      </x:c>
      <x:c r="J516" t="str">
        <x:v>https://dl.smwcentral.net/28119/WinRAR-ZIP-Archiv%20%28neu%29.zip</x:v>
      </x:c>
    </x:row>
    <x:row r="517">
      <x:c r="A517" t="str">
        <x:v>Extreme One-Screen Puzzle</x:v>
      </x:c>
      <x:c r="B517" t="str">
        <x:v>Extreme One-Screen Puzzle</x:v>
      </x:c>
      <x:c r="C517" t="str">
        <x:v>7 up</x:v>
      </x:c>
      <x:c r="D517" t="n">
        <x:v>1</x:v>
      </x:c>
      <x:c r="E517" t="str">
        <x:v>Advanced</x:v>
      </x:c>
      <x:c r="F517" t="str">
        <x:v>Kaizo, Tool-Assisted</x:v>
      </x:c>
      <x:c r="G517" t="n">
        <x:v>43290</x:v>
      </x:c>
      <x:c r="H517" t="str">
        <x:v>17732</x:v>
      </x:c>
      <x:c r="I517" t="str">
        <x:v>https://www.smwcentral.net/?a=details&amp;id=17732&amp;p=section</x:v>
      </x:c>
      <x:c r="J517" t="str">
        <x:v>https://dl.smwcentral.net/17732/Extreme_One_Screen_Puzzle_V1.4.zip</x:v>
      </x:c>
    </x:row>
    <x:row r="518">
      <x:c r="A518" t="str">
        <x:v>EY JUICE</x:v>
      </x:c>
      <x:c r="B518" t="str">
        <x:v>EY JUICE</x:v>
      </x:c>
      <x:c r="C518" t="str">
        <x:v>goosedajuice</x:v>
      </x:c>
      <x:c r="D518" t="n">
        <x:v>29</x:v>
      </x:c>
      <x:c r="E518" t="str">
        <x:v>Advanced</x:v>
      </x:c>
      <x:c r="F518" t="str">
        <x:v>Kaizo</x:v>
      </x:c>
      <x:c r="G518" t="n">
        <x:v>44016</x:v>
      </x:c>
      <x:c r="H518" t="str">
        <x:v>23330</x:v>
      </x:c>
      <x:c r="I518" t="str">
        <x:v>https://www.smwcentral.net/?a=details&amp;id=23330&amp;p=section</x:v>
      </x:c>
      <x:c r="J518" t="str">
        <x:v>https://dl.smwcentral.net/23330/EY_JUICEv1.2.zip</x:v>
      </x:c>
    </x:row>
    <x:row r="519">
      <x:c r="A519" t="str">
        <x:v>Eyeless: Director's Cut + Original</x:v>
      </x:c>
      <x:c r="B519" t="str">
        <x:v>Eyeless: Director's Cut + Original</x:v>
      </x:c>
      <x:c r="C519" t="str">
        <x:v>lolyoshi</x:v>
      </x:c>
      <x:c r="D519" t="n">
        <x:v>5</x:v>
      </x:c>
      <x:c r="E519" t="str">
        <x:v>Casual</x:v>
      </x:c>
      <x:c r="F519" t="str">
        <x:v>Standard</x:v>
      </x:c>
      <x:c r="G519" t="n">
        <x:v>42658</x:v>
      </x:c>
      <x:c r="H519" t="str">
        <x:v>14531</x:v>
      </x:c>
      <x:c r="I519" t="str">
        <x:v>https://www.smwcentral.net/?a=details&amp;id=14531&amp;p=section</x:v>
      </x:c>
      <x:c r="J519" t="str">
        <x:v>https://dl.smwcentral.net/14531/Eyeless.zip</x:v>
      </x:c>
    </x:row>
    <x:row r="520">
      <x:c r="A520" t="str">
        <x:v>EZ Kaizo</x:v>
      </x:c>
      <x:c r="B520" t="str">
        <x:v>EZ Kaizo</x:v>
      </x:c>
      <x:c r="C520" t="str">
        <x:v>blueribbonhighlife</x:v>
      </x:c>
      <x:c r="D520" t="n">
        <x:v>15</x:v>
      </x:c>
      <x:c r="E520" t="str">
        <x:v>Intermediate</x:v>
      </x:c>
      <x:c r="F520" t="str">
        <x:v>Kaizo</x:v>
      </x:c>
      <x:c r="G520" t="n">
        <x:v>44510</x:v>
      </x:c>
      <x:c r="H520" t="str">
        <x:v>28771</x:v>
      </x:c>
      <x:c r="I520" t="str">
        <x:v>https://www.smwcentral.net/?a=details&amp;id=28771&amp;p=section</x:v>
      </x:c>
      <x:c r="J520" t="str">
        <x:v>https://dl.smwcentral.net/28771/EZ%20Kaizo%201.0.zip</x:v>
      </x:c>
    </x:row>
    <x:row r="521">
      <x:c r="A521" t="str">
        <x:v>F-Mario: Galaxy Cup</x:v>
      </x:c>
      <x:c r="B521" t="str">
        <x:v>F-Mario: Galaxy Cup</x:v>
      </x:c>
      <x:c r="C521" t="str">
        <x:v>X-King</x:v>
      </x:c>
      <x:c r="D521" t="n">
        <x:v>12</x:v>
      </x:c>
      <x:c r="E521" t="str">
        <x:v>Intermediate</x:v>
      </x:c>
      <x:c r="F521" t="str">
        <x:v>Standard</x:v>
      </x:c>
      <x:c r="G521" t="n">
        <x:v>42104</x:v>
      </x:c>
      <x:c r="H521" t="str">
        <x:v>9724</x:v>
      </x:c>
      <x:c r="I521" t="str">
        <x:v>https://www.smwcentral.net/?a=details&amp;id=9724&amp;p=section</x:v>
      </x:c>
      <x:c r="J521" t="str">
        <x:v>https://dl.smwcentral.net/9724/F-Mario.zip</x:v>
      </x:c>
    </x:row>
    <x:row r="522">
      <x:c r="A522" t="str">
        <x:v>Facedesk!</x:v>
      </x:c>
      <x:c r="B522" t="str">
        <x:v>Facedesk!</x:v>
      </x:c>
      <x:c r="C522" t="str">
        <x:v>Katerpie</x:v>
      </x:c>
      <x:c r="D522" t="n">
        <x:v>9</x:v>
      </x:c>
      <x:c r="E522" t="str">
        <x:v>Advanced</x:v>
      </x:c>
      <x:c r="F522" t="str">
        <x:v>Kaizo, Tool-Assisted</x:v>
      </x:c>
      <x:c r="G522" t="n">
        <x:v>43514</x:v>
      </x:c>
      <x:c r="H522" t="str">
        <x:v>18823</x:v>
      </x:c>
      <x:c r="I522" t="str">
        <x:v>https://www.smwcentral.net/?a=details&amp;id=18823&amp;p=section</x:v>
      </x:c>
      <x:c r="J522" t="str">
        <x:v>https://dl.smwcentral.net/18823/Facedesk.zip</x:v>
      </x:c>
    </x:row>
    <x:row r="523">
      <x:c r="A523" t="str">
        <x:v>Fail World</x:v>
      </x:c>
      <x:c r="B523" t="str">
        <x:v>Fail World</x:v>
      </x:c>
      <x:c r="C523" t="str">
        <x:v>Fyre150, Goon Nation</x:v>
      </x:c>
      <x:c r="D523" t="n">
        <x:v>27</x:v>
      </x:c>
      <x:c r="E523" t="str">
        <x:v>Master</x:v>
      </x:c>
      <x:c r="F523" t="str">
        <x:v>Kaizo</x:v>
      </x:c>
      <x:c r="G523" t="n">
        <x:v>44916</x:v>
      </x:c>
      <x:c r="H523" t="str">
        <x:v>32733</x:v>
      </x:c>
      <x:c r="I523" t="str">
        <x:v>https://www.smwcentral.net/?a=details&amp;id=32733&amp;p=section</x:v>
      </x:c>
      <x:c r="J523" t="str">
        <x:v>https://dl.smwcentral.net/32733/FailWorld.zip</x:v>
      </x:c>
    </x:row>
    <x:row r="524">
      <x:c r="A524" t="str">
        <x:v>Fall Guys World</x:v>
      </x:c>
      <x:c r="B524" t="str">
        <x:v>Fall Guys World</x:v>
      </x:c>
      <x:c r="C524" t="str">
        <x:v>LucasMegaStriker</x:v>
      </x:c>
      <x:c r="D524" t="n">
        <x:v>19</x:v>
      </x:c>
      <x:c r="E524" t="str">
        <x:v>Intermediate</x:v>
      </x:c>
      <x:c r="F524" t="str">
        <x:v>Standard</x:v>
      </x:c>
      <x:c r="G524" t="n">
        <x:v>44120</x:v>
      </x:c>
      <x:c r="H524" t="str">
        <x:v>24854</x:v>
      </x:c>
      <x:c r="I524" t="str">
        <x:v>https://www.smwcentral.net/?a=details&amp;id=24854&amp;p=section</x:v>
      </x:c>
      <x:c r="J524" t="str">
        <x:v>https://dl.smwcentral.net/24854/FallGuysWorld.zip</x:v>
      </x:c>
    </x:row>
    <x:row r="525">
      <x:c r="A525" t="str">
        <x:v>Fantasia</x:v>
      </x:c>
      <x:c r="B525" t="str">
        <x:v>Fantasia</x:v>
      </x:c>
      <x:c r="C525" t="str">
        <x:v>Jukeboxi_</x:v>
      </x:c>
      <x:c r="D525" t="n">
        <x:v>21</x:v>
      </x:c>
      <x:c r="E525" t="str">
        <x:v>Master</x:v>
      </x:c>
      <x:c r="F525" t="str">
        <x:v>Kaizo</x:v>
      </x:c>
      <x:c r="G525" t="n">
        <x:v>45447</x:v>
      </x:c>
      <x:c r="H525" t="str">
        <x:v>37848</x:v>
      </x:c>
      <x:c r="I525" t="str">
        <x:v>https://www.smwcentral.net/?a=details&amp;id=37848&amp;p=section</x:v>
      </x:c>
      <x:c r="J525" t="str">
        <x:v>https://dl.smwcentral.net/37848/Fantasia.zip</x:v>
      </x:c>
    </x:row>
    <x:row r="526">
      <x:c r="A526" t="str">
        <x:v>Far a day, near dismay</x:v>
      </x:c>
      <x:c r="B526" t="str">
        <x:v>Far a day, near dismay</x:v>
      </x:c>
      <x:c r="C526" t="str">
        <x:v>cozyduck</x:v>
      </x:c>
      <x:c r="D526" t="n">
        <x:v>10</x:v>
      </x:c>
      <x:c r="E526" t="str">
        <x:v>Master</x:v>
      </x:c>
      <x:c r="F526" t="str">
        <x:v>Kaizo</x:v>
      </x:c>
      <x:c r="G526" t="n">
        <x:v>45071</x:v>
      </x:c>
      <x:c r="H526" t="str">
        <x:v>33932</x:v>
      </x:c>
      <x:c r="I526" t="str">
        <x:v>https://www.smwcentral.net/?a=details&amp;id=33932&amp;p=section</x:v>
      </x:c>
      <x:c r="J526" t="str">
        <x:v>https://dl.smwcentral.net/33932/faraday.zip</x:v>
      </x:c>
    </x:row>
    <x:row r="527">
      <x:c r="A527" t="str">
        <x:v>Fast Food Kaizo</x:v>
      </x:c>
      <x:c r="B527" t="str">
        <x:v>Fast Food Kaizo</x:v>
      </x:c>
      <x:c r="C527" t="str">
        <x:v>gui</x:v>
      </x:c>
      <x:c r="D527" t="n">
        <x:v>5</x:v>
      </x:c>
      <x:c r="E527" t="str">
        <x:v>Expert</x:v>
      </x:c>
      <x:c r="F527" t="str">
        <x:v>Kaizo</x:v>
      </x:c>
      <x:c r="G527" t="n">
        <x:v>44398</x:v>
      </x:c>
      <x:c r="H527" t="str">
        <x:v>27706</x:v>
      </x:c>
      <x:c r="I527" t="str">
        <x:v>https://www.smwcentral.net/?a=details&amp;id=27706&amp;p=section</x:v>
      </x:c>
      <x:c r="J527" t="str">
        <x:v>https://dl.smwcentral.net/27706/fastfoodkaizov1.1.zip</x:v>
      </x:c>
    </x:row>
    <x:row r="528">
      <x:c r="A528" t="str">
        <x:v>Father's Gift</x:v>
      </x:c>
      <x:c r="B528" t="str">
        <x:v>Father's Gift</x:v>
      </x:c>
      <x:c r="C528" t="str">
        <x:v>fanfan21</x:v>
      </x:c>
      <x:c r="D528" t="n">
        <x:v>24</x:v>
      </x:c>
      <x:c r="E528" t="str">
        <x:v>Intermediate</x:v>
      </x:c>
      <x:c r="F528" t="str">
        <x:v>Kaizo</x:v>
      </x:c>
      <x:c r="G528" t="n">
        <x:v>45664</x:v>
      </x:c>
      <x:c r="H528" t="str">
        <x:v>38986</x:v>
      </x:c>
      <x:c r="I528" t="str">
        <x:v>https://www.smwcentral.net/?a=details&amp;id=38986&amp;p=section</x:v>
      </x:c>
      <x:c r="J528" t="str">
        <x:v>https://dl.smwcentral.net/38986/Hack%20for%20Father.zip</x:v>
      </x:c>
    </x:row>
    <x:row r="529">
      <x:c r="A529" t="str">
        <x:v>Fedora</x:v>
      </x:c>
      <x:c r="B529" t="str">
        <x:v>Fedora</x:v>
      </x:c>
      <x:c r="C529" t="str">
        <x:v>AFH</x:v>
      </x:c>
      <x:c r="D529" t="n">
        <x:v>1</x:v>
      </x:c>
      <x:c r="E529" t="str">
        <x:v>Expert</x:v>
      </x:c>
      <x:c r="F529" t="str">
        <x:v>Kaizo</x:v>
      </x:c>
      <x:c r="G529" t="n">
        <x:v>44302</x:v>
      </x:c>
      <x:c r="H529" t="str">
        <x:v>26571</x:v>
      </x:c>
      <x:c r="I529" t="str">
        <x:v>https://www.smwcentral.net/?a=details&amp;id=26571&amp;p=section</x:v>
      </x:c>
      <x:c r="J529" t="str">
        <x:v>https://dl.smwcentral.net/26571/fedora.zip</x:v>
      </x:c>
    </x:row>
    <x:row r="530">
      <x:c r="A530" t="str">
        <x:v>Feginner</x:v>
      </x:c>
      <x:c r="B530" t="str">
        <x:v>Feginner</x:v>
      </x:c>
      <x:c r="C530" t="str">
        <x:v>CroNo486, mikeeeeee83</x:v>
      </x:c>
      <x:c r="D530" t="n">
        <x:v>11</x:v>
      </x:c>
      <x:c r="E530" t="str">
        <x:v>Advanced</x:v>
      </x:c>
      <x:c r="F530" t="str">
        <x:v>Kaizo</x:v>
      </x:c>
      <x:c r="G530" t="n">
        <x:v>45244</x:v>
      </x:c>
      <x:c r="H530" t="str">
        <x:v>35429</x:v>
      </x:c>
      <x:c r="I530" t="str">
        <x:v>https://www.smwcentral.net/?a=details&amp;id=35429&amp;p=section</x:v>
      </x:c>
      <x:c r="J530" t="str">
        <x:v>https://dl.smwcentral.net/35429/Feginner_v1.2.zip</x:v>
      </x:c>
    </x:row>
    <x:row r="531">
      <x:c r="A531" t="str">
        <x:v>Final Fantasy: Super Moogle World</x:v>
      </x:c>
      <x:c r="B531" t="str">
        <x:v>Final Fantasy: Super Moogle World</x:v>
      </x:c>
      <x:c r="C531" t="str">
        <x:v>Furdabip</x:v>
      </x:c>
      <x:c r="D531" t="n">
        <x:v>60</x:v>
      </x:c>
      <x:c r="E531" t="str">
        <x:v>Casual</x:v>
      </x:c>
      <x:c r="F531" t="str">
        <x:v>Standard</x:v>
      </x:c>
      <x:c r="G531" t="n">
        <x:v>42217</x:v>
      </x:c>
      <x:c r="H531" t="str">
        <x:v>9807</x:v>
      </x:c>
      <x:c r="I531" t="str">
        <x:v>https://www.smwcentral.net/?a=details&amp;id=9807&amp;p=section</x:v>
      </x:c>
      <x:c r="J531" t="str">
        <x:v>https://dl.smwcentral.net/9807/FF-SMW.zip</x:v>
      </x:c>
    </x:row>
    <x:row r="532">
      <x:c r="A532" t="str">
        <x:v>Fire and Ice</x:v>
      </x:c>
      <x:c r="B532" t="str">
        <x:v>Fire and Ice</x:v>
      </x:c>
      <x:c r="C532" t="str">
        <x:v>mason</x:v>
      </x:c>
      <x:c r="D532" t="n">
        <x:v>19</x:v>
      </x:c>
      <x:c r="E532" t="str">
        <x:v>Master</x:v>
      </x:c>
      <x:c r="F532" t="str">
        <x:v>Kaizo</x:v>
      </x:c>
      <x:c r="G532" t="n">
        <x:v>44320</x:v>
      </x:c>
      <x:c r="H532" t="str">
        <x:v>26828</x:v>
      </x:c>
      <x:c r="I532" t="str">
        <x:v>https://www.smwcentral.net/?a=details&amp;id=26828&amp;p=section</x:v>
      </x:c>
      <x:c r="J532" t="str">
        <x:v>https://dl.smwcentral.net/26828/fireandice.zip</x:v>
      </x:c>
    </x:row>
    <x:row r="533">
      <x:c r="A533" t="str">
        <x:v>First Foray</x:v>
      </x:c>
      <x:c r="B533" t="str">
        <x:v>First Foray</x:v>
      </x:c>
      <x:c r="C533" t="str">
        <x:v>15925</x:v>
      </x:c>
      <x:c r="D533" t="n">
        <x:v>5</x:v>
      </x:c>
      <x:c r="E533" t="str">
        <x:v>Casual</x:v>
      </x:c>
      <x:c r="F533" t="str">
        <x:v>Standard</x:v>
      </x:c>
      <x:c r="G533" t="n">
        <x:v>43470</x:v>
      </x:c>
      <x:c r="H533" t="str">
        <x:v>18831</x:v>
      </x:c>
      <x:c r="I533" t="str">
        <x:v>https://www.smwcentral.net/?a=details&amp;id=18831&amp;p=section</x:v>
      </x:c>
      <x:c r="J533" t="str">
        <x:v>https://dl.smwcentral.net/18831/First%20Foray%20C3%20Demo%20v1.1.zip</x:v>
      </x:c>
    </x:row>
    <x:row r="534">
      <x:c r="A534" t="str">
        <x:v>First Step Forward</x:v>
      </x:c>
      <x:c r="B534" t="str">
        <x:v>First Step Forward</x:v>
      </x:c>
      <x:c r="C534" t="str">
        <x:v>LightAligns, Saela</x:v>
      </x:c>
      <x:c r="D534" t="n">
        <x:v>11</x:v>
      </x:c>
      <x:c r="E534" t="str">
        <x:v>Advanced</x:v>
      </x:c>
      <x:c r="F534" t="str">
        <x:v>Kaizo</x:v>
      </x:c>
      <x:c r="G534" t="n">
        <x:v>45603</x:v>
      </x:c>
      <x:c r="H534" t="str">
        <x:v>38728</x:v>
      </x:c>
      <x:c r="I534" t="str">
        <x:v>https://www.smwcentral.net/?a=details&amp;id=38728&amp;p=section</x:v>
      </x:c>
      <x:c r="J534" t="str">
        <x:v>https://dl.smwcentral.net/38728/First%20Step%20Forward.zip</x:v>
      </x:c>
    </x:row>
    <x:row r="535">
      <x:c r="A535" t="str">
        <x:v>Fishing Season 2</x:v>
      </x:c>
      <x:c r="B535" t="str">
        <x:v>Fishing Season 2</x:v>
      </x:c>
      <x:c r="C535" t="str">
        <x:v>MellyMellouange</x:v>
      </x:c>
      <x:c r="D535" t="n">
        <x:v>14</x:v>
      </x:c>
      <x:c r="E535" t="str">
        <x:v>Casual</x:v>
      </x:c>
      <x:c r="F535" t="str">
        <x:v>Standard</x:v>
      </x:c>
      <x:c r="G535" t="n">
        <x:v>42914</x:v>
      </x:c>
      <x:c r="H535" t="str">
        <x:v>15713</x:v>
      </x:c>
      <x:c r="I535" t="str">
        <x:v>https://www.smwcentral.net/?a=details&amp;id=15713&amp;p=section</x:v>
      </x:c>
      <x:c r="J535" t="str">
        <x:v>https://dl.smwcentral.net/15713/Fishing_Season_2.zip</x:v>
      </x:c>
    </x:row>
    <x:row r="536">
      <x:c r="A536" t="str">
        <x:v>Flip The Switch</x:v>
      </x:c>
      <x:c r="B536" t="str">
        <x:v>Flip The Switch</x:v>
      </x:c>
      <x:c r="C536" t="str">
        <x:v>ThirdWall</x:v>
      </x:c>
      <x:c r="D536" t="n">
        <x:v>7</x:v>
      </x:c>
      <x:c r="E536" t="str">
        <x:v>Master</x:v>
      </x:c>
      <x:c r="F536" t="str">
        <x:v>Kaizo</x:v>
      </x:c>
      <x:c r="G536" t="n">
        <x:v>44460</x:v>
      </x:c>
      <x:c r="H536" t="str">
        <x:v>28341</x:v>
      </x:c>
      <x:c r="I536" t="str">
        <x:v>https://www.smwcentral.net/?a=details&amp;id=28341&amp;p=section</x:v>
      </x:c>
      <x:c r="J536" t="str">
        <x:v>https://dl.smwcentral.net/28341/Flip%20The%20Switch.bps.zip</x:v>
      </x:c>
    </x:row>
    <x:row r="537">
      <x:c r="A537" t="str">
        <x:v>FLOATING MUNCHERS SERIES?</x:v>
      </x:c>
      <x:c r="B537" t="str">
        <x:v>FLOATING MUNCHERS SERIES?</x:v>
      </x:c>
      <x:c r="C537" t="str">
        <x:v>Alcaro, Koopster</x:v>
      </x:c>
      <x:c r="D537" t="n">
        <x:v>2</x:v>
      </x:c>
      <x:c r="E537" t="str">
        <x:v>Advanced</x:v>
      </x:c>
      <x:c r="F537" t="str">
        <x:v>Standard</x:v>
      </x:c>
      <x:c r="G537" t="n">
        <x:v>42519</x:v>
      </x:c>
      <x:c r="H537" t="str">
        <x:v>13745</x:v>
      </x:c>
      <x:c r="I537" t="str">
        <x:v>https://www.smwcentral.net/?a=details&amp;id=13745&amp;p=section</x:v>
      </x:c>
      <x:c r="J537" t="str">
        <x:v>https://dl.smwcentral.net/13745/FLOATING%20MUNCHERS.zip</x:v>
      </x:c>
    </x:row>
    <x:row r="538">
      <x:c r="A538" t="str">
        <x:v>FloMcNasty World</x:v>
      </x:c>
      <x:c r="B538" t="str">
        <x:v>FloMcNasty World</x:v>
      </x:c>
      <x:c r="C538" t="str">
        <x:v>AiSnake</x:v>
      </x:c>
      <x:c r="D538" t="n">
        <x:v>11</x:v>
      </x:c>
      <x:c r="E538" t="str">
        <x:v>Advanced</x:v>
      </x:c>
      <x:c r="F538" t="str">
        <x:v>Kaizo</x:v>
      </x:c>
      <x:c r="G538" t="n">
        <x:v>45153</x:v>
      </x:c>
      <x:c r="H538" t="str">
        <x:v>34838</x:v>
      </x:c>
      <x:c r="I538" t="str">
        <x:v>https://www.smwcentral.net/?a=details&amp;id=34838&amp;p=section</x:v>
      </x:c>
      <x:c r="J538" t="str">
        <x:v>https://dl.smwcentral.net/34838/FloMcNastyWorld%20v1.1.bps.zip</x:v>
      </x:c>
    </x:row>
    <x:row r="539">
      <x:c r="A539" t="str">
        <x:v>Fly Me To The Stars</x:v>
      </x:c>
      <x:c r="B539" t="str">
        <x:v>Fly Me To The Stars</x:v>
      </x:c>
      <x:c r="C539" t="str">
        <x:v>CarlSagan42</x:v>
      </x:c>
      <x:c r="D539" t="n">
        <x:v>6</x:v>
      </x:c>
      <x:c r="E539" t="str">
        <x:v>Master</x:v>
      </x:c>
      <x:c r="F539" t="str">
        <x:v>Kaizo</x:v>
      </x:c>
      <x:c r="G539" t="n">
        <x:v>43468</x:v>
      </x:c>
      <x:c r="H539" t="str">
        <x:v>18791</x:v>
      </x:c>
      <x:c r="I539" t="str">
        <x:v>https://www.smwcentral.net/?a=details&amp;id=18791&amp;p=section</x:v>
      </x:c>
      <x:c r="J539" t="str">
        <x:v>https://dl.smwcentral.net/18791/Fly%20Me%20To%20The%20Stars.zip</x:v>
      </x:c>
    </x:row>
    <x:row r="540">
      <x:c r="A540" t="str">
        <x:v>Flying With Style</x:v>
      </x:c>
      <x:c r="B540" t="str">
        <x:v>Flying With Style</x:v>
      </x:c>
      <x:c r="C540" t="str">
        <x:v>DJLocks, LouisDoucet, MassPunishment, gui, mason</x:v>
      </x:c>
      <x:c r="D540" t="n">
        <x:v>7</x:v>
      </x:c>
      <x:c r="E540" t="str">
        <x:v>Master</x:v>
      </x:c>
      <x:c r="F540" t="str">
        <x:v>Kaizo</x:v>
      </x:c>
      <x:c r="G540" t="n">
        <x:v>44587</x:v>
      </x:c>
      <x:c r="H540" t="str">
        <x:v>29600</x:v>
      </x:c>
      <x:c r="I540" t="str">
        <x:v>https://www.smwcentral.net/?a=details&amp;id=29600&amp;p=section</x:v>
      </x:c>
      <x:c r="J540" t="str">
        <x:v>https://dl.smwcentral.net/29600/FWS.zip</x:v>
      </x:c>
    </x:row>
    <x:row r="541">
      <x:c r="A541" t="str">
        <x:v>For Dan</x:v>
      </x:c>
      <x:c r="B541" t="str">
        <x:v>For Dan</x:v>
      </x:c>
      <x:c r="C541" t="str">
        <x:v>GrumpyWalrus</x:v>
      </x:c>
      <x:c r="D541" t="n">
        <x:v>25</x:v>
      </x:c>
      <x:c r="E541" t="str">
        <x:v>Advanced</x:v>
      </x:c>
      <x:c r="F541" t="str">
        <x:v>Kaizo</x:v>
      </x:c>
      <x:c r="G541" t="n">
        <x:v>44687</x:v>
      </x:c>
      <x:c r="H541" t="str">
        <x:v>30756</x:v>
      </x:c>
      <x:c r="I541" t="str">
        <x:v>https://www.smwcentral.net/?a=details&amp;id=30756&amp;p=section</x:v>
      </x:c>
      <x:c r="J541" t="str">
        <x:v>https://dl.smwcentral.net/30756/For%20Dan%20v2.zip</x:v>
      </x:c>
    </x:row>
    <x:row r="542">
      <x:c r="A542" t="str">
        <x:v>Forer - Barnum</x:v>
      </x:c>
      <x:c r="B542" t="str">
        <x:v>Forer - Barnum</x:v>
      </x:c>
      <x:c r="C542" t="str">
        <x:v>OEO6</x:v>
      </x:c>
      <x:c r="D542" t="n">
        <x:v>13</x:v>
      </x:c>
      <x:c r="E542" t="str">
        <x:v>Expert</x:v>
      </x:c>
      <x:c r="F542" t="str">
        <x:v>Kaizo</x:v>
      </x:c>
      <x:c r="G542" t="n">
        <x:v>45166</x:v>
      </x:c>
      <x:c r="H542" t="str">
        <x:v>34953</x:v>
      </x:c>
      <x:c r="I542" t="str">
        <x:v>https://www.smwcentral.net/?a=details&amp;id=34953&amp;p=section</x:v>
      </x:c>
      <x:c r="J542" t="str">
        <x:v>https://dl.smwcentral.net/34953/Forer%20-%20Barnum%20v1.40.zip</x:v>
      </x:c>
    </x:row>
    <x:row r="543">
      <x:c r="A543" t="str">
        <x:v>forest of illusion 4</x:v>
      </x:c>
      <x:c r="B543" t="str">
        <x:v>forest of illusion 4</x:v>
      </x:c>
      <x:c r="C543" t="str">
        <x:v>ageVerrly</x:v>
      </x:c>
      <x:c r="D543" t="n">
        <x:v>0</x:v>
      </x:c>
      <x:c r="E543" t="str">
        <x:v>Master</x:v>
      </x:c>
      <x:c r="F543" t="str">
        <x:v>Kaizo</x:v>
      </x:c>
      <x:c r="G543" t="n">
        <x:v>44581</x:v>
      </x:c>
      <x:c r="H543" t="str">
        <x:v>28842</x:v>
      </x:c>
      <x:c r="I543" t="str">
        <x:v>https://www.smwcentral.net/?a=details&amp;id=28842&amp;p=section</x:v>
      </x:c>
      <x:c r="J543" t="str">
        <x:v>https://dl.smwcentral.net/28842/foi4V1.1.zip</x:v>
      </x:c>
    </x:row>
    <x:row r="544">
      <x:c r="A544" t="str">
        <x:v>Forever</x:v>
      </x:c>
      <x:c r="B544" t="str">
        <x:v>Forever</x:v>
      </x:c>
      <x:c r="C544" t="str">
        <x:v>Lush_50</x:v>
      </x:c>
      <x:c r="D544" t="n">
        <x:v>11</x:v>
      </x:c>
      <x:c r="E544" t="str">
        <x:v>Advanced</x:v>
      </x:c>
      <x:c r="F544" t="str">
        <x:v>Kaizo</x:v>
      </x:c>
      <x:c r="G544" t="n">
        <x:v>44921</x:v>
      </x:c>
      <x:c r="H544" t="str">
        <x:v>32790</x:v>
      </x:c>
      <x:c r="I544" t="str">
        <x:v>https://www.smwcentral.net/?a=details&amp;id=32790&amp;p=section</x:v>
      </x:c>
      <x:c r="J544" t="str">
        <x:v>https://dl.smwcentral.net/32790/Forever%20v1.1a.zip</x:v>
      </x:c>
    </x:row>
    <x:row r="545">
      <x:c r="A545" t="str">
        <x:v>Forgotten Town</x:v>
      </x:c>
      <x:c r="B545" t="str">
        <x:v>Forgotten Town</x:v>
      </x:c>
      <x:c r="C545" t="str">
        <x:v>NattCaat</x:v>
      </x:c>
      <x:c r="D545" t="n">
        <x:v>9</x:v>
      </x:c>
      <x:c r="E545" t="str">
        <x:v>Intermediate</x:v>
      </x:c>
      <x:c r="F545" t="str">
        <x:v>Standard</x:v>
      </x:c>
      <x:c r="G545" t="n">
        <x:v>44436</x:v>
      </x:c>
      <x:c r="H545" t="str">
        <x:v>28063</x:v>
      </x:c>
      <x:c r="I545" t="str">
        <x:v>https://www.smwcentral.net/?a=details&amp;id=28063&amp;p=section</x:v>
      </x:c>
      <x:c r="J545" t="str">
        <x:v>https://dl.smwcentral.net/28063/Forgotten-Town.zip</x:v>
      </x:c>
    </x:row>
    <x:row r="546">
      <x:c r="A546" t="str">
        <x:v>ForgottenWorld</x:v>
      </x:c>
      <x:c r="B546" t="str">
        <x:v>ForgottenWorld</x:v>
      </x:c>
      <x:c r="C546" t="str">
        <x:v>Hannes37</x:v>
      </x:c>
      <x:c r="D546" t="n">
        <x:v>10</x:v>
      </x:c>
      <x:c r="E546" t="str">
        <x:v>Advanced</x:v>
      </x:c>
      <x:c r="F546" t="str">
        <x:v>Kaizo</x:v>
      </x:c>
      <x:c r="G546" t="n">
        <x:v>43950</x:v>
      </x:c>
      <x:c r="H546" t="str">
        <x:v>22753</x:v>
      </x:c>
      <x:c r="I546" t="str">
        <x:v>https://www.smwcentral.net/?a=details&amp;id=22753&amp;p=section</x:v>
      </x:c>
      <x:c r="J546" t="str">
        <x:v>https://dl.smwcentral.net/22753/ForgottenWorld.zip</x:v>
      </x:c>
    </x:row>
    <x:row r="547">
      <x:c r="A547" t="str">
        <x:v>Foxx BGG World - KSD Edition</x:v>
      </x:c>
      <x:c r="B547" t="str">
        <x:v>Foxx BGG World - KSD Edition</x:v>
      </x:c>
      <x:c r="C547" t="str">
        <x:v>thefoxx87</x:v>
      </x:c>
      <x:c r="D547" t="n">
        <x:v>17</x:v>
      </x:c>
      <x:c r="E547" t="str">
        <x:v>Advanced</x:v>
      </x:c>
      <x:c r="F547" t="str">
        <x:v>Kaizo</x:v>
      </x:c>
      <x:c r="G547" t="n">
        <x:v>45531</x:v>
      </x:c>
      <x:c r="H547" t="str">
        <x:v>38315</x:v>
      </x:c>
      <x:c r="I547" t="str">
        <x:v>https://www.smwcentral.net/?a=details&amp;id=38315&amp;p=section</x:v>
      </x:c>
      <x:c r="J547" t="str">
        <x:v>https://dl.smwcentral.net/38315/Foxx%20BGG%20World%20KSD%20Edition.zip</x:v>
      </x:c>
    </x:row>
    <x:row r="548">
      <x:c r="A548" t="str">
        <x:v>Foxx BGN World</x:v>
      </x:c>
      <x:c r="B548" t="str">
        <x:v>Foxx BGN World</x:v>
      </x:c>
      <x:c r="C548" t="str">
        <x:v>thefoxx87</x:v>
      </x:c>
      <x:c r="D548" t="n">
        <x:v>17</x:v>
      </x:c>
      <x:c r="E548" t="str">
        <x:v>Intermediate</x:v>
      </x:c>
      <x:c r="F548" t="str">
        <x:v>Kaizo</x:v>
      </x:c>
      <x:c r="G548" t="n">
        <x:v>45531</x:v>
      </x:c>
      <x:c r="H548" t="str">
        <x:v>38316</x:v>
      </x:c>
      <x:c r="I548" t="str">
        <x:v>https://www.smwcentral.net/?a=details&amp;id=38316&amp;p=section</x:v>
      </x:c>
      <x:c r="J548" t="str">
        <x:v>https://dl.smwcentral.net/38316/Foxx%20BGN%20World.zip</x:v>
      </x:c>
    </x:row>
    <x:row r="549">
      <x:c r="A549" t="str">
        <x:v>Fragaria 🍓</x:v>
      </x:c>
      <x:c r="B549" t="str">
        <x:v>Fragaria 🍓</x:v>
      </x:c>
      <x:c r="C549" t="str">
        <x:v>neidoodle</x:v>
      </x:c>
      <x:c r="D549" t="n">
        <x:v>15</x:v>
      </x:c>
      <x:c r="E549" t="str">
        <x:v>Advanced</x:v>
      </x:c>
      <x:c r="F549" t="str">
        <x:v>Kaizo</x:v>
      </x:c>
      <x:c r="G549" t="n">
        <x:v>45716</x:v>
      </x:c>
      <x:c r="H549" t="str">
        <x:v>39475</x:v>
      </x:c>
      <x:c r="I549" t="str">
        <x:v>https://www.smwcentral.net/?a=details&amp;id=39475&amp;p=section</x:v>
      </x:c>
      <x:c r="J549" t="str">
        <x:v>https://dl.smwcentral.net/39475/Fragaria%20V1.2.zip</x:v>
      </x:c>
    </x:row>
    <x:row r="550">
      <x:c r="A550" t="str">
        <x:v>Freak City</x:v>
      </x:c>
      <x:c r="B550" t="str">
        <x:v>Freak City</x:v>
      </x:c>
      <x:c r="C550" t="str">
        <x:v>Boosius</x:v>
      </x:c>
      <x:c r="D550" t="n">
        <x:v>92</x:v>
      </x:c>
      <x:c r="E550" t="str">
        <x:v>Advanced</x:v>
      </x:c>
      <x:c r="F550" t="str">
        <x:v>Standard</x:v>
      </x:c>
      <x:c r="G550" t="n">
        <x:v>46104</x:v>
      </x:c>
      <x:c r="H550" t="str">
        <x:v>41980</x:v>
      </x:c>
      <x:c r="I550" t="str">
        <x:v>https://www.smwcentral.net/?a=details&amp;id=41980&amp;p=section</x:v>
      </x:c>
      <x:c r="J550" t="str">
        <x:v>https://dl.smwcentral.net/41980/Freak%20City.zip</x:v>
      </x:c>
    </x:row>
    <x:row r="551">
      <x:c r="A551" t="str">
        <x:v>Free Luigi</x:v>
      </x:c>
      <x:c r="B551" t="str">
        <x:v>Free Luigi</x:v>
      </x:c>
      <x:c r="C551" t="str">
        <x:v>MarsAmPear</x:v>
      </x:c>
      <x:c r="D551" t="n">
        <x:v>9</x:v>
      </x:c>
      <x:c r="E551" t="str">
        <x:v>Intermediate</x:v>
      </x:c>
      <x:c r="F551" t="str">
        <x:v>Standard, Kaizo</x:v>
      </x:c>
      <x:c r="G551" t="n">
        <x:v>45780</x:v>
      </x:c>
      <x:c r="H551" t="str">
        <x:v>39759</x:v>
      </x:c>
      <x:c r="I551" t="str">
        <x:v>https://www.smwcentral.net/?a=details&amp;id=39759&amp;p=section</x:v>
      </x:c>
      <x:c r="J551" t="str">
        <x:v>https://dl.smwcentral.net/39759/Free%20Luigi.zip</x:v>
      </x:c>
    </x:row>
    <x:row r="552">
      <x:c r="A552" t="str">
        <x:v>Free Verse For Sara</x:v>
      </x:c>
      <x:c r="B552" t="str">
        <x:v>Free Verse For Sara</x:v>
      </x:c>
      <x:c r="C552" t="str">
        <x:v>flips_bad</x:v>
      </x:c>
      <x:c r="D552" t="n">
        <x:v>1</x:v>
      </x:c>
      <x:c r="E552" t="str">
        <x:v>Master</x:v>
      </x:c>
      <x:c r="F552" t="str">
        <x:v>Kaizo</x:v>
      </x:c>
      <x:c r="G552" t="n">
        <x:v>45299</x:v>
      </x:c>
      <x:c r="H552" t="str">
        <x:v>35861</x:v>
      </x:c>
      <x:c r="I552" t="str">
        <x:v>https://www.smwcentral.net/?a=details&amp;id=35861&amp;p=section</x:v>
      </x:c>
      <x:c r="J552" t="str">
        <x:v>https://dl.smwcentral.net/35861/Free%20Verse%20For%20Sara.zip</x:v>
      </x:c>
    </x:row>
    <x:row r="553">
      <x:c r="A553" t="str">
        <x:v>French Fries &amp; French Toast</x:v>
      </x:c>
      <x:c r="B553" t="str">
        <x:v>French Fries &amp; French Toast</x:v>
      </x:c>
      <x:c r="C553" t="str">
        <x:v>Fyre150</x:v>
      </x:c>
      <x:c r="D553" t="n">
        <x:v>15</x:v>
      </x:c>
      <x:c r="E553" t="str">
        <x:v>Expert</x:v>
      </x:c>
      <x:c r="F553" t="str">
        <x:v>Kaizo</x:v>
      </x:c>
      <x:c r="G553" t="n">
        <x:v>44795</x:v>
      </x:c>
      <x:c r="H553" t="str">
        <x:v>31830</x:v>
      </x:c>
      <x:c r="I553" t="str">
        <x:v>https://www.smwcentral.net/?a=details&amp;id=31830&amp;p=section</x:v>
      </x:c>
      <x:c r="J553" t="str">
        <x:v>https://dl.smwcentral.net/31830/Fries%26Toast~.zip</x:v>
      </x:c>
    </x:row>
    <x:row r="554">
      <x:c r="A554" t="str">
        <x:v>French SMW Hacking Contest 2008</x:v>
      </x:c>
      <x:c r="B554" t="str">
        <x:v>French SMW Hacking Contest 2008</x:v>
      </x:c>
      <x:c r="C554" t="str">
        <x:v>Lexator, Lunartoad, SLBros., Sylvain, Yocha, bulle34500, yogui</x:v>
      </x:c>
      <x:c r="D554" t="n">
        <x:v>11</x:v>
      </x:c>
      <x:c r="E554" t="str">
        <x:v>Casual</x:v>
      </x:c>
      <x:c r="F554" t="str">
        <x:v>Standard</x:v>
      </x:c>
      <x:c r="G554" t="n">
        <x:v>42093</x:v>
      </x:c>
      <x:c r="H554" t="str">
        <x:v>9819</x:v>
      </x:c>
      <x:c r="I554" t="str">
        <x:v>https://www.smwcentral.net/?a=details&amp;id=9819&amp;p=section</x:v>
      </x:c>
      <x:c r="J554" t="str">
        <x:v>https://dl.smwcentral.net/9819/SMW%20concours%202008.zip</x:v>
      </x:c>
    </x:row>
    <x:row r="555">
      <x:c r="A555" t="str">
        <x:v>Fresh Hops</x:v>
      </x:c>
      <x:c r="B555" t="str">
        <x:v>Fresh Hops</x:v>
      </x:c>
      <x:c r="C555" t="str">
        <x:v>MorrieTheMagpie</x:v>
      </x:c>
      <x:c r="D555" t="n">
        <x:v>14</x:v>
      </x:c>
      <x:c r="E555" t="str">
        <x:v>Advanced</x:v>
      </x:c>
      <x:c r="F555" t="str">
        <x:v>Kaizo</x:v>
      </x:c>
      <x:c r="G555" t="n">
        <x:v>45448</x:v>
      </x:c>
      <x:c r="H555" t="str">
        <x:v>37897</x:v>
      </x:c>
      <x:c r="I555" t="str">
        <x:v>https://www.smwcentral.net/?a=details&amp;id=37897&amp;p=section</x:v>
      </x:c>
      <x:c r="J555" t="str">
        <x:v>https://dl.smwcentral.net/37897/Fresh%20Hops%20v1.1.zip</x:v>
      </x:c>
    </x:row>
    <x:row r="556">
      <x:c r="A556" t="str">
        <x:v>Fresh Hops 2</x:v>
      </x:c>
      <x:c r="B556" t="str">
        <x:v>Fresh Hops 2</x:v>
      </x:c>
      <x:c r="C556" t="str">
        <x:v>MorrieTheMagpie</x:v>
      </x:c>
      <x:c r="D556" t="n">
        <x:v>36</x:v>
      </x:c>
      <x:c r="E556" t="str">
        <x:v>Expert</x:v>
      </x:c>
      <x:c r="F556" t="str">
        <x:v>Kaizo</x:v>
      </x:c>
      <x:c r="G556" t="n">
        <x:v>46050</x:v>
      </x:c>
      <x:c r="H556" t="str">
        <x:v>41460</x:v>
      </x:c>
      <x:c r="I556" t="str">
        <x:v>https://www.smwcentral.net/?a=details&amp;id=41460&amp;p=section</x:v>
      </x:c>
      <x:c r="J556" t="str">
        <x:v>https://dl.smwcentral.net/41460/Fresh%20Hops%202.zip</x:v>
      </x:c>
    </x:row>
    <x:row r="557">
      <x:c r="A557" t="str">
        <x:v>Friday Mario World</x:v>
      </x:c>
      <x:c r="B557" t="str">
        <x:v>Friday Mario World</x:v>
      </x:c>
      <x:c r="C557" t="str">
        <x:v>strizer86</x:v>
      </x:c>
      <x:c r="D557" t="n">
        <x:v>11</x:v>
      </x:c>
      <x:c r="E557" t="str">
        <x:v>Expert</x:v>
      </x:c>
      <x:c r="F557" t="str">
        <x:v>Kaizo</x:v>
      </x:c>
      <x:c r="G557" t="n">
        <x:v>43892</x:v>
      </x:c>
      <x:c r="H557" t="str">
        <x:v>22299</x:v>
      </x:c>
      <x:c r="I557" t="str">
        <x:v>https://www.smwcentral.net/?a=details&amp;id=22299&amp;p=section</x:v>
      </x:c>
      <x:c r="J557" t="str">
        <x:v>https://dl.smwcentral.net/22299/FridayMarioWorld_v1.22.zip</x:v>
      </x:c>
    </x:row>
    <x:row r="558">
      <x:c r="A558" t="str">
        <x:v>From Heaven To Hell</x:v>
      </x:c>
      <x:c r="B558" t="str">
        <x:v>From Heaven To Hell</x:v>
      </x:c>
      <x:c r="C558" t="str">
        <x:v>HousemeisterHD, Inflagrandy</x:v>
      </x:c>
      <x:c r="D558" t="n">
        <x:v>14</x:v>
      </x:c>
      <x:c r="E558" t="str">
        <x:v>Expert</x:v>
      </x:c>
      <x:c r="F558" t="str">
        <x:v>Kaizo</x:v>
      </x:c>
      <x:c r="G558" t="n">
        <x:v>45898</x:v>
      </x:c>
      <x:c r="H558" t="str">
        <x:v>40494</x:v>
      </x:c>
      <x:c r="I558" t="str">
        <x:v>https://www.smwcentral.net/?a=details&amp;id=40494&amp;p=section</x:v>
      </x:c>
      <x:c r="J558" t="str">
        <x:v>https://dl.smwcentral.net/40494/From_Heaven_To_Hell.zip</x:v>
      </x:c>
    </x:row>
    <x:row r="559">
      <x:c r="A559" t="str">
        <x:v>From World to World</x:v>
      </x:c>
      <x:c r="B559" t="str">
        <x:v>From World to World</x:v>
      </x:c>
      <x:c r="C559" t="str">
        <x:v>Paperdomo101</x:v>
      </x:c>
      <x:c r="D559" t="n">
        <x:v>5</x:v>
      </x:c>
      <x:c r="E559" t="str">
        <x:v>Casual</x:v>
      </x:c>
      <x:c r="F559" t="str">
        <x:v>Standard</x:v>
      </x:c>
      <x:c r="G559" t="n">
        <x:v>42441</x:v>
      </x:c>
      <x:c r="H559" t="str">
        <x:v>13445</x:v>
      </x:c>
      <x:c r="I559" t="str">
        <x:v>https://www.smwcentral.net/?a=details&amp;id=13445&amp;p=section</x:v>
      </x:c>
      <x:c r="J559" t="str">
        <x:v>https://dl.smwcentral.net/13445/FWTW_Demo_1.ips.zip</x:v>
      </x:c>
    </x:row>
    <x:row r="560">
      <x:c r="A560" t="str">
        <x:v>Fulfill the Dream</x:v>
      </x:c>
      <x:c r="B560" t="str">
        <x:v>Fulfill the Dream</x:v>
      </x:c>
      <x:c r="C560" t="str">
        <x:v>Abstract</x:v>
      </x:c>
      <x:c r="D560" t="n">
        <x:v>22</x:v>
      </x:c>
      <x:c r="E560" t="str">
        <x:v>Expert</x:v>
      </x:c>
      <x:c r="F560" t="str">
        <x:v>Kaizo</x:v>
      </x:c>
      <x:c r="G560" t="n">
        <x:v>45450</x:v>
      </x:c>
      <x:c r="H560" t="str">
        <x:v>37900</x:v>
      </x:c>
      <x:c r="I560" t="str">
        <x:v>https://www.smwcentral.net/?a=details&amp;id=37900&amp;p=section</x:v>
      </x:c>
      <x:c r="J560" t="str">
        <x:v>https://dl.smwcentral.net/37900/FulfillTheDream.zip</x:v>
      </x:c>
    </x:row>
    <x:row r="561">
      <x:c r="A561" t="str">
        <x:v>Full Bloom</x:v>
      </x:c>
      <x:c r="B561" t="str">
        <x:v>Full Bloom</x:v>
      </x:c>
      <x:c r="C561" t="str">
        <x:v>Chondontore</x:v>
      </x:c>
      <x:c r="D561" t="n">
        <x:v>13</x:v>
      </x:c>
      <x:c r="E561" t="str">
        <x:v>Advanced</x:v>
      </x:c>
      <x:c r="F561" t="str">
        <x:v>Kaizo</x:v>
      </x:c>
      <x:c r="G561" t="n">
        <x:v>44388</x:v>
      </x:c>
      <x:c r="H561" t="str">
        <x:v>27569</x:v>
      </x:c>
      <x:c r="I561" t="str">
        <x:v>https://www.smwcentral.net/?a=details&amp;id=27569&amp;p=section</x:v>
      </x:c>
      <x:c r="J561" t="str">
        <x:v>https://dl.smwcentral.net/27569/Full%20Bloom%201.1.zip</x:v>
      </x:c>
    </x:row>
    <x:row r="562">
      <x:c r="A562" t="str">
        <x:v>Future Elliotto World</x:v>
      </x:c>
      <x:c r="B562" t="str">
        <x:v>Future Elliotto World</x:v>
      </x:c>
      <x:c r="C562" t="str">
        <x:v>Cliff_Spab</x:v>
      </x:c>
      <x:c r="D562" t="n">
        <x:v>19</x:v>
      </x:c>
      <x:c r="E562" t="str">
        <x:v>Expert</x:v>
      </x:c>
      <x:c r="F562" t="str">
        <x:v>Kaizo</x:v>
      </x:c>
      <x:c r="G562" t="n">
        <x:v>45539</x:v>
      </x:c>
      <x:c r="H562" t="str">
        <x:v>38371</x:v>
      </x:c>
      <x:c r="I562" t="str">
        <x:v>https://www.smwcentral.net/?a=details&amp;id=38371&amp;p=section</x:v>
      </x:c>
      <x:c r="J562" t="str">
        <x:v>https://dl.smwcentral.net/38371/FEW%20090124.zip</x:v>
      </x:c>
    </x:row>
    <x:row r="563">
      <x:c r="A563" t="str">
        <x:v>G-FazO</x:v>
      </x:c>
      <x:c r="B563" t="str">
        <x:v>G-FazO</x:v>
      </x:c>
      <x:c r="C563" t="str">
        <x:v>Kazefbr</x:v>
      </x:c>
      <x:c r="D563" t="n">
        <x:v>7</x:v>
      </x:c>
      <x:c r="E563" t="str">
        <x:v>Expert</x:v>
      </x:c>
      <x:c r="F563" t="str">
        <x:v>Kaizo</x:v>
      </x:c>
      <x:c r="G563" t="n">
        <x:v>44363</x:v>
      </x:c>
      <x:c r="H563" t="str">
        <x:v>27158</x:v>
      </x:c>
      <x:c r="I563" t="str">
        <x:v>https://www.smwcentral.net/?a=details&amp;id=27158&amp;p=section</x:v>
      </x:c>
      <x:c r="J563" t="str">
        <x:v>https://dl.smwcentral.net/27158/G-Fazo%202.0.zip</x:v>
      </x:c>
    </x:row>
    <x:row r="564">
      <x:c r="A564" t="str">
        <x:v>GADZOOKS</x:v>
      </x:c>
      <x:c r="B564" t="str">
        <x:v>GADZOOKS</x:v>
      </x:c>
      <x:c r="C564" t="str">
        <x:v>1mslakingoff</x:v>
      </x:c>
      <x:c r="D564" t="n">
        <x:v>30</x:v>
      </x:c>
      <x:c r="E564" t="str">
        <x:v>Expert</x:v>
      </x:c>
      <x:c r="F564" t="str">
        <x:v>Kaizo</x:v>
      </x:c>
      <x:c r="G564" t="n">
        <x:v>45984</x:v>
      </x:c>
      <x:c r="H564" t="str">
        <x:v>41041</x:v>
      </x:c>
      <x:c r="I564" t="str">
        <x:v>https://www.smwcentral.net/?a=details&amp;id=41041&amp;p=section</x:v>
      </x:c>
      <x:c r="J564" t="str">
        <x:v>https://dl.smwcentral.net/41041/GADZOOKS.zip</x:v>
      </x:c>
    </x:row>
    <x:row r="565">
      <x:c r="A565" t="str">
        <x:v>Gaia</x:v>
      </x:c>
      <x:c r="B565" t="str">
        <x:v>Gaia</x:v>
      </x:c>
      <x:c r="C565" t="str">
        <x:v>Edidoo</x:v>
      </x:c>
      <x:c r="D565" t="n">
        <x:v>23</x:v>
      </x:c>
      <x:c r="E565" t="str">
        <x:v>Advanced</x:v>
      </x:c>
      <x:c r="F565" t="str">
        <x:v>Kaizo</x:v>
      </x:c>
      <x:c r="G565" t="n">
        <x:v>44133</x:v>
      </x:c>
      <x:c r="H565" t="str">
        <x:v>24981</x:v>
      </x:c>
      <x:c r="I565" t="str">
        <x:v>https://www.smwcentral.net/?a=details&amp;id=24981&amp;p=section</x:v>
      </x:c>
      <x:c r="J565" t="str">
        <x:v>https://dl.smwcentral.net/24981/Gaia%20v1.2.zip</x:v>
      </x:c>
    </x:row>
    <x:row r="566">
      <x:c r="A566" t="str">
        <x:v>Gaijin Mario</x:v>
      </x:c>
      <x:c r="B566" t="str">
        <x:v>Gaijin Mario</x:v>
      </x:c>
      <x:c r="C566" t="str">
        <x:v>Morsel</x:v>
      </x:c>
      <x:c r="D566" t="n">
        <x:v>8</x:v>
      </x:c>
      <x:c r="E566" t="str">
        <x:v>Master</x:v>
      </x:c>
      <x:c r="F566" t="str">
        <x:v>Kaizo</x:v>
      </x:c>
      <x:c r="G566" t="n">
        <x:v>43348</x:v>
      </x:c>
      <x:c r="H566" t="str">
        <x:v>18101</x:v>
      </x:c>
      <x:c r="I566" t="str">
        <x:v>https://www.smwcentral.net/?a=details&amp;id=18101&amp;p=section</x:v>
      </x:c>
      <x:c r="J566" t="str">
        <x:v>https://dl.smwcentral.net/18101/gaijin1.02.zip</x:v>
      </x:c>
    </x:row>
    <x:row r="567">
      <x:c r="A567" t="str">
        <x:v>Gambit</x:v>
      </x:c>
      <x:c r="B567" t="str">
        <x:v>Gambit</x:v>
      </x:c>
      <x:c r="C567" t="str">
        <x:v>Serge</x:v>
      </x:c>
      <x:c r="D567" t="n">
        <x:v>21</x:v>
      </x:c>
      <x:c r="E567" t="str">
        <x:v>Expert</x:v>
      </x:c>
      <x:c r="F567" t="str">
        <x:v>Kaizo</x:v>
      </x:c>
      <x:c r="G567" t="n">
        <x:v>44923</x:v>
      </x:c>
      <x:c r="H567" t="str">
        <x:v>32819</x:v>
      </x:c>
      <x:c r="I567" t="str">
        <x:v>https://www.smwcentral.net/?a=details&amp;id=32819&amp;p=section</x:v>
      </x:c>
      <x:c r="J567" t="str">
        <x:v>https://dl.smwcentral.net/32819/Gambit.zip</x:v>
      </x:c>
    </x:row>
    <x:row r="568">
      <x:c r="A568" t="str">
        <x:v>Gambol</x:v>
      </x:c>
      <x:c r="B568" t="str">
        <x:v>Gambol</x:v>
      </x:c>
      <x:c r="C568" t="str">
        <x:v>JezJitzu</x:v>
      </x:c>
      <x:c r="D568" t="n">
        <x:v>11</x:v>
      </x:c>
      <x:c r="E568" t="str">
        <x:v>Advanced</x:v>
      </x:c>
      <x:c r="F568" t="str">
        <x:v>Kaizo</x:v>
      </x:c>
      <x:c r="G568" t="n">
        <x:v>44964</x:v>
      </x:c>
      <x:c r="H568" t="str">
        <x:v>33054</x:v>
      </x:c>
      <x:c r="I568" t="str">
        <x:v>https://www.smwcentral.net/?a=details&amp;id=33054&amp;p=section</x:v>
      </x:c>
      <x:c r="J568" t="str">
        <x:v>https://dl.smwcentral.net/33054/Gambol_v1.1_.zip</x:v>
      </x:c>
    </x:row>
    <x:row r="569">
      <x:c r="A569" t="str">
        <x:v>Gambol 2</x:v>
      </x:c>
      <x:c r="B569" t="str">
        <x:v>Gambol 2</x:v>
      </x:c>
      <x:c r="C569" t="str">
        <x:v>JezJitzu</x:v>
      </x:c>
      <x:c r="D569" t="n">
        <x:v>18</x:v>
      </x:c>
      <x:c r="E569" t="str">
        <x:v>Expert</x:v>
      </x:c>
      <x:c r="F569" t="str">
        <x:v>Kaizo</x:v>
      </x:c>
      <x:c r="G569" t="n">
        <x:v>45398</x:v>
      </x:c>
      <x:c r="H569" t="str">
        <x:v>37652</x:v>
      </x:c>
      <x:c r="I569" t="str">
        <x:v>https://www.smwcentral.net/?a=details&amp;id=37652&amp;p=section</x:v>
      </x:c>
      <x:c r="J569" t="str">
        <x:v>https://dl.smwcentral.net/37652/Gambol_2_v1.1.zip</x:v>
      </x:c>
    </x:row>
    <x:row r="570">
      <x:c r="A570" t="str">
        <x:v>game.bps</x:v>
      </x:c>
      <x:c r="B570" t="str">
        <x:v>game.bps</x:v>
      </x:c>
      <x:c r="C570" t="str">
        <x:v>Wakana</x:v>
      </x:c>
      <x:c r="D570" t="n">
        <x:v>0</x:v>
      </x:c>
      <x:c r="E570" t="str">
        <x:v>Advanced</x:v>
      </x:c>
      <x:c r="F570" t="str">
        <x:v>Standard</x:v>
      </x:c>
      <x:c r="G570" t="n">
        <x:v>42686</x:v>
      </x:c>
      <x:c r="H570" t="str">
        <x:v>14607</x:v>
      </x:c>
      <x:c r="I570" t="str">
        <x:v>https://www.smwcentral.net/?a=details&amp;id=14607&amp;p=section</x:v>
      </x:c>
      <x:c r="J570" t="str">
        <x:v>https://dl.smwcentral.net/14607/game.zip</x:v>
      </x:c>
    </x:row>
    <x:row r="571">
      <x:c r="A571" t="str">
        <x:v>Gameboy Bros. 3!</x:v>
      </x:c>
      <x:c r="B571" t="str">
        <x:v>Gameboy Bros. 3!</x:v>
      </x:c>
      <x:c r="C571" t="str">
        <x:v>gameboyjeremy</x:v>
      </x:c>
      <x:c r="D571" t="n">
        <x:v>7</x:v>
      </x:c>
      <x:c r="E571" t="str">
        <x:v>Intermediate</x:v>
      </x:c>
      <x:c r="F571" t="str">
        <x:v>Standard</x:v>
      </x:c>
      <x:c r="G571" t="n">
        <x:v>42426</x:v>
      </x:c>
      <x:c r="H571" t="str">
        <x:v>13313</x:v>
      </x:c>
      <x:c r="I571" t="str">
        <x:v>https://www.smwcentral.net/?a=details&amp;id=13313&amp;p=section</x:v>
      </x:c>
      <x:c r="J571" t="str">
        <x:v>https://dl.smwcentral.net/13313/GBB3.zip</x:v>
      </x:c>
    </x:row>
    <x:row r="572">
      <x:c r="A572" t="str">
        <x:v>Ganja World</x:v>
      </x:c>
      <x:c r="B572" t="str">
        <x:v>Ganja World</x:v>
      </x:c>
      <x:c r="C572" t="str">
        <x:v>Yoshioshi59_</x:v>
      </x:c>
      <x:c r="D572" t="n">
        <x:v>0</x:v>
      </x:c>
      <x:c r="E572" t="str">
        <x:v>Expert</x:v>
      </x:c>
      <x:c r="F572" t="str">
        <x:v>Kaizo</x:v>
      </x:c>
      <x:c r="G572" t="n">
        <x:v>45161</x:v>
      </x:c>
      <x:c r="H572" t="str">
        <x:v>34928</x:v>
      </x:c>
      <x:c r="I572" t="str">
        <x:v>https://www.smwcentral.net/?a=details&amp;id=34928&amp;p=section</x:v>
      </x:c>
      <x:c r="J572" t="str">
        <x:v>https://dl.smwcentral.net/34928/GanjaWorld.zip</x:v>
      </x:c>
    </x:row>
    <x:row r="573">
      <x:c r="A573" t="str">
        <x:v>GARLIC</x:v>
      </x:c>
      <x:c r="B573" t="str">
        <x:v>GARLIC</x:v>
      </x:c>
      <x:c r="C573" t="str">
        <x:v>Aguni_</x:v>
      </x:c>
      <x:c r="D573" t="n">
        <x:v>12</x:v>
      </x:c>
      <x:c r="E573" t="str">
        <x:v>Master</x:v>
      </x:c>
      <x:c r="F573" t="str">
        <x:v>Kaizo</x:v>
      </x:c>
      <x:c r="G573" t="n">
        <x:v>44013</x:v>
      </x:c>
      <x:c r="H573" t="str">
        <x:v>23229</x:v>
      </x:c>
      <x:c r="I573" t="str">
        <x:v>https://www.smwcentral.net/?a=details&amp;id=23229&amp;p=section</x:v>
      </x:c>
      <x:c r="J573" t="str">
        <x:v>https://dl.smwcentral.net/23229/Garlic%201.1.zip</x:v>
      </x:c>
    </x:row>
    <x:row r="574">
      <x:c r="A574" t="str">
        <x:v>Gas Pack</x:v>
      </x:c>
      <x:c r="B574" t="str">
        <x:v>Gas Pack</x:v>
      </x:c>
      <x:c r="C574" t="str">
        <x:v>Firstnamebutt</x:v>
      </x:c>
      <x:c r="D574" t="n">
        <x:v>0</x:v>
      </x:c>
      <x:c r="E574" t="str">
        <x:v>Advanced</x:v>
      </x:c>
      <x:c r="F574" t="str">
        <x:v>Kaizo</x:v>
      </x:c>
      <x:c r="G574" t="n">
        <x:v>45662</x:v>
      </x:c>
      <x:c r="H574" t="str">
        <x:v>38992</x:v>
      </x:c>
      <x:c r="I574" t="str">
        <x:v>https://www.smwcentral.net/?a=details&amp;id=38992&amp;p=section</x:v>
      </x:c>
      <x:c r="J574" t="str">
        <x:v>https://dl.smwcentral.net/38992/GasPackV1.zip</x:v>
      </x:c>
    </x:row>
    <x:row r="575">
      <x:c r="A575" t="str">
        <x:v>Gauntlet</x:v>
      </x:c>
      <x:c r="B575" t="str">
        <x:v>Gauntlet</x:v>
      </x:c>
      <x:c r="C575" t="str">
        <x:v>Easy Difficulty</x:v>
      </x:c>
      <x:c r="D575" t="n">
        <x:v>7</x:v>
      </x:c>
      <x:c r="E575" t="str">
        <x:v>Intermediate</x:v>
      </x:c>
      <x:c r="F575" t="str">
        <x:v>Standard</x:v>
      </x:c>
      <x:c r="G575" t="n">
        <x:v>45020</x:v>
      </x:c>
      <x:c r="H575" t="str">
        <x:v>33615</x:v>
      </x:c>
      <x:c r="I575" t="str">
        <x:v>https://www.smwcentral.net/?a=details&amp;id=33615&amp;p=section</x:v>
      </x:c>
      <x:c r="J575" t="str">
        <x:v>https://dl.smwcentral.net/33615/Gauntlet.zip</x:v>
      </x:c>
    </x:row>
    <x:row r="576">
      <x:c r="A576" t="str">
        <x:v>Gauntlet 2</x:v>
      </x:c>
      <x:c r="B576" t="str">
        <x:v>Gauntlet 2</x:v>
      </x:c>
      <x:c r="C576" t="str">
        <x:v>Easy Difficulty</x:v>
      </x:c>
      <x:c r="D576" t="n">
        <x:v>7</x:v>
      </x:c>
      <x:c r="E576" t="str">
        <x:v>Intermediate</x:v>
      </x:c>
      <x:c r="F576" t="str">
        <x:v>Standard</x:v>
      </x:c>
      <x:c r="G576" t="n">
        <x:v>45076</x:v>
      </x:c>
      <x:c r="H576" t="str">
        <x:v>33990</x:v>
      </x:c>
      <x:c r="I576" t="str">
        <x:v>https://www.smwcentral.net/?a=details&amp;id=33990&amp;p=section</x:v>
      </x:c>
      <x:c r="J576" t="str">
        <x:v>https://dl.smwcentral.net/33990/Gauntlet%202.zip</x:v>
      </x:c>
    </x:row>
    <x:row r="577">
      <x:c r="A577" t="str">
        <x:v>Gemstones</x:v>
      </x:c>
      <x:c r="B577" t="str">
        <x:v>Gemstones</x:v>
      </x:c>
      <x:c r="C577" t="str">
        <x:v>flips_bad</x:v>
      </x:c>
      <x:c r="D577" t="n">
        <x:v>2</x:v>
      </x:c>
      <x:c r="E577" t="str">
        <x:v>Grandmaster</x:v>
      </x:c>
      <x:c r="F577" t="str">
        <x:v>Kaizo</x:v>
      </x:c>
      <x:c r="G577" t="n">
        <x:v>45637</x:v>
      </x:c>
      <x:c r="H577" t="str">
        <x:v>38899</x:v>
      </x:c>
      <x:c r="I577" t="str">
        <x:v>https://www.smwcentral.net/?a=details&amp;id=38899&amp;p=section</x:v>
      </x:c>
      <x:c r="J577" t="str">
        <x:v>https://dl.smwcentral.net/38899/gemstones.zip</x:v>
      </x:c>
    </x:row>
    <x:row r="578">
      <x:c r="A578" t="str">
        <x:v>Get Busy Jumping Or Get Busy Dying</x:v>
      </x:c>
      <x:c r="B578" t="str">
        <x:v>Get Busy Jumping Or Get Busy Dying</x:v>
      </x:c>
      <x:c r="C578" t="str">
        <x:v>FalseCircus</x:v>
      </x:c>
      <x:c r="D578" t="n">
        <x:v>12</x:v>
      </x:c>
      <x:c r="E578" t="str">
        <x:v>Expert</x:v>
      </x:c>
      <x:c r="F578" t="str">
        <x:v>Kaizo</x:v>
      </x:c>
      <x:c r="G578" t="n">
        <x:v>44721</x:v>
      </x:c>
      <x:c r="H578" t="str">
        <x:v>30995</x:v>
      </x:c>
      <x:c r="I578" t="str">
        <x:v>https://www.smwcentral.net/?a=details&amp;id=30995&amp;p=section</x:v>
      </x:c>
      <x:c r="J578" t="str">
        <x:v>https://dl.smwcentral.net/30995/Get%20Busy%20Jumping%20Or%20Get%20Busy%20Dying.zip</x:v>
      </x:c>
    </x:row>
    <x:row r="579">
      <x:c r="A579" t="str">
        <x:v>Get On Up!</x:v>
      </x:c>
      <x:c r="B579" t="str">
        <x:v>Get On Up!</x:v>
      </x:c>
      <x:c r="C579" t="str">
        <x:v>MorrieTheMagpie</x:v>
      </x:c>
      <x:c r="D579" t="n">
        <x:v>19</x:v>
      </x:c>
      <x:c r="E579" t="str">
        <x:v>Expert</x:v>
      </x:c>
      <x:c r="F579" t="str">
        <x:v>Kaizo</x:v>
      </x:c>
      <x:c r="G579" t="n">
        <x:v>44942</x:v>
      </x:c>
      <x:c r="H579" t="str">
        <x:v>32925</x:v>
      </x:c>
      <x:c r="I579" t="str">
        <x:v>https://www.smwcentral.net/?a=details&amp;id=32925&amp;p=section</x:v>
      </x:c>
      <x:c r="J579" t="str">
        <x:v>https://dl.smwcentral.net/32925/Get%20On%20Up%21%201.3.zip</x:v>
      </x:c>
    </x:row>
    <x:row r="580">
      <x:c r="A580" t="str">
        <x:v>Get Rich Quick</x:v>
      </x:c>
      <x:c r="B580" t="str">
        <x:v>Get Rich Quick</x:v>
      </x:c>
      <x:c r="C580" t="str">
        <x:v>Selicre</x:v>
      </x:c>
      <x:c r="D580" t="n">
        <x:v>32</x:v>
      </x:c>
      <x:c r="E580" t="str">
        <x:v>Advanced</x:v>
      </x:c>
      <x:c r="F580" t="str">
        <x:v>Standard, Kaizo</x:v>
      </x:c>
      <x:c r="G580" t="n">
        <x:v>45797</x:v>
      </x:c>
      <x:c r="H580" t="str">
        <x:v>39837</x:v>
      </x:c>
      <x:c r="I580" t="str">
        <x:v>https://www.smwcentral.net/?a=details&amp;id=39837&amp;p=section</x:v>
      </x:c>
      <x:c r="J580" t="str">
        <x:v>https://dl.smwcentral.net/39837/get-rich-quick.zip</x:v>
      </x:c>
    </x:row>
    <x:row r="581">
      <x:c r="A581" t="str">
        <x:v>Giggle world</x:v>
      </x:c>
      <x:c r="B581" t="str">
        <x:v>Giggle world</x:v>
      </x:c>
      <x:c r="C581" t="str">
        <x:v>PphoenixX</x:v>
      </x:c>
      <x:c r="D581" t="n">
        <x:v>27</x:v>
      </x:c>
      <x:c r="E581" t="str">
        <x:v>Intermediate</x:v>
      </x:c>
      <x:c r="F581" t="str">
        <x:v>Standard</x:v>
      </x:c>
      <x:c r="G581" t="n">
        <x:v>42807</x:v>
      </x:c>
      <x:c r="H581" t="str">
        <x:v>15302</x:v>
      </x:c>
      <x:c r="I581" t="str">
        <x:v>https://www.smwcentral.net/?a=details&amp;id=15302&amp;p=section</x:v>
      </x:c>
      <x:c r="J581" t="str">
        <x:v>https://dl.smwcentral.net/15302/Giggle%20world%20%28demo%203%29.zip</x:v>
      </x:c>
    </x:row>
    <x:row r="582">
      <x:c r="A582" t="str">
        <x:v>Glow</x:v>
      </x:c>
      <x:c r="B582" t="str">
        <x:v>Glow</x:v>
      </x:c>
      <x:c r="C582" t="str">
        <x:v>Idunno</x:v>
      </x:c>
      <x:c r="D582" t="n">
        <x:v>28</x:v>
      </x:c>
      <x:c r="E582" t="str">
        <x:v>Advanced</x:v>
      </x:c>
      <x:c r="F582" t="str">
        <x:v>Standard</x:v>
      </x:c>
      <x:c r="G582" t="n">
        <x:v>45895</x:v>
      </x:c>
      <x:c r="H582" t="str">
        <x:v>40458</x:v>
      </x:c>
      <x:c r="I582" t="str">
        <x:v>https://www.smwcentral.net/?a=details&amp;id=40458&amp;p=section</x:v>
      </x:c>
      <x:c r="J582" t="str">
        <x:v>https://dl.smwcentral.net/40458/Glow.zip</x:v>
      </x:c>
    </x:row>
    <x:row r="583">
      <x:c r="A583" t="str">
        <x:v>God do Shell</x:v>
      </x:c>
      <x:c r="B583" t="str">
        <x:v>God do Shell</x:v>
      </x:c>
      <x:c r="C583" t="str">
        <x:v>Deivid Borba</x:v>
      </x:c>
      <x:c r="D583" t="n">
        <x:v>11</x:v>
      </x:c>
      <x:c r="E583" t="str">
        <x:v>Expert</x:v>
      </x:c>
      <x:c r="F583" t="str">
        <x:v>Kaizo</x:v>
      </x:c>
      <x:c r="G583" t="n">
        <x:v>44198</x:v>
      </x:c>
      <x:c r="H583" t="str">
        <x:v>25591</x:v>
      </x:c>
      <x:c r="I583" t="str">
        <x:v>https://www.smwcentral.net/?a=details&amp;id=25591&amp;p=section</x:v>
      </x:c>
      <x:c r="J583" t="str">
        <x:v>https://dl.smwcentral.net/25591/God%20do%20Shell%20v1.3.zip</x:v>
      </x:c>
    </x:row>
    <x:row r="584">
      <x:c r="A584" t="str">
        <x:v>Goku86</x:v>
      </x:c>
      <x:c r="B584" t="str">
        <x:v>Goku86</x:v>
      </x:c>
      <x:c r="C584" t="str">
        <x:v>Phyll</x:v>
      </x:c>
      <x:c r="D584" t="n">
        <x:v>20</x:v>
      </x:c>
      <x:c r="E584" t="str">
        <x:v>Expert</x:v>
      </x:c>
      <x:c r="F584" t="str">
        <x:v>Kaizo</x:v>
      </x:c>
      <x:c r="G584" t="n">
        <x:v>44311</x:v>
      </x:c>
      <x:c r="H584" t="str">
        <x:v>26791</x:v>
      </x:c>
      <x:c r="I584" t="str">
        <x:v>https://www.smwcentral.net/?a=details&amp;id=26791&amp;p=section</x:v>
      </x:c>
      <x:c r="J584" t="str">
        <x:v>https://dl.smwcentral.net/26791/Goku86.zip</x:v>
      </x:c>
    </x:row>
    <x:row r="585">
      <x:c r="A585" t="str">
        <x:v>GOMBA and stuff</x:v>
      </x:c>
      <x:c r="B585" t="str">
        <x:v>GOMBA and stuff</x:v>
      </x:c>
      <x:c r="C585" t="str">
        <x:v>mason</x:v>
      </x:c>
      <x:c r="D585" t="n">
        <x:v>14</x:v>
      </x:c>
      <x:c r="E585" t="str">
        <x:v>Grandmaster</x:v>
      </x:c>
      <x:c r="F585" t="str">
        <x:v>Kaizo</x:v>
      </x:c>
      <x:c r="G585" t="n">
        <x:v>45723</x:v>
      </x:c>
      <x:c r="H585" t="str">
        <x:v>39080</x:v>
      </x:c>
      <x:c r="I585" t="str">
        <x:v>https://www.smwcentral.net/?a=details&amp;id=39080&amp;p=section</x:v>
      </x:c>
      <x:c r="J585" t="str">
        <x:v>https://dl.smwcentral.net/39080/gomba.zip</x:v>
      </x:c>
    </x:row>
    <x:row r="586">
      <x:c r="A586" t="str">
        <x:v>good old days</x:v>
      </x:c>
      <x:c r="B586" t="str">
        <x:v>good old days</x:v>
      </x:c>
      <x:c r="C586" t="str">
        <x:v>OEO6</x:v>
      </x:c>
      <x:c r="D586" t="n">
        <x:v>10</x:v>
      </x:c>
      <x:c r="E586" t="str">
        <x:v>Advanced</x:v>
      </x:c>
      <x:c r="F586" t="str">
        <x:v>Standard</x:v>
      </x:c>
      <x:c r="G586" t="n">
        <x:v>44831</x:v>
      </x:c>
      <x:c r="H586" t="str">
        <x:v>32216</x:v>
      </x:c>
      <x:c r="I586" t="str">
        <x:v>https://www.smwcentral.net/?a=details&amp;id=32216&amp;p=section</x:v>
      </x:c>
      <x:c r="J586" t="str">
        <x:v>https://dl.smwcentral.net/32216/good%20old%20days%20v1.10.zip</x:v>
      </x:c>
    </x:row>
    <x:row r="587">
      <x:c r="A587" t="str">
        <x:v>good old days 2</x:v>
      </x:c>
      <x:c r="B587" t="str">
        <x:v>good old days 2</x:v>
      </x:c>
      <x:c r="C587" t="str">
        <x:v>OEO6</x:v>
      </x:c>
      <x:c r="D587" t="n">
        <x:v>9</x:v>
      </x:c>
      <x:c r="E587" t="str">
        <x:v>Advanced</x:v>
      </x:c>
      <x:c r="F587" t="str">
        <x:v>Standard</x:v>
      </x:c>
      <x:c r="G587" t="n">
        <x:v>44982</x:v>
      </x:c>
      <x:c r="H587" t="str">
        <x:v>33276</x:v>
      </x:c>
      <x:c r="I587" t="str">
        <x:v>https://www.smwcentral.net/?a=details&amp;id=33276&amp;p=section</x:v>
      </x:c>
      <x:c r="J587" t="str">
        <x:v>https://dl.smwcentral.net/33276/good%20old%20days%202.zip</x:v>
      </x:c>
    </x:row>
    <x:row r="588">
      <x:c r="A588" t="str">
        <x:v>good old days 3</x:v>
      </x:c>
      <x:c r="B588" t="str">
        <x:v>good old days 3</x:v>
      </x:c>
      <x:c r="C588" t="str">
        <x:v>OEO6</x:v>
      </x:c>
      <x:c r="D588" t="n">
        <x:v>19</x:v>
      </x:c>
      <x:c r="E588" t="str">
        <x:v>Expert</x:v>
      </x:c>
      <x:c r="F588" t="str">
        <x:v>Standard, Kaizo</x:v>
      </x:c>
      <x:c r="G588" t="n">
        <x:v>45141</x:v>
      </x:c>
      <x:c r="H588" t="str">
        <x:v>34422</x:v>
      </x:c>
      <x:c r="I588" t="str">
        <x:v>https://www.smwcentral.net/?a=details&amp;id=34422&amp;p=section</x:v>
      </x:c>
      <x:c r="J588" t="str">
        <x:v>https://dl.smwcentral.net/34422/good%20old%20days%203%20v1.40.zip</x:v>
      </x:c>
    </x:row>
    <x:row r="589">
      <x:c r="A589" t="str">
        <x:v>good old days 4</x:v>
      </x:c>
      <x:c r="B589" t="str">
        <x:v>good old days 4</x:v>
      </x:c>
      <x:c r="C589" t="str">
        <x:v>OEO6</x:v>
      </x:c>
      <x:c r="D589" t="n">
        <x:v>42</x:v>
      </x:c>
      <x:c r="E589" t="str">
        <x:v>Expert</x:v>
      </x:c>
      <x:c r="F589" t="str">
        <x:v>Standard, Kaizo</x:v>
      </x:c>
      <x:c r="G589" t="n">
        <x:v>45607</x:v>
      </x:c>
      <x:c r="H589" t="str">
        <x:v>38711</x:v>
      </x:c>
      <x:c r="I589" t="str">
        <x:v>https://www.smwcentral.net/?a=details&amp;id=38711&amp;p=section</x:v>
      </x:c>
      <x:c r="J589" t="str">
        <x:v>https://dl.smwcentral.net/38711/good%20old%20days%204.00.zip</x:v>
      </x:c>
    </x:row>
    <x:row r="590">
      <x:c r="A590" t="str">
        <x:v>good old days: recycle bin</x:v>
      </x:c>
      <x:c r="B590" t="str">
        <x:v>good old days: recycle bin</x:v>
      </x:c>
      <x:c r="C590" t="str">
        <x:v>OEO6</x:v>
      </x:c>
      <x:c r="D590" t="n">
        <x:v>18</x:v>
      </x:c>
      <x:c r="E590" t="str">
        <x:v>Advanced</x:v>
      </x:c>
      <x:c r="F590" t="str">
        <x:v>Standard</x:v>
      </x:c>
      <x:c r="G590" t="n">
        <x:v>45939</x:v>
      </x:c>
      <x:c r="H590" t="str">
        <x:v>40683</x:v>
      </x:c>
      <x:c r="I590" t="str">
        <x:v>https://www.smwcentral.net/?a=details&amp;id=40683&amp;p=section</x:v>
      </x:c>
      <x:c r="J590" t="str">
        <x:v>https://dl.smwcentral.net/40683/good%20old%20days%20-%20recycle%20bin%20v1.11.zip</x:v>
      </x:c>
    </x:row>
    <x:row r="591">
      <x:c r="A591" t="str">
        <x:v>Good Question!</x:v>
      </x:c>
      <x:c r="B591" t="str">
        <x:v>Good Question!</x:v>
      </x:c>
      <x:c r="C591" t="str">
        <x:v>MercuryPenny</x:v>
      </x:c>
      <x:c r="D591" t="n">
        <x:v>6</x:v>
      </x:c>
      <x:c r="E591" t="str">
        <x:v>Intermediate</x:v>
      </x:c>
      <x:c r="F591" t="str">
        <x:v>Standard</x:v>
      </x:c>
      <x:c r="G591" t="n">
        <x:v>41781</x:v>
      </x:c>
      <x:c r="H591" t="str">
        <x:v>6548</x:v>
      </x:c>
      <x:c r="I591" t="str">
        <x:v>https://www.smwcentral.net/?a=details&amp;id=6548&amp;p=section</x:v>
      </x:c>
      <x:c r="J591" t="str">
        <x:v>https://dl.smwcentral.net/6548/Good%20Question%21.zip</x:v>
      </x:c>
    </x:row>
    <x:row r="592">
      <x:c r="A592" t="str">
        <x:v>Goombario's World</x:v>
      </x:c>
      <x:c r="B592" t="str">
        <x:v>Goombario's World</x:v>
      </x:c>
      <x:c r="C592" t="str">
        <x:v>Cellcen</x:v>
      </x:c>
      <x:c r="D592" t="n">
        <x:v>8</x:v>
      </x:c>
      <x:c r="E592" t="str">
        <x:v>Newcomer</x:v>
      </x:c>
      <x:c r="F592" t="str">
        <x:v>Standard</x:v>
      </x:c>
      <x:c r="G592" t="n">
        <x:v>41479</x:v>
      </x:c>
      <x:c r="H592" t="str">
        <x:v>5002</x:v>
      </x:c>
      <x:c r="I592" t="str">
        <x:v>https://www.smwcentral.net/?a=details&amp;id=5002&amp;p=section</x:v>
      </x:c>
      <x:c r="J592" t="str">
        <x:v>https://dl.smwcentral.net/5002/Goombario%27s%20World.zip</x:v>
      </x:c>
    </x:row>
    <x:row r="593">
      <x:c r="A593" t="str">
        <x:v>Goukie's Palace</x:v>
      </x:c>
      <x:c r="B593" t="str">
        <x:v>Goukie's Palace</x:v>
      </x:c>
      <x:c r="C593" t="str">
        <x:v>Wieus96</x:v>
      </x:c>
      <x:c r="D593" t="n">
        <x:v>1</x:v>
      </x:c>
      <x:c r="E593" t="str">
        <x:v>Intermediate</x:v>
      </x:c>
      <x:c r="F593" t="str">
        <x:v>Kaizo, Tool-Assisted</x:v>
      </x:c>
      <x:c r="G593" t="n">
        <x:v>43054</x:v>
      </x:c>
      <x:c r="H593" t="str">
        <x:v>16406</x:v>
      </x:c>
      <x:c r="I593" t="str">
        <x:v>https://www.smwcentral.net/?a=details&amp;id=16406&amp;p=section</x:v>
      </x:c>
      <x:c r="J593" t="str">
        <x:v>https://dl.smwcentral.net/16406/GP%20v1.1.zip</x:v>
      </x:c>
    </x:row>
    <x:row r="594">
      <x:c r="A594" t="str">
        <x:v>Grand Poo World</x:v>
      </x:c>
      <x:c r="B594" t="str">
        <x:v>Grand Poo World</x:v>
      </x:c>
      <x:c r="C594" t="str">
        <x:v>Barbarian</x:v>
      </x:c>
      <x:c r="D594" t="n">
        <x:v>21</x:v>
      </x:c>
      <x:c r="E594" t="str">
        <x:v>Master</x:v>
      </x:c>
      <x:c r="F594" t="str">
        <x:v>Kaizo</x:v>
      </x:c>
      <x:c r="G594" t="n">
        <x:v>43198</x:v>
      </x:c>
      <x:c r="H594" t="str">
        <x:v>17289</x:v>
      </x:c>
      <x:c r="I594" t="str">
        <x:v>https://www.smwcentral.net/?a=details&amp;id=17289&amp;p=section</x:v>
      </x:c>
      <x:c r="J594" t="str">
        <x:v>https://dl.smwcentral.net/17289/GPW1.2.zip</x:v>
      </x:c>
    </x:row>
    <x:row r="595">
      <x:c r="A595" t="str">
        <x:v>Grand Poo World 2</x:v>
      </x:c>
      <x:c r="B595" t="str">
        <x:v>Grand Poo World 2</x:v>
      </x:c>
      <x:c r="C595" t="str">
        <x:v>Barbarian</x:v>
      </x:c>
      <x:c r="D595" t="n">
        <x:v>23</x:v>
      </x:c>
      <x:c r="E595" t="str">
        <x:v>Master</x:v>
      </x:c>
      <x:c r="F595" t="str">
        <x:v>Kaizo</x:v>
      </x:c>
      <x:c r="G595" t="n">
        <x:v>43559</x:v>
      </x:c>
      <x:c r="H595" t="str">
        <x:v>19541</x:v>
      </x:c>
      <x:c r="I595" t="str">
        <x:v>https://www.smwcentral.net/?a=details&amp;id=19541&amp;p=section</x:v>
      </x:c>
      <x:c r="J595" t="str">
        <x:v>https://dl.smwcentral.net/19541/Grand%20Poo%20World%202%201.1.zip</x:v>
      </x:c>
    </x:row>
    <x:row r="596">
      <x:c r="A596" t="str">
        <x:v>Grand Troll World 1</x:v>
      </x:c>
      <x:c r="B596" t="str">
        <x:v>Grand Troll World 1</x:v>
      </x:c>
      <x:c r="C596" t="str">
        <x:v>MoghedienNinek</x:v>
      </x:c>
      <x:c r="D596" t="n">
        <x:v>6</x:v>
      </x:c>
      <x:c r="E596" t="str">
        <x:v>Intermediate</x:v>
      </x:c>
      <x:c r="F596" t="str">
        <x:v>Kaizo</x:v>
      </x:c>
      <x:c r="G596" t="n">
        <x:v>44044</x:v>
      </x:c>
      <x:c r="H596" t="str">
        <x:v>22880</x:v>
      </x:c>
      <x:c r="I596" t="str">
        <x:v>https://www.smwcentral.net/?a=details&amp;id=22880&amp;p=section</x:v>
      </x:c>
      <x:c r="J596" t="str">
        <x:v>https://dl.smwcentral.net/22880/Grand%20Troll%20World%201.zip</x:v>
      </x:c>
    </x:row>
    <x:row r="597">
      <x:c r="A597" t="str">
        <x:v>GrandChaos' Mario World</x:v>
      </x:c>
      <x:c r="B597" t="str">
        <x:v>GrandChaos' Mario World</x:v>
      </x:c>
      <x:c r="C597" t="str">
        <x:v>HarvettFox96</x:v>
      </x:c>
      <x:c r="D597" t="n">
        <x:v>13</x:v>
      </x:c>
      <x:c r="E597" t="str">
        <x:v>Newcomer</x:v>
      </x:c>
      <x:c r="F597" t="str">
        <x:v>Standard</x:v>
      </x:c>
      <x:c r="G597" t="n">
        <x:v>41626</x:v>
      </x:c>
      <x:c r="H597" t="str">
        <x:v>5981</x:v>
      </x:c>
      <x:c r="I597" t="str">
        <x:v>https://www.smwcentral.net/?a=details&amp;id=5981&amp;p=section</x:v>
      </x:c>
      <x:c r="J597" t="str">
        <x:v>https://dl.smwcentral.net/5981/GrandChaos%27%20Mario%20World%20%28v0.25%20Alpha%20-%20Demo%202%29.zip</x:v>
      </x:c>
    </x:row>
    <x:row r="598">
      <x:c r="A598" t="str">
        <x:v>Gratitude</x:v>
      </x:c>
      <x:c r="B598" t="str">
        <x:v>Gratitude</x:v>
      </x:c>
      <x:c r="C598" t="str">
        <x:v>Fransen86</x:v>
      </x:c>
      <x:c r="D598" t="n">
        <x:v>16</x:v>
      </x:c>
      <x:c r="E598" t="str">
        <x:v>Expert</x:v>
      </x:c>
      <x:c r="F598" t="str">
        <x:v>Kaizo</x:v>
      </x:c>
      <x:c r="G598" t="n">
        <x:v>45741</x:v>
      </x:c>
      <x:c r="H598" t="str">
        <x:v>39587</x:v>
      </x:c>
      <x:c r="I598" t="str">
        <x:v>https://www.smwcentral.net/?a=details&amp;id=39587&amp;p=section</x:v>
      </x:c>
      <x:c r="J598" t="str">
        <x:v>https://dl.smwcentral.net/39587/Gratitude%201_1.zip</x:v>
      </x:c>
    </x:row>
    <x:row r="599">
      <x:c r="A599" t="str">
        <x:v>Green Cavern</x:v>
      </x:c>
      <x:c r="B599" t="str">
        <x:v>Green Cavern</x:v>
      </x:c>
      <x:c r="C599" t="str">
        <x:v>TheBiob</x:v>
      </x:c>
      <x:c r="D599" t="n">
        <x:v>3</x:v>
      </x:c>
      <x:c r="E599" t="str">
        <x:v>Grandmaster</x:v>
      </x:c>
      <x:c r="F599" t="str">
        <x:v>Kaizo, Tool-Assisted</x:v>
      </x:c>
      <x:c r="G599" t="n">
        <x:v>45386</x:v>
      </x:c>
      <x:c r="H599" t="str">
        <x:v>37071</x:v>
      </x:c>
      <x:c r="I599" t="str">
        <x:v>https://www.smwcentral.net/?a=details&amp;id=37071&amp;p=section</x:v>
      </x:c>
      <x:c r="J599" t="str">
        <x:v>https://dl.smwcentral.net/37071/Green%20Cavern-yoshi_1.0.zip</x:v>
      </x:c>
    </x:row>
    <x:row r="600">
      <x:c r="A600" t="str">
        <x:v>Gregor's New Super Mario World</x:v>
      </x:c>
      <x:c r="B600" t="str">
        <x:v>Gregor's New Super Mario World</x:v>
      </x:c>
      <x:c r="C600" t="str">
        <x:v>Gregor</x:v>
      </x:c>
      <x:c r="D600" t="n">
        <x:v>15</x:v>
      </x:c>
      <x:c r="E600" t="str">
        <x:v>Casual</x:v>
      </x:c>
      <x:c r="F600" t="str">
        <x:v>Standard</x:v>
      </x:c>
      <x:c r="G600" t="n">
        <x:v>42010</x:v>
      </x:c>
      <x:c r="H600" t="str">
        <x:v>10342</x:v>
      </x:c>
      <x:c r="I600" t="str">
        <x:v>https://www.smwcentral.net/?a=details&amp;id=10342&amp;p=section</x:v>
      </x:c>
      <x:c r="J600" t="str">
        <x:v>https://dl.smwcentral.net/10342/nsmw%20d2.zip</x:v>
      </x:c>
    </x:row>
    <x:row r="601">
      <x:c r="A601" t="str">
        <x:v>Grenudo Planet 3</x:v>
      </x:c>
      <x:c r="B601" t="str">
        <x:v>Grenudo Planet 3</x:v>
      </x:c>
      <x:c r="C601" t="str">
        <x:v>elwawa</x:v>
      </x:c>
      <x:c r="D601" t="n">
        <x:v>21</x:v>
      </x:c>
      <x:c r="E601" t="str">
        <x:v>Advanced</x:v>
      </x:c>
      <x:c r="F601" t="str">
        <x:v>Kaizo</x:v>
      </x:c>
      <x:c r="G601" t="n">
        <x:v>46035</x:v>
      </x:c>
      <x:c r="H601" t="str">
        <x:v>41387</x:v>
      </x:c>
      <x:c r="I601" t="str">
        <x:v>https://www.smwcentral.net/?a=details&amp;id=41387&amp;p=section</x:v>
      </x:c>
      <x:c r="J601" t="str">
        <x:v>https://dl.smwcentral.net/41387/grenudo.zip</x:v>
      </x:c>
    </x:row>
    <x:row r="602">
      <x:c r="A602" t="str">
        <x:v>Grey Eminence</x:v>
      </x:c>
      <x:c r="B602" t="str">
        <x:v>Grey Eminence</x:v>
      </x:c>
      <x:c r="C602" t="str">
        <x:v>kebabchilla</x:v>
      </x:c>
      <x:c r="D602" t="n">
        <x:v>34</x:v>
      </x:c>
      <x:c r="E602" t="str">
        <x:v>Advanced</x:v>
      </x:c>
      <x:c r="F602" t="str">
        <x:v>Standard</x:v>
      </x:c>
      <x:c r="G602" t="n">
        <x:v>44082</x:v>
      </x:c>
      <x:c r="H602" t="str">
        <x:v>24481</x:v>
      </x:c>
      <x:c r="I602" t="str">
        <x:v>https://www.smwcentral.net/?a=details&amp;id=24481&amp;p=section</x:v>
      </x:c>
      <x:c r="J602" t="str">
        <x:v>https://dl.smwcentral.net/24481/greyeminence.zip</x:v>
      </x:c>
    </x:row>
    <x:row r="603">
      <x:c r="A603" t="str">
        <x:v>Greñudo planet2 Lucas´s revenge</x:v>
      </x:c>
      <x:c r="B603" t="str">
        <x:v>Greñudo planet2 Lucas´s revenge</x:v>
      </x:c>
      <x:c r="C603" t="str">
        <x:v>magianegra21</x:v>
      </x:c>
      <x:c r="D603" t="n">
        <x:v>15</x:v>
      </x:c>
      <x:c r="E603" t="str">
        <x:v>Expert</x:v>
      </x:c>
      <x:c r="F603" t="str">
        <x:v>Kaizo</x:v>
      </x:c>
      <x:c r="G603" t="n">
        <x:v>45117</x:v>
      </x:c>
      <x:c r="H603" t="str">
        <x:v>34307</x:v>
      </x:c>
      <x:c r="I603" t="str">
        <x:v>https://www.smwcentral.net/?a=details&amp;id=34307&amp;p=section</x:v>
      </x:c>
      <x:c r="J603" t="str">
        <x:v>https://dl.smwcentral.net/34307/grenudo%20planet%202.zip</x:v>
      </x:c>
    </x:row>
    <x:row r="604">
      <x:c r="A604" t="str">
        <x:v>GREÑUDOS PLANET</x:v>
      </x:c>
      <x:c r="B604" t="str">
        <x:v>GREÑUDOS PLANET</x:v>
      </x:c>
      <x:c r="C604" t="str">
        <x:v>alvinluis</x:v>
      </x:c>
      <x:c r="D604" t="n">
        <x:v>10</x:v>
      </x:c>
      <x:c r="E604" t="str">
        <x:v>Advanced</x:v>
      </x:c>
      <x:c r="F604" t="str">
        <x:v>Kaizo</x:v>
      </x:c>
      <x:c r="G604" t="n">
        <x:v>44843</x:v>
      </x:c>
      <x:c r="H604" t="str">
        <x:v>32301</x:v>
      </x:c>
      <x:c r="I604" t="str">
        <x:v>https://www.smwcentral.net/?a=details&amp;id=32301&amp;p=section</x:v>
      </x:c>
      <x:c r="J604" t="str">
        <x:v>https://dl.smwcentral.net/32301/gre%C3%B1udos%20planet.zip</x:v>
      </x:c>
    </x:row>
    <x:row r="605">
      <x:c r="A605" t="str">
        <x:v>Griffy World</x:v>
      </x:c>
      <x:c r="B605" t="str">
        <x:v>Griffy World</x:v>
      </x:c>
      <x:c r="C605" t="str">
        <x:v>Remalis</x:v>
      </x:c>
      <x:c r="D605" t="n">
        <x:v>19</x:v>
      </x:c>
      <x:c r="E605" t="str">
        <x:v>Expert</x:v>
      </x:c>
      <x:c r="F605" t="str">
        <x:v>Kaizo</x:v>
      </x:c>
      <x:c r="G605" t="n">
        <x:v>44711</x:v>
      </x:c>
      <x:c r="H605" t="str">
        <x:v>30987</x:v>
      </x:c>
      <x:c r="I605" t="str">
        <x:v>https://www.smwcentral.net/?a=details&amp;id=30987&amp;p=section</x:v>
      </x:c>
      <x:c r="J605" t="str">
        <x:v>https://dl.smwcentral.net/30987/GriffyWorld_v1.12.zip</x:v>
      </x:c>
    </x:row>
    <x:row r="606">
      <x:c r="A606" t="str">
        <x:v>Groovy</x:v>
      </x:c>
      <x:c r="B606" t="str">
        <x:v>Groovy</x:v>
      </x:c>
      <x:c r="C606" t="str">
        <x:v>Lush_50</x:v>
      </x:c>
      <x:c r="D606" t="n">
        <x:v>1</x:v>
      </x:c>
      <x:c r="E606" t="str">
        <x:v>Advanced</x:v>
      </x:c>
      <x:c r="F606" t="str">
        <x:v>Kaizo</x:v>
      </x:c>
      <x:c r="G606" t="n">
        <x:v>44543</x:v>
      </x:c>
      <x:c r="H606" t="str">
        <x:v>28970</x:v>
      </x:c>
      <x:c r="I606" t="str">
        <x:v>https://www.smwcentral.net/?a=details&amp;id=28970&amp;p=section</x:v>
      </x:c>
      <x:c r="J606" t="str">
        <x:v>https://dl.smwcentral.net/28970/Groovy%20%20v1.1.zip</x:v>
      </x:c>
    </x:row>
    <x:row r="607">
      <x:c r="A607" t="str">
        <x:v>Gynura</x:v>
      </x:c>
      <x:c r="B607" t="str">
        <x:v>Gynura</x:v>
      </x:c>
      <x:c r="C607" t="str">
        <x:v>neidoodle</x:v>
      </x:c>
      <x:c r="D607" t="n">
        <x:v>16</x:v>
      </x:c>
      <x:c r="E607" t="str">
        <x:v>Advanced</x:v>
      </x:c>
      <x:c r="F607" t="str">
        <x:v>Kaizo</x:v>
      </x:c>
      <x:c r="G607" t="n">
        <x:v>45791</x:v>
      </x:c>
      <x:c r="H607" t="str">
        <x:v>39832</x:v>
      </x:c>
      <x:c r="I607" t="str">
        <x:v>https://www.smwcentral.net/?a=details&amp;id=39832&amp;p=section</x:v>
      </x:c>
      <x:c r="J607" t="str">
        <x:v>https://dl.smwcentral.net/39832/Gynura.zip</x:v>
      </x:c>
    </x:row>
    <x:row r="608">
      <x:c r="A608" t="str">
        <x:v>H&amp;SB2 - Twilight Gem:  Hunter's Quest</x:v>
      </x:c>
      <x:c r="B608" t="str">
        <x:v>H&amp;SB2 - Twilight Gem:  Hunter's Quest</x:v>
      </x:c>
      <x:c r="C608" t="str">
        <x:v>amhunter</x:v>
      </x:c>
      <x:c r="D608" t="n">
        <x:v>43</x:v>
      </x:c>
      <x:c r="E608" t="str">
        <x:v>Intermediate</x:v>
      </x:c>
      <x:c r="F608" t="str">
        <x:v>Standard</x:v>
      </x:c>
      <x:c r="G608" t="n">
        <x:v>42297</x:v>
      </x:c>
      <x:c r="H608" t="str">
        <x:v>10226</x:v>
      </x:c>
      <x:c r="I608" t="str">
        <x:v>https://www.smwcentral.net/?a=details&amp;id=10226&amp;p=section</x:v>
      </x:c>
      <x:c r="J608" t="str">
        <x:v>https://dl.smwcentral.net/10226/Hunter%27s_Quest_Demo2.zip</x:v>
      </x:c>
    </x:row>
    <x:row r="609">
      <x:c r="A609" t="str">
        <x:v>H&amp;SB2 - Twilight Gem: Scorpion's Hunt</x:v>
      </x:c>
      <x:c r="B609" t="str">
        <x:v>H&amp;SB2 - Twilight Gem: Scorpion's Hunt</x:v>
      </x:c>
      <x:c r="C609" t="str">
        <x:v>Skewer</x:v>
      </x:c>
      <x:c r="D609" t="n">
        <x:v>53</x:v>
      </x:c>
      <x:c r="E609" t="str">
        <x:v>Intermediate</x:v>
      </x:c>
      <x:c r="F609" t="str">
        <x:v>Standard</x:v>
      </x:c>
      <x:c r="G609" t="n">
        <x:v>42291</x:v>
      </x:c>
      <x:c r="H609" t="str">
        <x:v>10236</x:v>
      </x:c>
      <x:c r="I609" t="str">
        <x:v>https://www.smwcentral.net/?a=details&amp;id=10236&amp;p=section</x:v>
      </x:c>
      <x:c r="J609" t="str">
        <x:v>https://dl.smwcentral.net/10236/Twilight%20Demo%202%20%283%29.zip</x:v>
      </x:c>
    </x:row>
    <x:row r="610">
      <x:c r="A610" t="str">
        <x:v>Hack</x:v>
      </x:c>
      <x:c r="B610" t="str">
        <x:v>Hack</x:v>
      </x:c>
      <x:c r="C610" t="str">
        <x:v>Golden Yoshi</x:v>
      </x:c>
      <x:c r="D610" t="n">
        <x:v>9</x:v>
      </x:c>
      <x:c r="E610" t="str">
        <x:v>Casual</x:v>
      </x:c>
      <x:c r="F610" t="str">
        <x:v>Standard</x:v>
      </x:c>
      <x:c r="G610" t="n">
        <x:v>41539</x:v>
      </x:c>
      <x:c r="H610" t="str">
        <x:v>5428</x:v>
      </x:c>
      <x:c r="I610" t="str">
        <x:v>https://www.smwcentral.net/?a=details&amp;id=5428&amp;p=section</x:v>
      </x:c>
      <x:c r="J610" t="str">
        <x:v>https://dl.smwcentral.net/5428/Hack.zip</x:v>
      </x:c>
    </x:row>
    <x:row r="611">
      <x:c r="A611" t="str">
        <x:v>Hack -1</x:v>
      </x:c>
      <x:c r="B611" t="str">
        <x:v>Hack -1</x:v>
      </x:c>
      <x:c r="C611" t="str">
        <x:v>Golden Yoshi</x:v>
      </x:c>
      <x:c r="D611" t="n">
        <x:v>9</x:v>
      </x:c>
      <x:c r="E611" t="str">
        <x:v>Intermediate</x:v>
      </x:c>
      <x:c r="F611" t="str">
        <x:v>Standard</x:v>
      </x:c>
      <x:c r="G611" t="n">
        <x:v>44215</x:v>
      </x:c>
      <x:c r="H611" t="str">
        <x:v>25869</x:v>
      </x:c>
      <x:c r="I611" t="str">
        <x:v>https://www.smwcentral.net/?a=details&amp;id=25869&amp;p=section</x:v>
      </x:c>
      <x:c r="J611" t="str">
        <x:v>https://dl.smwcentral.net/25869/Hack%20-1.zip</x:v>
      </x:c>
    </x:row>
    <x:row r="612">
      <x:c r="A612" t="str">
        <x:v>Hack -1 2</x:v>
      </x:c>
      <x:c r="B612" t="str">
        <x:v>Hack -1 2</x:v>
      </x:c>
      <x:c r="C612" t="str">
        <x:v>Golden Yoshi</x:v>
      </x:c>
      <x:c r="D612" t="n">
        <x:v>7</x:v>
      </x:c>
      <x:c r="E612" t="str">
        <x:v>Casual</x:v>
      </x:c>
      <x:c r="F612" t="str">
        <x:v>Standard</x:v>
      </x:c>
      <x:c r="G612" t="n">
        <x:v>45295</x:v>
      </x:c>
      <x:c r="H612" t="str">
        <x:v>35730</x:v>
      </x:c>
      <x:c r="I612" t="str">
        <x:v>https://www.smwcentral.net/?a=details&amp;id=35730&amp;p=section</x:v>
      </x:c>
      <x:c r="J612" t="str">
        <x:v>https://dl.smwcentral.net/35730/HackNegative12.zip</x:v>
      </x:c>
    </x:row>
    <x:row r="613">
      <x:c r="A613" t="str">
        <x:v>Hack 0</x:v>
      </x:c>
      <x:c r="B613" t="str">
        <x:v>Hack 0</x:v>
      </x:c>
      <x:c r="C613" t="str">
        <x:v>Golden Yoshi</x:v>
      </x:c>
      <x:c r="D613" t="n">
        <x:v>7</x:v>
      </x:c>
      <x:c r="E613" t="str">
        <x:v>Advanced</x:v>
      </x:c>
      <x:c r="F613" t="str">
        <x:v>Standard</x:v>
      </x:c>
      <x:c r="G613" t="n">
        <x:v>44148</x:v>
      </x:c>
      <x:c r="H613" t="str">
        <x:v>24991</x:v>
      </x:c>
      <x:c r="I613" t="str">
        <x:v>https://www.smwcentral.net/?a=details&amp;id=24991&amp;p=section</x:v>
      </x:c>
      <x:c r="J613" t="str">
        <x:v>https://dl.smwcentral.net/24991/Hack%200.zip</x:v>
      </x:c>
    </x:row>
    <x:row r="614">
      <x:c r="A614" t="str">
        <x:v>Hack 0 2</x:v>
      </x:c>
      <x:c r="B614" t="str">
        <x:v>Hack 0 2</x:v>
      </x:c>
      <x:c r="C614" t="str">
        <x:v>Golden Yoshi</x:v>
      </x:c>
      <x:c r="D614" t="n">
        <x:v>5</x:v>
      </x:c>
      <x:c r="E614" t="str">
        <x:v>Intermediate</x:v>
      </x:c>
      <x:c r="F614" t="str">
        <x:v>Standard</x:v>
      </x:c>
      <x:c r="G614" t="n">
        <x:v>45608</x:v>
      </x:c>
      <x:c r="H614" t="str">
        <x:v>38745</x:v>
      </x:c>
      <x:c r="I614" t="str">
        <x:v>https://www.smwcentral.net/?a=details&amp;id=38745&amp;p=section</x:v>
      </x:c>
      <x:c r="J614" t="str">
        <x:v>https://dl.smwcentral.net/38745/Hack%200%202%20v1.1.zip</x:v>
      </x:c>
    </x:row>
    <x:row r="615">
      <x:c r="A615" t="str">
        <x:v>Hack 0 3</x:v>
      </x:c>
      <x:c r="B615" t="str">
        <x:v>Hack 0 3</x:v>
      </x:c>
      <x:c r="C615" t="str">
        <x:v>Golden Yoshi</x:v>
      </x:c>
      <x:c r="D615" t="n">
        <x:v>12</x:v>
      </x:c>
      <x:c r="E615" t="str">
        <x:v>Intermediate</x:v>
      </x:c>
      <x:c r="F615" t="str">
        <x:v>Standard</x:v>
      </x:c>
      <x:c r="G615" t="n">
        <x:v>45834</x:v>
      </x:c>
      <x:c r="H615" t="str">
        <x:v>40017</x:v>
      </x:c>
      <x:c r="I615" t="str">
        <x:v>https://www.smwcentral.net/?a=details&amp;id=40017&amp;p=section</x:v>
      </x:c>
      <x:c r="J615" t="str">
        <x:v>https://dl.smwcentral.net/40017/Hack03Releasev1.1.zip</x:v>
      </x:c>
    </x:row>
    <x:row r="616">
      <x:c r="A616" t="str">
        <x:v>Hack 1 2</x:v>
      </x:c>
      <x:c r="B616" t="str">
        <x:v>Hack 1 2</x:v>
      </x:c>
      <x:c r="C616" t="str">
        <x:v>Golden Yoshi</x:v>
      </x:c>
      <x:c r="D616" t="n">
        <x:v>10</x:v>
      </x:c>
      <x:c r="E616" t="str">
        <x:v>Intermediate</x:v>
      </x:c>
      <x:c r="F616" t="str">
        <x:v>Standard</x:v>
      </x:c>
      <x:c r="G616" t="n">
        <x:v>44185</x:v>
      </x:c>
      <x:c r="H616" t="str">
        <x:v>25268</x:v>
      </x:c>
      <x:c r="I616" t="str">
        <x:v>https://www.smwcentral.net/?a=details&amp;id=25268&amp;p=section</x:v>
      </x:c>
      <x:c r="J616" t="str">
        <x:v>https://dl.smwcentral.net/25268/Hack%201%202.zip</x:v>
      </x:c>
    </x:row>
    <x:row r="617">
      <x:c r="A617" t="str">
        <x:v>Hack 1 2 2</x:v>
      </x:c>
      <x:c r="B617" t="str">
        <x:v>Hack 1 2 2</x:v>
      </x:c>
      <x:c r="C617" t="str">
        <x:v>Golden Yoshi</x:v>
      </x:c>
      <x:c r="D617" t="n">
        <x:v>10</x:v>
      </x:c>
      <x:c r="E617" t="str">
        <x:v>Intermediate</x:v>
      </x:c>
      <x:c r="F617" t="str">
        <x:v>Standard</x:v>
      </x:c>
      <x:c r="G617" t="n">
        <x:v>44169</x:v>
      </x:c>
      <x:c r="H617" t="str">
        <x:v>25269</x:v>
      </x:c>
      <x:c r="I617" t="str">
        <x:v>https://www.smwcentral.net/?a=details&amp;id=25269&amp;p=section</x:v>
      </x:c>
      <x:c r="J617" t="str">
        <x:v>https://dl.smwcentral.net/25269/Hack%201%202%202.zip</x:v>
      </x:c>
    </x:row>
    <x:row r="618">
      <x:c r="A618" t="str">
        <x:v>Hack 1 2 3</x:v>
      </x:c>
      <x:c r="B618" t="str">
        <x:v>Hack 1 2 3</x:v>
      </x:c>
      <x:c r="C618" t="str">
        <x:v>Golden Yoshi</x:v>
      </x:c>
      <x:c r="D618" t="n">
        <x:v>10</x:v>
      </x:c>
      <x:c r="E618" t="str">
        <x:v>Intermediate</x:v>
      </x:c>
      <x:c r="F618" t="str">
        <x:v>Standard</x:v>
      </x:c>
      <x:c r="G618" t="n">
        <x:v>44279</x:v>
      </x:c>
      <x:c r="H618" t="str">
        <x:v>26367</x:v>
      </x:c>
      <x:c r="I618" t="str">
        <x:v>https://www.smwcentral.net/?a=details&amp;id=26367&amp;p=section</x:v>
      </x:c>
      <x:c r="J618" t="str">
        <x:v>https://dl.smwcentral.net/26367/Hack%201%202%203.zip</x:v>
      </x:c>
    </x:row>
    <x:row r="619">
      <x:c r="A619" t="str">
        <x:v>Hack 2</x:v>
      </x:c>
      <x:c r="B619" t="str">
        <x:v>Hack 2</x:v>
      </x:c>
      <x:c r="C619" t="str">
        <x:v>Golden Yoshi</x:v>
      </x:c>
      <x:c r="D619" t="n">
        <x:v>20</x:v>
      </x:c>
      <x:c r="E619" t="str">
        <x:v>Intermediate</x:v>
      </x:c>
      <x:c r="F619" t="str">
        <x:v>Standard</x:v>
      </x:c>
      <x:c r="G619" t="n">
        <x:v>41627</x:v>
      </x:c>
      <x:c r="H619" t="str">
        <x:v>5987</x:v>
      </x:c>
      <x:c r="I619" t="str">
        <x:v>https://www.smwcentral.net/?a=details&amp;id=5987&amp;p=section</x:v>
      </x:c>
      <x:c r="J619" t="str">
        <x:v>https://dl.smwcentral.net/5987/Hack%202.zip</x:v>
      </x:c>
    </x:row>
    <x:row r="620">
      <x:c r="A620" t="str">
        <x:v>Hack 25</x:v>
      </x:c>
      <x:c r="B620" t="str">
        <x:v>Hack 25</x:v>
      </x:c>
      <x:c r="C620" t="str">
        <x:v>Golden Yoshi</x:v>
      </x:c>
      <x:c r="D620" t="n">
        <x:v>6</x:v>
      </x:c>
      <x:c r="E620" t="str">
        <x:v>Intermediate</x:v>
      </x:c>
      <x:c r="F620" t="str">
        <x:v>Standard</x:v>
      </x:c>
      <x:c r="G620" t="n">
        <x:v>46143</x:v>
      </x:c>
      <x:c r="H620" t="str">
        <x:v>42289</x:v>
      </x:c>
      <x:c r="I620" t="str">
        <x:v>https://www.smwcentral.net/?a=details&amp;id=42289&amp;p=section</x:v>
      </x:c>
      <x:c r="J620" t="str">
        <x:v>https://dl.smwcentral.net/42289/Hack%2025.zip</x:v>
      </x:c>
    </x:row>
    <x:row r="621">
      <x:c r="A621" t="str">
        <x:v>Hack 3</x:v>
      </x:c>
      <x:c r="B621" t="str">
        <x:v>Hack 3</x:v>
      </x:c>
      <x:c r="C621" t="str">
        <x:v>Golden Yoshi</x:v>
      </x:c>
      <x:c r="D621" t="n">
        <x:v>15</x:v>
      </x:c>
      <x:c r="E621" t="str">
        <x:v>Casual</x:v>
      </x:c>
      <x:c r="F621" t="str">
        <x:v>Standard</x:v>
      </x:c>
      <x:c r="G621" t="n">
        <x:v>42178</x:v>
      </x:c>
      <x:c r="H621" t="str">
        <x:v>11495</x:v>
      </x:c>
      <x:c r="I621" t="str">
        <x:v>https://www.smwcentral.net/?a=details&amp;id=11495&amp;p=section</x:v>
      </x:c>
      <x:c r="J621" t="str">
        <x:v>https://dl.smwcentral.net/11495/Hack%203%20Release.zip</x:v>
      </x:c>
    </x:row>
    <x:row r="622">
      <x:c r="A622" t="str">
        <x:v>Hack 4</x:v>
      </x:c>
      <x:c r="B622" t="str">
        <x:v>Hack 4</x:v>
      </x:c>
      <x:c r="C622" t="str">
        <x:v>Golden Yoshi</x:v>
      </x:c>
      <x:c r="D622" t="n">
        <x:v>11</x:v>
      </x:c>
      <x:c r="E622" t="str">
        <x:v>Casual</x:v>
      </x:c>
      <x:c r="F622" t="str">
        <x:v>Standard</x:v>
      </x:c>
      <x:c r="G622" t="n">
        <x:v>42952</x:v>
      </x:c>
      <x:c r="H622" t="str">
        <x:v>15993</x:v>
      </x:c>
      <x:c r="I622" t="str">
        <x:v>https://www.smwcentral.net/?a=details&amp;id=15993&amp;p=section</x:v>
      </x:c>
      <x:c r="J622" t="str">
        <x:v>https://dl.smwcentral.net/15993/Hack%204.zip</x:v>
      </x:c>
    </x:row>
    <x:row r="623">
      <x:c r="A623" t="str">
        <x:v>Hack 5</x:v>
      </x:c>
      <x:c r="B623" t="str">
        <x:v>Hack 5</x:v>
      </x:c>
      <x:c r="C623" t="str">
        <x:v>Golden Yoshi</x:v>
      </x:c>
      <x:c r="D623" t="n">
        <x:v>14</x:v>
      </x:c>
      <x:c r="E623" t="str">
        <x:v>Casual</x:v>
      </x:c>
      <x:c r="F623" t="str">
        <x:v>Standard</x:v>
      </x:c>
      <x:c r="G623" t="n">
        <x:v>43561</x:v>
      </x:c>
      <x:c r="H623" t="str">
        <x:v>19588</x:v>
      </x:c>
      <x:c r="I623" t="str">
        <x:v>https://www.smwcentral.net/?a=details&amp;id=19588&amp;p=section</x:v>
      </x:c>
      <x:c r="J623" t="str">
        <x:v>https://dl.smwcentral.net/19588/Hack%205.zip</x:v>
      </x:c>
    </x:row>
    <x:row r="624">
      <x:c r="A624" t="str">
        <x:v>Hack 6</x:v>
      </x:c>
      <x:c r="B624" t="str">
        <x:v>Hack 6</x:v>
      </x:c>
      <x:c r="C624" t="str">
        <x:v>Golden Yoshi</x:v>
      </x:c>
      <x:c r="D624" t="n">
        <x:v>11</x:v>
      </x:c>
      <x:c r="E624" t="str">
        <x:v>Intermediate</x:v>
      </x:c>
      <x:c r="F624" t="str">
        <x:v>Standard</x:v>
      </x:c>
      <x:c r="G624" t="n">
        <x:v>44170</x:v>
      </x:c>
      <x:c r="H624" t="str">
        <x:v>25350</x:v>
      </x:c>
      <x:c r="I624" t="str">
        <x:v>https://www.smwcentral.net/?a=details&amp;id=25350&amp;p=section</x:v>
      </x:c>
      <x:c r="J624" t="str">
        <x:v>https://dl.smwcentral.net/25350/Hack%206.zip</x:v>
      </x:c>
    </x:row>
    <x:row r="625">
      <x:c r="A625" t="str">
        <x:v>Hack 7</x:v>
      </x:c>
      <x:c r="B625" t="str">
        <x:v>Hack 7</x:v>
      </x:c>
      <x:c r="C625" t="str">
        <x:v>Golden Yoshi</x:v>
      </x:c>
      <x:c r="D625" t="n">
        <x:v>10</x:v>
      </x:c>
      <x:c r="E625" t="str">
        <x:v>Intermediate</x:v>
      </x:c>
      <x:c r="F625" t="str">
        <x:v>Standard</x:v>
      </x:c>
      <x:c r="G625" t="n">
        <x:v>45386</x:v>
      </x:c>
      <x:c r="H625" t="str">
        <x:v>37570</x:v>
      </x:c>
      <x:c r="I625" t="str">
        <x:v>https://www.smwcentral.net/?a=details&amp;id=37570&amp;p=section</x:v>
      </x:c>
      <x:c r="J625" t="str">
        <x:v>https://dl.smwcentral.net/37570/Hack%207.zip</x:v>
      </x:c>
    </x:row>
    <x:row r="626">
      <x:c r="A626" t="str">
        <x:v>Hack 8</x:v>
      </x:c>
      <x:c r="B626" t="str">
        <x:v>Hack 8</x:v>
      </x:c>
      <x:c r="C626" t="str">
        <x:v>Golden Yoshi</x:v>
      </x:c>
      <x:c r="D626" t="n">
        <x:v>10</x:v>
      </x:c>
      <x:c r="E626" t="str">
        <x:v>Intermediate</x:v>
      </x:c>
      <x:c r="F626" t="str">
        <x:v>Standard</x:v>
      </x:c>
      <x:c r="G626" t="n">
        <x:v>45917</x:v>
      </x:c>
      <x:c r="H626" t="str">
        <x:v>40619</x:v>
      </x:c>
      <x:c r="I626" t="str">
        <x:v>https://www.smwcentral.net/?a=details&amp;id=40619&amp;p=section</x:v>
      </x:c>
      <x:c r="J626" t="str">
        <x:v>https://dl.smwcentral.net/40619/Hack8Release.zip</x:v>
      </x:c>
    </x:row>
    <x:row r="627">
      <x:c r="A627" t="str">
        <x:v>Hack for a dying culture</x:v>
      </x:c>
      <x:c r="B627" t="str">
        <x:v>Hack for a dying culture</x:v>
      </x:c>
      <x:c r="C627" t="str">
        <x:v>Anonymous</x:v>
      </x:c>
      <x:c r="D627" t="n">
        <x:v>7</x:v>
      </x:c>
      <x:c r="E627" t="str">
        <x:v>Master</x:v>
      </x:c>
      <x:c r="F627" t="str">
        <x:v>Kaizo</x:v>
      </x:c>
      <x:c r="G627" t="n">
        <x:v>44187</x:v>
      </x:c>
      <x:c r="H627" t="str">
        <x:v>25061</x:v>
      </x:c>
      <x:c r="I627" t="str">
        <x:v>https://www.smwcentral.net/?a=details&amp;id=25061&amp;p=section</x:v>
      </x:c>
      <x:c r="J627" t="str">
        <x:v>https://dl.smwcentral.net/25061/hfadc.zip</x:v>
      </x:c>
    </x:row>
    <x:row r="628">
      <x:c r="A628" t="str">
        <x:v>Hack: Greatest Hits</x:v>
      </x:c>
      <x:c r="B628" t="str">
        <x:v>Hack: Greatest Hits</x:v>
      </x:c>
      <x:c r="C628" t="str">
        <x:v>Golden Yoshi</x:v>
      </x:c>
      <x:c r="D628" t="n">
        <x:v>27</x:v>
      </x:c>
      <x:c r="E628" t="str">
        <x:v>Intermediate</x:v>
      </x:c>
      <x:c r="F628" t="str">
        <x:v>Standard, Kaizo</x:v>
      </x:c>
      <x:c r="G628" t="n">
        <x:v>45732</x:v>
      </x:c>
      <x:c r="H628" t="str">
        <x:v>39521</x:v>
      </x:c>
      <x:c r="I628" t="str">
        <x:v>https://www.smwcentral.net/?a=details&amp;id=39521&amp;p=section</x:v>
      </x:c>
      <x:c r="J628" t="str">
        <x:v>https://dl.smwcentral.net/39521/HackGreatestHitsReleasev1.2.zip</x:v>
      </x:c>
    </x:row>
    <x:row r="629">
      <x:c r="A629" t="str">
        <x:v>Hack: Greatest Hits Xtreme!</x:v>
      </x:c>
      <x:c r="B629" t="str">
        <x:v>Hack: Greatest Hits Xtreme!</x:v>
      </x:c>
      <x:c r="C629" t="str">
        <x:v>Golden Yoshi</x:v>
      </x:c>
      <x:c r="D629" t="n">
        <x:v>20</x:v>
      </x:c>
      <x:c r="E629" t="str">
        <x:v>Intermediate</x:v>
      </x:c>
      <x:c r="F629" t="str">
        <x:v>Kaizo</x:v>
      </x:c>
      <x:c r="G629" t="n">
        <x:v>45739</x:v>
      </x:c>
      <x:c r="H629" t="str">
        <x:v>39600</x:v>
      </x:c>
      <x:c r="I629" t="str">
        <x:v>https://www.smwcentral.net/?a=details&amp;id=39600&amp;p=section</x:v>
      </x:c>
      <x:c r="J629" t="str">
        <x:v>https://dl.smwcentral.net/39600/HackGHXRelease.zip</x:v>
      </x:c>
    </x:row>
    <x:row r="630">
      <x:c r="A630" t="str">
        <x:v>Hackers Dreams : Going Too Far</x:v>
      </x:c>
      <x:c r="B630" t="str">
        <x:v>Hackers Dreams : Going Too Far</x:v>
      </x:c>
      <x:c r="C630" t="str">
        <x:v>anonymousbl00dlust</x:v>
      </x:c>
      <x:c r="D630" t="n">
        <x:v>1</x:v>
      </x:c>
      <x:c r="E630" t="str">
        <x:v>Master</x:v>
      </x:c>
      <x:c r="F630" t="str">
        <x:v>Kaizo</x:v>
      </x:c>
      <x:c r="G630" t="n">
        <x:v>42938</x:v>
      </x:c>
      <x:c r="H630" t="str">
        <x:v>15918</x:v>
      </x:c>
      <x:c r="I630" t="str">
        <x:v>https://www.smwcentral.net/?a=details&amp;id=15918&amp;p=section</x:v>
      </x:c>
      <x:c r="J630" t="str">
        <x:v>https://dl.smwcentral.net/15918/GoingTooFar.zip</x:v>
      </x:c>
    </x:row>
    <x:row r="631">
      <x:c r="A631" t="str">
        <x:v>Hackers Dreams : Pipe Dream</x:v>
      </x:c>
      <x:c r="B631" t="str">
        <x:v>Hackers Dreams : Pipe Dream</x:v>
      </x:c>
      <x:c r="C631" t="str">
        <x:v>anonymousbl00dlust</x:v>
      </x:c>
      <x:c r="D631" t="n">
        <x:v>1</x:v>
      </x:c>
      <x:c r="E631" t="str">
        <x:v>Master</x:v>
      </x:c>
      <x:c r="F631" t="str">
        <x:v>Kaizo</x:v>
      </x:c>
      <x:c r="G631" t="n">
        <x:v>43287</x:v>
      </x:c>
      <x:c r="H631" t="str">
        <x:v>17741</x:v>
      </x:c>
      <x:c r="I631" t="str">
        <x:v>https://www.smwcentral.net/?a=details&amp;id=17741&amp;p=section</x:v>
      </x:c>
      <x:c r="J631" t="str">
        <x:v>https://dl.smwcentral.net/17741/Hackers%20Dreams%20Pipe%20Dream.zip</x:v>
      </x:c>
    </x:row>
    <x:row r="632">
      <x:c r="A632" t="str">
        <x:v>Hage World</x:v>
      </x:c>
      <x:c r="B632" t="str">
        <x:v>Hage World</x:v>
      </x:c>
      <x:c r="C632" t="str">
        <x:v>bald_ridge</x:v>
      </x:c>
      <x:c r="D632" t="n">
        <x:v>13</x:v>
      </x:c>
      <x:c r="E632" t="str">
        <x:v>Expert</x:v>
      </x:c>
      <x:c r="F632" t="str">
        <x:v>Kaizo</x:v>
      </x:c>
      <x:c r="G632" t="n">
        <x:v>45760</x:v>
      </x:c>
      <x:c r="H632" t="str">
        <x:v>39722</x:v>
      </x:c>
      <x:c r="I632" t="str">
        <x:v>https://www.smwcentral.net/?a=details&amp;id=39722&amp;p=section</x:v>
      </x:c>
      <x:c r="J632" t="str">
        <x:v>https://dl.smwcentral.net/39722/Hage%20World.zip</x:v>
      </x:c>
    </x:row>
    <x:row r="633">
      <x:c r="A633" t="str">
        <x:v>Hage World 2</x:v>
      </x:c>
      <x:c r="B633" t="str">
        <x:v>Hage World 2</x:v>
      </x:c>
      <x:c r="C633" t="str">
        <x:v>bald_ridge</x:v>
      </x:c>
      <x:c r="D633" t="n">
        <x:v>23</x:v>
      </x:c>
      <x:c r="E633" t="str">
        <x:v>Expert</x:v>
      </x:c>
      <x:c r="F633" t="str">
        <x:v>Kaizo</x:v>
      </x:c>
      <x:c r="G633" t="n">
        <x:v>46087</x:v>
      </x:c>
      <x:c r="H633" t="str">
        <x:v>41815</x:v>
      </x:c>
      <x:c r="I633" t="str">
        <x:v>https://www.smwcentral.net/?a=details&amp;id=41815&amp;p=section</x:v>
      </x:c>
      <x:c r="J633" t="str">
        <x:v>https://dl.smwcentral.net/41815/Hage%20World%202.zip</x:v>
      </x:c>
    </x:row>
    <x:row r="634">
      <x:c r="A634" t="str">
        <x:v>Hakurankai Mario</x:v>
      </x:c>
      <x:c r="B634" t="str">
        <x:v>Hakurankai Mario</x:v>
      </x:c>
      <x:c r="C634" t="str">
        <x:v>CoinBandit, Kiki-mewmew</x:v>
      </x:c>
      <x:c r="D634" t="n">
        <x:v>5</x:v>
      </x:c>
      <x:c r="E634" t="str">
        <x:v>Casual</x:v>
      </x:c>
      <x:c r="F634" t="str">
        <x:v>Standard</x:v>
      </x:c>
      <x:c r="G634" t="n">
        <x:v>42213</x:v>
      </x:c>
      <x:c r="H634" t="str">
        <x:v>9859</x:v>
      </x:c>
      <x:c r="I634" t="str">
        <x:v>https://www.smwcentral.net/?a=details&amp;id=9859&amp;p=section</x:v>
      </x:c>
      <x:c r="J634" t="str">
        <x:v>https://dl.smwcentral.net/9859/HAKURANKAI%20DEMO.zip</x:v>
      </x:c>
    </x:row>
    <x:row r="635">
      <x:c r="A635" t="str">
        <x:v>Hallowed Ground</x:v>
      </x:c>
      <x:c r="B635" t="str">
        <x:v>Hallowed Ground</x:v>
      </x:c>
      <x:c r="C635" t="str">
        <x:v>nanec</x:v>
      </x:c>
      <x:c r="D635" t="n">
        <x:v>14</x:v>
      </x:c>
      <x:c r="E635" t="str">
        <x:v>Expert</x:v>
      </x:c>
      <x:c r="F635" t="str">
        <x:v>Kaizo</x:v>
      </x:c>
      <x:c r="G635" t="n">
        <x:v>44606</x:v>
      </x:c>
      <x:c r="H635" t="str">
        <x:v>29667</x:v>
      </x:c>
      <x:c r="I635" t="str">
        <x:v>https://www.smwcentral.net/?a=details&amp;id=29667&amp;p=section</x:v>
      </x:c>
      <x:c r="J635" t="str">
        <x:v>https://dl.smwcentral.net/29667/HGnanec.zip</x:v>
      </x:c>
    </x:row>
    <x:row r="636">
      <x:c r="A636" t="str">
        <x:v>Halloween Hack</x:v>
      </x:c>
      <x:c r="B636" t="str">
        <x:v>Halloween Hack</x:v>
      </x:c>
      <x:c r="C636" t="str">
        <x:v>Golden Yoshi</x:v>
      </x:c>
      <x:c r="D636" t="n">
        <x:v>7</x:v>
      </x:c>
      <x:c r="E636" t="str">
        <x:v>Intermediate</x:v>
      </x:c>
      <x:c r="F636" t="str">
        <x:v>Standard</x:v>
      </x:c>
      <x:c r="G636" t="n">
        <x:v>45825</x:v>
      </x:c>
      <x:c r="H636" t="str">
        <x:v>39974</x:v>
      </x:c>
      <x:c r="I636" t="str">
        <x:v>https://www.smwcentral.net/?a=details&amp;id=39974&amp;p=section</x:v>
      </x:c>
      <x:c r="J636" t="str">
        <x:v>https://dl.smwcentral.net/39974/Halloween%20Hack.zip</x:v>
      </x:c>
    </x:row>
    <x:row r="637">
      <x:c r="A637" t="str">
        <x:v>Halloween in the Mushroom Kingdom</x:v>
      </x:c>
      <x:c r="B637" t="str">
        <x:v>Halloween in the Mushroom Kingdom</x:v>
      </x:c>
      <x:c r="C637" t="str">
        <x:v>AuraDee</x:v>
      </x:c>
      <x:c r="D637" t="n">
        <x:v>3</x:v>
      </x:c>
      <x:c r="E637" t="str">
        <x:v>Casual</x:v>
      </x:c>
      <x:c r="F637" t="str">
        <x:v>Standard</x:v>
      </x:c>
      <x:c r="G637" t="n">
        <x:v>43871</x:v>
      </x:c>
      <x:c r="H637" t="str">
        <x:v>22080</x:v>
      </x:c>
      <x:c r="I637" t="str">
        <x:v>https://www.smwcentral.net/?a=details&amp;id=22080&amp;p=section</x:v>
      </x:c>
      <x:c r="J637" t="str">
        <x:v>https://dl.smwcentral.net/22080/HITMK%20%28Music%20Fixed%29.zip</x:v>
      </x:c>
    </x:row>
    <x:row r="638">
      <x:c r="A638" t="str">
        <x:v>Halloween Islands</x:v>
      </x:c>
      <x:c r="B638" t="str">
        <x:v>Halloween Islands</x:v>
      </x:c>
      <x:c r="C638" t="str">
        <x:v>grisu</x:v>
      </x:c>
      <x:c r="D638" t="n">
        <x:v>8</x:v>
      </x:c>
      <x:c r="E638" t="str">
        <x:v>Intermediate</x:v>
      </x:c>
      <x:c r="F638" t="str">
        <x:v>Kaizo</x:v>
      </x:c>
      <x:c r="G638" t="n">
        <x:v>44489</x:v>
      </x:c>
      <x:c r="H638" t="str">
        <x:v>28590</x:v>
      </x:c>
      <x:c r="I638" t="str">
        <x:v>https://www.smwcentral.net/?a=details&amp;id=28590&amp;p=section</x:v>
      </x:c>
      <x:c r="J638" t="str">
        <x:v>https://dl.smwcentral.net/28590/Halloween%20Islands.zip</x:v>
      </x:c>
    </x:row>
    <x:row r="639">
      <x:c r="A639" t="str">
        <x:v>Halloween Kaizo World</x:v>
      </x:c>
      <x:c r="B639" t="str">
        <x:v>Halloween Kaizo World</x:v>
      </x:c>
      <x:c r="C639" t="str">
        <x:v>Green Jerry</x:v>
      </x:c>
      <x:c r="D639" t="n">
        <x:v>5</x:v>
      </x:c>
      <x:c r="E639" t="str">
        <x:v>Advanced</x:v>
      </x:c>
      <x:c r="F639" t="str">
        <x:v>Kaizo</x:v>
      </x:c>
      <x:c r="G639" t="n">
        <x:v>46173</x:v>
      </x:c>
      <x:c r="H639" t="str">
        <x:v>42450</x:v>
      </x:c>
      <x:c r="I639" t="str">
        <x:v>https://www.smwcentral.net/?a=details&amp;id=42450&amp;p=section</x:v>
      </x:c>
      <x:c r="J639" t="str">
        <x:v>https://dl.smwcentral.net/42450/Halloween%20Kaizo%20World%20v1.2.zip</x:v>
      </x:c>
    </x:row>
    <x:row r="640">
      <x:c r="A640" t="str">
        <x:v>Halo 14 - Definitive Edition</x:v>
      </x:c>
      <x:c r="B640" t="str">
        <x:v>Halo 14 - Definitive Edition</x:v>
      </x:c>
      <x:c r="C640" t="str">
        <x:v>LightAligns, Saela</x:v>
      </x:c>
      <x:c r="D640" t="n">
        <x:v>23</x:v>
      </x:c>
      <x:c r="E640" t="str">
        <x:v>Expert</x:v>
      </x:c>
      <x:c r="F640" t="str">
        <x:v>Kaizo</x:v>
      </x:c>
      <x:c r="G640" t="n">
        <x:v>46062</x:v>
      </x:c>
      <x:c r="H640" t="str">
        <x:v>41546</x:v>
      </x:c>
      <x:c r="I640" t="str">
        <x:v>https://www.smwcentral.net/?a=details&amp;id=41546&amp;p=section</x:v>
      </x:c>
      <x:c r="J640" t="str">
        <x:v>https://dl.smwcentral.net/41546/Halo%2014%20-%20Definitive%20Edition.zip</x:v>
      </x:c>
    </x:row>
    <x:row r="641">
      <x:c r="A641" t="str">
        <x:v>Halo 14 - Side A</x:v>
      </x:c>
      <x:c r="B641" t="str">
        <x:v>Halo 14 - Side A</x:v>
      </x:c>
      <x:c r="C641" t="str">
        <x:v>LightAligns, Saela</x:v>
      </x:c>
      <x:c r="D641" t="n">
        <x:v>12</x:v>
      </x:c>
      <x:c r="E641" t="str">
        <x:v>Expert</x:v>
      </x:c>
      <x:c r="F641" t="str">
        <x:v>Kaizo</x:v>
      </x:c>
      <x:c r="G641" t="n">
        <x:v>44832</x:v>
      </x:c>
      <x:c r="H641" t="str">
        <x:v>32170</x:v>
      </x:c>
      <x:c r="I641" t="str">
        <x:v>https://www.smwcentral.net/?a=details&amp;id=32170&amp;p=section</x:v>
      </x:c>
      <x:c r="J641" t="str">
        <x:v>https://dl.smwcentral.net/32170/Halo%2014%20Side%20A.zip</x:v>
      </x:c>
    </x:row>
    <x:row r="642">
      <x:c r="A642" t="str">
        <x:v>Halo 14 - Side B</x:v>
      </x:c>
      <x:c r="B642" t="str">
        <x:v>Halo 14 - Side B</x:v>
      </x:c>
      <x:c r="C642" t="str">
        <x:v>LightAligns, Saela</x:v>
      </x:c>
      <x:c r="D642" t="n">
        <x:v>11</x:v>
      </x:c>
      <x:c r="E642" t="str">
        <x:v>Expert</x:v>
      </x:c>
      <x:c r="F642" t="str">
        <x:v>Kaizo</x:v>
      </x:c>
      <x:c r="G642" t="n">
        <x:v>44916</x:v>
      </x:c>
      <x:c r="H642" t="str">
        <x:v>32774</x:v>
      </x:c>
      <x:c r="I642" t="str">
        <x:v>https://www.smwcentral.net/?a=details&amp;id=32774&amp;p=section</x:v>
      </x:c>
      <x:c r="J642" t="str">
        <x:v>https://dl.smwcentral.net/32774/Halo%2014%20Side%20B.zip</x:v>
      </x:c>
    </x:row>
    <x:row r="643">
      <x:c r="A643" t="str">
        <x:v>Hammer Time</x:v>
      </x:c>
      <x:c r="B643" t="str">
        <x:v>Hammer Time</x:v>
      </x:c>
      <x:c r="C643" t="str">
        <x:v>xDropTheHammer</x:v>
      </x:c>
      <x:c r="D643" t="n">
        <x:v>23</x:v>
      </x:c>
      <x:c r="E643" t="str">
        <x:v>Advanced</x:v>
      </x:c>
      <x:c r="F643" t="str">
        <x:v>Kaizo</x:v>
      </x:c>
      <x:c r="G643" t="n">
        <x:v>44942</x:v>
      </x:c>
      <x:c r="H643" t="str">
        <x:v>32937</x:v>
      </x:c>
      <x:c r="I643" t="str">
        <x:v>https://www.smwcentral.net/?a=details&amp;id=32937&amp;p=section</x:v>
      </x:c>
      <x:c r="J643" t="str">
        <x:v>https://dl.smwcentral.net/32937/HammerTime%20V1.5.zip</x:v>
      </x:c>
    </x:row>
    <x:row r="644">
      <x:c r="A644" t="str">
        <x:v>Hangin With Mr. Koopa</x:v>
      </x:c>
      <x:c r="B644" t="str">
        <x:v>Hangin With Mr. Koopa</x:v>
      </x:c>
      <x:c r="C644" t="str">
        <x:v>Miscalc</x:v>
      </x:c>
      <x:c r="D644" t="n">
        <x:v>10</x:v>
      </x:c>
      <x:c r="E644" t="str">
        <x:v>Advanced</x:v>
      </x:c>
      <x:c r="F644" t="str">
        <x:v>Kaizo</x:v>
      </x:c>
      <x:c r="G644" t="n">
        <x:v>44092</x:v>
      </x:c>
      <x:c r="H644" t="str">
        <x:v>24257</x:v>
      </x:c>
      <x:c r="I644" t="str">
        <x:v>https://www.smwcentral.net/?a=details&amp;id=24257&amp;p=section</x:v>
      </x:c>
      <x:c r="J644" t="str">
        <x:v>https://dl.smwcentral.net/24257/Hangin_With_Mr_Koopa_1.1.zip</x:v>
      </x:c>
    </x:row>
    <x:row r="645">
      <x:c r="A645" t="str">
        <x:v>Hangin With Mr. Koopa 2: All Vanilla No Filla</x:v>
      </x:c>
      <x:c r="B645" t="str">
        <x:v>Hangin With Mr. Koopa 2: All Vanilla No Filla</x:v>
      </x:c>
      <x:c r="C645" t="str">
        <x:v>Miscalc</x:v>
      </x:c>
      <x:c r="D645" t="n">
        <x:v>9</x:v>
      </x:c>
      <x:c r="E645" t="str">
        <x:v>Advanced</x:v>
      </x:c>
      <x:c r="F645" t="str">
        <x:v>Kaizo</x:v>
      </x:c>
      <x:c r="G645" t="n">
        <x:v>44757</x:v>
      </x:c>
      <x:c r="H645" t="str">
        <x:v>31460</x:v>
      </x:c>
      <x:c r="I645" t="str">
        <x:v>https://www.smwcentral.net/?a=details&amp;id=31460&amp;p=section</x:v>
      </x:c>
      <x:c r="J645" t="str">
        <x:v>https://dl.smwcentral.net/31460/hangin-with-mr-koopa-2.zip</x:v>
      </x:c>
    </x:row>
    <x:row r="646">
      <x:c r="A646" t="str">
        <x:v>Hardcore Mario</x:v>
      </x:c>
      <x:c r="B646" t="str">
        <x:v>Hardcore Mario</x:v>
      </x:c>
      <x:c r="C646" t="str">
        <x:v>51690</x:v>
      </x:c>
      <x:c r="D646" t="n">
        <x:v>5</x:v>
      </x:c>
      <x:c r="E646" t="str">
        <x:v>Grandmaster</x:v>
      </x:c>
      <x:c r="F646" t="str">
        <x:v>Kaizo</x:v>
      </x:c>
      <x:c r="G646" t="n">
        <x:v>44904</x:v>
      </x:c>
      <x:c r="H646" t="str">
        <x:v>32655</x:v>
      </x:c>
      <x:c r="I646" t="str">
        <x:v>https://www.smwcentral.net/?a=details&amp;id=32655&amp;p=section</x:v>
      </x:c>
      <x:c r="J646" t="str">
        <x:v>https://dl.smwcentral.net/32655/Hardcore_Mario.zip</x:v>
      </x:c>
    </x:row>
    <x:row r="647">
      <x:c r="A647" t="str">
        <x:v>Harmful</x:v>
      </x:c>
      <x:c r="B647" t="str">
        <x:v>Harmful</x:v>
      </x:c>
      <x:c r="C647" t="str">
        <x:v>LiamBLOL</x:v>
      </x:c>
      <x:c r="D647" t="n">
        <x:v>17</x:v>
      </x:c>
      <x:c r="E647" t="str">
        <x:v>Master</x:v>
      </x:c>
      <x:c r="F647" t="str">
        <x:v>Kaizo</x:v>
      </x:c>
      <x:c r="G647" t="n">
        <x:v>45012</x:v>
      </x:c>
      <x:c r="H647" t="str">
        <x:v>33450</x:v>
      </x:c>
      <x:c r="I647" t="str">
        <x:v>https://www.smwcentral.net/?a=details&amp;id=33450&amp;p=section</x:v>
      </x:c>
      <x:c r="J647" t="str">
        <x:v>https://dl.smwcentral.net/33450/Harmful.zip</x:v>
      </x:c>
    </x:row>
    <x:row r="648">
      <x:c r="A648" t="str">
        <x:v>Hazuka World</x:v>
      </x:c>
      <x:c r="B648" t="str">
        <x:v>Hazuka World</x:v>
      </x:c>
      <x:c r="C648" t="str">
        <x:v>Foxy McCloud</x:v>
      </x:c>
      <x:c r="D648" t="n">
        <x:v>5</x:v>
      </x:c>
      <x:c r="E648" t="str">
        <x:v>Advanced</x:v>
      </x:c>
      <x:c r="F648" t="str">
        <x:v>Kaizo</x:v>
      </x:c>
      <x:c r="G648" t="n">
        <x:v>43950</x:v>
      </x:c>
      <x:c r="H648" t="str">
        <x:v>22581</x:v>
      </x:c>
      <x:c r="I648" t="str">
        <x:v>https://www.smwcentral.net/?a=details&amp;id=22581&amp;p=section</x:v>
      </x:c>
      <x:c r="J648" t="str">
        <x:v>https://dl.smwcentral.net/22581/HazukaWorld1.55.zip</x:v>
      </x:c>
    </x:row>
    <x:row r="649">
      <x:c r="A649" t="str">
        <x:v>Heat Wave</x:v>
      </x:c>
      <x:c r="B649" t="str">
        <x:v>Heat Wave</x:v>
      </x:c>
      <x:c r="C649" t="str">
        <x:v>will___</x:v>
      </x:c>
      <x:c r="D649" t="n">
        <x:v>19</x:v>
      </x:c>
      <x:c r="E649" t="str">
        <x:v>Advanced</x:v>
      </x:c>
      <x:c r="F649" t="str">
        <x:v>Kaizo</x:v>
      </x:c>
      <x:c r="G649" t="n">
        <x:v>46029</x:v>
      </x:c>
      <x:c r="H649" t="str">
        <x:v>41380</x:v>
      </x:c>
      <x:c r="I649" t="str">
        <x:v>https://www.smwcentral.net/?a=details&amp;id=41380&amp;p=section</x:v>
      </x:c>
      <x:c r="J649" t="str">
        <x:v>https://dl.smwcentral.net/41380/HeatWave.zip</x:v>
      </x:c>
    </x:row>
    <x:row r="650">
      <x:c r="A650" t="str">
        <x:v>Heavenly Host</x:v>
      </x:c>
      <x:c r="B650" t="str">
        <x:v>Heavenly Host</x:v>
      </x:c>
      <x:c r="C650" t="str">
        <x:v>Lush_50</x:v>
      </x:c>
      <x:c r="D650" t="n">
        <x:v>0</x:v>
      </x:c>
      <x:c r="E650" t="str">
        <x:v>Advanced</x:v>
      </x:c>
      <x:c r="F650" t="str">
        <x:v>Kaizo</x:v>
      </x:c>
      <x:c r="G650" t="n">
        <x:v>44409</x:v>
      </x:c>
      <x:c r="H650" t="str">
        <x:v>27872</x:v>
      </x:c>
      <x:c r="I650" t="str">
        <x:v>https://www.smwcentral.net/?a=details&amp;id=27872&amp;p=section</x:v>
      </x:c>
      <x:c r="J650" t="str">
        <x:v>https://dl.smwcentral.net/27872/Heavenly_Host_V1.1.zip</x:v>
      </x:c>
    </x:row>
    <x:row r="651">
      <x:c r="A651" t="str">
        <x:v>Heavenly host 2 : Master class</x:v>
      </x:c>
      <x:c r="B651" t="str">
        <x:v>Heavenly host 2 : Master class</x:v>
      </x:c>
      <x:c r="C651" t="str">
        <x:v>Lush_50</x:v>
      </x:c>
      <x:c r="D651" t="n">
        <x:v>0</x:v>
      </x:c>
      <x:c r="E651" t="str">
        <x:v>Advanced</x:v>
      </x:c>
      <x:c r="F651" t="str">
        <x:v>Kaizo</x:v>
      </x:c>
      <x:c r="G651" t="n">
        <x:v>44460</x:v>
      </x:c>
      <x:c r="H651" t="str">
        <x:v>28326</x:v>
      </x:c>
      <x:c r="I651" t="str">
        <x:v>https://www.smwcentral.net/?a=details&amp;id=28326&amp;p=section</x:v>
      </x:c>
      <x:c r="J651" t="str">
        <x:v>https://dl.smwcentral.net/28326/Heavenly%20host%20II%20v1.1.zip</x:v>
      </x:c>
    </x:row>
    <x:row r="652">
      <x:c r="A652" t="str">
        <x:v>Heavenly host 3 : Forever faithful</x:v>
      </x:c>
      <x:c r="B652" t="str">
        <x:v>Heavenly host 3 : Forever faithful</x:v>
      </x:c>
      <x:c r="C652" t="str">
        <x:v>Lush_50</x:v>
      </x:c>
      <x:c r="D652" t="n">
        <x:v>0</x:v>
      </x:c>
      <x:c r="E652" t="str">
        <x:v>Advanced</x:v>
      </x:c>
      <x:c r="F652" t="str">
        <x:v>Kaizo</x:v>
      </x:c>
      <x:c r="G652" t="n">
        <x:v>44463</x:v>
      </x:c>
      <x:c r="H652" t="str">
        <x:v>28394</x:v>
      </x:c>
      <x:c r="I652" t="str">
        <x:v>https://www.smwcentral.net/?a=details&amp;id=28394&amp;p=section</x:v>
      </x:c>
      <x:c r="J652" t="str">
        <x:v>https://dl.smwcentral.net/28394/Heavenly%20host%203%20v1.1.zip</x:v>
      </x:c>
    </x:row>
    <x:row r="653">
      <x:c r="A653" t="str">
        <x:v>Heckin' Spoop World</x:v>
      </x:c>
      <x:c r="B653" t="str">
        <x:v>Heckin' Spoop World</x:v>
      </x:c>
      <x:c r="C653" t="str">
        <x:v>Koopenstein</x:v>
      </x:c>
      <x:c r="D653" t="n">
        <x:v>13</x:v>
      </x:c>
      <x:c r="E653" t="str">
        <x:v>Advanced</x:v>
      </x:c>
      <x:c r="F653" t="str">
        <x:v>Standard</x:v>
      </x:c>
      <x:c r="G653" t="n">
        <x:v>45944</x:v>
      </x:c>
      <x:c r="H653" t="str">
        <x:v>40743</x:v>
      </x:c>
      <x:c r="I653" t="str">
        <x:v>https://www.smwcentral.net/?a=details&amp;id=40743&amp;p=section</x:v>
      </x:c>
      <x:c r="J653" t="str">
        <x:v>https://dl.smwcentral.net/40743/Heckin%20Spoop%20World%20v1.3.zip</x:v>
      </x:c>
    </x:row>
    <x:row r="654">
      <x:c r="A654" t="str">
        <x:v>Hell Wizardry: functional overworld edition</x:v>
      </x:c>
      <x:c r="B654" t="str">
        <x:v>Hell Wizardry: functional overworld edition</x:v>
      </x:c>
      <x:c r="C654" t="str">
        <x:v>ageVerrly</x:v>
      </x:c>
      <x:c r="D654" t="n">
        <x:v>16</x:v>
      </x:c>
      <x:c r="E654" t="str">
        <x:v>Expert</x:v>
      </x:c>
      <x:c r="F654" t="str">
        <x:v>Kaizo</x:v>
      </x:c>
      <x:c r="G654" t="n">
        <x:v>44110</x:v>
      </x:c>
      <x:c r="H654" t="str">
        <x:v>24549</x:v>
      </x:c>
      <x:c r="I654" t="str">
        <x:v>https://www.smwcentral.net/?a=details&amp;id=24549&amp;p=section</x:v>
      </x:c>
      <x:c r="J654" t="str">
        <x:v>https://dl.smwcentral.net/24549/HellWizardry1.4.zip</x:v>
      </x:c>
    </x:row>
    <x:row r="655">
      <x:c r="A655" t="str">
        <x:v>Hertz Donut</x:v>
      </x:c>
      <x:c r="B655" t="str">
        <x:v>Hertz Donut</x:v>
      </x:c>
      <x:c r="C655" t="str">
        <x:v>Sokobansolver</x:v>
      </x:c>
      <x:c r="D655" t="n">
        <x:v>16</x:v>
      </x:c>
      <x:c r="E655" t="str">
        <x:v>Intermediate</x:v>
      </x:c>
      <x:c r="F655" t="str">
        <x:v>Kaizo, Tool-Assisted</x:v>
      </x:c>
      <x:c r="G655" t="n">
        <x:v>41724</x:v>
      </x:c>
      <x:c r="H655" t="str">
        <x:v>6069</x:v>
      </x:c>
      <x:c r="I655" t="str">
        <x:v>https://www.smwcentral.net/?a=details&amp;id=6069&amp;p=section</x:v>
      </x:c>
      <x:c r="J655" t="str">
        <x:v>https://dl.smwcentral.net/6069/Hertz%20Donut.zip</x:v>
      </x:c>
    </x:row>
    <x:row r="656">
      <x:c r="A656" t="str">
        <x:v>Hi!</x:v>
      </x:c>
      <x:c r="B656" t="str">
        <x:v>Hi!</x:v>
      </x:c>
      <x:c r="C656" t="str">
        <x:v>3dsalmon</x:v>
      </x:c>
      <x:c r="D656" t="n">
        <x:v>14</x:v>
      </x:c>
      <x:c r="E656" t="str">
        <x:v>Master</x:v>
      </x:c>
      <x:c r="F656" t="str">
        <x:v>Kaizo</x:v>
      </x:c>
      <x:c r="G656" t="n">
        <x:v>45970</x:v>
      </x:c>
      <x:c r="H656" t="str">
        <x:v>40840</x:v>
      </x:c>
      <x:c r="I656" t="str">
        <x:v>https://www.smwcentral.net/?a=details&amp;id=40840&amp;p=section</x:v>
      </x:c>
      <x:c r="J656" t="str">
        <x:v>https://dl.smwcentral.net/40840/Hi%21%20v1.1.zip</x:v>
      </x:c>
    </x:row>
    <x:row r="657">
      <x:c r="A657" t="str">
        <x:v>Hidden Dream in the Deep Time</x:v>
      </x:c>
      <x:c r="B657" t="str">
        <x:v>Hidden Dream in the Deep Time</x:v>
      </x:c>
      <x:c r="C657" t="str">
        <x:v>GbreezeSunset</x:v>
      </x:c>
      <x:c r="D657" t="n">
        <x:v>12</x:v>
      </x:c>
      <x:c r="E657" t="str">
        <x:v>Expert</x:v>
      </x:c>
      <x:c r="F657" t="str">
        <x:v>Kaizo</x:v>
      </x:c>
      <x:c r="G657" t="n">
        <x:v>46130</x:v>
      </x:c>
      <x:c r="H657" t="str">
        <x:v>42212</x:v>
      </x:c>
      <x:c r="I657" t="str">
        <x:v>https://www.smwcentral.net/?a=details&amp;id=42212&amp;p=section</x:v>
      </x:c>
      <x:c r="J657" t="str">
        <x:v>https://dl.smwcentral.net/42212/Hidden%20Dream%20in%20the%20Deep%20Time%20%28v1.1%29.zip</x:v>
      </x:c>
    </x:row>
    <x:row r="658">
      <x:c r="A658" t="str">
        <x:v>Home</x:v>
      </x:c>
      <x:c r="B658" t="str">
        <x:v>Home</x:v>
      </x:c>
      <x:c r="C658" t="str">
        <x:v>Lush_50</x:v>
      </x:c>
      <x:c r="D658" t="n">
        <x:v>6</x:v>
      </x:c>
      <x:c r="E658" t="str">
        <x:v>Expert</x:v>
      </x:c>
      <x:c r="F658" t="str">
        <x:v>Kaizo</x:v>
      </x:c>
      <x:c r="G658" t="n">
        <x:v>45634</x:v>
      </x:c>
      <x:c r="H658" t="str">
        <x:v>38890</x:v>
      </x:c>
      <x:c r="I658" t="str">
        <x:v>https://www.smwcentral.net/?a=details&amp;id=38890&amp;p=section</x:v>
      </x:c>
      <x:c r="J658" t="str">
        <x:v>https://dl.smwcentral.net/38890/Home%20v1.0%20Lush_50.zip</x:v>
      </x:c>
    </x:row>
    <x:row r="659">
      <x:c r="A659" t="str">
        <x:v>Hope's Wind</x:v>
      </x:c>
      <x:c r="B659" t="str">
        <x:v>Hope's Wind</x:v>
      </x:c>
      <x:c r="C659" t="str">
        <x:v>Nint</x:v>
      </x:c>
      <x:c r="D659" t="n">
        <x:v>13</x:v>
      </x:c>
      <x:c r="E659" t="str">
        <x:v>Advanced</x:v>
      </x:c>
      <x:c r="F659" t="str">
        <x:v>Kaizo</x:v>
      </x:c>
      <x:c r="G659" t="n">
        <x:v>43876</x:v>
      </x:c>
      <x:c r="H659" t="str">
        <x:v>22131</x:v>
      </x:c>
      <x:c r="I659" t="str">
        <x:v>https://www.smwcentral.net/?a=details&amp;id=22131&amp;p=section</x:v>
      </x:c>
      <x:c r="J659" t="str">
        <x:v>https://dl.smwcentral.net/22131/Hope%27s%20Wind.zip</x:v>
      </x:c>
    </x:row>
    <x:row r="660">
      <x:c r="A660" t="str">
        <x:v>Hops' Great Adventure</x:v>
      </x:c>
      <x:c r="B660" t="str">
        <x:v>Hops' Great Adventure</x:v>
      </x:c>
      <x:c r="C660" t="str">
        <x:v>bucketofwetsocks</x:v>
      </x:c>
      <x:c r="D660" t="n">
        <x:v>11</x:v>
      </x:c>
      <x:c r="E660" t="str">
        <x:v>Master</x:v>
      </x:c>
      <x:c r="F660" t="str">
        <x:v>Kaizo</x:v>
      </x:c>
      <x:c r="G660" t="n">
        <x:v>44663</x:v>
      </x:c>
      <x:c r="H660" t="str">
        <x:v>30172</x:v>
      </x:c>
      <x:c r="I660" t="str">
        <x:v>https://www.smwcentral.net/?a=details&amp;id=30172&amp;p=section</x:v>
      </x:c>
      <x:c r="J660" t="str">
        <x:v>https://dl.smwcentral.net/30172/hops.r.2.0.bps.zip</x:v>
      </x:c>
    </x:row>
    <x:row r="661">
      <x:c r="A661" t="str">
        <x:v>Horrifying Mario World</x:v>
      </x:c>
      <x:c r="B661" t="str">
        <x:v>Horrifying Mario World</x:v>
      </x:c>
      <x:c r="C661" t="str">
        <x:v>GbreezeSunset</x:v>
      </x:c>
      <x:c r="D661" t="n">
        <x:v>20</x:v>
      </x:c>
      <x:c r="E661" t="str">
        <x:v>Intermediate</x:v>
      </x:c>
      <x:c r="F661" t="str">
        <x:v>Kaizo, Tool-Assisted</x:v>
      </x:c>
      <x:c r="G661" t="n">
        <x:v>41956</x:v>
      </x:c>
      <x:c r="H661" t="str">
        <x:v>9273</x:v>
      </x:c>
      <x:c r="I661" t="str">
        <x:v>https://www.smwcentral.net/?a=details&amp;id=9273&amp;p=section</x:v>
      </x:c>
      <x:c r="J661" t="str">
        <x:v>https://dl.smwcentral.net/9273/Horrifying%20Mario%20World.zip</x:v>
      </x:c>
    </x:row>
    <x:row r="662">
      <x:c r="A662" t="str">
        <x:v>HotHead Heights</x:v>
      </x:c>
      <x:c r="B662" t="str">
        <x:v>HotHead Heights</x:v>
      </x:c>
      <x:c r="C662" t="str">
        <x:v>BlooberryPi</x:v>
      </x:c>
      <x:c r="D662" t="n">
        <x:v>7</x:v>
      </x:c>
      <x:c r="E662" t="str">
        <x:v>Advanced</x:v>
      </x:c>
      <x:c r="F662" t="str">
        <x:v>Kaizo</x:v>
      </x:c>
      <x:c r="G662" t="n">
        <x:v>43551</x:v>
      </x:c>
      <x:c r="H662" t="str">
        <x:v>19402</x:v>
      </x:c>
      <x:c r="I662" t="str">
        <x:v>https://www.smwcentral.net/?a=details&amp;id=19402&amp;p=section</x:v>
      </x:c>
      <x:c r="J662" t="str">
        <x:v>https://dl.smwcentral.net/19402/HotHead%20Heights.zip</x:v>
      </x:c>
    </x:row>
    <x:row r="663">
      <x:c r="A663" t="str">
        <x:v>Hourglass Twist</x:v>
      </x:c>
      <x:c r="B663" t="str">
        <x:v>Hourglass Twist</x:v>
      </x:c>
      <x:c r="C663" t="str">
        <x:v>Alex</x:v>
      </x:c>
      <x:c r="D663" t="n">
        <x:v>13</x:v>
      </x:c>
      <x:c r="E663" t="str">
        <x:v>Master</x:v>
      </x:c>
      <x:c r="F663" t="str">
        <x:v>Kaizo, Puzzle</x:v>
      </x:c>
      <x:c r="G663" t="n">
        <x:v>44484</x:v>
      </x:c>
      <x:c r="H663" t="str">
        <x:v>28538</x:v>
      </x:c>
      <x:c r="I663" t="str">
        <x:v>https://www.smwcentral.net/?a=details&amp;id=28538&amp;p=section</x:v>
      </x:c>
      <x:c r="J663" t="str">
        <x:v>https://dl.smwcentral.net/28538/Hourglass%20Twist.zip</x:v>
      </x:c>
    </x:row>
    <x:row r="664">
      <x:c r="A664" t="str">
        <x:v>House of King Boo</x:v>
      </x:c>
      <x:c r="B664" t="str">
        <x:v>House of King Boo</x:v>
      </x:c>
      <x:c r="C664" t="str">
        <x:v>Parahax</x:v>
      </x:c>
      <x:c r="D664" t="n">
        <x:v>1</x:v>
      </x:c>
      <x:c r="E664" t="str">
        <x:v>Expert</x:v>
      </x:c>
      <x:c r="F664" t="str">
        <x:v>Kaizo</x:v>
      </x:c>
      <x:c r="G664" t="n">
        <x:v>44503</x:v>
      </x:c>
      <x:c r="H664" t="str">
        <x:v>28688</x:v>
      </x:c>
      <x:c r="I664" t="str">
        <x:v>https://www.smwcentral.net/?a=details&amp;id=28688&amp;p=section</x:v>
      </x:c>
      <x:c r="J664" t="str">
        <x:v>https://dl.smwcentral.net/28688/House%20of%20King%20Boo%201.06.zip</x:v>
      </x:c>
    </x:row>
    <x:row r="665">
      <x:c r="A665" t="str">
        <x:v>How I Learned to Stop Worrying and Love the Bob-omb</x:v>
      </x:c>
      <x:c r="B665" t="str">
        <x:v>How I Learned to Stop Worrying and Love the Bob-omb</x:v>
      </x:c>
      <x:c r="C665" t="str">
        <x:v>Zildjian</x:v>
      </x:c>
      <x:c r="D665" t="n">
        <x:v>5</x:v>
      </x:c>
      <x:c r="E665" t="str">
        <x:v>Casual</x:v>
      </x:c>
      <x:c r="F665" t="str">
        <x:v>Standard</x:v>
      </x:c>
      <x:c r="G665" t="n">
        <x:v>42218</x:v>
      </x:c>
      <x:c r="H665" t="str">
        <x:v>9956</x:v>
      </x:c>
      <x:c r="I665" t="str">
        <x:v>https://www.smwcentral.net/?a=details&amp;id=9956&amp;p=section</x:v>
      </x:c>
      <x:c r="J665" t="str">
        <x:v>https://dl.smwcentral.net/9956/HILTSWALTB.zip</x:v>
      </x:c>
    </x:row>
    <x:row r="666">
      <x:c r="A666" t="str">
        <x:v>how long do snails sleep (vanilla)</x:v>
      </x:c>
      <x:c r="B666" t="str">
        <x:v>how long do snails sleep (vanilla)</x:v>
      </x:c>
      <x:c r="C666" t="str">
        <x:v>Somebody for sure</x:v>
      </x:c>
      <x:c r="D666" t="n">
        <x:v>0</x:v>
      </x:c>
      <x:c r="E666" t="str">
        <x:v>Advanced</x:v>
      </x:c>
      <x:c r="F666" t="str">
        <x:v>Kaizo</x:v>
      </x:c>
      <x:c r="G666" t="n">
        <x:v>45426</x:v>
      </x:c>
      <x:c r="H666" t="str">
        <x:v>37692</x:v>
      </x:c>
      <x:c r="I666" t="str">
        <x:v>https://www.smwcentral.net/?a=details&amp;id=37692&amp;p=section</x:v>
      </x:c>
      <x:c r="J666" t="str">
        <x:v>https://dl.smwcentral.net/37692/how%20long%20do%20snails%20sleep%20%28vanilla%2C%20finalhopefully%29.zip</x:v>
      </x:c>
    </x:row>
    <x:row r="667">
      <x:c r="A667" t="str">
        <x:v>How NOT to Kaizo</x:v>
      </x:c>
      <x:c r="B667" t="str">
        <x:v>How NOT to Kaizo</x:v>
      </x:c>
      <x:c r="C667" t="str">
        <x:v>Skirdus</x:v>
      </x:c>
      <x:c r="D667" t="n">
        <x:v>8</x:v>
      </x:c>
      <x:c r="E667" t="str">
        <x:v>Intermediate</x:v>
      </x:c>
      <x:c r="F667" t="str">
        <x:v>Kaizo, Tool-Assisted</x:v>
      </x:c>
      <x:c r="G667" t="n">
        <x:v>43833</x:v>
      </x:c>
      <x:c r="H667" t="str">
        <x:v>21700</x:v>
      </x:c>
      <x:c r="I667" t="str">
        <x:v>https://www.smwcentral.net/?a=details&amp;id=21700&amp;p=section</x:v>
      </x:c>
      <x:c r="J667" t="str">
        <x:v>https://dl.smwcentral.net/21700/How%20NOT%20to%20Kaizo.zip</x:v>
      </x:c>
    </x:row>
    <x:row r="668">
      <x:c r="A668" t="str">
        <x:v>Hummer Super Mario World</x:v>
      </x:c>
      <x:c r="B668" t="str">
        <x:v>Hummer Super Mario World</x:v>
      </x:c>
      <x:c r="C668" t="str">
        <x:v>King Mayro</x:v>
      </x:c>
      <x:c r="D668" t="n">
        <x:v>28</x:v>
      </x:c>
      <x:c r="E668" t="str">
        <x:v>Casual</x:v>
      </x:c>
      <x:c r="F668" t="str">
        <x:v>Standard</x:v>
      </x:c>
      <x:c r="G668" t="n">
        <x:v>44836</x:v>
      </x:c>
      <x:c r="H668" t="str">
        <x:v>32158</x:v>
      </x:c>
      <x:c r="I668" t="str">
        <x:v>https://www.smwcentral.net/?a=details&amp;id=32158&amp;p=section</x:v>
      </x:c>
      <x:c r="J668" t="str">
        <x:v>https://dl.smwcentral.net/32158/HummerSMW%20VER7.8.zip</x:v>
      </x:c>
    </x:row>
    <x:row r="669">
      <x:c r="A669" t="str">
        <x:v>Hunter &amp; SCORPION's Bet Saga - SCORPION's Ravage</x:v>
      </x:c>
      <x:c r="B669" t="str">
        <x:v>Hunter &amp; SCORPION's Bet Saga - SCORPION's Ravage</x:v>
      </x:c>
      <x:c r="C669" t="str">
        <x:v>Skewer</x:v>
      </x:c>
      <x:c r="D669" t="n">
        <x:v>62</x:v>
      </x:c>
      <x:c r="E669" t="str">
        <x:v>Intermediate</x:v>
      </x:c>
      <x:c r="F669" t="str">
        <x:v>Standard</x:v>
      </x:c>
      <x:c r="G669" t="n">
        <x:v>42245</x:v>
      </x:c>
      <x:c r="H669" t="str">
        <x:v>9965</x:v>
      </x:c>
      <x:c r="I669" t="str">
        <x:v>https://www.smwcentral.net/?a=details&amp;id=9965&amp;p=section</x:v>
      </x:c>
      <x:c r="J669" t="str">
        <x:v>https://dl.smwcentral.net/9965/H%26SB-SCORPION%27sRavage%20FULL.zip</x:v>
      </x:c>
    </x:row>
    <x:row r="670">
      <x:c r="A670" t="str">
        <x:v>Hunter and Scorpion's Bet ReVised - Hunter's Path</x:v>
      </x:c>
      <x:c r="B670" t="str">
        <x:v>Hunter and Scorpion's Bet ReVised - Hunter's Path</x:v>
      </x:c>
      <x:c r="C670" t="str">
        <x:v>amhunter</x:v>
      </x:c>
      <x:c r="D670" t="n">
        <x:v>27</x:v>
      </x:c>
      <x:c r="E670" t="str">
        <x:v>Intermediate</x:v>
      </x:c>
      <x:c r="F670" t="str">
        <x:v>Standard</x:v>
      </x:c>
      <x:c r="G670" t="n">
        <x:v>42618</x:v>
      </x:c>
      <x:c r="H670" t="str">
        <x:v>14166</x:v>
      </x:c>
      <x:c r="I670" t="str">
        <x:v>https://www.smwcentral.net/?a=details&amp;id=14166&amp;p=section</x:v>
      </x:c>
      <x:c r="J670" t="str">
        <x:v>https://dl.smwcentral.net/14166/HunterPath_V1_1.zip</x:v>
      </x:c>
    </x:row>
    <x:row r="671">
      <x:c r="A671" t="str">
        <x:v>Hydro</x:v>
      </x:c>
      <x:c r="B671" t="str">
        <x:v>Hydro</x:v>
      </x:c>
      <x:c r="C671" t="str">
        <x:v>Edidoo</x:v>
      </x:c>
      <x:c r="D671" t="n">
        <x:v>17</x:v>
      </x:c>
      <x:c r="E671" t="str">
        <x:v>Expert</x:v>
      </x:c>
      <x:c r="F671" t="str">
        <x:v>Kaizo</x:v>
      </x:c>
      <x:c r="G671" t="n">
        <x:v>44445</x:v>
      </x:c>
      <x:c r="H671" t="str">
        <x:v>28174</x:v>
      </x:c>
      <x:c r="I671" t="str">
        <x:v>https://www.smwcentral.net/?a=details&amp;id=28174&amp;p=section</x:v>
      </x:c>
      <x:c r="J671" t="str">
        <x:v>https://dl.smwcentral.net/28174/Hydro.zip</x:v>
      </x:c>
    </x:row>
    <x:row r="672">
      <x:c r="A672" t="str">
        <x:v>Hyper Hentai Hotties</x:v>
      </x:c>
      <x:c r="B672" t="str">
        <x:v>Hyper Hentai Hotties</x:v>
      </x:c>
      <x:c r="C672" t="str">
        <x:v>scrimpy</x:v>
      </x:c>
      <x:c r="D672" t="n">
        <x:v>7</x:v>
      </x:c>
      <x:c r="E672" t="str">
        <x:v>Casual</x:v>
      </x:c>
      <x:c r="F672" t="str">
        <x:v>Standard</x:v>
      </x:c>
      <x:c r="G672" t="n">
        <x:v>42215</x:v>
      </x:c>
      <x:c r="H672" t="str">
        <x:v>9952</x:v>
      </x:c>
      <x:c r="I672" t="str">
        <x:v>https://www.smwcentral.net/?a=details&amp;id=9952&amp;p=section</x:v>
      </x:c>
      <x:c r="J672" t="str">
        <x:v>https://dl.smwcentral.net/9952/Hyper%20Hentai%20Hotties.zip</x:v>
      </x:c>
    </x:row>
    <x:row r="673">
      <x:c r="A673" t="str">
        <x:v>Hyperexcitability</x:v>
      </x:c>
      <x:c r="B673" t="str">
        <x:v>Hyperexcitability</x:v>
      </x:c>
      <x:c r="C673" t="str">
        <x:v>AFH</x:v>
      </x:c>
      <x:c r="D673" t="n">
        <x:v>1</x:v>
      </x:c>
      <x:c r="E673" t="str">
        <x:v>Master</x:v>
      </x:c>
      <x:c r="F673" t="str">
        <x:v>Kaizo</x:v>
      </x:c>
      <x:c r="G673" t="n">
        <x:v>41976</x:v>
      </x:c>
      <x:c r="H673" t="str">
        <x:v>9489</x:v>
      </x:c>
      <x:c r="I673" t="str">
        <x:v>https://www.smwcentral.net/?a=details&amp;id=9489&amp;p=section</x:v>
      </x:c>
      <x:c r="J673" t="str">
        <x:v>https://dl.smwcentral.net/9489/Hyperexcitability%201%20Level%20demo.zip</x:v>
      </x:c>
    </x:row>
    <x:row r="674">
      <x:c r="A674" t="str">
        <x:v>HYPERION</x:v>
      </x:c>
      <x:c r="B674" t="str">
        <x:v>HYPERION</x:v>
      </x:c>
      <x:c r="C674" t="str">
        <x:v>AmperSam</x:v>
      </x:c>
      <x:c r="D674" t="n">
        <x:v>28</x:v>
      </x:c>
      <x:c r="E674" t="str">
        <x:v>Advanced</x:v>
      </x:c>
      <x:c r="F674" t="str">
        <x:v>Kaizo</x:v>
      </x:c>
      <x:c r="G674" t="n">
        <x:v>44642</x:v>
      </x:c>
      <x:c r="H674" t="str">
        <x:v>30143</x:v>
      </x:c>
      <x:c r="I674" t="str">
        <x:v>https://www.smwcentral.net/?a=details&amp;id=30143&amp;p=section</x:v>
      </x:c>
      <x:c r="J674" t="str">
        <x:v>https://dl.smwcentral.net/30143/HYPERION_2.0.1.zip</x:v>
      </x:c>
    </x:row>
    <x:row r="675">
      <x:c r="A675" t="str">
        <x:v>Hypnagogia</x:v>
      </x:c>
      <x:c r="B675" t="str">
        <x:v>Hypnagogia</x:v>
      </x:c>
      <x:c r="C675" t="str">
        <x:v>Blaagon</x:v>
      </x:c>
      <x:c r="D675" t="n">
        <x:v>3</x:v>
      </x:c>
      <x:c r="E675" t="str">
        <x:v>Master</x:v>
      </x:c>
      <x:c r="F675" t="str">
        <x:v>Kaizo</x:v>
      </x:c>
      <x:c r="G675" t="n">
        <x:v>45671</x:v>
      </x:c>
      <x:c r="H675" t="str">
        <x:v>39041</x:v>
      </x:c>
      <x:c r="I675" t="str">
        <x:v>https://www.smwcentral.net/?a=details&amp;id=39041&amp;p=section</x:v>
      </x:c>
      <x:c r="J675" t="str">
        <x:v>https://dl.smwcentral.net/39041/hypnagogia.zip</x:v>
      </x:c>
    </x:row>
    <x:row r="676">
      <x:c r="A676" t="str">
        <x:v>HYSTERIA</x:v>
      </x:c>
      <x:c r="B676" t="str">
        <x:v>HYSTERIA</x:v>
      </x:c>
      <x:c r="C676" t="str">
        <x:v>magianegra21</x:v>
      </x:c>
      <x:c r="D676" t="n">
        <x:v>14</x:v>
      </x:c>
      <x:c r="E676" t="str">
        <x:v>Advanced</x:v>
      </x:c>
      <x:c r="F676" t="str">
        <x:v>Kaizo</x:v>
      </x:c>
      <x:c r="G676" t="n">
        <x:v>45246</x:v>
      </x:c>
      <x:c r="H676" t="str">
        <x:v>35470</x:v>
      </x:c>
      <x:c r="I676" t="str">
        <x:v>https://www.smwcentral.net/?a=details&amp;id=35470&amp;p=section</x:v>
      </x:c>
      <x:c r="J676" t="str">
        <x:v>https://dl.smwcentral.net/35470/HYSTERIA.zip</x:v>
      </x:c>
    </x:row>
    <x:row r="677">
      <x:c r="A677" t="str">
        <x:v>Häschen [hɛʃn̩]</x:v>
      </x:c>
      <x:c r="B677" t="str">
        <x:v>Häschen [hɛʃn̩]</x:v>
      </x:c>
      <x:c r="C677" t="str">
        <x:v>Darkdlp02, EliteBellic, FazeMeisterMauch, Luks, Mauls, Reggiamoto, Stinky</x:v>
      </x:c>
      <x:c r="D677" t="n">
        <x:v>28</x:v>
      </x:c>
      <x:c r="E677" t="str">
        <x:v>Intermediate</x:v>
      </x:c>
      <x:c r="F677" t="str">
        <x:v>Standard</x:v>
      </x:c>
      <x:c r="G677" t="n">
        <x:v>45334</x:v>
      </x:c>
      <x:c r="H677" t="str">
        <x:v>36778</x:v>
      </x:c>
      <x:c r="I677" t="str">
        <x:v>https://www.smwcentral.net/?a=details&amp;id=36778&amp;p=section</x:v>
      </x:c>
      <x:c r="J677" t="str">
        <x:v>https://dl.smwcentral.net/36778/haeschen1.1.zip</x:v>
      </x:c>
    </x:row>
    <x:row r="678">
      <x:c r="A678" t="str">
        <x:v>I Come In Peace</x:v>
      </x:c>
      <x:c r="B678" t="str">
        <x:v>I Come In Peace</x:v>
      </x:c>
      <x:c r="C678" t="str">
        <x:v>levelengine</x:v>
      </x:c>
      <x:c r="D678" t="n">
        <x:v>22</x:v>
      </x:c>
      <x:c r="E678" t="str">
        <x:v>Casual</x:v>
      </x:c>
      <x:c r="F678" t="str">
        <x:v>Standard</x:v>
      </x:c>
      <x:c r="G678" t="n">
        <x:v>42384</x:v>
      </x:c>
      <x:c r="H678" t="str">
        <x:v>12916</x:v>
      </x:c>
      <x:c r="I678" t="str">
        <x:v>https://www.smwcentral.net/?a=details&amp;id=12916&amp;p=section</x:v>
      </x:c>
      <x:c r="J678" t="str">
        <x:v>https://dl.smwcentral.net/12916/I%20Come%20In%20Peace.zip</x:v>
      </x:c>
    </x:row>
    <x:row r="679">
      <x:c r="A679" t="str">
        <x:v>I HATE YOU</x:v>
      </x:c>
      <x:c r="B679" t="str">
        <x:v>I HATE YOU</x:v>
      </x:c>
      <x:c r="C679" t="str">
        <x:v>Ersanio</x:v>
      </x:c>
      <x:c r="D679" t="n">
        <x:v>2</x:v>
      </x:c>
      <x:c r="E679" t="str">
        <x:v>Newcomer</x:v>
      </x:c>
      <x:c r="F679" t="str">
        <x:v>Standard</x:v>
      </x:c>
      <x:c r="G679" t="n">
        <x:v>42560</x:v>
      </x:c>
      <x:c r="H679" t="str">
        <x:v>13943</x:v>
      </x:c>
      <x:c r="I679" t="str">
        <x:v>https://www.smwcentral.net/?a=details&amp;id=13943&amp;p=section</x:v>
      </x:c>
      <x:c r="J679" t="str">
        <x:v>https://dl.smwcentral.net/13943/I%20HATE%20YOU.zip</x:v>
      </x:c>
    </x:row>
    <x:row r="680">
      <x:c r="A680" t="str">
        <x:v>I Wanna Be The ROM Hack: Prototype</x:v>
      </x:c>
      <x:c r="B680" t="str">
        <x:v>I Wanna Be The ROM Hack: Prototype</x:v>
      </x:c>
      <x:c r="C680" t="str">
        <x:v>Stivi</x:v>
      </x:c>
      <x:c r="D680" t="n">
        <x:v>1</x:v>
      </x:c>
      <x:c r="E680" t="str">
        <x:v>Advanced</x:v>
      </x:c>
      <x:c r="F680" t="str">
        <x:v>Standard, Kaizo</x:v>
      </x:c>
      <x:c r="G680" t="n">
        <x:v>45544</x:v>
      </x:c>
      <x:c r="H680" t="str">
        <x:v>38270</x:v>
      </x:c>
      <x:c r="I680" t="str">
        <x:v>https://www.smwcentral.net/?a=details&amp;id=38270&amp;p=section</x:v>
      </x:c>
      <x:c r="J680" t="str">
        <x:v>https://dl.smwcentral.net/38270/IWBTRH%20Prototype%20v1.01.zip</x:v>
      </x:c>
    </x:row>
    <x:row r="681">
      <x:c r="A681" t="str">
        <x:v>Icarus</x:v>
      </x:c>
      <x:c r="B681" t="str">
        <x:v>Icarus</x:v>
      </x:c>
      <x:c r="C681" t="str">
        <x:v>CircleFriendo</x:v>
      </x:c>
      <x:c r="D681" t="n">
        <x:v>8</x:v>
      </x:c>
      <x:c r="E681" t="str">
        <x:v>Expert</x:v>
      </x:c>
      <x:c r="F681" t="str">
        <x:v>Kaizo</x:v>
      </x:c>
      <x:c r="G681" t="n">
        <x:v>45446</x:v>
      </x:c>
      <x:c r="H681" t="str">
        <x:v>37866</x:v>
      </x:c>
      <x:c r="I681" t="str">
        <x:v>https://www.smwcentral.net/?a=details&amp;id=37866&amp;p=section</x:v>
      </x:c>
      <x:c r="J681" t="str">
        <x:v>https://dl.smwcentral.net/37866/Icarus.zip</x:v>
      </x:c>
    </x:row>
    <x:row r="682">
      <x:c r="A682" t="str">
        <x:v>Ides of March</x:v>
      </x:c>
      <x:c r="B682" t="str">
        <x:v>Ides of March</x:v>
      </x:c>
      <x:c r="C682" t="str">
        <x:v>shaoshao</x:v>
      </x:c>
      <x:c r="D682" t="n">
        <x:v>20</x:v>
      </x:c>
      <x:c r="E682" t="str">
        <x:v>Expert</x:v>
      </x:c>
      <x:c r="F682" t="str">
        <x:v>Kaizo</x:v>
      </x:c>
      <x:c r="G682" t="n">
        <x:v>44317</x:v>
      </x:c>
      <x:c r="H682" t="str">
        <x:v>26890</x:v>
      </x:c>
      <x:c r="I682" t="str">
        <x:v>https://www.smwcentral.net/?a=details&amp;id=26890&amp;p=section</x:v>
      </x:c>
      <x:c r="J682" t="str">
        <x:v>https://dl.smwcentral.net/26890/ides_of_march1.1.zip</x:v>
      </x:c>
    </x:row>
    <x:row r="683">
      <x:c r="A683" t="str">
        <x:v>Ides of March 2: Dogs of War</x:v>
      </x:c>
      <x:c r="B683" t="str">
        <x:v>Ides of March 2: Dogs of War</x:v>
      </x:c>
      <x:c r="C683" t="str">
        <x:v>shaoshao</x:v>
      </x:c>
      <x:c r="D683" t="n">
        <x:v>21</x:v>
      </x:c>
      <x:c r="E683" t="str">
        <x:v>Expert</x:v>
      </x:c>
      <x:c r="F683" t="str">
        <x:v>Kaizo</x:v>
      </x:c>
      <x:c r="G683" t="n">
        <x:v>46114</x:v>
      </x:c>
      <x:c r="H683" t="str">
        <x:v>42072</x:v>
      </x:c>
      <x:c r="I683" t="str">
        <x:v>https://www.smwcentral.net/?a=details&amp;id=42072&amp;p=section</x:v>
      </x:c>
      <x:c r="J683" t="str">
        <x:v>https://dl.smwcentral.net/42072/dogs_of_war.zip</x:v>
      </x:c>
    </x:row>
    <x:row r="684">
      <x:c r="A684" t="str">
        <x:v>Ieo</x:v>
      </x:c>
      <x:c r="B684" t="str">
        <x:v>Ieo</x:v>
      </x:c>
      <x:c r="C684" t="str">
        <x:v>Delta</x:v>
      </x:c>
      <x:c r="D684" t="n">
        <x:v>9</x:v>
      </x:c>
      <x:c r="E684" t="str">
        <x:v>Casual</x:v>
      </x:c>
      <x:c r="F684" t="str">
        <x:v>Standard</x:v>
      </x:c>
      <x:c r="G684" t="n">
        <x:v>41452</x:v>
      </x:c>
      <x:c r="H684" t="str">
        <x:v>5539</x:v>
      </x:c>
      <x:c r="I684" t="str">
        <x:v>https://www.smwcentral.net/?a=details&amp;id=5539&amp;p=section</x:v>
      </x:c>
      <x:c r="J684" t="str">
        <x:v>https://dl.smwcentral.net/5539/Ieo.zip</x:v>
      </x:c>
    </x:row>
    <x:row r="685">
      <x:c r="A685" t="str">
        <x:v>Iggy's Island</x:v>
      </x:c>
      <x:c r="B685" t="str">
        <x:v>Iggy's Island</x:v>
      </x:c>
      <x:c r="C685" t="str">
        <x:v>surfiin' bird</x:v>
      </x:c>
      <x:c r="D685" t="n">
        <x:v>6</x:v>
      </x:c>
      <x:c r="E685" t="str">
        <x:v>Newcomer</x:v>
      </x:c>
      <x:c r="F685" t="str">
        <x:v>Standard</x:v>
      </x:c>
      <x:c r="G685" t="n">
        <x:v>42228</x:v>
      </x:c>
      <x:c r="H685" t="str">
        <x:v>9860</x:v>
      </x:c>
      <x:c r="I685" t="str">
        <x:v>https://www.smwcentral.net/?a=details&amp;id=9860&amp;p=section</x:v>
      </x:c>
      <x:c r="J685" t="str">
        <x:v>https://dl.smwcentral.net/9860/Iggy%27s%20Island%20%28fixed%29.zip</x:v>
      </x:c>
    </x:row>
    <x:row r="686">
      <x:c r="A686" t="str">
        <x:v>Il Maniero Spettrale (Halloween 2018 Version)</x:v>
      </x:c>
      <x:c r="B686" t="str">
        <x:v>Il Maniero Spettrale (Halloween 2018 Version)</x:v>
      </x:c>
      <x:c r="C686" t="str">
        <x:v>Duraner Hawkeye, RednGreen, Stormkyleis</x:v>
      </x:c>
      <x:c r="D686" t="n">
        <x:v>1</x:v>
      </x:c>
      <x:c r="E686" t="str">
        <x:v>Casual</x:v>
      </x:c>
      <x:c r="F686" t="str">
        <x:v>Standard</x:v>
      </x:c>
      <x:c r="G686" t="n">
        <x:v>43409</x:v>
      </x:c>
      <x:c r="H686" t="str">
        <x:v>18391</x:v>
      </x:c>
      <x:c r="I686" t="str">
        <x:v>https://www.smwcentral.net/?a=details&amp;id=18391&amp;p=section</x:v>
      </x:c>
      <x:c r="J686" t="str">
        <x:v>https://dl.smwcentral.net/18391/Il%20Maniero%20Spettrale.zip</x:v>
      </x:c>
    </x:row>
    <x:row r="687">
      <x:c r="A687" t="str">
        <x:v>Illuminati</x:v>
      </x:c>
      <x:c r="B687" t="str">
        <x:v>Illuminati</x:v>
      </x:c>
      <x:c r="C687" t="str">
        <x:v>bulti</x:v>
      </x:c>
      <x:c r="D687" t="n">
        <x:v>6</x:v>
      </x:c>
      <x:c r="E687" t="str">
        <x:v>Expert</x:v>
      </x:c>
      <x:c r="F687" t="str">
        <x:v>Kaizo</x:v>
      </x:c>
      <x:c r="G687" t="n">
        <x:v>45747</x:v>
      </x:c>
      <x:c r="H687" t="str">
        <x:v>39650</x:v>
      </x:c>
      <x:c r="I687" t="str">
        <x:v>https://www.smwcentral.net/?a=details&amp;id=39650&amp;p=section</x:v>
      </x:c>
      <x:c r="J687" t="str">
        <x:v>https://dl.smwcentral.net/39650/Illuminati.zip</x:v>
      </x:c>
    </x:row>
    <x:row r="688">
      <x:c r="A688" t="str">
        <x:v>Ilusiyellow?</x:v>
      </x:c>
      <x:c r="B688" t="str">
        <x:v>Ilusiyellow?</x:v>
      </x:c>
      <x:c r="C688" t="str">
        <x:v>Leo137</x:v>
      </x:c>
      <x:c r="D688" t="n">
        <x:v>1</x:v>
      </x:c>
      <x:c r="E688" t="str">
        <x:v>Casual</x:v>
      </x:c>
      <x:c r="F688" t="str">
        <x:v>Standard</x:v>
      </x:c>
      <x:c r="G688" t="n">
        <x:v>42166</x:v>
      </x:c>
      <x:c r="H688" t="str">
        <x:v>11386</x:v>
      </x:c>
      <x:c r="I688" t="str">
        <x:v>https://www.smwcentral.net/?a=details&amp;id=11386&amp;p=section</x:v>
      </x:c>
      <x:c r="J688" t="str">
        <x:v>https://dl.smwcentral.net/11386/ilusiyellow.zip</x:v>
      </x:c>
    </x:row>
    <x:row r="689">
      <x:c r="A689" t="str">
        <x:v>Immitis</x:v>
      </x:c>
      <x:c r="B689" t="str">
        <x:v>Immitis</x:v>
      </x:c>
      <x:c r="C689" t="str">
        <x:v>Pikush_</x:v>
      </x:c>
      <x:c r="D689" t="n">
        <x:v>6</x:v>
      </x:c>
      <x:c r="E689" t="str">
        <x:v>Expert</x:v>
      </x:c>
      <x:c r="F689" t="str">
        <x:v>Kaizo</x:v>
      </x:c>
      <x:c r="G689" t="n">
        <x:v>44664</x:v>
      </x:c>
      <x:c r="H689" t="str">
        <x:v>30330</x:v>
      </x:c>
      <x:c r="I689" t="str">
        <x:v>https://www.smwcentral.net/?a=details&amp;id=30330&amp;p=section</x:v>
      </x:c>
      <x:c r="J689" t="str">
        <x:v>https://dl.smwcentral.net/30330/Immitis.zip</x:v>
      </x:c>
    </x:row>
    <x:row r="690">
      <x:c r="A690" t="str">
        <x:v>In A Random Adventure</x:v>
      </x:c>
      <x:c r="B690" t="str">
        <x:v>In A Random Adventure</x:v>
      </x:c>
      <x:c r="C690" t="str">
        <x:v>Mr. MS</x:v>
      </x:c>
      <x:c r="D690" t="n">
        <x:v>6</x:v>
      </x:c>
      <x:c r="E690" t="str">
        <x:v>Casual</x:v>
      </x:c>
      <x:c r="F690" t="str">
        <x:v>Standard</x:v>
      </x:c>
      <x:c r="G690" t="n">
        <x:v>44554</x:v>
      </x:c>
      <x:c r="H690" t="str">
        <x:v>29046</x:v>
      </x:c>
      <x:c r="I690" t="str">
        <x:v>https://www.smwcentral.net/?a=details&amp;id=29046&amp;p=section</x:v>
      </x:c>
      <x:c r="J690" t="str">
        <x:v>https://dl.smwcentral.net/29046/In%20A%20Random%20Adventure.zip</x:v>
      </x:c>
    </x:row>
    <x:row r="691">
      <x:c r="A691" t="str">
        <x:v>In Absentia of Knowing</x:v>
      </x:c>
      <x:c r="B691" t="str">
        <x:v>In Absentia of Knowing</x:v>
      </x:c>
      <x:c r="C691" t="str">
        <x:v>NixKillsMyths</x:v>
      </x:c>
      <x:c r="D691" t="n">
        <x:v>1</x:v>
      </x:c>
      <x:c r="E691" t="str">
        <x:v>Grandmaster</x:v>
      </x:c>
      <x:c r="F691" t="str">
        <x:v>Kaizo</x:v>
      </x:c>
      <x:c r="G691" t="n">
        <x:v>45679</x:v>
      </x:c>
      <x:c r="H691" t="str">
        <x:v>38900</x:v>
      </x:c>
      <x:c r="I691" t="str">
        <x:v>https://www.smwcentral.net/?a=details&amp;id=38900&amp;p=section</x:v>
      </x:c>
      <x:c r="J691" t="str">
        <x:v>https://dl.smwcentral.net/38900/In%20Absentia%20of%20Knowing%20%281.0%29.zip</x:v>
      </x:c>
    </x:row>
    <x:row r="692">
      <x:c r="A692" t="str">
        <x:v>In Memoriam Hack Pack</x:v>
      </x:c>
      <x:c r="B692" t="str">
        <x:v>In Memoriam Hack Pack</x:v>
      </x:c>
      <x:c r="C692" t="str">
        <x:v>Spud Alpha</x:v>
      </x:c>
      <x:c r="D692" t="n">
        <x:v>11</x:v>
      </x:c>
      <x:c r="E692" t="str">
        <x:v>Casual</x:v>
      </x:c>
      <x:c r="F692" t="str">
        <x:v>Standard</x:v>
      </x:c>
      <x:c r="G692" t="n">
        <x:v>42221</x:v>
      </x:c>
      <x:c r="H692" t="str">
        <x:v>10167</x:v>
      </x:c>
      <x:c r="I692" t="str">
        <x:v>https://www.smwcentral.net/?a=details&amp;id=10167&amp;p=section</x:v>
      </x:c>
      <x:c r="J692" t="str">
        <x:v>https://dl.smwcentral.net/10167/In%20Memoriam%20Hack%20Pack.zip</x:v>
      </x:c>
    </x:row>
    <x:row r="693">
      <x:c r="A693" t="str">
        <x:v>In the Pocket</x:v>
      </x:c>
      <x:c r="B693" t="str">
        <x:v>In the Pocket</x:v>
      </x:c>
      <x:c r="C693" t="str">
        <x:v>Overcrow03</x:v>
      </x:c>
      <x:c r="D693" t="n">
        <x:v>25</x:v>
      </x:c>
      <x:c r="E693" t="str">
        <x:v>Expert</x:v>
      </x:c>
      <x:c r="F693" t="str">
        <x:v>Kaizo</x:v>
      </x:c>
      <x:c r="G693" t="n">
        <x:v>45147</x:v>
      </x:c>
      <x:c r="H693" t="str">
        <x:v>34720</x:v>
      </x:c>
      <x:c r="I693" t="str">
        <x:v>https://www.smwcentral.net/?a=details&amp;id=34720&amp;p=section</x:v>
      </x:c>
      <x:c r="J693" t="str">
        <x:v>https://dl.smwcentral.net/34720/In%20the%20Pocket%201.01.zip</x:v>
      </x:c>
    </x:row>
    <x:row r="694">
      <x:c r="A694" t="str">
        <x:v>In Triplicate</x:v>
      </x:c>
      <x:c r="B694" t="str">
        <x:v>In Triplicate</x:v>
      </x:c>
      <x:c r="C694" t="str">
        <x:v>ponypowerboi</x:v>
      </x:c>
      <x:c r="D694" t="n">
        <x:v>10</x:v>
      </x:c>
      <x:c r="E694" t="str">
        <x:v>Expert</x:v>
      </x:c>
      <x:c r="F694" t="str">
        <x:v>Kaizo</x:v>
      </x:c>
      <x:c r="G694" t="n">
        <x:v>45785</x:v>
      </x:c>
      <x:c r="H694" t="str">
        <x:v>39816</x:v>
      </x:c>
      <x:c r="I694" t="str">
        <x:v>https://www.smwcentral.net/?a=details&amp;id=39816&amp;p=section</x:v>
      </x:c>
      <x:c r="J694" t="str">
        <x:v>https://dl.smwcentral.net/39816/InTriplicate.zip</x:v>
      </x:c>
    </x:row>
    <x:row r="695">
      <x:c r="A695" t="str">
        <x:v>Inane Mario World</x:v>
      </x:c>
      <x:c r="B695" t="str">
        <x:v>Inane Mario World</x:v>
      </x:c>
      <x:c r="C695" t="str">
        <x:v>ageVerrly</x:v>
      </x:c>
      <x:c r="D695" t="n">
        <x:v>19</x:v>
      </x:c>
      <x:c r="E695" t="str">
        <x:v>Master</x:v>
      </x:c>
      <x:c r="F695" t="str">
        <x:v>Kaizo</x:v>
      </x:c>
      <x:c r="G695" t="n">
        <x:v>44252</x:v>
      </x:c>
      <x:c r="H695" t="str">
        <x:v>26202</x:v>
      </x:c>
      <x:c r="I695" t="str">
        <x:v>https://www.smwcentral.net/?a=details&amp;id=26202&amp;p=section</x:v>
      </x:c>
      <x:c r="J695" t="str">
        <x:v>https://dl.smwcentral.net/26202/inane.zip</x:v>
      </x:c>
    </x:row>
    <x:row r="696">
      <x:c r="A696" t="str">
        <x:v>Inappropriate Jetski 19</x:v>
      </x:c>
      <x:c r="B696" t="str">
        <x:v>Inappropriate Jetski 19</x:v>
      </x:c>
      <x:c r="C696" t="str">
        <x:v>Multibella</x:v>
      </x:c>
      <x:c r="D696" t="n">
        <x:v>12</x:v>
      </x:c>
      <x:c r="E696" t="str">
        <x:v>Casual</x:v>
      </x:c>
      <x:c r="F696" t="str">
        <x:v>Standard</x:v>
      </x:c>
      <x:c r="G696" t="n">
        <x:v>42308</x:v>
      </x:c>
      <x:c r="H696" t="str">
        <x:v>9759</x:v>
      </x:c>
      <x:c r="I696" t="str">
        <x:v>https://www.smwcentral.net/?a=details&amp;id=9759&amp;p=section</x:v>
      </x:c>
      <x:c r="J696" t="str">
        <x:v>https://dl.smwcentral.net/9759/Jetskifullv1.0.zip</x:v>
      </x:c>
    </x:row>
    <x:row r="697">
      <x:c r="A697" t="str">
        <x:v>INCEPTION</x:v>
      </x:c>
      <x:c r="B697" t="str">
        <x:v>INCEPTION</x:v>
      </x:c>
      <x:c r="C697" t="str">
        <x:v>Dr.Moe</x:v>
      </x:c>
      <x:c r="D697" t="n">
        <x:v>17</x:v>
      </x:c>
      <x:c r="E697" t="str">
        <x:v>Master</x:v>
      </x:c>
      <x:c r="F697" t="str">
        <x:v>Kaizo</x:v>
      </x:c>
      <x:c r="G697" t="n">
        <x:v>44588</x:v>
      </x:c>
      <x:c r="H697" t="str">
        <x:v>29540</x:v>
      </x:c>
      <x:c r="I697" t="str">
        <x:v>https://www.smwcentral.net/?a=details&amp;id=29540&amp;p=section</x:v>
      </x:c>
      <x:c r="J697" t="str">
        <x:v>https://dl.smwcentral.net/29540/INCEPTION%20v1.2.zip</x:v>
      </x:c>
    </x:row>
    <x:row r="698">
      <x:c r="A698" t="str">
        <x:v>INCEPTION II</x:v>
      </x:c>
      <x:c r="B698" t="str">
        <x:v>INCEPTION II</x:v>
      </x:c>
      <x:c r="C698" t="str">
        <x:v>Dr.Moe</x:v>
      </x:c>
      <x:c r="D698" t="n">
        <x:v>20</x:v>
      </x:c>
      <x:c r="E698" t="str">
        <x:v>Master</x:v>
      </x:c>
      <x:c r="F698" t="str">
        <x:v>Kaizo</x:v>
      </x:c>
      <x:c r="G698" t="n">
        <x:v>45384</x:v>
      </x:c>
      <x:c r="H698" t="str">
        <x:v>36666</x:v>
      </x:c>
      <x:c r="I698" t="str">
        <x:v>https://www.smwcentral.net/?a=details&amp;id=36666&amp;p=section</x:v>
      </x:c>
      <x:c r="J698" t="str">
        <x:v>https://dl.smwcentral.net/36666/INCEPTION2.zip</x:v>
      </x:c>
    </x:row>
    <x:row r="699">
      <x:c r="A699" t="str">
        <x:v>Incredibous Shells</x:v>
      </x:c>
      <x:c r="B699" t="str">
        <x:v>Incredibous Shells</x:v>
      </x:c>
      <x:c r="C699" t="str">
        <x:v>arantes</x:v>
      </x:c>
      <x:c r="D699" t="n">
        <x:v>15</x:v>
      </x:c>
      <x:c r="E699" t="str">
        <x:v>Master</x:v>
      </x:c>
      <x:c r="F699" t="str">
        <x:v>Kaizo</x:v>
      </x:c>
      <x:c r="G699" t="n">
        <x:v>45240</x:v>
      </x:c>
      <x:c r="H699" t="str">
        <x:v>35054</x:v>
      </x:c>
      <x:c r="I699" t="str">
        <x:v>https://www.smwcentral.net/?a=details&amp;id=35054&amp;p=section</x:v>
      </x:c>
      <x:c r="J699" t="str">
        <x:v>https://dl.smwcentral.net/35054/Incredibous%20Shells%20v1.4.zip</x:v>
      </x:c>
    </x:row>
    <x:row r="700">
      <x:c r="A700" t="str">
        <x:v>Incredibous Shells 2</x:v>
      </x:c>
      <x:c r="B700" t="str">
        <x:v>Incredibous Shells 2</x:v>
      </x:c>
      <x:c r="C700" t="str">
        <x:v>arantes</x:v>
      </x:c>
      <x:c r="D700" t="n">
        <x:v>12</x:v>
      </x:c>
      <x:c r="E700" t="str">
        <x:v>Master</x:v>
      </x:c>
      <x:c r="F700" t="str">
        <x:v>Kaizo</x:v>
      </x:c>
      <x:c r="G700" t="n">
        <x:v>45938</x:v>
      </x:c>
      <x:c r="H700" t="str">
        <x:v>40565</x:v>
      </x:c>
      <x:c r="I700" t="str">
        <x:v>https://www.smwcentral.net/?a=details&amp;id=40565&amp;p=section</x:v>
      </x:c>
      <x:c r="J700" t="str">
        <x:v>https://dl.smwcentral.net/40565/Incredibous%20Shells%202.zip</x:v>
      </x:c>
    </x:row>
    <x:row r="701">
      <x:c r="A701" t="str">
        <x:v>Inert Aeronaut</x:v>
      </x:c>
      <x:c r="B701" t="str">
        <x:v>Inert Aeronaut</x:v>
      </x:c>
      <x:c r="C701" t="str">
        <x:v>drkrdnk</x:v>
      </x:c>
      <x:c r="D701" t="n">
        <x:v>11</x:v>
      </x:c>
      <x:c r="E701" t="str">
        <x:v>Expert</x:v>
      </x:c>
      <x:c r="F701" t="str">
        <x:v>Kaizo</x:v>
      </x:c>
      <x:c r="G701" t="n">
        <x:v>45446</x:v>
      </x:c>
      <x:c r="H701" t="str">
        <x:v>37867</x:v>
      </x:c>
      <x:c r="I701" t="str">
        <x:v>https://www.smwcentral.net/?a=details&amp;id=37867&amp;p=section</x:v>
      </x:c>
      <x:c r="J701" t="str">
        <x:v>https://dl.smwcentral.net/37867/inert%20aeronaut%20v1.1.zip</x:v>
      </x:c>
    </x:row>
    <x:row r="702">
      <x:c r="A702" t="str">
        <x:v>INFERNVM</x:v>
      </x:c>
      <x:c r="B702" t="str">
        <x:v>INFERNVM</x:v>
      </x:c>
      <x:c r="C702" t="str">
        <x:v>Sariel</x:v>
      </x:c>
      <x:c r="D702" t="n">
        <x:v>69</x:v>
      </x:c>
      <x:c r="E702" t="str">
        <x:v>Expert</x:v>
      </x:c>
      <x:c r="F702" t="str">
        <x:v>Kaizo</x:v>
      </x:c>
      <x:c r="G702" t="n">
        <x:v>45315</x:v>
      </x:c>
      <x:c r="H702" t="str">
        <x:v>35610</x:v>
      </x:c>
      <x:c r="I702" t="str">
        <x:v>https://www.smwcentral.net/?a=details&amp;id=35610&amp;p=section</x:v>
      </x:c>
      <x:c r="J702" t="str">
        <x:v>https://dl.smwcentral.net/35610/INFERNVM_v1.02.zip</x:v>
      </x:c>
    </x:row>
    <x:row r="703">
      <x:c r="A703" t="str">
        <x:v>Infinity Edge</x:v>
      </x:c>
      <x:c r="B703" t="str">
        <x:v>Infinity Edge</x:v>
      </x:c>
      <x:c r="C703" t="str">
        <x:v>levelengine</x:v>
      </x:c>
      <x:c r="D703" t="n">
        <x:v>32</x:v>
      </x:c>
      <x:c r="E703" t="str">
        <x:v>Intermediate</x:v>
      </x:c>
      <x:c r="F703" t="str">
        <x:v>Standard</x:v>
      </x:c>
      <x:c r="G703" t="n">
        <x:v>41700</x:v>
      </x:c>
      <x:c r="H703" t="str">
        <x:v>6302</x:v>
      </x:c>
      <x:c r="I703" t="str">
        <x:v>https://www.smwcentral.net/?a=details&amp;id=6302&amp;p=section</x:v>
      </x:c>
      <x:c r="J703" t="str">
        <x:v>https://dl.smwcentral.net/6302/Infinity%20Edge%20%282nd%20Edition%29.zip</x:v>
      </x:c>
    </x:row>
    <x:row r="704">
      <x:c r="A704" t="str">
        <x:v>Initiation</x:v>
      </x:c>
      <x:c r="B704" t="str">
        <x:v>Initiation</x:v>
      </x:c>
      <x:c r="C704" t="str">
        <x:v>Rudi_Schrausch</x:v>
      </x:c>
      <x:c r="D704" t="n">
        <x:v>15</x:v>
      </x:c>
      <x:c r="E704" t="str">
        <x:v>Advanced</x:v>
      </x:c>
      <x:c r="F704" t="str">
        <x:v>Kaizo</x:v>
      </x:c>
      <x:c r="G704" t="n">
        <x:v>44684</x:v>
      </x:c>
      <x:c r="H704" t="str">
        <x:v>30663</x:v>
      </x:c>
      <x:c r="I704" t="str">
        <x:v>https://www.smwcentral.net/?a=details&amp;id=30663&amp;p=section</x:v>
      </x:c>
      <x:c r="J704" t="str">
        <x:v>https://dl.smwcentral.net/30663/Initiation.zip</x:v>
      </x:c>
    </x:row>
    <x:row r="705">
      <x:c r="A705" t="str">
        <x:v>Initiation 2 Da_Queest</x:v>
      </x:c>
      <x:c r="B705" t="str">
        <x:v>Initiation 2 Da_Queest</x:v>
      </x:c>
      <x:c r="C705" t="str">
        <x:v>Rudi_Schrausch</x:v>
      </x:c>
      <x:c r="D705" t="n">
        <x:v>27</x:v>
      </x:c>
      <x:c r="E705" t="str">
        <x:v>Expert</x:v>
      </x:c>
      <x:c r="F705" t="str">
        <x:v>Kaizo</x:v>
      </x:c>
      <x:c r="G705" t="n">
        <x:v>45527</x:v>
      </x:c>
      <x:c r="H705" t="str">
        <x:v>38124</x:v>
      </x:c>
      <x:c r="I705" t="str">
        <x:v>https://www.smwcentral.net/?a=details&amp;id=38124&amp;p=section</x:v>
      </x:c>
      <x:c r="J705" t="str">
        <x:v>https://dl.smwcentral.net/38124/Initiation%202.zip</x:v>
      </x:c>
    </x:row>
    <x:row r="706">
      <x:c r="A706" t="str">
        <x:v>Insert Coin</x:v>
      </x:c>
      <x:c r="B706" t="str">
        <x:v>Insert Coin</x:v>
      </x:c>
      <x:c r="C706" t="str">
        <x:v>Zildjian, noon</x:v>
      </x:c>
      <x:c r="D706" t="n">
        <x:v>1</x:v>
      </x:c>
      <x:c r="E706" t="str">
        <x:v>Casual</x:v>
      </x:c>
      <x:c r="F706" t="str">
        <x:v>Standard</x:v>
      </x:c>
      <x:c r="G706" t="n">
        <x:v>44212</x:v>
      </x:c>
      <x:c r="H706" t="str">
        <x:v>25878</x:v>
      </x:c>
      <x:c r="I706" t="str">
        <x:v>https://www.smwcentral.net/?a=details&amp;id=25878&amp;p=section</x:v>
      </x:c>
      <x:c r="J706" t="str">
        <x:v>https://dl.smwcentral.net/25878/Insert%20Coin.zip</x:v>
      </x:c>
    </x:row>
    <x:row r="707">
      <x:c r="A707" t="str">
        <x:v>INSOMNIA</x:v>
      </x:c>
      <x:c r="B707" t="str">
        <x:v>INSOMNIA</x:v>
      </x:c>
      <x:c r="C707" t="str">
        <x:v>Dr.Moe</x:v>
      </x:c>
      <x:c r="D707" t="n">
        <x:v>17</x:v>
      </x:c>
      <x:c r="E707" t="str">
        <x:v>Expert</x:v>
      </x:c>
      <x:c r="F707" t="str">
        <x:v>Kaizo</x:v>
      </x:c>
      <x:c r="G707" t="n">
        <x:v>44273</x:v>
      </x:c>
      <x:c r="H707" t="str">
        <x:v>26184</x:v>
      </x:c>
      <x:c r="I707" t="str">
        <x:v>https://www.smwcentral.net/?a=details&amp;id=26184&amp;p=section</x:v>
      </x:c>
      <x:c r="J707" t="str">
        <x:v>https://dl.smwcentral.net/26184/INSOMNIA1.1.zip</x:v>
      </x:c>
    </x:row>
    <x:row r="708">
      <x:c r="A708" t="str">
        <x:v>Insouciant Mario</x:v>
      </x:c>
      <x:c r="B708" t="str">
        <x:v>Insouciant Mario</x:v>
      </x:c>
      <x:c r="C708" t="str">
        <x:v>gui</x:v>
      </x:c>
      <x:c r="D708" t="n">
        <x:v>8</x:v>
      </x:c>
      <x:c r="E708" t="str">
        <x:v>Master</x:v>
      </x:c>
      <x:c r="F708" t="str">
        <x:v>Kaizo</x:v>
      </x:c>
      <x:c r="G708" t="n">
        <x:v>44802</x:v>
      </x:c>
      <x:c r="H708" t="str">
        <x:v>31864</x:v>
      </x:c>
      <x:c r="I708" t="str">
        <x:v>https://www.smwcentral.net/?a=details&amp;id=31864&amp;p=section</x:v>
      </x:c>
      <x:c r="J708" t="str">
        <x:v>https://dl.smwcentral.net/31864/InsouciantMario1.2.zip</x:v>
      </x:c>
    </x:row>
    <x:row r="709">
      <x:c r="A709" t="str">
        <x:v>Interesting Kaizo World</x:v>
      </x:c>
      <x:c r="B709" t="str">
        <x:v>Interesting Kaizo World</x:v>
      </x:c>
      <x:c r="C709" t="str">
        <x:v>Yagami</x:v>
      </x:c>
      <x:c r="D709" t="n">
        <x:v>22</x:v>
      </x:c>
      <x:c r="E709" t="str">
        <x:v>Expert</x:v>
      </x:c>
      <x:c r="F709" t="str">
        <x:v>Kaizo</x:v>
      </x:c>
      <x:c r="G709" t="n">
        <x:v>43970</x:v>
      </x:c>
      <x:c r="H709" t="str">
        <x:v>22907</x:v>
      </x:c>
      <x:c r="I709" t="str">
        <x:v>https://www.smwcentral.net/?a=details&amp;id=22907&amp;p=section</x:v>
      </x:c>
      <x:c r="J709" t="str">
        <x:v>https://dl.smwcentral.net/22907/Interesting.zip</x:v>
      </x:c>
    </x:row>
    <x:row r="710">
      <x:c r="A710" t="str">
        <x:v>Intershellar</x:v>
      </x:c>
      <x:c r="B710" t="str">
        <x:v>Intershellar</x:v>
      </x:c>
      <x:c r="C710" t="str">
        <x:v>Dolph1n</x:v>
      </x:c>
      <x:c r="D710" t="n">
        <x:v>15</x:v>
      </x:c>
      <x:c r="E710" t="str">
        <x:v>Expert</x:v>
      </x:c>
      <x:c r="F710" t="str">
        <x:v>Kaizo</x:v>
      </x:c>
      <x:c r="G710" t="n">
        <x:v>44438</x:v>
      </x:c>
      <x:c r="H710" t="str">
        <x:v>28130</x:v>
      </x:c>
      <x:c r="I710" t="str">
        <x:v>https://www.smwcentral.net/?a=details&amp;id=28130&amp;p=section</x:v>
      </x:c>
      <x:c r="J710" t="str">
        <x:v>https://dl.smwcentral.net/28130/Intershellar.zip</x:v>
      </x:c>
    </x:row>
    <x:row r="711">
      <x:c r="A711" t="str">
        <x:v>Intrigue of Kittens</x:v>
      </x:c>
      <x:c r="B711" t="str">
        <x:v>Intrigue of Kittens</x:v>
      </x:c>
      <x:c r="C711" t="str">
        <x:v>JonnyManjiro</x:v>
      </x:c>
      <x:c r="D711" t="n">
        <x:v>5</x:v>
      </x:c>
      <x:c r="E711" t="str">
        <x:v>Advanced</x:v>
      </x:c>
      <x:c r="F711" t="str">
        <x:v>Kaizo</x:v>
      </x:c>
      <x:c r="G711" t="n">
        <x:v>44329</x:v>
      </x:c>
      <x:c r="H711" t="str">
        <x:v>26955</x:v>
      </x:c>
      <x:c r="I711" t="str">
        <x:v>https://www.smwcentral.net/?a=details&amp;id=26955&amp;p=section</x:v>
      </x:c>
      <x:c r="J711" t="str">
        <x:v>https://dl.smwcentral.net/26955/Intrigue%20of%20Kittens%201.1.zip</x:v>
      </x:c>
    </x:row>
    <x:row r="712">
      <x:c r="A712" t="str">
        <x:v>Invictus</x:v>
      </x:c>
      <x:c r="B712" t="str">
        <x:v>Invictus</x:v>
      </x:c>
      <x:c r="C712" t="str">
        <x:v>juzcook</x:v>
      </x:c>
      <x:c r="D712" t="n">
        <x:v>22</x:v>
      </x:c>
      <x:c r="E712" t="str">
        <x:v>Expert</x:v>
      </x:c>
      <x:c r="F712" t="str">
        <x:v>Kaizo</x:v>
      </x:c>
      <x:c r="G712" t="n">
        <x:v>43376</x:v>
      </x:c>
      <x:c r="H712" t="str">
        <x:v>18238</x:v>
      </x:c>
      <x:c r="I712" t="str">
        <x:v>https://www.smwcentral.net/?a=details&amp;id=18238&amp;p=section</x:v>
      </x:c>
      <x:c r="J712" t="str">
        <x:v>https://dl.smwcentral.net/18238/Invictus%201.0.zip</x:v>
      </x:c>
    </x:row>
    <x:row r="713">
      <x:c r="A713" t="str">
        <x:v>Iridium</x:v>
      </x:c>
      <x:c r="B713" t="str">
        <x:v>Iridium</x:v>
      </x:c>
      <x:c r="C713" t="str">
        <x:v>1mslakingoff</x:v>
      </x:c>
      <x:c r="D713" t="n">
        <x:v>17</x:v>
      </x:c>
      <x:c r="E713" t="str">
        <x:v>Expert</x:v>
      </x:c>
      <x:c r="F713" t="str">
        <x:v>Kaizo</x:v>
      </x:c>
      <x:c r="G713" t="n">
        <x:v>46153</x:v>
      </x:c>
      <x:c r="H713" t="str">
        <x:v>42315</x:v>
      </x:c>
      <x:c r="I713" t="str">
        <x:v>https://www.smwcentral.net/?a=details&amp;id=42315&amp;p=section</x:v>
      </x:c>
      <x:c r="J713" t="str">
        <x:v>https://dl.smwcentral.net/42315/Iridium.zip</x:v>
      </x:c>
    </x:row>
    <x:row r="714">
      <x:c r="A714" t="str">
        <x:v>It's another hack with Mario in it! Yay!</x:v>
      </x:c>
      <x:c r="B714" t="str">
        <x:v>It's another hack with Mario in it! Yay!</x:v>
      </x:c>
      <x:c r="C714" t="str">
        <x:v>Burst Man</x:v>
      </x:c>
      <x:c r="D714" t="n">
        <x:v>41</x:v>
      </x:c>
      <x:c r="E714" t="str">
        <x:v>Casual</x:v>
      </x:c>
      <x:c r="F714" t="str">
        <x:v>Standard</x:v>
      </x:c>
      <x:c r="G714" t="n">
        <x:v>45806</x:v>
      </x:c>
      <x:c r="H714" t="str">
        <x:v>39904</x:v>
      </x:c>
      <x:c r="I714" t="str">
        <x:v>https://www.smwcentral.net/?a=details&amp;id=39904&amp;p=section</x:v>
      </x:c>
      <x:c r="J714" t="str">
        <x:v>https://dl.smwcentral.net/39904/IahwMiiY%20Demo%20v0.2.2.zip</x:v>
      </x:c>
    </x:row>
    <x:row r="715">
      <x:c r="A715" t="str">
        <x:v>Item Abuse</x:v>
      </x:c>
      <x:c r="B715" t="str">
        <x:v>Item Abuse</x:v>
      </x:c>
      <x:c r="C715" t="str">
        <x:v>PangaeaPanga</x:v>
      </x:c>
      <x:c r="D715" t="n">
        <x:v>1</x:v>
      </x:c>
      <x:c r="E715" t="str">
        <x:v>Expert</x:v>
      </x:c>
      <x:c r="F715" t="str">
        <x:v>Tool-Assisted, Pit</x:v>
      </x:c>
      <x:c r="G715" t="n">
        <x:v>42141</x:v>
      </x:c>
      <x:c r="H715" t="str">
        <x:v>11342</x:v>
      </x:c>
      <x:c r="I715" t="str">
        <x:v>https://www.smwcentral.net/?a=details&amp;id=11342&amp;p=section</x:v>
      </x:c>
      <x:c r="J715" t="str">
        <x:v>https://dl.smwcentral.net/11342/Item%20Abuse%20v1.7.zip</x:v>
      </x:c>
    </x:row>
    <x:row r="716">
      <x:c r="A716" t="str">
        <x:v>Item Abuse 3</x:v>
      </x:c>
      <x:c r="B716" t="str">
        <x:v>Item Abuse 3</x:v>
      </x:c>
      <x:c r="C716" t="str">
        <x:v>PangaeaPanga</x:v>
      </x:c>
      <x:c r="D716" t="n">
        <x:v>1</x:v>
      </x:c>
      <x:c r="E716" t="str">
        <x:v>Grandmaster</x:v>
      </x:c>
      <x:c r="F716" t="str">
        <x:v>Tool-Assisted, Pit</x:v>
      </x:c>
      <x:c r="G716" t="n">
        <x:v>42080</x:v>
      </x:c>
      <x:c r="H716" t="str">
        <x:v>10907</x:v>
      </x:c>
      <x:c r="I716" t="str">
        <x:v>https://www.smwcentral.net/?a=details&amp;id=10907&amp;p=section</x:v>
      </x:c>
      <x:c r="J716" t="str">
        <x:v>https://dl.smwcentral.net/10907/Item%20Abuse%203%20v1.0.zip</x:v>
      </x:c>
    </x:row>
    <x:row r="717">
      <x:c r="A717" t="str">
        <x:v>ITS EEZ WORLD</x:v>
      </x:c>
      <x:c r="B717" t="str">
        <x:v>ITS EEZ WORLD</x:v>
      </x:c>
      <x:c r="C717" t="str">
        <x:v>Yagami</x:v>
      </x:c>
      <x:c r="D717" t="n">
        <x:v>14</x:v>
      </x:c>
      <x:c r="E717" t="str">
        <x:v>Expert</x:v>
      </x:c>
      <x:c r="F717" t="str">
        <x:v>Kaizo</x:v>
      </x:c>
      <x:c r="G717" t="n">
        <x:v>44334</x:v>
      </x:c>
      <x:c r="H717" t="str">
        <x:v>26898</x:v>
      </x:c>
      <x:c r="I717" t="str">
        <x:v>https://www.smwcentral.net/?a=details&amp;id=26898&amp;p=section</x:v>
      </x:c>
      <x:c r="J717" t="str">
        <x:v>https://dl.smwcentral.net/26898/its%20eez.zip</x:v>
      </x:c>
    </x:row>
    <x:row r="718">
      <x:c r="A718" t="str">
        <x:v>IUDICIUM TRIBUNALIS</x:v>
      </x:c>
      <x:c r="B718" t="str">
        <x:v>IUDICIUM TRIBUNALIS</x:v>
      </x:c>
      <x:c r="C718" t="str">
        <x:v>Sariel</x:v>
      </x:c>
      <x:c r="D718" t="n">
        <x:v>10</x:v>
      </x:c>
      <x:c r="E718" t="str">
        <x:v>Advanced</x:v>
      </x:c>
      <x:c r="F718" t="str">
        <x:v>Kaizo, Tool-Assisted</x:v>
      </x:c>
      <x:c r="G718" t="n">
        <x:v>42999</x:v>
      </x:c>
      <x:c r="H718" t="str">
        <x:v>15956</x:v>
      </x:c>
      <x:c r="I718" t="str">
        <x:v>https://www.smwcentral.net/?a=details&amp;id=15956&amp;p=section</x:v>
      </x:c>
      <x:c r="J718" t="str">
        <x:v>https://dl.smwcentral.net/15956/SMW%20HACK%20IUDICIUM%20TRIBUNALIS%20ver%202.25%20by%20user%3DID28020.zip</x:v>
      </x:c>
    </x:row>
    <x:row r="719">
      <x:c r="A719" t="str">
        <x:v>Ja, tack!</x:v>
      </x:c>
      <x:c r="B719" t="str">
        <x:v>Ja, tack!</x:v>
      </x:c>
      <x:c r="C719" t="str">
        <x:v>strong</x:v>
      </x:c>
      <x:c r="D719" t="n">
        <x:v>8</x:v>
      </x:c>
      <x:c r="E719" t="str">
        <x:v>Expert</x:v>
      </x:c>
      <x:c r="F719" t="str">
        <x:v>Kaizo</x:v>
      </x:c>
      <x:c r="G719" t="n">
        <x:v>45397</x:v>
      </x:c>
      <x:c r="H719" t="str">
        <x:v>37641</x:v>
      </x:c>
      <x:c r="I719" t="str">
        <x:v>https://www.smwcentral.net/?a=details&amp;id=37641&amp;p=section</x:v>
      </x:c>
      <x:c r="J719" t="str">
        <x:v>https://dl.smwcentral.net/37641/ja_tack_v1.1.zip</x:v>
      </x:c>
    </x:row>
    <x:row r="720">
      <x:c r="A720" t="str">
        <x:v>Jam</x:v>
      </x:c>
      <x:c r="B720" t="str">
        <x:v>Jam</x:v>
      </x:c>
      <x:c r="C720" t="str">
        <x:v>PopCorn181</x:v>
      </x:c>
      <x:c r="D720" t="n">
        <x:v>14</x:v>
      </x:c>
      <x:c r="E720" t="str">
        <x:v>Master</x:v>
      </x:c>
      <x:c r="F720" t="str">
        <x:v>Kaizo</x:v>
      </x:c>
      <x:c r="G720" t="n">
        <x:v>46180</x:v>
      </x:c>
      <x:c r="H720" t="str">
        <x:v>42402</x:v>
      </x:c>
      <x:c r="I720" t="str">
        <x:v>https://www.smwcentral.net/?a=details&amp;id=42402&amp;p=section</x:v>
      </x:c>
      <x:c r="J720" t="str">
        <x:v>https://dl.smwcentral.net/42402/JamV120.zip</x:v>
      </x:c>
    </x:row>
    <x:row r="721">
      <x:c r="A721" t="str">
        <x:v>JDCGames Collab</x:v>
      </x:c>
      <x:c r="B721" t="str">
        <x:v>JDCGames Collab</x:v>
      </x:c>
      <x:c r="C721" t="str">
        <x:v>JDCGames</x:v>
      </x:c>
      <x:c r="D721" t="n">
        <x:v>43</x:v>
      </x:c>
      <x:c r="E721" t="str">
        <x:v>Intermediate</x:v>
      </x:c>
      <x:c r="F721" t="str">
        <x:v>Standard</x:v>
      </x:c>
      <x:c r="G721" t="n">
        <x:v>42255</x:v>
      </x:c>
      <x:c r="H721" t="str">
        <x:v>10285</x:v>
      </x:c>
      <x:c r="I721" t="str">
        <x:v>https://www.smwcentral.net/?a=details&amp;id=10285&amp;p=section</x:v>
      </x:c>
      <x:c r="J721" t="str">
        <x:v>https://dl.smwcentral.net/10285/JDCGames%20Collaboration.zip</x:v>
      </x:c>
    </x:row>
    <x:row r="722">
      <x:c r="A722" t="str">
        <x:v>Jeitor Land: The Lost Lasagna</x:v>
      </x:c>
      <x:c r="B722" t="str">
        <x:v>Jeitor Land: The Lost Lasagna</x:v>
      </x:c>
      <x:c r="C722" t="str">
        <x:v>Hectorpn13</x:v>
      </x:c>
      <x:c r="D722" t="n">
        <x:v>35</x:v>
      </x:c>
      <x:c r="E722" t="str">
        <x:v>Casual</x:v>
      </x:c>
      <x:c r="F722" t="str">
        <x:v>Standard</x:v>
      </x:c>
      <x:c r="G722" t="n">
        <x:v>45411</x:v>
      </x:c>
      <x:c r="H722" t="str">
        <x:v>37712</x:v>
      </x:c>
      <x:c r="I722" t="str">
        <x:v>https://www.smwcentral.net/?a=details&amp;id=37712&amp;p=section</x:v>
      </x:c>
      <x:c r="J722" t="str">
        <x:v>https://dl.smwcentral.net/37712/Lost%20Lasagna%20DEMO%202.zip</x:v>
      </x:c>
    </x:row>
    <x:row r="723">
      <x:c r="A723" t="str">
        <x:v>Jerry's Autowalking Adventure to Rescue His Cheese</x:v>
      </x:c>
      <x:c r="B723" t="str">
        <x:v>Jerry's Autowalking Adventure to Rescue His Cheese</x:v>
      </x:c>
      <x:c r="C723" t="str">
        <x:v>Green Jerry</x:v>
      </x:c>
      <x:c r="D723" t="n">
        <x:v>7</x:v>
      </x:c>
      <x:c r="E723" t="str">
        <x:v>Expert</x:v>
      </x:c>
      <x:c r="F723" t="str">
        <x:v>Kaizo</x:v>
      </x:c>
      <x:c r="G723" t="n">
        <x:v>45258</x:v>
      </x:c>
      <x:c r="H723" t="str">
        <x:v>35558</x:v>
      </x:c>
      <x:c r="I723" t="str">
        <x:v>https://www.smwcentral.net/?a=details&amp;id=35558&amp;p=section</x:v>
      </x:c>
      <x:c r="J723" t="str">
        <x:v>https://dl.smwcentral.net/35558/Jerry%27s%20Autowalking%20Adventure%20to%20Rescue%20his%20Cheese%20%28V1.0.1%29.zip</x:v>
      </x:c>
    </x:row>
    <x:row r="724">
      <x:c r="A724" t="str">
        <x:v>Jerry's Vacation</x:v>
      </x:c>
      <x:c r="B724" t="str">
        <x:v>Jerry's Vacation</x:v>
      </x:c>
      <x:c r="C724" t="str">
        <x:v>Lunar Rico</x:v>
      </x:c>
      <x:c r="D724" t="n">
        <x:v>18</x:v>
      </x:c>
      <x:c r="E724" t="str">
        <x:v>Casual</x:v>
      </x:c>
      <x:c r="F724" t="str">
        <x:v>Standard</x:v>
      </x:c>
      <x:c r="G724" t="n">
        <x:v>42281</x:v>
      </x:c>
      <x:c r="H724" t="str">
        <x:v>10006</x:v>
      </x:c>
      <x:c r="I724" t="str">
        <x:v>https://www.smwcentral.net/?a=details&amp;id=10006&amp;p=section</x:v>
      </x:c>
      <x:c r="J724" t="str">
        <x:v>https://dl.smwcentral.net/10006/Jerry%27s%20Vacation.zip</x:v>
      </x:c>
    </x:row>
    <x:row r="725">
      <x:c r="A725" t="str">
        <x:v>Jigoku Mario World 2</x:v>
      </x:c>
      <x:c r="B725" t="str">
        <x:v>Jigoku Mario World 2</x:v>
      </x:c>
      <x:c r="C725" t="str">
        <x:v>Nowieso</x:v>
      </x:c>
      <x:c r="D725" t="n">
        <x:v>17</x:v>
      </x:c>
      <x:c r="E725" t="str">
        <x:v>Master</x:v>
      </x:c>
      <x:c r="F725" t="str">
        <x:v>Kaizo</x:v>
      </x:c>
      <x:c r="G725" t="n">
        <x:v>44067</x:v>
      </x:c>
      <x:c r="H725" t="str">
        <x:v>24222</x:v>
      </x:c>
      <x:c r="I725" t="str">
        <x:v>https://www.smwcentral.net/?a=details&amp;id=24222&amp;p=section</x:v>
      </x:c>
      <x:c r="J725" t="str">
        <x:v>https://dl.smwcentral.net/24222/Jigoku%20Mario%20World%202.zip</x:v>
      </x:c>
    </x:row>
    <x:row r="726">
      <x:c r="A726" t="str">
        <x:v>Jigoku Mario World 3</x:v>
      </x:c>
      <x:c r="B726" t="str">
        <x:v>Jigoku Mario World 3</x:v>
      </x:c>
      <x:c r="C726" t="str">
        <x:v>Nowieso</x:v>
      </x:c>
      <x:c r="D726" t="n">
        <x:v>25</x:v>
      </x:c>
      <x:c r="E726" t="str">
        <x:v>Grandmaster</x:v>
      </x:c>
      <x:c r="F726" t="str">
        <x:v>Kaizo</x:v>
      </x:c>
      <x:c r="G726" t="n">
        <x:v>45653</x:v>
      </x:c>
      <x:c r="H726" t="str">
        <x:v>38765</x:v>
      </x:c>
      <x:c r="I726" t="str">
        <x:v>https://www.smwcentral.net/?a=details&amp;id=38765&amp;p=section</x:v>
      </x:c>
      <x:c r="J726" t="str">
        <x:v>https://dl.smwcentral.net/38765/Jigoku%20Mario%20World%203.zip</x:v>
      </x:c>
    </x:row>
    <x:row r="727">
      <x:c r="A727" t="str">
        <x:v>Jigoku Mario World Remastered</x:v>
      </x:c>
      <x:c r="B727" t="str">
        <x:v>Jigoku Mario World Remastered</x:v>
      </x:c>
      <x:c r="C727" t="str">
        <x:v>Nowieso</x:v>
      </x:c>
      <x:c r="D727" t="n">
        <x:v>24</x:v>
      </x:c>
      <x:c r="E727" t="str">
        <x:v>Expert</x:v>
      </x:c>
      <x:c r="F727" t="str">
        <x:v>Kaizo</x:v>
      </x:c>
      <x:c r="G727" t="n">
        <x:v>43679</x:v>
      </x:c>
      <x:c r="H727" t="str">
        <x:v>20730</x:v>
      </x:c>
      <x:c r="I727" t="str">
        <x:v>https://www.smwcentral.net/?a=details&amp;id=20730&amp;p=section</x:v>
      </x:c>
      <x:c r="J727" t="str">
        <x:v>https://dl.smwcentral.net/20730/Jigoku%20Mario%20World%20Remastered.zip</x:v>
      </x:c>
    </x:row>
    <x:row r="728">
      <x:c r="A728" t="str">
        <x:v>Jigsaw's Test</x:v>
      </x:c>
      <x:c r="B728" t="str">
        <x:v>Jigsaw's Test</x:v>
      </x:c>
      <x:c r="C728" t="str">
        <x:v>CaseP, Foursword4</x:v>
      </x:c>
      <x:c r="D728" t="n">
        <x:v>11</x:v>
      </x:c>
      <x:c r="E728" t="str">
        <x:v>Casual</x:v>
      </x:c>
      <x:c r="F728" t="str">
        <x:v>Standard</x:v>
      </x:c>
      <x:c r="G728" t="n">
        <x:v>41451</x:v>
      </x:c>
      <x:c r="H728" t="str">
        <x:v>4962</x:v>
      </x:c>
      <x:c r="I728" t="str">
        <x:v>https://www.smwcentral.net/?a=details&amp;id=4962&amp;p=section</x:v>
      </x:c>
      <x:c r="J728" t="str">
        <x:v>https://dl.smwcentral.net/4962/Jigsaw%27s%20Test.zip</x:v>
      </x:c>
    </x:row>
    <x:row r="729">
      <x:c r="A729" t="str">
        <x:v>Jin'Rokh's Adventure</x:v>
      </x:c>
      <x:c r="B729" t="str">
        <x:v>Jin'Rokh's Adventure</x:v>
      </x:c>
      <x:c r="C729" t="str">
        <x:v>JinRokhZenobi</x:v>
      </x:c>
      <x:c r="D729" t="n">
        <x:v>20</x:v>
      </x:c>
      <x:c r="E729" t="str">
        <x:v>Advanced</x:v>
      </x:c>
      <x:c r="F729" t="str">
        <x:v>Kaizo</x:v>
      </x:c>
      <x:c r="G729" t="n">
        <x:v>45604</x:v>
      </x:c>
      <x:c r="H729" t="str">
        <x:v>38753</x:v>
      </x:c>
      <x:c r="I729" t="str">
        <x:v>https://www.smwcentral.net/?a=details&amp;id=38753&amp;p=section</x:v>
      </x:c>
      <x:c r="J729" t="str">
        <x:v>https://dl.smwcentral.net/38753/JinRokhsAdventure.zip</x:v>
      </x:c>
    </x:row>
    <x:row r="730">
      <x:c r="A730" t="str">
        <x:v>JISH</x:v>
      </x:c>
      <x:c r="B730" t="str">
        <x:v>JISH</x:v>
      </x:c>
      <x:c r="C730" t="str">
        <x:v>1mslakingoff</x:v>
      </x:c>
      <x:c r="D730" t="n">
        <x:v>62</x:v>
      </x:c>
      <x:c r="E730" t="str">
        <x:v>Intermediate</x:v>
      </x:c>
      <x:c r="F730" t="str">
        <x:v>Kaizo</x:v>
      </x:c>
      <x:c r="G730" t="n">
        <x:v>45767</x:v>
      </x:c>
      <x:c r="H730" t="str">
        <x:v>39726</x:v>
      </x:c>
      <x:c r="I730" t="str">
        <x:v>https://www.smwcentral.net/?a=details&amp;id=39726&amp;p=section</x:v>
      </x:c>
      <x:c r="J730" t="str">
        <x:v>https://dl.smwcentral.net/39726/JISH.zip</x:v>
      </x:c>
    </x:row>
    <x:row r="731">
      <x:c r="A731" t="str">
        <x:v>Joe Biden for the PS2: Re-Elected</x:v>
      </x:c>
      <x:c r="B731" t="str">
        <x:v>Joe Biden for the PS2: Re-Elected</x:v>
      </x:c>
      <x:c r="C731" t="str">
        <x:v>SubliminalSiren</x:v>
      </x:c>
      <x:c r="D731" t="n">
        <x:v>5</x:v>
      </x:c>
      <x:c r="E731" t="str">
        <x:v>Advanced</x:v>
      </x:c>
      <x:c r="F731" t="str">
        <x:v>Kaizo</x:v>
      </x:c>
      <x:c r="G731" t="n">
        <x:v>45680</x:v>
      </x:c>
      <x:c r="H731" t="str">
        <x:v>39093</x:v>
      </x:c>
      <x:c r="I731" t="str">
        <x:v>https://www.smwcentral.net/?a=details&amp;id=39093&amp;p=section</x:v>
      </x:c>
      <x:c r="J731" t="str">
        <x:v>https://dl.smwcentral.net/39093/25690-SMW-JoeBidenPS2.zip</x:v>
      </x:c>
    </x:row>
    <x:row r="732">
      <x:c r="A732" t="str">
        <x:v>Joeey's Level Collection</x:v>
      </x:c>
      <x:c r="B732" t="str">
        <x:v>Joeey's Level Collection</x:v>
      </x:c>
      <x:c r="C732" t="str">
        <x:v>Joeey</x:v>
      </x:c>
      <x:c r="D732" t="n">
        <x:v>6</x:v>
      </x:c>
      <x:c r="E732" t="str">
        <x:v>Casual</x:v>
      </x:c>
      <x:c r="F732" t="str">
        <x:v>Standard</x:v>
      </x:c>
      <x:c r="G732" t="n">
        <x:v>45020</x:v>
      </x:c>
      <x:c r="H732" t="str">
        <x:v>33622</x:v>
      </x:c>
      <x:c r="I732" t="str">
        <x:v>https://www.smwcentral.net/?a=details&amp;id=33622&amp;p=section</x:v>
      </x:c>
      <x:c r="J732" t="str">
        <x:v>https://dl.smwcentral.net/33622/Joeey%27s%20Level%20Collection%20-%20Demo%204.zip</x:v>
      </x:c>
    </x:row>
    <x:row r="733">
      <x:c r="A733" t="str">
        <x:v>John's Unfunny World - Phase 1</x:v>
      </x:c>
      <x:c r="B733" t="str">
        <x:v>John's Unfunny World - Phase 1</x:v>
      </x:c>
      <x:c r="C733" t="str">
        <x:v>ThePolionMaster</x:v>
      </x:c>
      <x:c r="D733" t="n">
        <x:v>4</x:v>
      </x:c>
      <x:c r="E733" t="str">
        <x:v>Intermediate</x:v>
      </x:c>
      <x:c r="F733" t="str">
        <x:v>Standard</x:v>
      </x:c>
      <x:c r="G733" t="n">
        <x:v>45095</x:v>
      </x:c>
      <x:c r="H733" t="str">
        <x:v>34098</x:v>
      </x:c>
      <x:c r="I733" t="str">
        <x:v>https://www.smwcentral.net/?a=details&amp;id=34098&amp;p=section</x:v>
      </x:c>
      <x:c r="J733" t="str">
        <x:v>https://dl.smwcentral.net/34098/John%27s%20Unfunny%20World%20-%20Phase%201.zip</x:v>
      </x:c>
    </x:row>
    <x:row r="734">
      <x:c r="A734" t="str">
        <x:v>JokerShellOk</x:v>
      </x:c>
      <x:c r="B734" t="str">
        <x:v>JokerShellOk</x:v>
      </x:c>
      <x:c r="C734" t="str">
        <x:v>Nowieso</x:v>
      </x:c>
      <x:c r="D734" t="n">
        <x:v>15</x:v>
      </x:c>
      <x:c r="E734" t="str">
        <x:v>Grandmaster</x:v>
      </x:c>
      <x:c r="F734" t="str">
        <x:v>Kaizo</x:v>
      </x:c>
      <x:c r="G734" t="n">
        <x:v>45998</x:v>
      </x:c>
      <x:c r="H734" t="str">
        <x:v>41192</x:v>
      </x:c>
      <x:c r="I734" t="str">
        <x:v>https://www.smwcentral.net/?a=details&amp;id=41192&amp;p=section</x:v>
      </x:c>
      <x:c r="J734" t="str">
        <x:v>https://dl.smwcentral.net/41192/JokerShellOk.zip</x:v>
      </x:c>
    </x:row>
    <x:row r="735">
      <x:c r="A735" t="str">
        <x:v>Jono Hack</x:v>
      </x:c>
      <x:c r="B735" t="str">
        <x:v>Jono Hack</x:v>
      </x:c>
      <x:c r="C735" t="str">
        <x:v>JonoFeio1</x:v>
      </x:c>
      <x:c r="D735" t="n">
        <x:v>4</x:v>
      </x:c>
      <x:c r="E735" t="str">
        <x:v>Intermediate</x:v>
      </x:c>
      <x:c r="F735" t="str">
        <x:v>Standard</x:v>
      </x:c>
      <x:c r="G735" t="n">
        <x:v>45616</x:v>
      </x:c>
      <x:c r="H735" t="str">
        <x:v>38785</x:v>
      </x:c>
      <x:c r="I735" t="str">
        <x:v>https://www.smwcentral.net/?a=details&amp;id=38785&amp;p=section</x:v>
      </x:c>
      <x:c r="J735" t="str">
        <x:v>https://dl.smwcentral.net/38785/Jono%20Hack%201.0.0.zip</x:v>
      </x:c>
    </x:row>
    <x:row r="736">
      <x:c r="A736" t="str">
        <x:v>Jouhou</x:v>
      </x:c>
      <x:c r="B736" t="str">
        <x:v>Jouhou</x:v>
      </x:c>
      <x:c r="C736" t="str">
        <x:v>LightAligns</x:v>
      </x:c>
      <x:c r="D736" t="n">
        <x:v>7</x:v>
      </x:c>
      <x:c r="E736" t="str">
        <x:v>Advanced</x:v>
      </x:c>
      <x:c r="F736" t="str">
        <x:v>Kaizo</x:v>
      </x:c>
      <x:c r="G736" t="n">
        <x:v>44655</x:v>
      </x:c>
      <x:c r="H736" t="str">
        <x:v>30147</x:v>
      </x:c>
      <x:c r="I736" t="str">
        <x:v>https://www.smwcentral.net/?a=details&amp;id=30147&amp;p=section</x:v>
      </x:c>
      <x:c r="J736" t="str">
        <x:v>https://dl.smwcentral.net/30147/Jouhou.zip</x:v>
      </x:c>
    </x:row>
    <x:row r="737">
      <x:c r="A737" t="str">
        <x:v>Journey To Peak</x:v>
      </x:c>
      <x:c r="B737" t="str">
        <x:v>Journey To Peak</x:v>
      </x:c>
      <x:c r="C737" t="str">
        <x:v>Silver Wind</x:v>
      </x:c>
      <x:c r="D737" t="n">
        <x:v>8</x:v>
      </x:c>
      <x:c r="E737" t="str">
        <x:v>Expert</x:v>
      </x:c>
      <x:c r="F737" t="str">
        <x:v>Kaizo</x:v>
      </x:c>
      <x:c r="G737" t="n">
        <x:v>45587</x:v>
      </x:c>
      <x:c r="H737" t="str">
        <x:v>38474</x:v>
      </x:c>
      <x:c r="I737" t="str">
        <x:v>https://www.smwcentral.net/?a=details&amp;id=38474&amp;p=section</x:v>
      </x:c>
      <x:c r="J737" t="str">
        <x:v>https://dl.smwcentral.net/38474/Journey%20to%20peak.zip</x:v>
      </x:c>
    </x:row>
    <x:row r="738">
      <x:c r="A738" t="str">
        <x:v>JTTMK 3 - Mario and Moonlight's Quest</x:v>
      </x:c>
      <x:c r="B738" t="str">
        <x:v>JTTMK 3 - Mario and Moonlight's Quest</x:v>
      </x:c>
      <x:c r="C738" t="str">
        <x:v>Sayuri</x:v>
      </x:c>
      <x:c r="D738" t="n">
        <x:v>35</x:v>
      </x:c>
      <x:c r="E738" t="str">
        <x:v>Casual</x:v>
      </x:c>
      <x:c r="F738" t="str">
        <x:v>Standard</x:v>
      </x:c>
      <x:c r="G738" t="n">
        <x:v>43675</x:v>
      </x:c>
      <x:c r="H738" t="str">
        <x:v>20758</x:v>
      </x:c>
      <x:c r="I738" t="str">
        <x:v>https://www.smwcentral.net/?a=details&amp;id=20758&amp;p=section</x:v>
      </x:c>
      <x:c r="J738" t="str">
        <x:v>https://dl.smwcentral.net/20758/JTTMK%203%20v2.0.zip</x:v>
      </x:c>
    </x:row>
    <x:row r="739">
      <x:c r="A739" t="str">
        <x:v>JUMP</x:v>
      </x:c>
      <x:c r="B739" t="str">
        <x:v>JUMP</x:v>
      </x:c>
      <x:c r="C739" t="str">
        <x:v>JUMP Team, worldpeace</x:v>
      </x:c>
      <x:c r="D739" t="n">
        <x:v>125</x:v>
      </x:c>
      <x:c r="E739" t="str">
        <x:v>Expert</x:v>
      </x:c>
      <x:c r="F739" t="str">
        <x:v>Standard</x:v>
      </x:c>
      <x:c r="G739" t="n">
        <x:v>42684</x:v>
      </x:c>
      <x:c r="H739" t="str">
        <x:v>14495</x:v>
      </x:c>
      <x:c r="I739" t="str">
        <x:v>https://www.smwcentral.net/?a=details&amp;id=14495&amp;p=section</x:v>
      </x:c>
      <x:c r="J739" t="str">
        <x:v>https://dl.smwcentral.net/14495/JUMP%20ver1.04.zip</x:v>
      </x:c>
    </x:row>
    <x:row r="740">
      <x:c r="A740" t="str">
        <x:v>Jumping Over It with Super Mario</x:v>
      </x:c>
      <x:c r="B740" t="str">
        <x:v>Jumping Over It with Super Mario</x:v>
      </x:c>
      <x:c r="C740" t="str">
        <x:v>TheGremlin</x:v>
      </x:c>
      <x:c r="D740" t="n">
        <x:v>3</x:v>
      </x:c>
      <x:c r="E740" t="str">
        <x:v>Expert</x:v>
      </x:c>
      <x:c r="F740" t="str">
        <x:v>Kaizo</x:v>
      </x:c>
      <x:c r="G740" t="n">
        <x:v>45618</x:v>
      </x:c>
      <x:c r="H740" t="str">
        <x:v>38777</x:v>
      </x:c>
      <x:c r="I740" t="str">
        <x:v>https://www.smwcentral.net/?a=details&amp;id=38777&amp;p=section</x:v>
      </x:c>
      <x:c r="J740" t="str">
        <x:v>https://dl.smwcentral.net/38777/Jumping%20Over%20It%20With%20Super%20Mario%20v.1.0.zip</x:v>
      </x:c>
    </x:row>
    <x:row r="741">
      <x:c r="A741" t="str">
        <x:v>Jumpman Returns</x:v>
      </x:c>
      <x:c r="B741" t="str">
        <x:v>Jumpman Returns</x:v>
      </x:c>
      <x:c r="C741" t="str">
        <x:v>Big Brawler</x:v>
      </x:c>
      <x:c r="D741" t="n">
        <x:v>4</x:v>
      </x:c>
      <x:c r="E741" t="str">
        <x:v>Intermediate</x:v>
      </x:c>
      <x:c r="F741" t="str">
        <x:v>Standard</x:v>
      </x:c>
      <x:c r="G741" t="n">
        <x:v>42530</x:v>
      </x:c>
      <x:c r="H741" t="str">
        <x:v>13781</x:v>
      </x:c>
      <x:c r="I741" t="str">
        <x:v>https://www.smwcentral.net/?a=details&amp;id=13781&amp;p=section</x:v>
      </x:c>
      <x:c r="J741" t="str">
        <x:v>https://dl.smwcentral.net/13781/Jumpman%20Returns.zip</x:v>
      </x:c>
    </x:row>
    <x:row r="742">
      <x:c r="A742" t="str">
        <x:v>Jumps Rhymes and Life</x:v>
      </x:c>
      <x:c r="B742" t="str">
        <x:v>Jumps Rhymes and Life</x:v>
      </x:c>
      <x:c r="C742" t="str">
        <x:v>Abstract</x:v>
      </x:c>
      <x:c r="D742" t="n">
        <x:v>25</x:v>
      </x:c>
      <x:c r="E742" t="str">
        <x:v>Master</x:v>
      </x:c>
      <x:c r="F742" t="str">
        <x:v>Kaizo</x:v>
      </x:c>
      <x:c r="G742" t="n">
        <x:v>46215</x:v>
      </x:c>
      <x:c r="H742" t="str">
        <x:v>42470</x:v>
      </x:c>
      <x:c r="I742" t="str">
        <x:v>https://www.smwcentral.net/?a=details&amp;id=42470&amp;p=section</x:v>
      </x:c>
      <x:c r="J742" t="str">
        <x:v>https://dl.smwcentral.net/42470/JumpsRhymesLife.zip</x:v>
      </x:c>
    </x:row>
    <x:row r="743">
      <x:c r="A743" t="str">
        <x:v>Jumpscare</x:v>
      </x:c>
      <x:c r="B743" t="str">
        <x:v>Jumpscare</x:v>
      </x:c>
      <x:c r="C743" t="str">
        <x:v>Gasterus155</x:v>
      </x:c>
      <x:c r="D743" t="n">
        <x:v>12</x:v>
      </x:c>
      <x:c r="E743" t="str">
        <x:v>Master</x:v>
      </x:c>
      <x:c r="F743" t="str">
        <x:v>Kaizo</x:v>
      </x:c>
      <x:c r="G743" t="n">
        <x:v>46222</x:v>
      </x:c>
      <x:c r="H743" t="str">
        <x:v>41515</x:v>
      </x:c>
      <x:c r="I743" t="str">
        <x:v>https://www.smwcentral.net/?a=details&amp;id=41515&amp;p=section</x:v>
      </x:c>
      <x:c r="J743" t="str">
        <x:v>https://dl.smwcentral.net/41515/Jumpsc.zip</x:v>
      </x:c>
    </x:row>
    <x:row r="744">
      <x:c r="A744" t="str">
        <x:v>JUMP½</x:v>
      </x:c>
      <x:c r="B744" t="str">
        <x:v>JUMP½</x:v>
      </x:c>
      <x:c r="C744" t="str">
        <x:v>JUMP Team, Lazy, Sixcorby, lolyoshi</x:v>
      </x:c>
      <x:c r="D744" t="n">
        <x:v>130</x:v>
      </x:c>
      <x:c r="E744" t="str">
        <x:v>Advanced</x:v>
      </x:c>
      <x:c r="F744" t="str">
        <x:v>Standard</x:v>
      </x:c>
      <x:c r="G744" t="n">
        <x:v>43578</x:v>
      </x:c>
      <x:c r="H744" t="str">
        <x:v>19720</x:v>
      </x:c>
      <x:c r="I744" t="str">
        <x:v>https://www.smwcentral.net/?a=details&amp;id=19720&amp;p=section</x:v>
      </x:c>
      <x:c r="J744" t="str">
        <x:v>https://dl.smwcentral.net/19720/JUMPhalf_ver1.01.zip</x:v>
      </x:c>
    </x:row>
    <x:row r="745">
      <x:c r="A745" t="str">
        <x:v>Just a Normal Quest</x:v>
      </x:c>
      <x:c r="B745" t="str">
        <x:v>Just a Normal Quest</x:v>
      </x:c>
      <x:c r="C745" t="str">
        <x:v>that1bigbossyouhate</x:v>
      </x:c>
      <x:c r="D745" t="n">
        <x:v>17</x:v>
      </x:c>
      <x:c r="E745" t="str">
        <x:v>Intermediate</x:v>
      </x:c>
      <x:c r="F745" t="str">
        <x:v>Standard</x:v>
      </x:c>
      <x:c r="G745" t="n">
        <x:v>44434</x:v>
      </x:c>
      <x:c r="H745" t="str">
        <x:v>28084</x:v>
      </x:c>
      <x:c r="I745" t="str">
        <x:v>https://www.smwcentral.net/?a=details&amp;id=28084&amp;p=section</x:v>
      </x:c>
      <x:c r="J745" t="str">
        <x:v>https://dl.smwcentral.net/28084/janq%201.6%20%28fixed%29.zip</x:v>
      </x:c>
    </x:row>
    <x:row r="746">
      <x:c r="A746" t="str">
        <x:v>Just a Pure Vanilla Super Mario World Hack</x:v>
      </x:c>
      <x:c r="B746" t="str">
        <x:v>Just a Pure Vanilla Super Mario World Hack</x:v>
      </x:c>
      <x:c r="C746" t="str">
        <x:v>DrAnas</x:v>
      </x:c>
      <x:c r="D746" t="n">
        <x:v>8</x:v>
      </x:c>
      <x:c r="E746" t="str">
        <x:v>Casual</x:v>
      </x:c>
      <x:c r="F746" t="str">
        <x:v>Standard</x:v>
      </x:c>
      <x:c r="G746" t="n">
        <x:v>42896</x:v>
      </x:c>
      <x:c r="H746" t="str">
        <x:v>15656</x:v>
      </x:c>
      <x:c r="I746" t="str">
        <x:v>https://www.smwcentral.net/?a=details&amp;id=15656&amp;p=section</x:v>
      </x:c>
      <x:c r="J746" t="str">
        <x:v>https://dl.smwcentral.net/15656/JAPSMWH.zip</x:v>
      </x:c>
    </x:row>
    <x:row r="747">
      <x:c r="A747" t="str">
        <x:v>Just Another Bad Kaizo Hack</x:v>
      </x:c>
      <x:c r="B747" t="str">
        <x:v>Just Another Bad Kaizo Hack</x:v>
      </x:c>
      <x:c r="C747" t="str">
        <x:v>Phobic</x:v>
      </x:c>
      <x:c r="D747" t="n">
        <x:v>11</x:v>
      </x:c>
      <x:c r="E747" t="str">
        <x:v>Master</x:v>
      </x:c>
      <x:c r="F747" t="str">
        <x:v>Kaizo</x:v>
      </x:c>
      <x:c r="G747" t="n">
        <x:v>44376</x:v>
      </x:c>
      <x:c r="H747" t="str">
        <x:v>27318</x:v>
      </x:c>
      <x:c r="I747" t="str">
        <x:v>https://www.smwcentral.net/?a=details&amp;id=27318&amp;p=section</x:v>
      </x:c>
      <x:c r="J747" t="str">
        <x:v>https://dl.smwcentral.net/27318/Just%20Another%20Bad%20Kaizo%20Hack.zip</x:v>
      </x:c>
    </x:row>
    <x:row r="748">
      <x:c r="A748" t="str">
        <x:v>Just Another Mario Hack</x:v>
      </x:c>
      <x:c r="B748" t="str">
        <x:v>Just Another Mario Hack</x:v>
      </x:c>
      <x:c r="C748" t="str">
        <x:v>Juggling Joker</x:v>
      </x:c>
      <x:c r="D748" t="n">
        <x:v>7</x:v>
      </x:c>
      <x:c r="E748" t="str">
        <x:v>Intermediate</x:v>
      </x:c>
      <x:c r="F748" t="str">
        <x:v>Standard</x:v>
      </x:c>
      <x:c r="G748" t="n">
        <x:v>42217</x:v>
      </x:c>
      <x:c r="H748" t="str">
        <x:v>9843</x:v>
      </x:c>
      <x:c r="I748" t="str">
        <x:v>https://www.smwcentral.net/?a=details&amp;id=9843&amp;p=section</x:v>
      </x:c>
      <x:c r="J748" t="str">
        <x:v>https://dl.smwcentral.net/9843/Just%20Another%20Mario%20Hack.zip</x:v>
      </x:c>
    </x:row>
    <x:row r="749">
      <x:c r="A749" t="str">
        <x:v>Just Another Shell Hack</x:v>
      </x:c>
      <x:c r="B749" t="str">
        <x:v>Just Another Shell Hack</x:v>
      </x:c>
      <x:c r="C749" t="str">
        <x:v>ageVerrly</x:v>
      </x:c>
      <x:c r="D749" t="n">
        <x:v>10</x:v>
      </x:c>
      <x:c r="E749" t="str">
        <x:v>Master</x:v>
      </x:c>
      <x:c r="F749" t="str">
        <x:v>Kaizo</x:v>
      </x:c>
      <x:c r="G749" t="n">
        <x:v>44768</x:v>
      </x:c>
      <x:c r="H749" t="str">
        <x:v>31396</x:v>
      </x:c>
      <x:c r="I749" t="str">
        <x:v>https://www.smwcentral.net/?a=details&amp;id=31396&amp;p=section</x:v>
      </x:c>
      <x:c r="J749" t="str">
        <x:v>https://dl.smwcentral.net/31396/shell.zip</x:v>
      </x:c>
    </x:row>
    <x:row r="750">
      <x:c r="A750" t="str">
        <x:v>Just Another SMW Hack</x:v>
      </x:c>
      <x:c r="B750" t="str">
        <x:v>Just Another SMW Hack</x:v>
      </x:c>
      <x:c r="C750" t="str">
        <x:v>TenPoundHammer</x:v>
      </x:c>
      <x:c r="D750" t="n">
        <x:v>11</x:v>
      </x:c>
      <x:c r="E750" t="str">
        <x:v>Casual</x:v>
      </x:c>
      <x:c r="F750" t="str">
        <x:v>Standard</x:v>
      </x:c>
      <x:c r="G750" t="n">
        <x:v>41645</x:v>
      </x:c>
      <x:c r="H750" t="str">
        <x:v>6050</x:v>
      </x:c>
      <x:c r="I750" t="str">
        <x:v>https://www.smwcentral.net/?a=details&amp;id=6050&amp;p=section</x:v>
      </x:c>
      <x:c r="J750" t="str">
        <x:v>https://dl.smwcentral.net/6050/hack%202%20patch.zip</x:v>
      </x:c>
    </x:row>
    <x:row r="751">
      <x:c r="A751" t="str">
        <x:v>Just Blob</x:v>
      </x:c>
      <x:c r="B751" t="str">
        <x:v>Just Blob</x:v>
      </x:c>
      <x:c r="C751" t="str">
        <x:v>TheDutchLuigi</x:v>
      </x:c>
      <x:c r="D751" t="n">
        <x:v>6</x:v>
      </x:c>
      <x:c r="E751" t="str">
        <x:v>Newcomer</x:v>
      </x:c>
      <x:c r="F751" t="str">
        <x:v>Standard</x:v>
      </x:c>
      <x:c r="G751" t="n">
        <x:v>41525</x:v>
      </x:c>
      <x:c r="H751" t="str">
        <x:v>5492</x:v>
      </x:c>
      <x:c r="I751" t="str">
        <x:v>https://www.smwcentral.net/?a=details&amp;id=5492&amp;p=section</x:v>
      </x:c>
      <x:c r="J751" t="str">
        <x:v>https://dl.smwcentral.net/5492/Just%20Blob.zip</x:v>
      </x:c>
    </x:row>
    <x:row r="752">
      <x:c r="A752" t="str">
        <x:v>just like amy; exactly like amy</x:v>
      </x:c>
      <x:c r="B752" t="str">
        <x:v>just like amy; exactly like amy</x:v>
      </x:c>
      <x:c r="C752" t="str">
        <x:v>Sayuri</x:v>
      </x:c>
      <x:c r="D752" t="n">
        <x:v>12</x:v>
      </x:c>
      <x:c r="E752" t="str">
        <x:v>Master</x:v>
      </x:c>
      <x:c r="F752" t="str">
        <x:v>Standard, Kaizo</x:v>
      </x:c>
      <x:c r="G752" t="n">
        <x:v>46074</x:v>
      </x:c>
      <x:c r="H752" t="str">
        <x:v>41451</x:v>
      </x:c>
      <x:c r="I752" t="str">
        <x:v>https://www.smwcentral.net/?a=details&amp;id=41451&amp;p=section</x:v>
      </x:c>
      <x:c r="J752" t="str">
        <x:v>https://dl.smwcentral.net/41451/just%20like%20amy%3B%20exactly%20like%20amy%20%28v1.01%29.zip</x:v>
      </x:c>
    </x:row>
    <x:row r="753">
      <x:c r="A753" t="str">
        <x:v>Just Thanks</x:v>
      </x:c>
      <x:c r="B753" t="str">
        <x:v>Just Thanks</x:v>
      </x:c>
      <x:c r="C753" t="str">
        <x:v>TheMURAmatsu</x:v>
      </x:c>
      <x:c r="D753" t="n">
        <x:v>6</x:v>
      </x:c>
      <x:c r="E753" t="str">
        <x:v>Advanced</x:v>
      </x:c>
      <x:c r="F753" t="str">
        <x:v>Kaizo</x:v>
      </x:c>
      <x:c r="G753" t="n">
        <x:v>45057</x:v>
      </x:c>
      <x:c r="H753" t="str">
        <x:v>33880</x:v>
      </x:c>
      <x:c r="I753" t="str">
        <x:v>https://www.smwcentral.net/?a=details&amp;id=33880&amp;p=section</x:v>
      </x:c>
      <x:c r="J753" t="str">
        <x:v>https://dl.smwcentral.net/33880/SMW-JustThanks.zip</x:v>
      </x:c>
    </x:row>
    <x:row r="754">
      <x:c r="A754" t="str">
        <x:v>Justice for Mario</x:v>
      </x:c>
      <x:c r="B754" t="str">
        <x:v>Justice for Mario</x:v>
      </x:c>
      <x:c r="C754" t="str">
        <x:v>Centipede</x:v>
      </x:c>
      <x:c r="D754" t="n">
        <x:v>99</x:v>
      </x:c>
      <x:c r="E754" t="str">
        <x:v>Intermediate</x:v>
      </x:c>
      <x:c r="F754" t="str">
        <x:v>Standard</x:v>
      </x:c>
      <x:c r="G754" t="n">
        <x:v>44331</x:v>
      </x:c>
      <x:c r="H754" t="str">
        <x:v>26449</x:v>
      </x:c>
      <x:c r="I754" t="str">
        <x:v>https://www.smwcentral.net/?a=details&amp;id=26449&amp;p=section</x:v>
      </x:c>
      <x:c r="J754" t="str">
        <x:v>https://dl.smwcentral.net/26449/Justice%20for%20Mario.zip</x:v>
      </x:c>
    </x:row>
    <x:row r="755">
      <x:c r="A755" t="str">
        <x:v>K-16 - Story of Steel</x:v>
      </x:c>
      <x:c r="B755" t="str">
        <x:v>K-16 - Story of Steel</x:v>
      </x:c>
      <x:c r="C755" t="str">
        <x:v>Eevee</x:v>
      </x:c>
      <x:c r="D755" t="n">
        <x:v>25</x:v>
      </x:c>
      <x:c r="E755" t="str">
        <x:v>Intermediate</x:v>
      </x:c>
      <x:c r="F755" t="str">
        <x:v>Standard</x:v>
      </x:c>
      <x:c r="G755" t="n">
        <x:v>42014</x:v>
      </x:c>
      <x:c r="H755" t="str">
        <x:v>10495</x:v>
      </x:c>
      <x:c r="I755" t="str">
        <x:v>https://www.smwcentral.net/?a=details&amp;id=10495&amp;p=section</x:v>
      </x:c>
      <x:c r="J755" t="str">
        <x:v>https://dl.smwcentral.net/10495/v1.3.zip</x:v>
      </x:c>
    </x:row>
    <x:row r="756">
      <x:c r="A756" t="str">
        <x:v>Kaeru's Unnamed Hack</x:v>
      </x:c>
      <x:c r="B756" t="str">
        <x:v>Kaeru's Unnamed Hack</x:v>
      </x:c>
      <x:c r="C756" t="str">
        <x:v>Kaeru</x:v>
      </x:c>
      <x:c r="D756" t="n">
        <x:v>11</x:v>
      </x:c>
      <x:c r="E756" t="str">
        <x:v>Casual</x:v>
      </x:c>
      <x:c r="F756" t="str">
        <x:v>Standard</x:v>
      </x:c>
      <x:c r="G756" t="n">
        <x:v>42322</x:v>
      </x:c>
      <x:c r="H756" t="str">
        <x:v>9739</x:v>
      </x:c>
      <x:c r="I756" t="str">
        <x:v>https://www.smwcentral.net/?a=details&amp;id=9739&amp;p=section</x:v>
      </x:c>
      <x:c r="J756" t="str">
        <x:v>https://dl.smwcentral.net/9739/Unnamed.zip</x:v>
      </x:c>
    </x:row>
    <x:row r="757">
      <x:c r="A757" t="str">
        <x:v>Kaiden, where's your head at??</x:v>
      </x:c>
      <x:c r="B757" t="str">
        <x:v>Kaiden, where's your head at??</x:v>
      </x:c>
      <x:c r="C757" t="str">
        <x:v>Donut</x:v>
      </x:c>
      <x:c r="D757" t="n">
        <x:v>3</x:v>
      </x:c>
      <x:c r="E757" t="str">
        <x:v>Intermediate</x:v>
      </x:c>
      <x:c r="F757" t="str">
        <x:v>Standard</x:v>
      </x:c>
      <x:c r="G757" t="n">
        <x:v>44557</x:v>
      </x:c>
      <x:c r="H757" t="str">
        <x:v>28910</x:v>
      </x:c>
      <x:c r="I757" t="str">
        <x:v>https://www.smwcentral.net/?a=details&amp;id=28910&amp;p=section</x:v>
      </x:c>
      <x:c r="J757" t="str">
        <x:v>https://dl.smwcentral.net/28910/kaiden.zip</x:v>
      </x:c>
    </x:row>
    <x:row r="758">
      <x:c r="A758" t="str">
        <x:v>Kaiketsoy Mario</x:v>
      </x:c>
      <x:c r="B758" t="str">
        <x:v>Kaiketsoy Mario</x:v>
      </x:c>
      <x:c r="C758" t="str">
        <x:v>Bammcreeper</x:v>
      </x:c>
      <x:c r="D758" t="n">
        <x:v>1</x:v>
      </x:c>
      <x:c r="E758" t="str">
        <x:v>Expert</x:v>
      </x:c>
      <x:c r="F758" t="str">
        <x:v>Kaizo</x:v>
      </x:c>
      <x:c r="G758" t="n">
        <x:v>41724</x:v>
      </x:c>
      <x:c r="H758" t="str">
        <x:v>6283</x:v>
      </x:c>
      <x:c r="I758" t="str">
        <x:v>https://www.smwcentral.net/?a=details&amp;id=6283&amp;p=section</x:v>
      </x:c>
      <x:c r="J758" t="str">
        <x:v>https://dl.smwcentral.net/6283/kaiketsoy.zip</x:v>
      </x:c>
    </x:row>
    <x:row r="759">
      <x:c r="A759" t="str">
        <x:v>Kain's Quest</x:v>
      </x:c>
      <x:c r="B759" t="str">
        <x:v>Kain's Quest</x:v>
      </x:c>
      <x:c r="C759" t="str">
        <x:v>Atma</x:v>
      </x:c>
      <x:c r="D759" t="n">
        <x:v>13</x:v>
      </x:c>
      <x:c r="E759" t="str">
        <x:v>Intermediate</x:v>
      </x:c>
      <x:c r="F759" t="str">
        <x:v>Standard</x:v>
      </x:c>
      <x:c r="G759" t="n">
        <x:v>42059</x:v>
      </x:c>
      <x:c r="H759" t="str">
        <x:v>9899</x:v>
      </x:c>
      <x:c r="I759" t="str">
        <x:v>https://www.smwcentral.net/?a=details&amp;id=9899&amp;p=section</x:v>
      </x:c>
      <x:c r="J759" t="str">
        <x:v>https://dl.smwcentral.net/9899/Kain%27s%20Quest1.1.zip</x:v>
      </x:c>
    </x:row>
    <x:row r="760">
      <x:c r="A760" t="str">
        <x:v>Kaitenzushi</x:v>
      </x:c>
      <x:c r="B760" t="str">
        <x:v>Kaitenzushi</x:v>
      </x:c>
      <x:c r="C760" t="str">
        <x:v>JeepySol</x:v>
      </x:c>
      <x:c r="D760" t="n">
        <x:v>10</x:v>
      </x:c>
      <x:c r="E760" t="str">
        <x:v>Expert</x:v>
      </x:c>
      <x:c r="F760" t="str">
        <x:v>Kaizo</x:v>
      </x:c>
      <x:c r="G760" t="n">
        <x:v>45799</x:v>
      </x:c>
      <x:c r="H760" t="str">
        <x:v>39746</x:v>
      </x:c>
      <x:c r="I760" t="str">
        <x:v>https://www.smwcentral.net/?a=details&amp;id=39746&amp;p=section</x:v>
      </x:c>
      <x:c r="J760" t="str">
        <x:v>https://dl.smwcentral.net/39746/Kaitenzushi%20v1_1.zip</x:v>
      </x:c>
    </x:row>
    <x:row r="761">
      <x:c r="A761" t="str">
        <x:v>Kaizo</x:v>
      </x:c>
      <x:c r="B761" t="str">
        <x:v>Kaizo</x:v>
      </x:c>
      <x:c r="C761" t="str">
        <x:v>Anonymous</x:v>
      </x:c>
      <x:c r="D761" t="n">
        <x:v>5</x:v>
      </x:c>
      <x:c r="E761" t="str">
        <x:v>Master</x:v>
      </x:c>
      <x:c r="F761" t="str">
        <x:v>Kaizo</x:v>
      </x:c>
      <x:c r="G761" t="n">
        <x:v>45523</x:v>
      </x:c>
      <x:c r="H761" t="str">
        <x:v>38232</x:v>
      </x:c>
      <x:c r="I761" t="str">
        <x:v>https://www.smwcentral.net/?a=details&amp;id=38232&amp;p=section</x:v>
      </x:c>
      <x:c r="J761" t="str">
        <x:v>https://dl.smwcentral.net/38232/Kaizo.zip</x:v>
      </x:c>
    </x:row>
    <x:row r="762">
      <x:c r="A762" t="str">
        <x:v>Kaizo 2: The Kaizening</x:v>
      </x:c>
      <x:c r="B762" t="str">
        <x:v>Kaizo 2: The Kaizening</x:v>
      </x:c>
      <x:c r="C762" t="str">
        <x:v>Anonymous</x:v>
      </x:c>
      <x:c r="D762" t="n">
        <x:v>5</x:v>
      </x:c>
      <x:c r="E762" t="str">
        <x:v>Master</x:v>
      </x:c>
      <x:c r="F762" t="str">
        <x:v>Kaizo</x:v>
      </x:c>
      <x:c r="G762" t="n">
        <x:v>45561</x:v>
      </x:c>
      <x:c r="H762" t="str">
        <x:v>38419</x:v>
      </x:c>
      <x:c r="I762" t="str">
        <x:v>https://www.smwcentral.net/?a=details&amp;id=38419&amp;p=section</x:v>
      </x:c>
      <x:c r="J762" t="str">
        <x:v>https://dl.smwcentral.net/38419/Kaizo%202%20The%20Kaizening.zip</x:v>
      </x:c>
    </x:row>
    <x:row r="763">
      <x:c r="A763" t="str">
        <x:v>Kaizo 3 Styled Hack</x:v>
      </x:c>
      <x:c r="B763" t="str">
        <x:v>Kaizo 3 Styled Hack</x:v>
      </x:c>
      <x:c r="C763" t="str">
        <x:v>Picayune</x:v>
      </x:c>
      <x:c r="D763" t="n">
        <x:v>10</x:v>
      </x:c>
      <x:c r="E763" t="str">
        <x:v>Master</x:v>
      </x:c>
      <x:c r="F763" t="str">
        <x:v>Kaizo</x:v>
      </x:c>
      <x:c r="G763" t="n">
        <x:v>44523</x:v>
      </x:c>
      <x:c r="H763" t="str">
        <x:v>28577</x:v>
      </x:c>
      <x:c r="I763" t="str">
        <x:v>https://www.smwcentral.net/?a=details&amp;id=28577&amp;p=section</x:v>
      </x:c>
      <x:c r="J763" t="str">
        <x:v>https://dl.smwcentral.net/28577/K3SH.zip</x:v>
      </x:c>
    </x:row>
    <x:row r="764">
      <x:c r="A764" t="str">
        <x:v>kaizo beats to run quick to - vol. 3</x:v>
      </x:c>
      <x:c r="B764" t="str">
        <x:v>kaizo beats to run quick to - vol. 3</x:v>
      </x:c>
      <x:c r="C764" t="str">
        <x:v>Alex, Blaagon, Fyre150, Hiro-sofT, HmWhyNot, LightAligns, Saela, Spirits, YMM, dansalvato, dtothefourth, margot, shaoshao, snoruntpyro</x:v>
      </x:c>
      <x:c r="D764" t="n">
        <x:v>8</x:v>
      </x:c>
      <x:c r="E764" t="str">
        <x:v>Expert</x:v>
      </x:c>
      <x:c r="F764" t="str">
        <x:v>Kaizo</x:v>
      </x:c>
      <x:c r="G764" t="n">
        <x:v>45550</x:v>
      </x:c>
      <x:c r="H764" t="str">
        <x:v>38472</x:v>
      </x:c>
      <x:c r="I764" t="str">
        <x:v>https://www.smwcentral.net/?a=details&amp;id=38472&amp;p=section</x:v>
      </x:c>
      <x:c r="J764" t="str">
        <x:v>https://dl.smwcentral.net/38472/Kaizo%20Beats%20vol%203.zip</x:v>
      </x:c>
    </x:row>
    <x:row r="765">
      <x:c r="A765" t="str">
        <x:v>Kaizo Breeze</x:v>
      </x:c>
      <x:c r="B765" t="str">
        <x:v>Kaizo Breeze</x:v>
      </x:c>
      <x:c r="C765" t="str">
        <x:v>BielDusty, naBerada</x:v>
      </x:c>
      <x:c r="D765" t="n">
        <x:v>12</x:v>
      </x:c>
      <x:c r="E765" t="str">
        <x:v>Casual</x:v>
      </x:c>
      <x:c r="F765" t="str">
        <x:v>Kaizo</x:v>
      </x:c>
      <x:c r="G765" t="n">
        <x:v>46222</x:v>
      </x:c>
      <x:c r="H765" t="str">
        <x:v>42670</x:v>
      </x:c>
      <x:c r="I765" t="str">
        <x:v>https://www.smwcentral.net/?a=details&amp;id=42670&amp;p=section</x:v>
      </x:c>
      <x:c r="J765" t="str">
        <x:v>https://dl.smwcentral.net/42670/KaizoBreezev1.1.zip</x:v>
      </x:c>
    </x:row>
    <x:row r="766">
      <x:c r="A766" t="str">
        <x:v>Kaizo Consistency</x:v>
      </x:c>
      <x:c r="B766" t="str">
        <x:v>Kaizo Consistency</x:v>
      </x:c>
      <x:c r="C766" t="str">
        <x:v>35TCB77</x:v>
      </x:c>
      <x:c r="D766" t="n">
        <x:v>36</x:v>
      </x:c>
      <x:c r="E766" t="str">
        <x:v>Intermediate</x:v>
      </x:c>
      <x:c r="F766" t="str">
        <x:v>Kaizo</x:v>
      </x:c>
      <x:c r="G766" t="n">
        <x:v>45777</x:v>
      </x:c>
      <x:c r="H766" t="str">
        <x:v>39791</x:v>
      </x:c>
      <x:c r="I766" t="str">
        <x:v>https://www.smwcentral.net/?a=details&amp;id=39791&amp;p=section</x:v>
      </x:c>
      <x:c r="J766" t="str">
        <x:v>https://dl.smwcentral.net/39791/KCDV.zip</x:v>
      </x:c>
    </x:row>
    <x:row r="767">
      <x:c r="A767" t="str">
        <x:v>Kaizo Crisis</x:v>
      </x:c>
      <x:c r="B767" t="str">
        <x:v>Kaizo Crisis</x:v>
      </x:c>
      <x:c r="C767" t="str">
        <x:v>Mithrillionaire</x:v>
      </x:c>
      <x:c r="D767" t="n">
        <x:v>5</x:v>
      </x:c>
      <x:c r="E767" t="str">
        <x:v>Master</x:v>
      </x:c>
      <x:c r="F767" t="str">
        <x:v>Kaizo</x:v>
      </x:c>
      <x:c r="G767" t="n">
        <x:v>44777</x:v>
      </x:c>
      <x:c r="H767" t="str">
        <x:v>31756</x:v>
      </x:c>
      <x:c r="I767" t="str">
        <x:v>https://www.smwcentral.net/?a=details&amp;id=31756&amp;p=section</x:v>
      </x:c>
      <x:c r="J767" t="str">
        <x:v>https://dl.smwcentral.net/31756/KaizoCrisis.zip</x:v>
      </x:c>
    </x:row>
    <x:row r="768">
      <x:c r="A768" t="str">
        <x:v>Kaizo Crisis 2</x:v>
      </x:c>
      <x:c r="B768" t="str">
        <x:v>Kaizo Crisis 2</x:v>
      </x:c>
      <x:c r="C768" t="str">
        <x:v>Mithrillionaire</x:v>
      </x:c>
      <x:c r="D768" t="n">
        <x:v>7</x:v>
      </x:c>
      <x:c r="E768" t="str">
        <x:v>Expert</x:v>
      </x:c>
      <x:c r="F768" t="str">
        <x:v>Kaizo</x:v>
      </x:c>
      <x:c r="G768" t="n">
        <x:v>45600</x:v>
      </x:c>
      <x:c r="H768" t="str">
        <x:v>38727</x:v>
      </x:c>
      <x:c r="I768" t="str">
        <x:v>https://www.smwcentral.net/?a=details&amp;id=38727&amp;p=section</x:v>
      </x:c>
      <x:c r="J768" t="str">
        <x:v>https://dl.smwcentral.net/38727/Kaizo%20Crisis%202.zip</x:v>
      </x:c>
    </x:row>
    <x:row r="769">
      <x:c r="A769" t="str">
        <x:v>Kaizo Dreamland</x:v>
      </x:c>
      <x:c r="B769" t="str">
        <x:v>Kaizo Dreamland</x:v>
      </x:c>
      <x:c r="C769" t="str">
        <x:v>RecToR_24</x:v>
      </x:c>
      <x:c r="D769" t="n">
        <x:v>4</x:v>
      </x:c>
      <x:c r="E769" t="str">
        <x:v>Expert</x:v>
      </x:c>
      <x:c r="F769" t="str">
        <x:v>Kaizo</x:v>
      </x:c>
      <x:c r="G769" t="n">
        <x:v>44221</x:v>
      </x:c>
      <x:c r="H769" t="str">
        <x:v>26043</x:v>
      </x:c>
      <x:c r="I769" t="str">
        <x:v>https://www.smwcentral.net/?a=details&amp;id=26043&amp;p=section</x:v>
      </x:c>
      <x:c r="J769" t="str">
        <x:v>https://dl.smwcentral.net/26043/KaizoDreamland.zip</x:v>
      </x:c>
    </x:row>
    <x:row r="770">
      <x:c r="A770" t="str">
        <x:v>Kaizo Island</x:v>
      </x:c>
      <x:c r="B770" t="str">
        <x:v>Kaizo Island</x:v>
      </x:c>
      <x:c r="C770" t="str">
        <x:v>BrickSMW</x:v>
      </x:c>
      <x:c r="D770" t="n">
        <x:v>12</x:v>
      </x:c>
      <x:c r="E770" t="str">
        <x:v>Expert</x:v>
      </x:c>
      <x:c r="F770" t="str">
        <x:v>Kaizo</x:v>
      </x:c>
      <x:c r="G770" t="n">
        <x:v>43775</x:v>
      </x:c>
      <x:c r="H770" t="str">
        <x:v>21425</x:v>
      </x:c>
      <x:c r="I770" t="str">
        <x:v>https://www.smwcentral.net/?a=details&amp;id=21425&amp;p=section</x:v>
      </x:c>
      <x:c r="J770" t="str">
        <x:v>https://dl.smwcentral.net/21425/Kaizo%20Island.zip</x:v>
      </x:c>
    </x:row>
    <x:row r="771">
      <x:c r="A771" t="str">
        <x:v>Kaizo Kidz</x:v>
      </x:c>
      <x:c r="B771" t="str">
        <x:v>Kaizo Kidz</x:v>
      </x:c>
      <x:c r="C771" t="str">
        <x:v>wulv257</x:v>
      </x:c>
      <x:c r="D771" t="n">
        <x:v>10</x:v>
      </x:c>
      <x:c r="E771" t="str">
        <x:v>Intermediate</x:v>
      </x:c>
      <x:c r="F771" t="str">
        <x:v>Kaizo</x:v>
      </x:c>
      <x:c r="G771" t="n">
        <x:v>44679</x:v>
      </x:c>
      <x:c r="H771" t="str">
        <x:v>30642</x:v>
      </x:c>
      <x:c r="I771" t="str">
        <x:v>https://www.smwcentral.net/?a=details&amp;id=30642&amp;p=section</x:v>
      </x:c>
      <x:c r="J771" t="str">
        <x:v>https://dl.smwcentral.net/30642/Kaizo%20Kidz%20V1.2.zip</x:v>
      </x:c>
    </x:row>
    <x:row r="772">
      <x:c r="A772" t="str">
        <x:v>Kaizo Kong Country</x:v>
      </x:c>
      <x:c r="B772" t="str">
        <x:v>Kaizo Kong Country</x:v>
      </x:c>
      <x:c r="C772" t="str">
        <x:v>oneframejames</x:v>
      </x:c>
      <x:c r="D772" t="n">
        <x:v>10</x:v>
      </x:c>
      <x:c r="E772" t="str">
        <x:v>Intermediate</x:v>
      </x:c>
      <x:c r="F772" t="str">
        <x:v>Kaizo</x:v>
      </x:c>
      <x:c r="G772" t="n">
        <x:v>44108</x:v>
      </x:c>
      <x:c r="H772" t="str">
        <x:v>24760</x:v>
      </x:c>
      <x:c r="I772" t="str">
        <x:v>https://www.smwcentral.net/?a=details&amp;id=24760&amp;p=section</x:v>
      </x:c>
      <x:c r="J772" t="str">
        <x:v>https://dl.smwcentral.net/24760/Kaizo%20Kong%20Country%20v1.0.bps.zip</x:v>
      </x:c>
    </x:row>
    <x:row r="773">
      <x:c r="A773" t="str">
        <x:v>Kaizo Marathon</x:v>
      </x:c>
      <x:c r="B773" t="str">
        <x:v>Kaizo Marathon</x:v>
      </x:c>
      <x:c r="C773" t="str">
        <x:v>NewPointless</x:v>
      </x:c>
      <x:c r="D773" t="n">
        <x:v>1</x:v>
      </x:c>
      <x:c r="E773" t="str">
        <x:v>Expert</x:v>
      </x:c>
      <x:c r="F773" t="str">
        <x:v>Kaizo</x:v>
      </x:c>
      <x:c r="G773" t="n">
        <x:v>44973</x:v>
      </x:c>
      <x:c r="H773" t="str">
        <x:v>33210</x:v>
      </x:c>
      <x:c r="I773" t="str">
        <x:v>https://www.smwcentral.net/?a=details&amp;id=33210&amp;p=section</x:v>
      </x:c>
      <x:c r="J773" t="str">
        <x:v>https://dl.smwcentral.net/33210/KaizoMarathon1_1.zip</x:v>
      </x:c>
    </x:row>
    <x:row r="774">
      <x:c r="A774" t="str">
        <x:v>Kaizo Mario World</x:v>
      </x:c>
      <x:c r="B774" t="str">
        <x:v>Kaizo Mario World</x:v>
      </x:c>
      <x:c r="C774" t="str">
        <x:v>T. Takemoto</x:v>
      </x:c>
      <x:c r="D774" t="n">
        <x:v>11</x:v>
      </x:c>
      <x:c r="E774" t="str">
        <x:v>Expert</x:v>
      </x:c>
      <x:c r="F774" t="str">
        <x:v>Kaizo</x:v>
      </x:c>
      <x:c r="G774" t="n">
        <x:v>42965</x:v>
      </x:c>
      <x:c r="H774" t="str">
        <x:v>16059</x:v>
      </x:c>
      <x:c r="I774" t="str">
        <x:v>https://www.smwcentral.net/?a=details&amp;id=16059&amp;p=section</x:v>
      </x:c>
      <x:c r="J774" t="str">
        <x:v>https://dl.smwcentral.net/16059/Kaizo%20Mario%20World.zip</x:v>
      </x:c>
    </x:row>
    <x:row r="775">
      <x:c r="A775" t="str">
        <x:v>Kaizo Mario World 2</x:v>
      </x:c>
      <x:c r="B775" t="str">
        <x:v>Kaizo Mario World 2</x:v>
      </x:c>
      <x:c r="C775" t="str">
        <x:v>T. Takemoto</x:v>
      </x:c>
      <x:c r="D775" t="n">
        <x:v>9</x:v>
      </x:c>
      <x:c r="E775" t="str">
        <x:v>Master</x:v>
      </x:c>
      <x:c r="F775" t="str">
        <x:v>Kaizo</x:v>
      </x:c>
      <x:c r="G775" t="n">
        <x:v>42965</x:v>
      </x:c>
      <x:c r="H775" t="str">
        <x:v>16058</x:v>
      </x:c>
      <x:c r="I775" t="str">
        <x:v>https://www.smwcentral.net/?a=details&amp;id=16058&amp;p=section</x:v>
      </x:c>
      <x:c r="J775" t="str">
        <x:v>https://dl.smwcentral.net/16058/Kaizo%20Mario%20World%202.zip</x:v>
      </x:c>
    </x:row>
    <x:row r="776">
      <x:c r="A776" t="str">
        <x:v>Kaizo Mario World 3</x:v>
      </x:c>
      <x:c r="B776" t="str">
        <x:v>Kaizo Mario World 3</x:v>
      </x:c>
      <x:c r="C776" t="str">
        <x:v>T. Takemoto</x:v>
      </x:c>
      <x:c r="D776" t="n">
        <x:v>12</x:v>
      </x:c>
      <x:c r="E776" t="str">
        <x:v>Grandmaster</x:v>
      </x:c>
      <x:c r="F776" t="str">
        <x:v>Kaizo</x:v>
      </x:c>
      <x:c r="G776" t="n">
        <x:v>42965</x:v>
      </x:c>
      <x:c r="H776" t="str">
        <x:v>16060</x:v>
      </x:c>
      <x:c r="I776" t="str">
        <x:v>https://www.smwcentral.net/?a=details&amp;id=16060&amp;p=section</x:v>
      </x:c>
      <x:c r="J776" t="str">
        <x:v>https://dl.smwcentral.net/16060/Kaizo%20Mario%20World%203.zip</x:v>
      </x:c>
    </x:row>
    <x:row r="777">
      <x:c r="A777" t="str">
        <x:v>Kaizo no Notam</x:v>
      </x:c>
      <x:c r="B777" t="str">
        <x:v>Kaizo no Notam</x:v>
      </x:c>
      <x:c r="C777" t="str">
        <x:v>cozyduck</x:v>
      </x:c>
      <x:c r="D777" t="n">
        <x:v>10</x:v>
      </x:c>
      <x:c r="E777" t="str">
        <x:v>Master</x:v>
      </x:c>
      <x:c r="F777" t="str">
        <x:v>Kaizo</x:v>
      </x:c>
      <x:c r="G777" t="n">
        <x:v>46094</x:v>
      </x:c>
      <x:c r="H777" t="str">
        <x:v>41561</x:v>
      </x:c>
      <x:c r="I777" t="str">
        <x:v>https://www.smwcentral.net/?a=details&amp;id=41561&amp;p=section</x:v>
      </x:c>
      <x:c r="J777" t="str">
        <x:v>https://dl.smwcentral.net/41561/Notam.zip</x:v>
      </x:c>
    </x:row>
    <x:row r="778">
      <x:c r="A778" t="str">
        <x:v>Kaizo no Yume</x:v>
      </x:c>
      <x:c r="B778" t="str">
        <x:v>Kaizo no Yume</x:v>
      </x:c>
      <x:c r="C778" t="str">
        <x:v>duders</x:v>
      </x:c>
      <x:c r="D778" t="n">
        <x:v>22</x:v>
      </x:c>
      <x:c r="E778" t="str">
        <x:v>Expert</x:v>
      </x:c>
      <x:c r="F778" t="str">
        <x:v>Kaizo</x:v>
      </x:c>
      <x:c r="G778" t="n">
        <x:v>43569</x:v>
      </x:c>
      <x:c r="H778" t="str">
        <x:v>19584</x:v>
      </x:c>
      <x:c r="I778" t="str">
        <x:v>https://www.smwcentral.net/?a=details&amp;id=19584&amp;p=section</x:v>
      </x:c>
      <x:c r="J778" t="str">
        <x:v>https://dl.smwcentral.net/19584/Kaizo%20no%20Yume%20v1.05.zip</x:v>
      </x:c>
    </x:row>
    <x:row r="779">
      <x:c r="A779" t="str">
        <x:v>Kamek and the Shroobs</x:v>
      </x:c>
      <x:c r="B779" t="str">
        <x:v>Kamek and the Shroobs</x:v>
      </x:c>
      <x:c r="C779" t="str">
        <x:v>1339</x:v>
      </x:c>
      <x:c r="D779" t="n">
        <x:v>25</x:v>
      </x:c>
      <x:c r="E779" t="str">
        <x:v>Casual</x:v>
      </x:c>
      <x:c r="F779" t="str">
        <x:v>Standard</x:v>
      </x:c>
      <x:c r="G779" t="n">
        <x:v>42239</x:v>
      </x:c>
      <x:c r="H779" t="str">
        <x:v>9918</x:v>
      </x:c>
      <x:c r="I779" t="str">
        <x:v>https://www.smwcentral.net/?a=details&amp;id=9918&amp;p=section</x:v>
      </x:c>
      <x:c r="J779" t="str">
        <x:v>https://dl.smwcentral.net/9918/kamek.zip</x:v>
      </x:c>
    </x:row>
    <x:row r="780">
      <x:c r="A780" t="str">
        <x:v>Kamek's Island</x:v>
      </x:c>
      <x:c r="B780" t="str">
        <x:v>Kamek's Island</x:v>
      </x:c>
      <x:c r="C780" t="str">
        <x:v>Gamma V</x:v>
      </x:c>
      <x:c r="D780" t="n">
        <x:v>82</x:v>
      </x:c>
      <x:c r="E780" t="str">
        <x:v>Casual</x:v>
      </x:c>
      <x:c r="F780" t="str">
        <x:v>Standard</x:v>
      </x:c>
      <x:c r="G780" t="n">
        <x:v>42284</x:v>
      </x:c>
      <x:c r="H780" t="str">
        <x:v>12161</x:v>
      </x:c>
      <x:c r="I780" t="str">
        <x:v>https://www.smwcentral.net/?a=details&amp;id=12161&amp;p=section</x:v>
      </x:c>
      <x:c r="J780" t="str">
        <x:v>https://dl.smwcentral.net/12161/Kamek%27s%20Island%201.7.zip</x:v>
      </x:c>
    </x:row>
    <x:row r="781">
      <x:c r="A781" t="str">
        <x:v>Kamek's Revenge</x:v>
      </x:c>
      <x:c r="B781" t="str">
        <x:v>Kamek's Revenge</x:v>
      </x:c>
      <x:c r="C781" t="str">
        <x:v>PorygonPOW</x:v>
      </x:c>
      <x:c r="D781" t="n">
        <x:v>10</x:v>
      </x:c>
      <x:c r="E781" t="str">
        <x:v>Casual</x:v>
      </x:c>
      <x:c r="F781" t="str">
        <x:v>Standard</x:v>
      </x:c>
      <x:c r="G781" t="n">
        <x:v>42349</x:v>
      </x:c>
      <x:c r="H781" t="str">
        <x:v>12812</x:v>
      </x:c>
      <x:c r="I781" t="str">
        <x:v>https://www.smwcentral.net/?a=details&amp;id=12812&amp;p=section</x:v>
      </x:c>
      <x:c r="J781" t="str">
        <x:v>https://dl.smwcentral.net/12812/Kamek%27s%20Revenge.zip</x:v>
      </x:c>
    </x:row>
    <x:row r="782">
      <x:c r="A782" t="str">
        <x:v>Kamikaze</x:v>
      </x:c>
      <x:c r="B782" t="str">
        <x:v>Kamikaze</x:v>
      </x:c>
      <x:c r="C782" t="str">
        <x:v>obiet</x:v>
      </x:c>
      <x:c r="D782" t="n">
        <x:v>28</x:v>
      </x:c>
      <x:c r="E782" t="str">
        <x:v>Advanced</x:v>
      </x:c>
      <x:c r="F782" t="str">
        <x:v>Kaizo</x:v>
      </x:c>
      <x:c r="G782" t="n">
        <x:v>45233</x:v>
      </x:c>
      <x:c r="H782" t="str">
        <x:v>35278</x:v>
      </x:c>
      <x:c r="I782" t="str">
        <x:v>https://www.smwcentral.net/?a=details&amp;id=35278&amp;p=section</x:v>
      </x:c>
      <x:c r="J782" t="str">
        <x:v>https://dl.smwcentral.net/35278/kamikaze.zip</x:v>
      </x:c>
    </x:row>
    <x:row r="783">
      <x:c r="A783" t="str">
        <x:v>Kaos Islands</x:v>
      </x:c>
      <x:c r="B783" t="str">
        <x:v>Kaos Islands</x:v>
      </x:c>
      <x:c r="C783" t="str">
        <x:v>xIque</x:v>
      </x:c>
      <x:c r="D783" t="n">
        <x:v>42</x:v>
      </x:c>
      <x:c r="E783" t="str">
        <x:v>Intermediate</x:v>
      </x:c>
      <x:c r="F783" t="str">
        <x:v>Standard</x:v>
      </x:c>
      <x:c r="G783" t="n">
        <x:v>41517</x:v>
      </x:c>
      <x:c r="H783" t="str">
        <x:v>4959</x:v>
      </x:c>
      <x:c r="I783" t="str">
        <x:v>https://www.smwcentral.net/?a=details&amp;id=4959&amp;p=section</x:v>
      </x:c>
      <x:c r="J783" t="str">
        <x:v>https://dl.smwcentral.net/4959/Kaos%20Islands.zip</x:v>
      </x:c>
    </x:row>
    <x:row r="784">
      <x:c r="A784" t="str">
        <x:v>Karma</x:v>
      </x:c>
      <x:c r="B784" t="str">
        <x:v>Karma</x:v>
      </x:c>
      <x:c r="C784" t="str">
        <x:v>Saela</x:v>
      </x:c>
      <x:c r="D784" t="n">
        <x:v>13</x:v>
      </x:c>
      <x:c r="E784" t="str">
        <x:v>Expert</x:v>
      </x:c>
      <x:c r="F784" t="str">
        <x:v>Kaizo</x:v>
      </x:c>
      <x:c r="G784" t="n">
        <x:v>46123</x:v>
      </x:c>
      <x:c r="H784" t="str">
        <x:v>42143</x:v>
      </x:c>
      <x:c r="I784" t="str">
        <x:v>https://www.smwcentral.net/?a=details&amp;id=42143&amp;p=section</x:v>
      </x:c>
      <x:c r="J784" t="str">
        <x:v>https://dl.smwcentral.net/42143/Karma.zip</x:v>
      </x:c>
    </x:row>
    <x:row r="785">
      <x:c r="A785" t="str">
        <x:v>Karoshi Mario</x:v>
      </x:c>
      <x:c r="B785" t="str">
        <x:v>Karoshi Mario</x:v>
      </x:c>
      <x:c r="C785" t="str">
        <x:v>HuFlungDu</x:v>
      </x:c>
      <x:c r="D785" t="n">
        <x:v>35</x:v>
      </x:c>
      <x:c r="E785" t="str">
        <x:v>Casual</x:v>
      </x:c>
      <x:c r="F785" t="str">
        <x:v>Standard</x:v>
      </x:c>
      <x:c r="G785" t="n">
        <x:v>42057</x:v>
      </x:c>
      <x:c r="H785" t="str">
        <x:v>9980</x:v>
      </x:c>
      <x:c r="I785" t="str">
        <x:v>https://www.smwcentral.net/?a=details&amp;id=9980&amp;p=section</x:v>
      </x:c>
      <x:c r="J785" t="str">
        <x:v>https://dl.smwcentral.net/9980/KaroshiMario.zip</x:v>
      </x:c>
    </x:row>
    <x:row r="786">
      <x:c r="A786" t="str">
        <x:v>KawaMarioWorld</x:v>
      </x:c>
      <x:c r="B786" t="str">
        <x:v>KawaMarioWorld</x:v>
      </x:c>
      <x:c r="C786" t="str">
        <x:v>ram.heroe</x:v>
      </x:c>
      <x:c r="D786" t="n">
        <x:v>13</x:v>
      </x:c>
      <x:c r="E786" t="str">
        <x:v>Expert</x:v>
      </x:c>
      <x:c r="F786" t="str">
        <x:v>Kaizo</x:v>
      </x:c>
      <x:c r="G786" t="n">
        <x:v>44022</x:v>
      </x:c>
      <x:c r="H786" t="str">
        <x:v>23041</x:v>
      </x:c>
      <x:c r="I786" t="str">
        <x:v>https://www.smwcentral.net/?a=details&amp;id=23041&amp;p=section</x:v>
      </x:c>
      <x:c r="J786" t="str">
        <x:v>https://dl.smwcentral.net/23041/KawaMarioWorld.zip</x:v>
      </x:c>
    </x:row>
    <x:row r="787">
      <x:c r="A787" t="str">
        <x:v>Kazue World</x:v>
      </x:c>
      <x:c r="B787" t="str">
        <x:v>Kazue World</x:v>
      </x:c>
      <x:c r="C787" t="str">
        <x:v>RicardoDeMelo</x:v>
      </x:c>
      <x:c r="D787" t="n">
        <x:v>12</x:v>
      </x:c>
      <x:c r="E787" t="str">
        <x:v>Advanced</x:v>
      </x:c>
      <x:c r="F787" t="str">
        <x:v>Kaizo</x:v>
      </x:c>
      <x:c r="G787" t="n">
        <x:v>44925</x:v>
      </x:c>
      <x:c r="H787" t="str">
        <x:v>32837</x:v>
      </x:c>
      <x:c r="I787" t="str">
        <x:v>https://www.smwcentral.net/?a=details&amp;id=32837&amp;p=section</x:v>
      </x:c>
      <x:c r="J787" t="str">
        <x:v>https://dl.smwcentral.net/32837/Kazue%20World.zip</x:v>
      </x:c>
    </x:row>
    <x:row r="788">
      <x:c r="A788" t="str">
        <x:v>Kazue World 2</x:v>
      </x:c>
      <x:c r="B788" t="str">
        <x:v>Kazue World 2</x:v>
      </x:c>
      <x:c r="C788" t="str">
        <x:v>Eryck, RicardoDeMelo</x:v>
      </x:c>
      <x:c r="D788" t="n">
        <x:v>15</x:v>
      </x:c>
      <x:c r="E788" t="str">
        <x:v>Expert</x:v>
      </x:c>
      <x:c r="F788" t="str">
        <x:v>Kaizo</x:v>
      </x:c>
      <x:c r="G788" t="n">
        <x:v>45335</x:v>
      </x:c>
      <x:c r="H788" t="str">
        <x:v>36844</x:v>
      </x:c>
      <x:c r="I788" t="str">
        <x:v>https://www.smwcentral.net/?a=details&amp;id=36844&amp;p=section</x:v>
      </x:c>
      <x:c r="J788" t="str">
        <x:v>https://dl.smwcentral.net/36844/Kazue%20World%202.zip</x:v>
      </x:c>
    </x:row>
    <x:row r="789">
      <x:c r="A789" t="str">
        <x:v>Kekcroc DASH!</x:v>
      </x:c>
      <x:c r="B789" t="str">
        <x:v>Kekcroc DASH!</x:v>
      </x:c>
      <x:c r="C789" t="str">
        <x:v>Knucklesfan</x:v>
      </x:c>
      <x:c r="D789" t="n">
        <x:v>5</x:v>
      </x:c>
      <x:c r="E789" t="str">
        <x:v>Advanced</x:v>
      </x:c>
      <x:c r="F789" t="str">
        <x:v>Standard</x:v>
      </x:c>
      <x:c r="G789" t="n">
        <x:v>43800</x:v>
      </x:c>
      <x:c r="H789" t="str">
        <x:v>21546</x:v>
      </x:c>
      <x:c r="I789" t="str">
        <x:v>https://www.smwcentral.net/?a=details&amp;id=21546&amp;p=section</x:v>
      </x:c>
      <x:c r="J789" t="str">
        <x:v>https://dl.smwcentral.net/21546/patch.zip</x:v>
      </x:c>
    </x:row>
    <x:row r="790">
      <x:c r="A790" t="str">
        <x:v>Keratin Valley</x:v>
      </x:c>
      <x:c r="B790" t="str">
        <x:v>Keratin Valley</x:v>
      </x:c>
      <x:c r="C790" t="str">
        <x:v>revolug</x:v>
      </x:c>
      <x:c r="D790" t="n">
        <x:v>4</x:v>
      </x:c>
      <x:c r="E790" t="str">
        <x:v>Grandmaster</x:v>
      </x:c>
      <x:c r="F790" t="str">
        <x:v>Kaizo</x:v>
      </x:c>
      <x:c r="G790" t="n">
        <x:v>45551</x:v>
      </x:c>
      <x:c r="H790" t="str">
        <x:v>38338</x:v>
      </x:c>
      <x:c r="I790" t="str">
        <x:v>https://www.smwcentral.net/?a=details&amp;id=38338&amp;p=section</x:v>
      </x:c>
      <x:c r="J790" t="str">
        <x:v>https://dl.smwcentral.net/38338/Keratin%20Valley%201.3.zip</x:v>
      </x:c>
    </x:row>
    <x:row r="791">
      <x:c r="A791" t="str">
        <x:v>Ketchup Adventure</x:v>
      </x:c>
      <x:c r="B791" t="str">
        <x:v>Ketchup Adventure</x:v>
      </x:c>
      <x:c r="C791" t="str">
        <x:v>mockingod</x:v>
      </x:c>
      <x:c r="D791" t="n">
        <x:v>1</x:v>
      </x:c>
      <x:c r="E791" t="str">
        <x:v>Casual</x:v>
      </x:c>
      <x:c r="F791" t="str">
        <x:v>Standard</x:v>
      </x:c>
      <x:c r="G791" t="n">
        <x:v>42003</x:v>
      </x:c>
      <x:c r="H791" t="str">
        <x:v>10113</x:v>
      </x:c>
      <x:c r="I791" t="str">
        <x:v>https://www.smwcentral.net/?a=details&amp;id=10113&amp;p=section</x:v>
      </x:c>
      <x:c r="J791" t="str">
        <x:v>https://dl.smwcentral.net/10113/KetchupAdventure.zip</x:v>
      </x:c>
    </x:row>
    <x:row r="792">
      <x:c r="A792" t="str">
        <x:v>Kibeth Takes a Walk</x:v>
      </x:c>
      <x:c r="B792" t="str">
        <x:v>Kibeth Takes a Walk</x:v>
      </x:c>
      <x:c r="C792" t="str">
        <x:v>bsolt</x:v>
      </x:c>
      <x:c r="D792" t="n">
        <x:v>11</x:v>
      </x:c>
      <x:c r="E792" t="str">
        <x:v>Advanced</x:v>
      </x:c>
      <x:c r="F792" t="str">
        <x:v>Kaizo</x:v>
      </x:c>
      <x:c r="G792" t="n">
        <x:v>44214</x:v>
      </x:c>
      <x:c r="H792" t="str">
        <x:v>25929</x:v>
      </x:c>
      <x:c r="I792" t="str">
        <x:v>https://www.smwcentral.net/?a=details&amp;id=25929&amp;p=section</x:v>
      </x:c>
      <x:c r="J792" t="str">
        <x:v>https://dl.smwcentral.net/25929/KTaW.zip</x:v>
      </x:c>
    </x:row>
    <x:row r="793">
      <x:c r="A793" t="str">
        <x:v>Kid Adventure</x:v>
      </x:c>
      <x:c r="B793" t="str">
        <x:v>Kid Adventure</x:v>
      </x:c>
      <x:c r="C793" t="str">
        <x:v>Lunartoad</x:v>
      </x:c>
      <x:c r="D793" t="n">
        <x:v>6</x:v>
      </x:c>
      <x:c r="E793" t="str">
        <x:v>Intermediate</x:v>
      </x:c>
      <x:c r="F793" t="str">
        <x:v>Standard</x:v>
      </x:c>
      <x:c r="G793" t="n">
        <x:v>42176</x:v>
      </x:c>
      <x:c r="H793" t="str">
        <x:v>9755</x:v>
      </x:c>
      <x:c r="I793" t="str">
        <x:v>https://www.smwcentral.net/?a=details&amp;id=9755&amp;p=section</x:v>
      </x:c>
      <x:c r="J793" t="str">
        <x:v>https://dl.smwcentral.net/9755/Kid%20Adventure%20%28English%20version%29.zip</x:v>
      </x:c>
    </x:row>
    <x:row r="794">
      <x:c r="A794" t="str">
        <x:v>Kid Adventure 2: Biza Strikes Back</x:v>
      </x:c>
      <x:c r="B794" t="str">
        <x:v>Kid Adventure 2: Biza Strikes Back</x:v>
      </x:c>
      <x:c r="C794" t="str">
        <x:v>Lunartoad</x:v>
      </x:c>
      <x:c r="D794" t="n">
        <x:v>6</x:v>
      </x:c>
      <x:c r="E794" t="str">
        <x:v>Casual</x:v>
      </x:c>
      <x:c r="F794" t="str">
        <x:v>Standard</x:v>
      </x:c>
      <x:c r="G794" t="n">
        <x:v>41566</x:v>
      </x:c>
      <x:c r="H794" t="str">
        <x:v>5184</x:v>
      </x:c>
      <x:c r="I794" t="str">
        <x:v>https://www.smwcentral.net/?a=details&amp;id=5184&amp;p=section</x:v>
      </x:c>
      <x:c r="J794" t="str">
        <x:v>https://dl.smwcentral.net/5184/Kid%20Adventure%202%20%28English%29.zip</x:v>
      </x:c>
    </x:row>
    <x:row r="795">
      <x:c r="A795" t="str">
        <x:v>Kid Adventure 3: The Will of Sakito</x:v>
      </x:c>
      <x:c r="B795" t="str">
        <x:v>Kid Adventure 3: The Will of Sakito</x:v>
      </x:c>
      <x:c r="C795" t="str">
        <x:v>Lunartoad</x:v>
      </x:c>
      <x:c r="D795" t="n">
        <x:v>32</x:v>
      </x:c>
      <x:c r="E795" t="str">
        <x:v>Casual</x:v>
      </x:c>
      <x:c r="F795" t="str">
        <x:v>Standard</x:v>
      </x:c>
      <x:c r="G795" t="n">
        <x:v>42176</x:v>
      </x:c>
      <x:c r="H795" t="str">
        <x:v>9862</x:v>
      </x:c>
      <x:c r="I795" t="str">
        <x:v>https://www.smwcentral.net/?a=details&amp;id=9862&amp;p=section</x:v>
      </x:c>
      <x:c r="J795" t="str">
        <x:v>https://dl.smwcentral.net/9862/Kid%20Adventure%203%20%28English%20version%29.zip</x:v>
      </x:c>
    </x:row>
    <x:row r="796">
      <x:c r="A796" t="str">
        <x:v>Kid Adventure 4: Kid Xtreme</x:v>
      </x:c>
      <x:c r="B796" t="str">
        <x:v>Kid Adventure 4: Kid Xtreme</x:v>
      </x:c>
      <x:c r="C796" t="str">
        <x:v>Lunartoad</x:v>
      </x:c>
      <x:c r="D796" t="n">
        <x:v>13</x:v>
      </x:c>
      <x:c r="E796" t="str">
        <x:v>Intermediate</x:v>
      </x:c>
      <x:c r="F796" t="str">
        <x:v>Standard</x:v>
      </x:c>
      <x:c r="G796" t="n">
        <x:v>42176</x:v>
      </x:c>
      <x:c r="H796" t="str">
        <x:v>10114</x:v>
      </x:c>
      <x:c r="I796" t="str">
        <x:v>https://www.smwcentral.net/?a=details&amp;id=10114&amp;p=section</x:v>
      </x:c>
      <x:c r="J796" t="str">
        <x:v>https://dl.smwcentral.net/10114/Kax.zip</x:v>
      </x:c>
    </x:row>
    <x:row r="797">
      <x:c r="A797" t="str">
        <x:v>Kid Adventure 5: Amazing Kid</x:v>
      </x:c>
      <x:c r="B797" t="str">
        <x:v>Kid Adventure 5: Amazing Kid</x:v>
      </x:c>
      <x:c r="C797" t="str">
        <x:v>Lunartoad</x:v>
      </x:c>
      <x:c r="D797" t="n">
        <x:v>11</x:v>
      </x:c>
      <x:c r="E797" t="str">
        <x:v>Newcomer</x:v>
      </x:c>
      <x:c r="F797" t="str">
        <x:v>Standard</x:v>
      </x:c>
      <x:c r="G797" t="n">
        <x:v>41557</x:v>
      </x:c>
      <x:c r="H797" t="str">
        <x:v>5604</x:v>
      </x:c>
      <x:c r="I797" t="str">
        <x:v>https://www.smwcentral.net/?a=details&amp;id=5604&amp;p=section</x:v>
      </x:c>
      <x:c r="J797" t="str">
        <x:v>https://dl.smwcentral.net/5604/Amazing%20Kid%20demo1.zip</x:v>
      </x:c>
    </x:row>
    <x:row r="798">
      <x:c r="A798" t="str">
        <x:v>Kill Luigi</x:v>
      </x:c>
      <x:c r="B798" t="str">
        <x:v>Kill Luigi</x:v>
      </x:c>
      <x:c r="C798" t="str">
        <x:v>Overcomon7</x:v>
      </x:c>
      <x:c r="D798" t="n">
        <x:v>27</x:v>
      </x:c>
      <x:c r="E798" t="str">
        <x:v>Expert</x:v>
      </x:c>
      <x:c r="F798" t="str">
        <x:v>Kaizo</x:v>
      </x:c>
      <x:c r="G798" t="n">
        <x:v>44291</x:v>
      </x:c>
      <x:c r="H798" t="str">
        <x:v>26517</x:v>
      </x:c>
      <x:c r="I798" t="str">
        <x:v>https://www.smwcentral.net/?a=details&amp;id=26517&amp;p=section</x:v>
      </x:c>
      <x:c r="J798" t="str">
        <x:v>https://dl.smwcentral.net/26517/KillLuigi1.0.zip</x:v>
      </x:c>
    </x:row>
    <x:row r="799">
      <x:c r="A799" t="str">
        <x:v>Kings Of Kuso</x:v>
      </x:c>
      <x:c r="B799" t="str">
        <x:v>Kings Of Kuso</x:v>
      </x:c>
      <x:c r="C799" t="str">
        <x:v>kurtistrydiz</x:v>
      </x:c>
      <x:c r="D799" t="n">
        <x:v>25</x:v>
      </x:c>
      <x:c r="E799" t="str">
        <x:v>Grandmaster</x:v>
      </x:c>
      <x:c r="F799" t="str">
        <x:v>Kaizo</x:v>
      </x:c>
      <x:c r="G799" t="n">
        <x:v>44956</x:v>
      </x:c>
      <x:c r="H799" t="str">
        <x:v>33016</x:v>
      </x:c>
      <x:c r="I799" t="str">
        <x:v>https://www.smwcentral.net/?a=details&amp;id=33016&amp;p=section</x:v>
      </x:c>
      <x:c r="J799" t="str">
        <x:v>https://dl.smwcentral.net/33016/KOK.zip</x:v>
      </x:c>
    </x:row>
    <x:row r="800">
      <x:c r="A800" t="str">
        <x:v>Kink's Awakening</x:v>
      </x:c>
      <x:c r="B800" t="str">
        <x:v>Kink's Awakening</x:v>
      </x:c>
      <x:c r="C800" t="str">
        <x:v>41681</x:v>
      </x:c>
      <x:c r="D800" t="n">
        <x:v>10</x:v>
      </x:c>
      <x:c r="E800" t="str">
        <x:v>Expert</x:v>
      </x:c>
      <x:c r="F800" t="str">
        <x:v>Kaizo</x:v>
      </x:c>
      <x:c r="G800" t="n">
        <x:v>44361</x:v>
      </x:c>
      <x:c r="H800" t="str">
        <x:v>27275</x:v>
      </x:c>
      <x:c r="I800" t="str">
        <x:v>https://www.smwcentral.net/?a=details&amp;id=27275&amp;p=section</x:v>
      </x:c>
      <x:c r="J800" t="str">
        <x:v>https://dl.smwcentral.net/27275/KinksAwakening.zip</x:v>
      </x:c>
    </x:row>
    <x:row r="801">
      <x:c r="A801" t="str">
        <x:v>Knuckles Saves Christmas</x:v>
      </x:c>
      <x:c r="B801" t="str">
        <x:v>Knuckles Saves Christmas</x:v>
      </x:c>
      <x:c r="C801" t="str">
        <x:v>sholmes</x:v>
      </x:c>
      <x:c r="D801" t="n">
        <x:v>16</x:v>
      </x:c>
      <x:c r="E801" t="str">
        <x:v>Advanced</x:v>
      </x:c>
      <x:c r="F801" t="str">
        <x:v>Standard</x:v>
      </x:c>
      <x:c r="G801" t="n">
        <x:v>45730</x:v>
      </x:c>
      <x:c r="H801" t="str">
        <x:v>39426</x:v>
      </x:c>
      <x:c r="I801" t="str">
        <x:v>https://www.smwcentral.net/?a=details&amp;id=39426&amp;p=section</x:v>
      </x:c>
      <x:c r="J801" t="str">
        <x:v>https://dl.smwcentral.net/39426/Knuckles%20V2.zip</x:v>
      </x:c>
    </x:row>
    <x:row r="802">
      <x:c r="A802" t="str">
        <x:v>Kogarashi Mario World</x:v>
      </x:c>
      <x:c r="B802" t="str">
        <x:v>Kogarashi Mario World</x:v>
      </x:c>
      <x:c r="C802" t="str">
        <x:v>HLXY</x:v>
      </x:c>
      <x:c r="D802" t="n">
        <x:v>29</x:v>
      </x:c>
      <x:c r="E802" t="str">
        <x:v>Expert</x:v>
      </x:c>
      <x:c r="F802" t="str">
        <x:v>Kaizo</x:v>
      </x:c>
      <x:c r="G802" t="n">
        <x:v>43446</x:v>
      </x:c>
      <x:c r="H802" t="str">
        <x:v>18523</x:v>
      </x:c>
      <x:c r="I802" t="str">
        <x:v>https://www.smwcentral.net/?a=details&amp;id=18523&amp;p=section</x:v>
      </x:c>
      <x:c r="J802" t="str">
        <x:v>https://dl.smwcentral.net/18523/Kogarashi%20Mario%20World.zip</x:v>
      </x:c>
    </x:row>
    <x:row r="803">
      <x:c r="A803" t="str">
        <x:v>Konk World</x:v>
      </x:c>
      <x:c r="B803" t="str">
        <x:v>Konk World</x:v>
      </x:c>
      <x:c r="C803" t="str">
        <x:v>TheMURAmatsu</x:v>
      </x:c>
      <x:c r="D803" t="n">
        <x:v>9</x:v>
      </x:c>
      <x:c r="E803" t="str">
        <x:v>Expert</x:v>
      </x:c>
      <x:c r="F803" t="str">
        <x:v>Kaizo</x:v>
      </x:c>
      <x:c r="G803" t="n">
        <x:v>44007</x:v>
      </x:c>
      <x:c r="H803" t="str">
        <x:v>23425</x:v>
      </x:c>
      <x:c r="I803" t="str">
        <x:v>https://www.smwcentral.net/?a=details&amp;id=23425&amp;p=section</x:v>
      </x:c>
      <x:c r="J803" t="str">
        <x:v>https://dl.smwcentral.net/23425/KonkWorld.zip</x:v>
      </x:c>
    </x:row>
    <x:row r="804">
      <x:c r="A804" t="str">
        <x:v>Koopa Castle: The Escape</x:v>
      </x:c>
      <x:c r="B804" t="str">
        <x:v>Koopa Castle: The Escape</x:v>
      </x:c>
      <x:c r="C804" t="str">
        <x:v>Cobaltergeist</x:v>
      </x:c>
      <x:c r="D804" t="n">
        <x:v>19</x:v>
      </x:c>
      <x:c r="E804" t="str">
        <x:v>Casual</x:v>
      </x:c>
      <x:c r="F804" t="str">
        <x:v>Standard</x:v>
      </x:c>
      <x:c r="G804" t="n">
        <x:v>42238</x:v>
      </x:c>
      <x:c r="H804" t="str">
        <x:v>9903</x:v>
      </x:c>
      <x:c r="I804" t="str">
        <x:v>https://www.smwcentral.net/?a=details&amp;id=9903&amp;p=section</x:v>
      </x:c>
      <x:c r="J804" t="str">
        <x:v>https://dl.smwcentral.net/9903/Koopa%20Castle%20Demo%201.zip</x:v>
      </x:c>
    </x:row>
    <x:row r="805">
      <x:c r="A805" t="str">
        <x:v>Koopa Hopper's Delight</x:v>
      </x:c>
      <x:c r="B805" t="str">
        <x:v>Koopa Hopper's Delight</x:v>
      </x:c>
      <x:c r="C805" t="str">
        <x:v>gabesoranges</x:v>
      </x:c>
      <x:c r="D805" t="n">
        <x:v>13</x:v>
      </x:c>
      <x:c r="E805" t="str">
        <x:v>Advanced</x:v>
      </x:c>
      <x:c r="F805" t="str">
        <x:v>Kaizo</x:v>
      </x:c>
      <x:c r="G805" t="n">
        <x:v>45849</x:v>
      </x:c>
      <x:c r="H805" t="str">
        <x:v>40054</x:v>
      </x:c>
      <x:c r="I805" t="str">
        <x:v>https://www.smwcentral.net/?a=details&amp;id=40054&amp;p=section</x:v>
      </x:c>
      <x:c r="J805" t="str">
        <x:v>https://dl.smwcentral.net/40054/Koopa%20Hoppers%20Delight%201.1.zip</x:v>
      </x:c>
    </x:row>
    <x:row r="806">
      <x:c r="A806" t="str">
        <x:v>Korosu Mario World</x:v>
      </x:c>
      <x:c r="B806" t="str">
        <x:v>Korosu Mario World</x:v>
      </x:c>
      <x:c r="C806" t="str">
        <x:v>ChrisG___</x:v>
      </x:c>
      <x:c r="D806" t="n">
        <x:v>17</x:v>
      </x:c>
      <x:c r="E806" t="str">
        <x:v>Advanced</x:v>
      </x:c>
      <x:c r="F806" t="str">
        <x:v>Kaizo</x:v>
      </x:c>
      <x:c r="G806" t="n">
        <x:v>42784</x:v>
      </x:c>
      <x:c r="H806" t="str">
        <x:v>15195</x:v>
      </x:c>
      <x:c r="I806" t="str">
        <x:v>https://www.smwcentral.net/?a=details&amp;id=15195&amp;p=section</x:v>
      </x:c>
      <x:c r="J806" t="str">
        <x:v>https://dl.smwcentral.net/15195/Korosu%20Mario%20World%201.4.zip</x:v>
      </x:c>
    </x:row>
    <x:row r="807">
      <x:c r="A807" t="str">
        <x:v>Korosu Mario World 2</x:v>
      </x:c>
      <x:c r="B807" t="str">
        <x:v>Korosu Mario World 2</x:v>
      </x:c>
      <x:c r="C807" t="str">
        <x:v>ChrisG___</x:v>
      </x:c>
      <x:c r="D807" t="n">
        <x:v>21</x:v>
      </x:c>
      <x:c r="E807" t="str">
        <x:v>Expert</x:v>
      </x:c>
      <x:c r="F807" t="str">
        <x:v>Kaizo</x:v>
      </x:c>
      <x:c r="G807" t="n">
        <x:v>43368</x:v>
      </x:c>
      <x:c r="H807" t="str">
        <x:v>18203</x:v>
      </x:c>
      <x:c r="I807" t="str">
        <x:v>https://www.smwcentral.net/?a=details&amp;id=18203&amp;p=section</x:v>
      </x:c>
      <x:c r="J807" t="str">
        <x:v>https://dl.smwcentral.net/18203/Korosu%20Mario%20World%202.41.zip</x:v>
      </x:c>
    </x:row>
    <x:row r="808">
      <x:c r="A808" t="str">
        <x:v>KR World</x:v>
      </x:c>
      <x:c r="B808" t="str">
        <x:v>KR World</x:v>
      </x:c>
      <x:c r="C808" t="str">
        <x:v>Kaique Jesus, RenanSV</x:v>
      </x:c>
      <x:c r="D808" t="n">
        <x:v>9</x:v>
      </x:c>
      <x:c r="E808" t="str">
        <x:v>Advanced</x:v>
      </x:c>
      <x:c r="F808" t="str">
        <x:v>Kaizo</x:v>
      </x:c>
      <x:c r="G808" t="n">
        <x:v>45031</x:v>
      </x:c>
      <x:c r="H808" t="str">
        <x:v>33726</x:v>
      </x:c>
      <x:c r="I808" t="str">
        <x:v>https://www.smwcentral.net/?a=details&amp;id=33726&amp;p=section</x:v>
      </x:c>
      <x:c r="J808" t="str">
        <x:v>https://dl.smwcentral.net/33726/KR%20World.zip</x:v>
      </x:c>
    </x:row>
    <x:row r="809">
      <x:c r="A809" t="str">
        <x:v>Krabs Test</x:v>
      </x:c>
      <x:c r="B809" t="str">
        <x:v>Krabs Test</x:v>
      </x:c>
      <x:c r="C809" t="str">
        <x:v>Atomic-Citrus</x:v>
      </x:c>
      <x:c r="D809" t="n">
        <x:v>6</x:v>
      </x:c>
      <x:c r="E809" t="str">
        <x:v>Expert</x:v>
      </x:c>
      <x:c r="F809" t="str">
        <x:v>Kaizo</x:v>
      </x:c>
      <x:c r="G809" t="n">
        <x:v>43797</x:v>
      </x:c>
      <x:c r="H809" t="str">
        <x:v>21542</x:v>
      </x:c>
      <x:c r="I809" t="str">
        <x:v>https://www.smwcentral.net/?a=details&amp;id=21542&amp;p=section</x:v>
      </x:c>
      <x:c r="J809" t="str">
        <x:v>https://dl.smwcentral.net/21542/SPONGEBOB%20ME%20BOY.zip</x:v>
      </x:c>
    </x:row>
    <x:row r="810">
      <x:c r="A810" t="str">
        <x:v>Krack The Hack</x:v>
      </x:c>
      <x:c r="B810" t="str">
        <x:v>Krack The Hack</x:v>
      </x:c>
      <x:c r="C810" t="str">
        <x:v>Daizo Dee Von, Mellonpizza</x:v>
      </x:c>
      <x:c r="D810" t="n">
        <x:v>14</x:v>
      </x:c>
      <x:c r="E810" t="str">
        <x:v>Intermediate</x:v>
      </x:c>
      <x:c r="F810" t="str">
        <x:v>Standard</x:v>
      </x:c>
      <x:c r="G810" t="n">
        <x:v>43705</x:v>
      </x:c>
      <x:c r="H810" t="str">
        <x:v>20900</x:v>
      </x:c>
      <x:c r="I810" t="str">
        <x:v>https://www.smwcentral.net/?a=details&amp;id=20900&amp;p=section</x:v>
      </x:c>
      <x:c r="J810" t="str">
        <x:v>https://dl.smwcentral.net/20900/Krack%20The%20Hack.zip</x:v>
      </x:c>
    </x:row>
    <x:row r="811">
      <x:c r="A811" t="str">
        <x:v>Krack's Kafe: Because They Kicked Me Out!</x:v>
      </x:c>
      <x:c r="B811" t="str">
        <x:v>Krack's Kafe: Because They Kicked Me Out!</x:v>
      </x:c>
      <x:c r="C811" t="str">
        <x:v>ChaseNScooter, Daizo Dee Von, EvilGuy0613, Jamie, amhunter</x:v>
      </x:c>
      <x:c r="D811" t="n">
        <x:v>1</x:v>
      </x:c>
      <x:c r="E811" t="str">
        <x:v>Advanced</x:v>
      </x:c>
      <x:c r="F811" t="str">
        <x:v>Standard</x:v>
      </x:c>
      <x:c r="G811" t="n">
        <x:v>44781</x:v>
      </x:c>
      <x:c r="H811" t="str">
        <x:v>31405</x:v>
      </x:c>
      <x:c r="I811" t="str">
        <x:v>https://www.smwcentral.net/?a=details&amp;id=31405&amp;p=section</x:v>
      </x:c>
      <x:c r="J811" t="str">
        <x:v>https://dl.smwcentral.net/31405/Krack%27s%20Kafe%20-%20Because%20They%20Kicked%20Me%20Out%21%20v1.0.2d.zip</x:v>
      </x:c>
    </x:row>
    <x:row r="812">
      <x:c r="A812" t="str">
        <x:v>Krefeld Kaizo Relay Race 2025</x:v>
      </x:c>
      <x:c r="B812" t="str">
        <x:v>Krefeld Kaizo Relay Race 2025</x:v>
      </x:c>
      <x:c r="C812" t="str">
        <x:v>JinRokhZenobi, Justepic, Saphros, Spedinja, neidoodle</x:v>
      </x:c>
      <x:c r="D812" t="n">
        <x:v>5</x:v>
      </x:c>
      <x:c r="E812" t="str">
        <x:v>Expert</x:v>
      </x:c>
      <x:c r="F812" t="str">
        <x:v>Kaizo</x:v>
      </x:c>
      <x:c r="G812" t="n">
        <x:v>45788</x:v>
      </x:c>
      <x:c r="H812" t="str">
        <x:v>39813</x:v>
      </x:c>
      <x:c r="I812" t="str">
        <x:v>https://www.smwcentral.net/?a=details&amp;id=39813&amp;p=section</x:v>
      </x:c>
      <x:c r="J812" t="str">
        <x:v>https://dl.smwcentral.net/39813/KrefeldKaizoRelayRace2025.zip</x:v>
      </x:c>
    </x:row>
    <x:row r="813">
      <x:c r="A813" t="str">
        <x:v>Kris' Adventure</x:v>
      </x:c>
      <x:c r="B813" t="str">
        <x:v>Kris' Adventure</x:v>
      </x:c>
      <x:c r="C813" t="str">
        <x:v>Martin9172</x:v>
      </x:c>
      <x:c r="D813" t="n">
        <x:v>6</x:v>
      </x:c>
      <x:c r="E813" t="str">
        <x:v>Newcomer</x:v>
      </x:c>
      <x:c r="F813" t="str">
        <x:v>Standard</x:v>
      </x:c>
      <x:c r="G813" t="n">
        <x:v>42285</x:v>
      </x:c>
      <x:c r="H813" t="str">
        <x:v>10066</x:v>
      </x:c>
      <x:c r="I813" t="str">
        <x:v>https://www.smwcentral.net/?a=details&amp;id=10066&amp;p=section</x:v>
      </x:c>
      <x:c r="J813" t="str">
        <x:v>https://dl.smwcentral.net/10066/Kris%27%20Adventure.zip</x:v>
      </x:c>
    </x:row>
    <x:row r="814">
      <x:c r="A814" t="str">
        <x:v>Kruela Mario</x:v>
      </x:c>
      <x:c r="B814" t="str">
        <x:v>Kruela Mario</x:v>
      </x:c>
      <x:c r="C814" t="str">
        <x:v>xHF01x</x:v>
      </x:c>
      <x:c r="D814" t="n">
        <x:v>29</x:v>
      </x:c>
      <x:c r="E814" t="str">
        <x:v>Expert</x:v>
      </x:c>
      <x:c r="F814" t="str">
        <x:v>Kaizo, Tool-Assisted</x:v>
      </x:c>
      <x:c r="G814" t="n">
        <x:v>42939</x:v>
      </x:c>
      <x:c r="H814" t="str">
        <x:v>15921</x:v>
      </x:c>
      <x:c r="I814" t="str">
        <x:v>https://www.smwcentral.net/?a=details&amp;id=15921&amp;p=section</x:v>
      </x:c>
      <x:c r="J814" t="str">
        <x:v>https://dl.smwcentral.net/15921/Kruela%20Mario.zip</x:v>
      </x:c>
    </x:row>
    <x:row r="815">
      <x:c r="A815" t="str">
        <x:v>Kruela Mario 2</x:v>
      </x:c>
      <x:c r="B815" t="str">
        <x:v>Kruela Mario 2</x:v>
      </x:c>
      <x:c r="C815" t="str">
        <x:v>xHF01x</x:v>
      </x:c>
      <x:c r="D815" t="n">
        <x:v>29</x:v>
      </x:c>
      <x:c r="E815" t="str">
        <x:v>Master</x:v>
      </x:c>
      <x:c r="F815" t="str">
        <x:v>Kaizo, Tool-Assisted</x:v>
      </x:c>
      <x:c r="G815" t="n">
        <x:v>44106</x:v>
      </x:c>
      <x:c r="H815" t="str">
        <x:v>24477</x:v>
      </x:c>
      <x:c r="I815" t="str">
        <x:v>https://www.smwcentral.net/?a=details&amp;id=24477&amp;p=section</x:v>
      </x:c>
      <x:c r="J815" t="str">
        <x:v>https://dl.smwcentral.net/24477/Kruela%20Mario%202%20v1.2.zip</x:v>
      </x:c>
    </x:row>
    <x:row r="816">
      <x:c r="A816" t="str">
        <x:v>Kumikyoku</x:v>
      </x:c>
      <x:c r="B816" t="str">
        <x:v>Kumikyoku</x:v>
      </x:c>
      <x:c r="C816" t="str">
        <x:v>Nico Nico Douga, Shimo</x:v>
      </x:c>
      <x:c r="D816" t="n">
        <x:v>4</x:v>
      </x:c>
      <x:c r="E816" t="str">
        <x:v>Newcomer</x:v>
      </x:c>
      <x:c r="F816" t="str">
        <x:v>Standard</x:v>
      </x:c>
      <x:c r="G816" t="n">
        <x:v>41814</x:v>
      </x:c>
      <x:c r="H816" t="str">
        <x:v>6757</x:v>
      </x:c>
      <x:c r="I816" t="str">
        <x:v>https://www.smwcentral.net/?a=details&amp;id=6757&amp;p=section</x:v>
      </x:c>
      <x:c r="J816" t="str">
        <x:v>https://dl.smwcentral.net/6757/kumikyoku.zip</x:v>
      </x:c>
    </x:row>
    <x:row r="817">
      <x:c r="A817" t="str">
        <x:v>Kuribo_Shoe the Adventure</x:v>
      </x:c>
      <x:c r="B817" t="str">
        <x:v>Kuribo_Shoe the Adventure</x:v>
      </x:c>
      <x:c r="C817" t="str">
        <x:v>Zildjian</x:v>
      </x:c>
      <x:c r="D817" t="n">
        <x:v>5</x:v>
      </x:c>
      <x:c r="E817" t="str">
        <x:v>Casual</x:v>
      </x:c>
      <x:c r="F817" t="str">
        <x:v>Standard</x:v>
      </x:c>
      <x:c r="G817" t="n">
        <x:v>42217</x:v>
      </x:c>
      <x:c r="H817" t="str">
        <x:v>9969</x:v>
      </x:c>
      <x:c r="I817" t="str">
        <x:v>https://www.smwcentral.net/?a=details&amp;id=9969&amp;p=section</x:v>
      </x:c>
      <x:c r="J817" t="str">
        <x:v>https://dl.smwcentral.net/9969/K_STA.zip</x:v>
      </x:c>
    </x:row>
    <x:row r="818">
      <x:c r="A818" t="str">
        <x:v>Kurisu Mario World</x:v>
      </x:c>
      <x:c r="B818" t="str">
        <x:v>Kurisu Mario World</x:v>
      </x:c>
      <x:c r="C818" t="str">
        <x:v>Freakin_HA, HmWhyNot, NeXuS15, ThirdWall, juzcook, microwave_brothr, white_moth</x:v>
      </x:c>
      <x:c r="D818" t="n">
        <x:v>16</x:v>
      </x:c>
      <x:c r="E818" t="str">
        <x:v>Expert</x:v>
      </x:c>
      <x:c r="F818" t="str">
        <x:v>Kaizo</x:v>
      </x:c>
      <x:c r="G818" t="n">
        <x:v>44103</x:v>
      </x:c>
      <x:c r="H818" t="str">
        <x:v>24719</x:v>
      </x:c>
      <x:c r="I818" t="str">
        <x:v>https://www.smwcentral.net/?a=details&amp;id=24719&amp;p=section</x:v>
      </x:c>
      <x:c r="J818" t="str">
        <x:v>https://dl.smwcentral.net/24719/KurisuMarioWorld.zip</x:v>
      </x:c>
    </x:row>
    <x:row r="819">
      <x:c r="A819" t="str">
        <x:v>Kuso Ecstasy</x:v>
      </x:c>
      <x:c r="B819" t="str">
        <x:v>Kuso Ecstasy</x:v>
      </x:c>
      <x:c r="C819" t="str">
        <x:v>NewPointless</x:v>
      </x:c>
      <x:c r="D819" t="n">
        <x:v>65</x:v>
      </x:c>
      <x:c r="E819" t="str">
        <x:v>Expert</x:v>
      </x:c>
      <x:c r="F819" t="str">
        <x:v>Standard, Kaizo</x:v>
      </x:c>
      <x:c r="G819" t="n">
        <x:v>44248</x:v>
      </x:c>
      <x:c r="H819" t="str">
        <x:v>26237</x:v>
      </x:c>
      <x:c r="I819" t="str">
        <x:v>https://www.smwcentral.net/?a=details&amp;id=26237&amp;p=section</x:v>
      </x:c>
      <x:c r="J819" t="str">
        <x:v>https://dl.smwcentral.net/26237/KusoEcstasy1_1.zip</x:v>
      </x:c>
    </x:row>
    <x:row r="820">
      <x:c r="A820" t="str">
        <x:v>Kuuwote's Level Pack #1</x:v>
      </x:c>
      <x:c r="B820" t="str">
        <x:v>Kuuwote's Level Pack #1</x:v>
      </x:c>
      <x:c r="C820" t="str">
        <x:v>Kuuwote</x:v>
      </x:c>
      <x:c r="D820" t="n">
        <x:v>3</x:v>
      </x:c>
      <x:c r="E820" t="str">
        <x:v>Newcomer</x:v>
      </x:c>
      <x:c r="F820" t="str">
        <x:v>Standard</x:v>
      </x:c>
      <x:c r="G820" t="n">
        <x:v>45162</x:v>
      </x:c>
      <x:c r="H820" t="str">
        <x:v>34900</x:v>
      </x:c>
      <x:c r="I820" t="str">
        <x:v>https://www.smwcentral.net/?a=details&amp;id=34900&amp;p=section</x:v>
      </x:c>
      <x:c r="J820" t="str">
        <x:v>https://dl.smwcentral.net/34900/Kuuwote%27s%20Level%20Pack%20%231.zip</x:v>
      </x:c>
    </x:row>
    <x:row r="821">
      <x:c r="A821" t="str">
        <x:v>Kuuwote's Level Pack #2</x:v>
      </x:c>
      <x:c r="B821" t="str">
        <x:v>Kuuwote's Level Pack #2</x:v>
      </x:c>
      <x:c r="C821" t="str">
        <x:v>Kuuwote</x:v>
      </x:c>
      <x:c r="D821" t="n">
        <x:v>13</x:v>
      </x:c>
      <x:c r="E821" t="str">
        <x:v>Casual</x:v>
      </x:c>
      <x:c r="F821" t="str">
        <x:v>Standard</x:v>
      </x:c>
      <x:c r="G821" t="n">
        <x:v>45210</x:v>
      </x:c>
      <x:c r="H821" t="str">
        <x:v>35061</x:v>
      </x:c>
      <x:c r="I821" t="str">
        <x:v>https://www.smwcentral.net/?a=details&amp;id=35061&amp;p=section</x:v>
      </x:c>
      <x:c r="J821" t="str">
        <x:v>https://dl.smwcentral.net/35061/Kuuwote%27s%20Level%20Pack%20%232%20%28fixed%29.zip</x:v>
      </x:c>
    </x:row>
    <x:row r="822">
      <x:c r="A822" t="str">
        <x:v>Kuzo Heaven</x:v>
      </x:c>
      <x:c r="B822" t="str">
        <x:v>Kuzo Heaven</x:v>
      </x:c>
      <x:c r="C822" t="str">
        <x:v>jirok1</x:v>
      </x:c>
      <x:c r="D822" t="n">
        <x:v>9</x:v>
      </x:c>
      <x:c r="E822" t="str">
        <x:v>Advanced</x:v>
      </x:c>
      <x:c r="F822" t="str">
        <x:v>Kaizo</x:v>
      </x:c>
      <x:c r="G822" t="n">
        <x:v>45831</x:v>
      </x:c>
      <x:c r="H822" t="str">
        <x:v>39988</x:v>
      </x:c>
      <x:c r="I822" t="str">
        <x:v>https://www.smwcentral.net/?a=details&amp;id=39988&amp;p=section</x:v>
      </x:c>
      <x:c r="J822" t="str">
        <x:v>https://dl.smwcentral.net/39988/KuzoHeaven1_3.zip</x:v>
      </x:c>
    </x:row>
    <x:row r="823">
      <x:c r="A823" t="str">
        <x:v>L I M B O</x:v>
      </x:c>
      <x:c r="B823" t="str">
        <x:v>L I M B O</x:v>
      </x:c>
      <x:c r="C823" t="str">
        <x:v>GRIMMKIN</x:v>
      </x:c>
      <x:c r="D823" t="n">
        <x:v>8</x:v>
      </x:c>
      <x:c r="E823" t="str">
        <x:v>Master</x:v>
      </x:c>
      <x:c r="F823" t="str">
        <x:v>Kaizo</x:v>
      </x:c>
      <x:c r="G823" t="n">
        <x:v>45416</x:v>
      </x:c>
      <x:c r="H823" t="str">
        <x:v>37671</x:v>
      </x:c>
      <x:c r="I823" t="str">
        <x:v>https://www.smwcentral.net/?a=details&amp;id=37671&amp;p=section</x:v>
      </x:c>
      <x:c r="J823" t="str">
        <x:v>https://dl.smwcentral.net/37671/LIMBO%20v3.25.zip</x:v>
      </x:c>
    </x:row>
    <x:row r="824">
      <x:c r="A824" t="str">
        <x:v>L4good Island</x:v>
      </x:c>
      <x:c r="B824" t="str">
        <x:v>L4good Island</x:v>
      </x:c>
      <x:c r="C824" t="str">
        <x:v>L4good</x:v>
      </x:c>
      <x:c r="D824" t="n">
        <x:v>6</x:v>
      </x:c>
      <x:c r="E824" t="str">
        <x:v>Newcomer</x:v>
      </x:c>
      <x:c r="F824" t="str">
        <x:v>Standard</x:v>
      </x:c>
      <x:c r="G824" t="n">
        <x:v>42841</x:v>
      </x:c>
      <x:c r="H824" t="str">
        <x:v>15476</x:v>
      </x:c>
      <x:c r="I824" t="str">
        <x:v>https://www.smwcentral.net/?a=details&amp;id=15476&amp;p=section</x:v>
      </x:c>
      <x:c r="J824" t="str">
        <x:v>https://dl.smwcentral.net/15476/L4good%20island.zip</x:v>
      </x:c>
    </x:row>
    <x:row r="825">
      <x:c r="A825" t="str">
        <x:v>La Connaisseuse de Kaizo</x:v>
      </x:c>
      <x:c r="B825" t="str">
        <x:v>La Connaisseuse de Kaizo</x:v>
      </x:c>
      <x:c r="C825" t="str">
        <x:v>Rudi_Schrausch</x:v>
      </x:c>
      <x:c r="D825" t="n">
        <x:v>9</x:v>
      </x:c>
      <x:c r="E825" t="str">
        <x:v>Expert</x:v>
      </x:c>
      <x:c r="F825" t="str">
        <x:v>Kaizo</x:v>
      </x:c>
      <x:c r="G825" t="n">
        <x:v>46176</x:v>
      </x:c>
      <x:c r="H825" t="str">
        <x:v>42458</x:v>
      </x:c>
      <x:c r="I825" t="str">
        <x:v>https://www.smwcentral.net/?a=details&amp;id=42458&amp;p=section</x:v>
      </x:c>
      <x:c r="J825" t="str">
        <x:v>https://dl.smwcentral.net/42458/La%20Connaisseuse%20de%20Kaizo.zip</x:v>
      </x:c>
    </x:row>
    <x:row r="826">
      <x:c r="A826" t="str">
        <x:v>La Mansion De Benja</x:v>
      </x:c>
      <x:c r="B826" t="str">
        <x:v>La Mansion De Benja</x:v>
      </x:c>
      <x:c r="C826" t="str">
        <x:v>Fyre150, Kaizo Literature Club</x:v>
      </x:c>
      <x:c r="D826" t="n">
        <x:v>6</x:v>
      </x:c>
      <x:c r="E826" t="str">
        <x:v>Expert</x:v>
      </x:c>
      <x:c r="F826" t="str">
        <x:v>Kaizo</x:v>
      </x:c>
      <x:c r="G826" t="n">
        <x:v>45121</x:v>
      </x:c>
      <x:c r="H826" t="str">
        <x:v>34374</x:v>
      </x:c>
      <x:c r="I826" t="str">
        <x:v>https://www.smwcentral.net/?a=details&amp;id=34374&amp;p=section</x:v>
      </x:c>
      <x:c r="J826" t="str">
        <x:v>https://dl.smwcentral.net/34374/LaMansionDeBenja.zip</x:v>
      </x:c>
    </x:row>
    <x:row r="827">
      <x:c r="A827" t="str">
        <x:v>Labyrinth Of Shadows</x:v>
      </x:c>
      <x:c r="B827" t="str">
        <x:v>Labyrinth Of Shadows</x:v>
      </x:c>
      <x:c r="C827" t="str">
        <x:v>Pizzagamer9791</x:v>
      </x:c>
      <x:c r="D827" t="n">
        <x:v>5</x:v>
      </x:c>
      <x:c r="E827" t="str">
        <x:v>Master</x:v>
      </x:c>
      <x:c r="F827" t="str">
        <x:v>Kaizo</x:v>
      </x:c>
      <x:c r="G827" t="n">
        <x:v>45606</x:v>
      </x:c>
      <x:c r="H827" t="str">
        <x:v>38747</x:v>
      </x:c>
      <x:c r="I827" t="str">
        <x:v>https://www.smwcentral.net/?a=details&amp;id=38747&amp;p=section</x:v>
      </x:c>
      <x:c r="J827" t="str">
        <x:v>https://dl.smwcentral.net/38747/Labyrinth%20of%20shadows.zip</x:v>
      </x:c>
    </x:row>
    <x:row r="828">
      <x:c r="A828" t="str">
        <x:v>Lack Of Control</x:v>
      </x:c>
      <x:c r="B828" t="str">
        <x:v>Lack Of Control</x:v>
      </x:c>
      <x:c r="C828" t="str">
        <x:v>TheBiob</x:v>
      </x:c>
      <x:c r="D828" t="n">
        <x:v>1</x:v>
      </x:c>
      <x:c r="E828" t="str">
        <x:v>Master</x:v>
      </x:c>
      <x:c r="F828" t="str">
        <x:v>Kaizo</x:v>
      </x:c>
      <x:c r="G828" t="n">
        <x:v>45408</x:v>
      </x:c>
      <x:c r="H828" t="str">
        <x:v>37629</x:v>
      </x:c>
      <x:c r="I828" t="str">
        <x:v>https://www.smwcentral.net/?a=details&amp;id=37629&amp;p=section</x:v>
      </x:c>
      <x:c r="J828" t="str">
        <x:v>https://dl.smwcentral.net/37629/LackOfControl.zip</x:v>
      </x:c>
    </x:row>
    <x:row r="829">
      <x:c r="A829" t="str">
        <x:v>Lakitu's Great Adventure</x:v>
      </x:c>
      <x:c r="B829" t="str">
        <x:v>Lakitu's Great Adventure</x:v>
      </x:c>
      <x:c r="C829" t="str">
        <x:v>Gamet2004</x:v>
      </x:c>
      <x:c r="D829" t="n">
        <x:v>24</x:v>
      </x:c>
      <x:c r="E829" t="str">
        <x:v>Casual</x:v>
      </x:c>
      <x:c r="F829" t="str">
        <x:v>Standard</x:v>
      </x:c>
      <x:c r="G829" t="n">
        <x:v>45704</x:v>
      </x:c>
      <x:c r="H829" t="str">
        <x:v>39020</x:v>
      </x:c>
      <x:c r="I829" t="str">
        <x:v>https://www.smwcentral.net/?a=details&amp;id=39020&amp;p=section</x:v>
      </x:c>
      <x:c r="J829" t="str">
        <x:v>https://dl.smwcentral.net/39020/LakituIHopeThisIsTheFinalUpdate.zip</x:v>
      </x:c>
    </x:row>
    <x:row r="830">
      <x:c r="A830" t="str">
        <x:v>Lakitu's Great Adventure 2</x:v>
      </x:c>
      <x:c r="B830" t="str">
        <x:v>Lakitu's Great Adventure 2</x:v>
      </x:c>
      <x:c r="C830" t="str">
        <x:v>Gamet2004</x:v>
      </x:c>
      <x:c r="D830" t="n">
        <x:v>12</x:v>
      </x:c>
      <x:c r="E830" t="str">
        <x:v>Intermediate</x:v>
      </x:c>
      <x:c r="F830" t="str">
        <x:v>Standard</x:v>
      </x:c>
      <x:c r="G830" t="n">
        <x:v>44833</x:v>
      </x:c>
      <x:c r="H830" t="str">
        <x:v>32220</x:v>
      </x:c>
      <x:c r="I830" t="str">
        <x:v>https://www.smwcentral.net/?a=details&amp;id=32220&amp;p=section</x:v>
      </x:c>
      <x:c r="J830" t="str">
        <x:v>https://dl.smwcentral.net/32220/LAKITU2bps.zip</x:v>
      </x:c>
    </x:row>
    <x:row r="831">
      <x:c r="A831" t="str">
        <x:v>Law &amp; Order: Mushroom Kingdom Unit - Pilot Episode - Tragic Fox "Tails" (Director's Cut)</x:v>
      </x:c>
      <x:c r="B831" t="str">
        <x:v>Law &amp; Order: Mushroom Kingdom Unit - Pilot Episode - Tragic Fox "Tails" (Director's Cut)</x:v>
      </x:c>
      <x:c r="C831" t="str">
        <x:v>ChaseNScooter, Daizo Dee Von, EvilGuy0613, Jamie</x:v>
      </x:c>
      <x:c r="D831" t="n">
        <x:v>1</x:v>
      </x:c>
      <x:c r="E831" t="str">
        <x:v>Casual</x:v>
      </x:c>
      <x:c r="F831" t="str">
        <x:v>Standard</x:v>
      </x:c>
      <x:c r="G831" t="n">
        <x:v>45567</x:v>
      </x:c>
      <x:c r="H831" t="str">
        <x:v>38323</x:v>
      </x:c>
      <x:c r="I831" t="str">
        <x:v>https://www.smwcentral.net/?a=details&amp;id=38323&amp;p=section</x:v>
      </x:c>
      <x:c r="J831" t="str">
        <x:v>https://dl.smwcentral.net/38323/Law%20%26%20Order%20Mushroom%20Kingdom%20Unit%20Pilot%20-%20Director%27s%20Cut%20%28v1.0.2%29.zip</x:v>
      </x:c>
    </x:row>
    <x:row r="832">
      <x:c r="A832" t="str">
        <x:v>Le avventure di Mario 1</x:v>
      </x:c>
      <x:c r="B832" t="str">
        <x:v>Le avventure di Mario 1</x:v>
      </x:c>
      <x:c r="C832" t="str">
        <x:v>Wakana</x:v>
      </x:c>
      <x:c r="D832" t="n">
        <x:v>91</x:v>
      </x:c>
      <x:c r="E832" t="str">
        <x:v>Intermediate</x:v>
      </x:c>
      <x:c r="F832" t="str">
        <x:v>Standard</x:v>
      </x:c>
      <x:c r="G832" t="n">
        <x:v>44583</x:v>
      </x:c>
      <x:c r="H832" t="str">
        <x:v>29091</x:v>
      </x:c>
      <x:c r="I832" t="str">
        <x:v>https://www.smwcentral.net/?a=details&amp;id=29091&amp;p=section</x:v>
      </x:c>
      <x:c r="J832" t="str">
        <x:v>https://dl.smwcentral.net/29091/Le%20Avventure%20di%20Mario%201%20-%20Fixed.zip</x:v>
      </x:c>
    </x:row>
    <x:row r="833">
      <x:c r="A833" t="str">
        <x:v>Le Avventure di Mario 3</x:v>
      </x:c>
      <x:c r="B833" t="str">
        <x:v>Le Avventure di Mario 3</x:v>
      </x:c>
      <x:c r="C833" t="str">
        <x:v>Wakana</x:v>
      </x:c>
      <x:c r="D833" t="n">
        <x:v>59</x:v>
      </x:c>
      <x:c r="E833" t="str">
        <x:v>Intermediate</x:v>
      </x:c>
      <x:c r="F833" t="str">
        <x:v>Standard</x:v>
      </x:c>
      <x:c r="G833" t="n">
        <x:v>44543</x:v>
      </x:c>
      <x:c r="H833" t="str">
        <x:v>28942</x:v>
      </x:c>
      <x:c r="I833" t="str">
        <x:v>https://www.smwcentral.net/?a=details&amp;id=28942&amp;p=section</x:v>
      </x:c>
      <x:c r="J833" t="str">
        <x:v>https://dl.smwcentral.net/28942/LADM3.zip</x:v>
      </x:c>
    </x:row>
    <x:row r="834">
      <x:c r="A834" t="str">
        <x:v>Le Connaisseur de Kaizo</x:v>
      </x:c>
      <x:c r="B834" t="str">
        <x:v>Le Connaisseur de Kaizo</x:v>
      </x:c>
      <x:c r="C834" t="str">
        <x:v>Rudi_Schrausch</x:v>
      </x:c>
      <x:c r="D834" t="n">
        <x:v>8</x:v>
      </x:c>
      <x:c r="E834" t="str">
        <x:v>Advanced</x:v>
      </x:c>
      <x:c r="F834" t="str">
        <x:v>Kaizo</x:v>
      </x:c>
      <x:c r="G834" t="n">
        <x:v>45699</x:v>
      </x:c>
      <x:c r="H834" t="str">
        <x:v>39182</x:v>
      </x:c>
      <x:c r="I834" t="str">
        <x:v>https://www.smwcentral.net/?a=details&amp;id=39182&amp;p=section</x:v>
      </x:c>
      <x:c r="J834" t="str">
        <x:v>https://dl.smwcentral.net/39182/Le%20Connaisseur%20de%20Kaizo%20ver1_1.zip</x:v>
      </x:c>
    </x:row>
    <x:row r="835">
      <x:c r="A835" t="str">
        <x:v>Le Gole World</x:v>
      </x:c>
      <x:c r="B835" t="str">
        <x:v>Le Gole World</x:v>
      </x:c>
      <x:c r="C835" t="str">
        <x:v>redkiller</x:v>
      </x:c>
      <x:c r="D835" t="n">
        <x:v>6</x:v>
      </x:c>
      <x:c r="E835" t="str">
        <x:v>Master</x:v>
      </x:c>
      <x:c r="F835" t="str">
        <x:v>Kaizo</x:v>
      </x:c>
      <x:c r="G835" t="n">
        <x:v>44633</x:v>
      </x:c>
      <x:c r="H835" t="str">
        <x:v>30098</x:v>
      </x:c>
      <x:c r="I835" t="str">
        <x:v>https://www.smwcentral.net/?a=details&amp;id=30098&amp;p=section</x:v>
      </x:c>
      <x:c r="J835" t="str">
        <x:v>https://dl.smwcentral.net/30098/le-gole.zip</x:v>
      </x:c>
    </x:row>
    <x:row r="836">
      <x:c r="A836" t="str">
        <x:v>Le plume</x:v>
      </x:c>
      <x:c r="B836" t="str">
        <x:v>Le plume</x:v>
      </x:c>
      <x:c r="C836" t="str">
        <x:v>FiveFactor, bonjoursauce, drkrdnk</x:v>
      </x:c>
      <x:c r="D836" t="n">
        <x:v>12</x:v>
      </x:c>
      <x:c r="E836" t="str">
        <x:v>Expert</x:v>
      </x:c>
      <x:c r="F836" t="str">
        <x:v>Kaizo</x:v>
      </x:c>
      <x:c r="G836" t="n">
        <x:v>45866</x:v>
      </x:c>
      <x:c r="H836" t="str">
        <x:v>40131</x:v>
      </x:c>
      <x:c r="I836" t="str">
        <x:v>https://www.smwcentral.net/?a=details&amp;id=40131&amp;p=section</x:v>
      </x:c>
      <x:c r="J836" t="str">
        <x:v>https://dl.smwcentral.net/40131/le_plume_1-1.zip</x:v>
      </x:c>
    </x:row>
    <x:row r="837">
      <x:c r="A837" t="str">
        <x:v>Learn 2 Kaizo</x:v>
      </x:c>
      <x:c r="B837" t="str">
        <x:v>Learn 2 Kaizo</x:v>
      </x:c>
      <x:c r="C837" t="str">
        <x:v>NeXuS15</x:v>
      </x:c>
      <x:c r="D837" t="n">
        <x:v>68</x:v>
      </x:c>
      <x:c r="E837" t="str">
        <x:v>Advanced</x:v>
      </x:c>
      <x:c r="F837" t="str">
        <x:v>Kaizo</x:v>
      </x:c>
      <x:c r="G837" t="n">
        <x:v>46159</x:v>
      </x:c>
      <x:c r="H837" t="str">
        <x:v>42361</x:v>
      </x:c>
      <x:c r="I837" t="str">
        <x:v>https://www.smwcentral.net/?a=details&amp;id=42361&amp;p=section</x:v>
      </x:c>
      <x:c r="J837" t="str">
        <x:v>https://dl.smwcentral.net/42361/Learn2Kaizo%20v1.1.zip</x:v>
      </x:c>
    </x:row>
    <x:row r="838">
      <x:c r="A838" t="str">
        <x:v>Learn To Shell Jump</x:v>
      </x:c>
      <x:c r="B838" t="str">
        <x:v>Learn To Shell Jump</x:v>
      </x:c>
      <x:c r="C838" t="str">
        <x:v>Pottsie</x:v>
      </x:c>
      <x:c r="D838" t="n">
        <x:v>5</x:v>
      </x:c>
      <x:c r="E838" t="str">
        <x:v>Intermediate</x:v>
      </x:c>
      <x:c r="F838" t="str">
        <x:v>Kaizo</x:v>
      </x:c>
      <x:c r="G838" t="n">
        <x:v>45833</x:v>
      </x:c>
      <x:c r="H838" t="str">
        <x:v>40002</x:v>
      </x:c>
      <x:c r="I838" t="str">
        <x:v>https://www.smwcentral.net/?a=details&amp;id=40002&amp;p=section</x:v>
      </x:c>
      <x:c r="J838" t="str">
        <x:v>https://dl.smwcentral.net/40002/Learn%20To%20Shell%20Jump.zip</x:v>
      </x:c>
    </x:row>
    <x:row r="839">
      <x:c r="A839" t="str">
        <x:v>Learning to Fly</x:v>
      </x:c>
      <x:c r="B839" t="str">
        <x:v>Learning to Fly</x:v>
      </x:c>
      <x:c r="C839" t="str">
        <x:v>DJLocks, NewPointless</x:v>
      </x:c>
      <x:c r="D839" t="n">
        <x:v>64</x:v>
      </x:c>
      <x:c r="E839" t="str">
        <x:v>Expert</x:v>
      </x:c>
      <x:c r="F839" t="str">
        <x:v>Kaizo</x:v>
      </x:c>
      <x:c r="G839" t="n">
        <x:v>45600</x:v>
      </x:c>
      <x:c r="H839" t="str">
        <x:v>38653</x:v>
      </x:c>
      <x:c r="I839" t="str">
        <x:v>https://www.smwcentral.net/?a=details&amp;id=38653&amp;p=section</x:v>
      </x:c>
      <x:c r="J839" t="str">
        <x:v>https://dl.smwcentral.net/38653/LearningToFly2_0.zip</x:v>
      </x:c>
    </x:row>
    <x:row r="840">
      <x:c r="A840" t="str">
        <x:v>Legend of the Rift, Volume 1: Venus</x:v>
      </x:c>
      <x:c r="B840" t="str">
        <x:v>Legend of the Rift, Volume 1: Venus</x:v>
      </x:c>
      <x:c r="C840" t="str">
        <x:v>Foursword4</x:v>
      </x:c>
      <x:c r="D840" t="n">
        <x:v>16</x:v>
      </x:c>
      <x:c r="E840" t="str">
        <x:v>Casual</x:v>
      </x:c>
      <x:c r="F840" t="str">
        <x:v>Standard</x:v>
      </x:c>
      <x:c r="G840" t="n">
        <x:v>41560</x:v>
      </x:c>
      <x:c r="H840" t="str">
        <x:v>5451</x:v>
      </x:c>
      <x:c r="I840" t="str">
        <x:v>https://www.smwcentral.net/?a=details&amp;id=5451&amp;p=section</x:v>
      </x:c>
      <x:c r="J840" t="str">
        <x:v>https://dl.smwcentral.net/5451/LOTR%20Venus.zip</x:v>
      </x:c>
    </x:row>
    <x:row r="841">
      <x:c r="A841" t="str">
        <x:v>Legends of Mario</x:v>
      </x:c>
      <x:c r="B841" t="str">
        <x:v>Legends of Mario</x:v>
      </x:c>
      <x:c r="C841" t="str">
        <x:v>ChrisG___, HmWhyNot, Mega, NeXuS15, SomeBroYouDontKnow, Tubbaluvin</x:v>
      </x:c>
      <x:c r="D841" t="n">
        <x:v>25</x:v>
      </x:c>
      <x:c r="E841" t="str">
        <x:v>Advanced</x:v>
      </x:c>
      <x:c r="F841" t="str">
        <x:v>Kaizo</x:v>
      </x:c>
      <x:c r="G841" t="n">
        <x:v>43131</x:v>
      </x:c>
      <x:c r="H841" t="str">
        <x:v>17046</x:v>
      </x:c>
      <x:c r="I841" t="str">
        <x:v>https://www.smwcentral.net/?a=details&amp;id=17046&amp;p=section</x:v>
      </x:c>
      <x:c r="J841" t="str">
        <x:v>https://dl.smwcentral.net/17046/LegendsOfMario_v1.2.zip</x:v>
      </x:c>
    </x:row>
    <x:row r="842">
      <x:c r="A842" t="str">
        <x:v>Legends of the Hidden Thwimple</x:v>
      </x:c>
      <x:c r="B842" t="str">
        <x:v>Legends of the Hidden Thwimple</x:v>
      </x:c>
      <x:c r="C842" t="str">
        <x:v>BeeKaay, Christina Hendricks, FerpyMcFrosting, GbreezeSunset, MiracleWater, Romhack Races, TheBourgyman, YMM, dtothefourth, margot, sio-kedelic</x:v>
      </x:c>
      <x:c r="D842" t="n">
        <x:v>7</x:v>
      </x:c>
      <x:c r="E842" t="str">
        <x:v>Expert</x:v>
      </x:c>
      <x:c r="F842" t="str">
        <x:v>Kaizo</x:v>
      </x:c>
      <x:c r="G842" t="n">
        <x:v>44753</x:v>
      </x:c>
      <x:c r="H842" t="str">
        <x:v>31391</x:v>
      </x:c>
      <x:c r="I842" t="str">
        <x:v>https://www.smwcentral.net/?a=details&amp;id=31391&amp;p=section</x:v>
      </x:c>
      <x:c r="J842" t="str">
        <x:v>https://dl.smwcentral.net/31391/Hidden%20Thwimple%201.1.zip</x:v>
      </x:c>
    </x:row>
    <x:row r="843">
      <x:c r="A843" t="str">
        <x:v>Lemmy's Wrath</x:v>
      </x:c>
      <x:c r="B843" t="str">
        <x:v>Lemmy's Wrath</x:v>
      </x:c>
      <x:c r="C843" t="str">
        <x:v>Blue Leaf</x:v>
      </x:c>
      <x:c r="D843" t="n">
        <x:v>47</x:v>
      </x:c>
      <x:c r="E843" t="str">
        <x:v>Advanced</x:v>
      </x:c>
      <x:c r="F843" t="str">
        <x:v>Standard</x:v>
      </x:c>
      <x:c r="G843" t="n">
        <x:v>41823</x:v>
      </x:c>
      <x:c r="H843" t="str">
        <x:v>6828</x:v>
      </x:c>
      <x:c r="I843" t="str">
        <x:v>https://www.smwcentral.net/?a=details&amp;id=6828&amp;p=section</x:v>
      </x:c>
      <x:c r="J843" t="str">
        <x:v>https://dl.smwcentral.net/6828/Lemmy%27s%20Htarw%20v1_1.zip</x:v>
      </x:c>
    </x:row>
    <x:row r="844">
      <x:c r="A844" t="str">
        <x:v>Lesbian Vampire Killer World 5000</x:v>
      </x:c>
      <x:c r="B844" t="str">
        <x:v>Lesbian Vampire Killer World 5000</x:v>
      </x:c>
      <x:c r="C844" t="str">
        <x:v>Robju</x:v>
      </x:c>
      <x:c r="D844" t="n">
        <x:v>7</x:v>
      </x:c>
      <x:c r="E844" t="str">
        <x:v>Intermediate</x:v>
      </x:c>
      <x:c r="F844" t="str">
        <x:v>Standard</x:v>
      </x:c>
      <x:c r="G844" t="n">
        <x:v>43977</x:v>
      </x:c>
      <x:c r="H844" t="str">
        <x:v>23089</x:v>
      </x:c>
      <x:c r="I844" t="str">
        <x:v>https://www.smwcentral.net/?a=details&amp;id=23089&amp;p=section</x:v>
      </x:c>
      <x:c r="J844" t="str">
        <x:v>https://dl.smwcentral.net/23089/LesbianVampireKillerWorld5000.zip</x:v>
      </x:c>
    </x:row>
    <x:row r="845">
      <x:c r="A845" t="str">
        <x:v>Lessness World</x:v>
      </x:c>
      <x:c r="B845" t="str">
        <x:v>Lessness World</x:v>
      </x:c>
      <x:c r="C845" t="str">
        <x:v>Alex</x:v>
      </x:c>
      <x:c r="D845" t="n">
        <x:v>27</x:v>
      </x:c>
      <x:c r="E845" t="str">
        <x:v>Expert</x:v>
      </x:c>
      <x:c r="F845" t="str">
        <x:v>Kaizo</x:v>
      </x:c>
      <x:c r="G845" t="n">
        <x:v>43971</x:v>
      </x:c>
      <x:c r="H845" t="str">
        <x:v>22972</x:v>
      </x:c>
      <x:c r="I845" t="str">
        <x:v>https://www.smwcentral.net/?a=details&amp;id=22972&amp;p=section</x:v>
      </x:c>
      <x:c r="J845" t="str">
        <x:v>https://dl.smwcentral.net/22972/LW%201.2.zip</x:v>
      </x:c>
    </x:row>
    <x:row r="846">
      <x:c r="A846" t="str">
        <x:v>Lessness World 2</x:v>
      </x:c>
      <x:c r="B846" t="str">
        <x:v>Lessness World 2</x:v>
      </x:c>
      <x:c r="C846" t="str">
        <x:v>Alex</x:v>
      </x:c>
      <x:c r="D846" t="n">
        <x:v>34</x:v>
      </x:c>
      <x:c r="E846" t="str">
        <x:v>Master</x:v>
      </x:c>
      <x:c r="F846" t="str">
        <x:v>Kaizo</x:v>
      </x:c>
      <x:c r="G846" t="n">
        <x:v>44853</x:v>
      </x:c>
      <x:c r="H846" t="str">
        <x:v>31338</x:v>
      </x:c>
      <x:c r="I846" t="str">
        <x:v>https://www.smwcentral.net/?a=details&amp;id=31338&amp;p=section</x:v>
      </x:c>
      <x:c r="J846" t="str">
        <x:v>https://dl.smwcentral.net/31338/Lessness_World_2.zip</x:v>
      </x:c>
    </x:row>
    <x:row r="847">
      <x:c r="A847" t="str">
        <x:v>Let's A Go!</x:v>
      </x:c>
      <x:c r="B847" t="str">
        <x:v>Let's A Go!</x:v>
      </x:c>
      <x:c r="C847" t="str">
        <x:v>ThirdWall</x:v>
      </x:c>
      <x:c r="D847" t="n">
        <x:v>34</x:v>
      </x:c>
      <x:c r="E847" t="str">
        <x:v>Master</x:v>
      </x:c>
      <x:c r="F847" t="str">
        <x:v>Kaizo</x:v>
      </x:c>
      <x:c r="G847" t="n">
        <x:v>46196</x:v>
      </x:c>
      <x:c r="H847" t="str">
        <x:v>42544</x:v>
      </x:c>
      <x:c r="I847" t="str">
        <x:v>https://www.smwcentral.net/?a=details&amp;id=42544&amp;p=section</x:v>
      </x:c>
      <x:c r="J847" t="str">
        <x:v>https://dl.smwcentral.net/42544/LAG.zip</x:v>
      </x:c>
    </x:row>
    <x:row r="848">
      <x:c r="A848" t="str">
        <x:v>Let's Give Up</x:v>
      </x:c>
      <x:c r="B848" t="str">
        <x:v>Let's Give Up</x:v>
      </x:c>
      <x:c r="C848" t="str">
        <x:v>BeeKaay</x:v>
      </x:c>
      <x:c r="D848" t="n">
        <x:v>8</x:v>
      </x:c>
      <x:c r="E848" t="str">
        <x:v>Master</x:v>
      </x:c>
      <x:c r="F848" t="str">
        <x:v>Kaizo</x:v>
      </x:c>
      <x:c r="G848" t="n">
        <x:v>44102</x:v>
      </x:c>
      <x:c r="H848" t="str">
        <x:v>24702</x:v>
      </x:c>
      <x:c r="I848" t="str">
        <x:v>https://www.smwcentral.net/?a=details&amp;id=24702&amp;p=section</x:v>
      </x:c>
      <x:c r="J848" t="str">
        <x:v>https://dl.smwcentral.net/24702/Let%27s%20Give%20Up.zip</x:v>
      </x:c>
    </x:row>
    <x:row r="849">
      <x:c r="A849" t="str">
        <x:v>Level - 2023 Remaster</x:v>
      </x:c>
      <x:c r="B849" t="str">
        <x:v>Level - 2023 Remaster</x:v>
      </x:c>
      <x:c r="C849" t="str">
        <x:v>TheBiob</x:v>
      </x:c>
      <x:c r="D849" t="n">
        <x:v>1</x:v>
      </x:c>
      <x:c r="E849" t="str">
        <x:v>Master</x:v>
      </x:c>
      <x:c r="F849" t="str">
        <x:v>Kaizo, Tool-Assisted</x:v>
      </x:c>
      <x:c r="G849" t="n">
        <x:v>45406</x:v>
      </x:c>
      <x:c r="H849" t="str">
        <x:v>37073</x:v>
      </x:c>
      <x:c r="I849" t="str">
        <x:v>https://www.smwcentral.net/?a=details&amp;id=37073&amp;p=section</x:v>
      </x:c>
      <x:c r="J849" t="str">
        <x:v>https://dl.smwcentral.net/37073/A%20glitch%20puzzle%20level%20-%202023%20Remaster.zip</x:v>
      </x:c>
    </x:row>
    <x:row r="850">
      <x:c r="A850" t="str">
        <x:v>Levels</x:v>
      </x:c>
      <x:c r="B850" t="str">
        <x:v>Levels</x:v>
      </x:c>
      <x:c r="C850" t="str">
        <x:v>Cwole23</x:v>
      </x:c>
      <x:c r="D850" t="n">
        <x:v>15</x:v>
      </x:c>
      <x:c r="E850" t="str">
        <x:v>Newcomer</x:v>
      </x:c>
      <x:c r="F850" t="str">
        <x:v>Standard</x:v>
      </x:c>
      <x:c r="G850" t="n">
        <x:v>46055</x:v>
      </x:c>
      <x:c r="H850" t="str">
        <x:v>41477</x:v>
      </x:c>
      <x:c r="I850" t="str">
        <x:v>https://www.smwcentral.net/?a=details&amp;id=41477&amp;p=section</x:v>
      </x:c>
      <x:c r="J850" t="str">
        <x:v>https://dl.smwcentral.net/41477/LevelsV2real.zip</x:v>
      </x:c>
    </x:row>
    <x:row r="851">
      <x:c r="A851" t="str">
        <x:v>Lewd Mario</x:v>
      </x:c>
      <x:c r="B851" t="str">
        <x:v>Lewd Mario</x:v>
      </x:c>
      <x:c r="C851" t="str">
        <x:v>edidari</x:v>
      </x:c>
      <x:c r="D851" t="n">
        <x:v>8</x:v>
      </x:c>
      <x:c r="E851" t="str">
        <x:v>Advanced</x:v>
      </x:c>
      <x:c r="F851" t="str">
        <x:v>Standard</x:v>
      </x:c>
      <x:c r="G851" t="n">
        <x:v>43940</x:v>
      </x:c>
      <x:c r="H851" t="str">
        <x:v>22418</x:v>
      </x:c>
      <x:c r="I851" t="str">
        <x:v>https://www.smwcentral.net/?a=details&amp;id=22418&amp;p=section</x:v>
      </x:c>
      <x:c r="J851" t="str">
        <x:v>https://dl.smwcentral.net/22418/Lewd%20Mario.zip</x:v>
      </x:c>
    </x:row>
    <x:row r="852">
      <x:c r="A852" t="str">
        <x:v>Life Of Glitches</x:v>
      </x:c>
      <x:c r="B852" t="str">
        <x:v>Life Of Glitches</x:v>
      </x:c>
      <x:c r="C852" t="str">
        <x:v>ShadowDragon121</x:v>
      </x:c>
      <x:c r="D852" t="n">
        <x:v>1</x:v>
      </x:c>
      <x:c r="E852" t="str">
        <x:v>Advanced</x:v>
      </x:c>
      <x:c r="F852" t="str">
        <x:v>Kaizo, Tool-Assisted</x:v>
      </x:c>
      <x:c r="G852" t="n">
        <x:v>41817</x:v>
      </x:c>
      <x:c r="H852" t="str">
        <x:v>6468</x:v>
      </x:c>
      <x:c r="I852" t="str">
        <x:v>https://www.smwcentral.net/?a=details&amp;id=6468&amp;p=section</x:v>
      </x:c>
      <x:c r="J852" t="str">
        <x:v>https://dl.smwcentral.net/6468/Life%20Of%20Glitches.zip</x:v>
      </x:c>
    </x:row>
    <x:row r="853">
      <x:c r="A853" t="str">
        <x:v>Lightning Crashes</x:v>
      </x:c>
      <x:c r="B853" t="str">
        <x:v>Lightning Crashes</x:v>
      </x:c>
      <x:c r="C853" t="str">
        <x:v>Multibella</x:v>
      </x:c>
      <x:c r="D853" t="n">
        <x:v>51</x:v>
      </x:c>
      <x:c r="E853" t="str">
        <x:v>Casual</x:v>
      </x:c>
      <x:c r="F853" t="str">
        <x:v>Standard</x:v>
      </x:c>
      <x:c r="G853" t="n">
        <x:v>42315</x:v>
      </x:c>
      <x:c r="H853" t="str">
        <x:v>9936</x:v>
      </x:c>
      <x:c r="I853" t="str">
        <x:v>https://www.smwcentral.net/?a=details&amp;id=9936&amp;p=section</x:v>
      </x:c>
      <x:c r="J853" t="str">
        <x:v>https://dl.smwcentral.net/9936/Lightning%20Crashes%201.2.zip</x:v>
      </x:c>
    </x:row>
    <x:row r="854">
      <x:c r="A854" t="str">
        <x:v>Lil Mallow World</x:v>
      </x:c>
      <x:c r="B854" t="str">
        <x:v>Lil Mallow World</x:v>
      </x:c>
      <x:c r="C854" t="str">
        <x:v>FridayFables, Romhack Races Team</x:v>
      </x:c>
      <x:c r="D854" t="n">
        <x:v>4</x:v>
      </x:c>
      <x:c r="E854" t="str">
        <x:v>Intermediate</x:v>
      </x:c>
      <x:c r="F854" t="str">
        <x:v>Kaizo</x:v>
      </x:c>
      <x:c r="G854" t="n">
        <x:v>43486</x:v>
      </x:c>
      <x:c r="H854" t="str">
        <x:v>18835</x:v>
      </x:c>
      <x:c r="I854" t="str">
        <x:v>https://www.smwcentral.net/?a=details&amp;id=18835&amp;p=section</x:v>
      </x:c>
      <x:c r="J854" t="str">
        <x:v>https://dl.smwcentral.net/18835/LilMallowWorld.zip</x:v>
      </x:c>
    </x:row>
    <x:row r="855">
      <x:c r="A855" t="str">
        <x:v>Link's Adventure</x:v>
      </x:c>
      <x:c r="B855" t="str">
        <x:v>Link's Adventure</x:v>
      </x:c>
      <x:c r="C855" t="str">
        <x:v>General Ike</x:v>
      </x:c>
      <x:c r="D855" t="n">
        <x:v>10</x:v>
      </x:c>
      <x:c r="E855" t="str">
        <x:v>Newcomer</x:v>
      </x:c>
      <x:c r="F855" t="str">
        <x:v>Standard</x:v>
      </x:c>
      <x:c r="G855" t="n">
        <x:v>42039</x:v>
      </x:c>
      <x:c r="H855" t="str">
        <x:v>9754</x:v>
      </x:c>
      <x:c r="I855" t="str">
        <x:v>https://www.smwcentral.net/?a=details&amp;id=9754&amp;p=section</x:v>
      </x:c>
      <x:c r="J855" t="str">
        <x:v>https://dl.smwcentral.net/9754/Link%27s%20Adventure%20Demo%202.zip</x:v>
      </x:c>
    </x:row>
    <x:row r="856">
      <x:c r="A856" t="str">
        <x:v>Linnaea</x:v>
      </x:c>
      <x:c r="B856" t="str">
        <x:v>Linnaea</x:v>
      </x:c>
      <x:c r="C856" t="str">
        <x:v>neidoodle</x:v>
      </x:c>
      <x:c r="D856" t="n">
        <x:v>15</x:v>
      </x:c>
      <x:c r="E856" t="str">
        <x:v>Advanced</x:v>
      </x:c>
      <x:c r="F856" t="str">
        <x:v>Kaizo</x:v>
      </x:c>
      <x:c r="G856" t="n">
        <x:v>44966</x:v>
      </x:c>
      <x:c r="H856" t="str">
        <x:v>33042</x:v>
      </x:c>
      <x:c r="I856" t="str">
        <x:v>https://www.smwcentral.net/?a=details&amp;id=33042&amp;p=section</x:v>
      </x:c>
      <x:c r="J856" t="str">
        <x:v>https://dl.smwcentral.net/33042/Linnaea.zip</x:v>
      </x:c>
    </x:row>
    <x:row r="857">
      <x:c r="A857" t="str">
        <x:v>Liquid Metal</x:v>
      </x:c>
      <x:c r="B857" t="str">
        <x:v>Liquid Metal</x:v>
      </x:c>
      <x:c r="C857" t="str">
        <x:v>deported</x:v>
      </x:c>
      <x:c r="D857" t="n">
        <x:v>9</x:v>
      </x:c>
      <x:c r="E857" t="str">
        <x:v>Expert</x:v>
      </x:c>
      <x:c r="F857" t="str">
        <x:v>Kaizo</x:v>
      </x:c>
      <x:c r="G857" t="n">
        <x:v>45550</x:v>
      </x:c>
      <x:c r="H857" t="str">
        <x:v>38428</x:v>
      </x:c>
      <x:c r="I857" t="str">
        <x:v>https://www.smwcentral.net/?a=details&amp;id=38428&amp;p=section</x:v>
      </x:c>
      <x:c r="J857" t="str">
        <x:v>https://dl.smwcentral.net/38428/LiquidMetal2.0.zip</x:v>
      </x:c>
    </x:row>
    <x:row r="858">
      <x:c r="A858" t="str">
        <x:v>Literally just a bonus room</x:v>
      </x:c>
      <x:c r="B858" t="str">
        <x:v>Literally just a bonus room</x:v>
      </x:c>
      <x:c r="C858" t="str">
        <x:v>Magikey</x:v>
      </x:c>
      <x:c r="D858" t="n">
        <x:v>1</x:v>
      </x:c>
      <x:c r="E858" t="str">
        <x:v>Master</x:v>
      </x:c>
      <x:c r="F858" t="str">
        <x:v>Tool-Assisted, Pit</x:v>
      </x:c>
      <x:c r="G858" t="n">
        <x:v>44127</x:v>
      </x:c>
      <x:c r="H858" t="str">
        <x:v>24758</x:v>
      </x:c>
      <x:c r="I858" t="str">
        <x:v>https://www.smwcentral.net/?a=details&amp;id=24758&amp;p=section</x:v>
      </x:c>
      <x:c r="J858" t="str">
        <x:v>https://dl.smwcentral.net/24758/bonusroom.zip</x:v>
      </x:c>
    </x:row>
    <x:row r="859">
      <x:c r="A859" t="str">
        <x:v>Little Mario World</x:v>
      </x:c>
      <x:c r="B859" t="str">
        <x:v>Little Mario World</x:v>
      </x:c>
      <x:c r="C859" t="str">
        <x:v>OctaviusPepper</x:v>
      </x:c>
      <x:c r="D859" t="n">
        <x:v>23</x:v>
      </x:c>
      <x:c r="E859" t="str">
        <x:v>Advanced</x:v>
      </x:c>
      <x:c r="F859" t="str">
        <x:v>Kaizo</x:v>
      </x:c>
      <x:c r="G859" t="n">
        <x:v>44104</x:v>
      </x:c>
      <x:c r="H859" t="str">
        <x:v>24705</x:v>
      </x:c>
      <x:c r="I859" t="str">
        <x:v>https://www.smwcentral.net/?a=details&amp;id=24705&amp;p=section</x:v>
      </x:c>
      <x:c r="J859" t="str">
        <x:v>https://dl.smwcentral.net/24705/LittleMarioWorld.zip</x:v>
      </x:c>
    </x:row>
    <x:row r="860">
      <x:c r="A860" t="str">
        <x:v>Long Road to Ruin</x:v>
      </x:c>
      <x:c r="B860" t="str">
        <x:v>Long Road to Ruin</x:v>
      </x:c>
      <x:c r="C860" t="str">
        <x:v>xhsdf</x:v>
      </x:c>
      <x:c r="D860" t="n">
        <x:v>1</x:v>
      </x:c>
      <x:c r="E860" t="str">
        <x:v>Grandmaster</x:v>
      </x:c>
      <x:c r="F860" t="str">
        <x:v>Kaizo</x:v>
      </x:c>
      <x:c r="G860" t="n">
        <x:v>45403</x:v>
      </x:c>
      <x:c r="H860" t="str">
        <x:v>37666</x:v>
      </x:c>
      <x:c r="I860" t="str">
        <x:v>https://www.smwcentral.net/?a=details&amp;id=37666&amp;p=section</x:v>
      </x:c>
      <x:c r="J860" t="str">
        <x:v>https://dl.smwcentral.net/37666/Long%20Road%20to%20Ruin%201.1.zip</x:v>
      </x:c>
    </x:row>
    <x:row r="861">
      <x:c r="A861" t="str">
        <x:v>Lord Pickle World</x:v>
      </x:c>
      <x:c r="B861" t="str">
        <x:v>Lord Pickle World</x:v>
      </x:c>
      <x:c r="C861" t="str">
        <x:v>MarkAlarm</x:v>
      </x:c>
      <x:c r="D861" t="n">
        <x:v>23</x:v>
      </x:c>
      <x:c r="E861" t="str">
        <x:v>Expert</x:v>
      </x:c>
      <x:c r="F861" t="str">
        <x:v>Kaizo</x:v>
      </x:c>
      <x:c r="G861" t="n">
        <x:v>43300</x:v>
      </x:c>
      <x:c r="H861" t="str">
        <x:v>17903</x:v>
      </x:c>
      <x:c r="I861" t="str">
        <x:v>https://www.smwcentral.net/?a=details&amp;id=17903&amp;p=section</x:v>
      </x:c>
      <x:c r="J861" t="str">
        <x:v>https://dl.smwcentral.net/17903/Lord%20Pickle%20World%20v1.3.zip</x:v>
      </x:c>
    </x:row>
    <x:row r="862">
      <x:c r="A862" t="str">
        <x:v>Lost and Found</x:v>
      </x:c>
      <x:c r="B862" t="str">
        <x:v>Lost and Found</x:v>
      </x:c>
      <x:c r="C862" t="str">
        <x:v>Icon of Sin</x:v>
      </x:c>
      <x:c r="D862" t="n">
        <x:v>16</x:v>
      </x:c>
      <x:c r="E862" t="str">
        <x:v>Newcomer</x:v>
      </x:c>
      <x:c r="F862" t="str">
        <x:v>Standard</x:v>
      </x:c>
      <x:c r="G862" t="n">
        <x:v>42243</x:v>
      </x:c>
      <x:c r="H862" t="str">
        <x:v>9916</x:v>
      </x:c>
      <x:c r="I862" t="str">
        <x:v>https://www.smwcentral.net/?a=details&amp;id=9916&amp;p=section</x:v>
      </x:c>
      <x:c r="J862" t="str">
        <x:v>https://dl.smwcentral.net/9916/Lost%20and%20Found%20Full%20version.zip</x:v>
      </x:c>
    </x:row>
    <x:row r="863">
      <x:c r="A863" t="str">
        <x:v>Lost Dimension</x:v>
      </x:c>
      <x:c r="B863" t="str">
        <x:v>Lost Dimension</x:v>
      </x:c>
      <x:c r="C863" t="str">
        <x:v>PercentN</x:v>
      </x:c>
      <x:c r="D863" t="n">
        <x:v>13</x:v>
      </x:c>
      <x:c r="E863" t="str">
        <x:v>Newcomer</x:v>
      </x:c>
      <x:c r="F863" t="str">
        <x:v>Standard</x:v>
      </x:c>
      <x:c r="G863" t="n">
        <x:v>42233</x:v>
      </x:c>
      <x:c r="H863" t="str">
        <x:v>9874</x:v>
      </x:c>
      <x:c r="I863" t="str">
        <x:v>https://www.smwcentral.net/?a=details&amp;id=9874&amp;p=section</x:v>
      </x:c>
      <x:c r="J863" t="str">
        <x:v>https://dl.smwcentral.net/9874/Lost%20Dimension.zip</x:v>
      </x:c>
    </x:row>
    <x:row r="864">
      <x:c r="A864" t="str">
        <x:v>Lost in Puzzle Land</x:v>
      </x:c>
      <x:c r="B864" t="str">
        <x:v>Lost in Puzzle Land</x:v>
      </x:c>
      <x:c r="C864" t="str">
        <x:v>S.R.H.</x:v>
      </x:c>
      <x:c r="D864" t="n">
        <x:v>9</x:v>
      </x:c>
      <x:c r="E864" t="str">
        <x:v>Casual</x:v>
      </x:c>
      <x:c r="F864" t="str">
        <x:v>Standard</x:v>
      </x:c>
      <x:c r="G864" t="n">
        <x:v>41694</x:v>
      </x:c>
      <x:c r="H864" t="str">
        <x:v>6310</x:v>
      </x:c>
      <x:c r="I864" t="str">
        <x:v>https://www.smwcentral.net/?a=details&amp;id=6310&amp;p=section</x:v>
      </x:c>
      <x:c r="J864" t="str">
        <x:v>https://dl.smwcentral.net/6310/PW2.4.zip</x:v>
      </x:c>
    </x:row>
    <x:row r="865">
      <x:c r="A865" t="str">
        <x:v>Lost in the Forest</x:v>
      </x:c>
      <x:c r="B865" t="str">
        <x:v>Lost in the Forest</x:v>
      </x:c>
      <x:c r="C865" t="str">
        <x:v>Sockbat Replica</x:v>
      </x:c>
      <x:c r="D865" t="n">
        <x:v>111</x:v>
      </x:c>
      <x:c r="E865" t="str">
        <x:v>Intermediate</x:v>
      </x:c>
      <x:c r="F865" t="str">
        <x:v>Standard</x:v>
      </x:c>
      <x:c r="G865" t="n">
        <x:v>43316</x:v>
      </x:c>
      <x:c r="H865" t="str">
        <x:v>17968</x:v>
      </x:c>
      <x:c r="I865" t="str">
        <x:v>https://www.smwcentral.net/?a=details&amp;id=17968&amp;p=section</x:v>
      </x:c>
      <x:c r="J865" t="str">
        <x:v>https://dl.smwcentral.net/17968/Lost%20in%20the%20Forest.zip</x:v>
      </x:c>
    </x:row>
    <x:row r="866">
      <x:c r="A866" t="str">
        <x:v>Lost In Yoshi Island Remix</x:v>
      </x:c>
      <x:c r="B866" t="str">
        <x:v>Lost In Yoshi Island Remix</x:v>
      </x:c>
      <x:c r="C866" t="str">
        <x:v>goomba</x:v>
      </x:c>
      <x:c r="D866" t="n">
        <x:v>5</x:v>
      </x:c>
      <x:c r="E866" t="str">
        <x:v>Newcomer</x:v>
      </x:c>
      <x:c r="F866" t="str">
        <x:v>Standard</x:v>
      </x:c>
      <x:c r="G866" t="n">
        <x:v>42238</x:v>
      </x:c>
      <x:c r="H866" t="str">
        <x:v>9890</x:v>
      </x:c>
      <x:c r="I866" t="str">
        <x:v>https://www.smwcentral.net/?a=details&amp;id=9890&amp;p=section</x:v>
      </x:c>
      <x:c r="J866" t="str">
        <x:v>https://dl.smwcentral.net/9890/lost%20in%20yoshi%27s%20island%20remix.zip</x:v>
      </x:c>
    </x:row>
    <x:row r="867">
      <x:c r="A867" t="str">
        <x:v>Lost Mario Bros.</x:v>
      </x:c>
      <x:c r="B867" t="str">
        <x:v>Lost Mario Bros.</x:v>
      </x:c>
      <x:c r="C867" t="str">
        <x:v>Le Comte Niark</x:v>
      </x:c>
      <x:c r="D867" t="n">
        <x:v>21</x:v>
      </x:c>
      <x:c r="E867" t="str">
        <x:v>Casual</x:v>
      </x:c>
      <x:c r="F867" t="str">
        <x:v>Standard</x:v>
      </x:c>
      <x:c r="G867" t="n">
        <x:v>41837</x:v>
      </x:c>
      <x:c r="H867" t="str">
        <x:v>7005</x:v>
      </x:c>
      <x:c r="I867" t="str">
        <x:v>https://www.smwcentral.net/?a=details&amp;id=7005&amp;p=section</x:v>
      </x:c>
      <x:c r="J867" t="str">
        <x:v>https://dl.smwcentral.net/7005/Lost%20Mario%20Bros.%20-%20Demo%202.1.zip</x:v>
      </x:c>
    </x:row>
    <x:row r="868">
      <x:c r="A868" t="str">
        <x:v>Lost On The Islands</x:v>
      </x:c>
      <x:c r="B868" t="str">
        <x:v>Lost On The Islands</x:v>
      </x:c>
      <x:c r="C868" t="str">
        <x:v>therealSWK</x:v>
      </x:c>
      <x:c r="D868" t="n">
        <x:v>3</x:v>
      </x:c>
      <x:c r="E868" t="str">
        <x:v>Newcomer</x:v>
      </x:c>
      <x:c r="F868" t="str">
        <x:v>Standard</x:v>
      </x:c>
      <x:c r="G868" t="n">
        <x:v>42163</x:v>
      </x:c>
      <x:c r="H868" t="str">
        <x:v>10057</x:v>
      </x:c>
      <x:c r="I868" t="str">
        <x:v>https://www.smwcentral.net/?a=details&amp;id=10057&amp;p=section</x:v>
      </x:c>
      <x:c r="J868" t="str">
        <x:v>https://dl.smwcentral.net/10057/Lost%20on%20the%20Islands%20Demo%20V1.1.zip</x:v>
      </x:c>
    </x:row>
    <x:row r="869">
      <x:c r="A869" t="str">
        <x:v>Lost Paths</x:v>
      </x:c>
      <x:c r="B869" t="str">
        <x:v>Lost Paths</x:v>
      </x:c>
      <x:c r="C869" t="str">
        <x:v>Chuycraft</x:v>
      </x:c>
      <x:c r="D869" t="n">
        <x:v>80</x:v>
      </x:c>
      <x:c r="E869" t="str">
        <x:v>Advanced</x:v>
      </x:c>
      <x:c r="F869" t="str">
        <x:v>Standard</x:v>
      </x:c>
      <x:c r="G869" t="n">
        <x:v>46048</x:v>
      </x:c>
      <x:c r="H869" t="str">
        <x:v>41461</x:v>
      </x:c>
      <x:c r="I869" t="str">
        <x:v>https://www.smwcentral.net/?a=details&amp;id=41461&amp;p=section</x:v>
      </x:c>
      <x:c r="J869" t="str">
        <x:v>https://dl.smwcentral.net/41461/Lost%20Paths%20V1.2.1.zip</x:v>
      </x:c>
    </x:row>
    <x:row r="870">
      <x:c r="A870" t="str">
        <x:v>Lost Places</x:v>
      </x:c>
      <x:c r="B870" t="str">
        <x:v>Lost Places</x:v>
      </x:c>
      <x:c r="C870" t="str">
        <x:v>Schlafkopf</x:v>
      </x:c>
      <x:c r="D870" t="n">
        <x:v>6</x:v>
      </x:c>
      <x:c r="E870" t="str">
        <x:v>Expert</x:v>
      </x:c>
      <x:c r="F870" t="str">
        <x:v>Kaizo</x:v>
      </x:c>
      <x:c r="G870" t="n">
        <x:v>44308</x:v>
      </x:c>
      <x:c r="H870" t="str">
        <x:v>26771</x:v>
      </x:c>
      <x:c r="I870" t="str">
        <x:v>https://www.smwcentral.net/?a=details&amp;id=26771&amp;p=section</x:v>
      </x:c>
      <x:c r="J870" t="str">
        <x:v>https://dl.smwcentral.net/26771/Lost%20Places%20Demo.zip</x:v>
      </x:c>
    </x:row>
    <x:row r="871">
      <x:c r="A871" t="str">
        <x:v>Lost Wayfarers- The Escapade back to Mushroom Kingdom</x:v>
      </x:c>
      <x:c r="B871" t="str">
        <x:v>Lost Wayfarers- The Escapade back to Mushroom Kingdom</x:v>
      </x:c>
      <x:c r="C871" t="str">
        <x:v>Vamperumbra</x:v>
      </x:c>
      <x:c r="D871" t="n">
        <x:v>47</x:v>
      </x:c>
      <x:c r="E871" t="str">
        <x:v>Intermediate</x:v>
      </x:c>
      <x:c r="F871" t="str">
        <x:v>Standard</x:v>
      </x:c>
      <x:c r="G871" t="n">
        <x:v>42902</x:v>
      </x:c>
      <x:c r="H871" t="str">
        <x:v>15632</x:v>
      </x:c>
      <x:c r="I871" t="str">
        <x:v>https://www.smwcentral.net/?a=details&amp;id=15632&amp;p=section</x:v>
      </x:c>
      <x:c r="J871" t="str">
        <x:v>https://dl.smwcentral.net/15632/LW.zip</x:v>
      </x:c>
    </x:row>
    <x:row r="872">
      <x:c r="A872" t="str">
        <x:v>Love Letter</x:v>
      </x:c>
      <x:c r="B872" t="str">
        <x:v>Love Letter</x:v>
      </x:c>
      <x:c r="C872" t="str">
        <x:v>Lush_50</x:v>
      </x:c>
      <x:c r="D872" t="n">
        <x:v>18</x:v>
      </x:c>
      <x:c r="E872" t="str">
        <x:v>Intermediate</x:v>
      </x:c>
      <x:c r="F872" t="str">
        <x:v>Kaizo</x:v>
      </x:c>
      <x:c r="G872" t="n">
        <x:v>45847</x:v>
      </x:c>
      <x:c r="H872" t="str">
        <x:v>40069</x:v>
      </x:c>
      <x:c r="I872" t="str">
        <x:v>https://www.smwcentral.net/?a=details&amp;id=40069&amp;p=section</x:v>
      </x:c>
      <x:c r="J872" t="str">
        <x:v>https://dl.smwcentral.net/40069/Love%20Letter.zip</x:v>
      </x:c>
    </x:row>
    <x:row r="873">
      <x:c r="A873" t="str">
        <x:v>Love Yourself</x:v>
      </x:c>
      <x:c r="B873" t="str">
        <x:v>Love Yourself</x:v>
      </x:c>
      <x:c r="C873" t="str">
        <x:v>Chondontore</x:v>
      </x:c>
      <x:c r="D873" t="n">
        <x:v>17</x:v>
      </x:c>
      <x:c r="E873" t="str">
        <x:v>Intermediate</x:v>
      </x:c>
      <x:c r="F873" t="str">
        <x:v>Kaizo</x:v>
      </x:c>
      <x:c r="G873" t="n">
        <x:v>44690</x:v>
      </x:c>
      <x:c r="H873" t="str">
        <x:v>30864</x:v>
      </x:c>
      <x:c r="I873" t="str">
        <x:v>https://www.smwcentral.net/?a=details&amp;id=30864&amp;p=section</x:v>
      </x:c>
      <x:c r="J873" t="str">
        <x:v>https://dl.smwcentral.net/30864/Love%20Yourself%201.0.zip</x:v>
      </x:c>
    </x:row>
    <x:row r="874">
      <x:c r="A874" t="str">
        <x:v>Lucky</x:v>
      </x:c>
      <x:c r="B874" t="str">
        <x:v>Lucky</x:v>
      </x:c>
      <x:c r="C874" t="str">
        <x:v>Lush_50</x:v>
      </x:c>
      <x:c r="D874" t="n">
        <x:v>6</x:v>
      </x:c>
      <x:c r="E874" t="str">
        <x:v>Advanced</x:v>
      </x:c>
      <x:c r="F874" t="str">
        <x:v>Kaizo</x:v>
      </x:c>
      <x:c r="G874" t="n">
        <x:v>44869</x:v>
      </x:c>
      <x:c r="H874" t="str">
        <x:v>32513</x:v>
      </x:c>
      <x:c r="I874" t="str">
        <x:v>https://www.smwcentral.net/?a=details&amp;id=32513&amp;p=section</x:v>
      </x:c>
      <x:c r="J874" t="str">
        <x:v>https://dl.smwcentral.net/32513/Lucky%20V1.0A.zip</x:v>
      </x:c>
    </x:row>
    <x:row r="875">
      <x:c r="A875" t="str">
        <x:v>Luigi and the Final Year</x:v>
      </x:c>
      <x:c r="B875" t="str">
        <x:v>Luigi and the Final Year</x:v>
      </x:c>
      <x:c r="C875" t="str">
        <x:v>karen13505</x:v>
      </x:c>
      <x:c r="D875" t="n">
        <x:v>56</x:v>
      </x:c>
      <x:c r="E875" t="str">
        <x:v>Intermediate</x:v>
      </x:c>
      <x:c r="F875" t="str">
        <x:v>Standard</x:v>
      </x:c>
      <x:c r="G875" t="n">
        <x:v>43844</x:v>
      </x:c>
      <x:c r="H875" t="str">
        <x:v>21746</x:v>
      </x:c>
      <x:c r="I875" t="str">
        <x:v>https://www.smwcentral.net/?a=details&amp;id=21746&amp;p=section</x:v>
      </x:c>
      <x:c r="J875" t="str">
        <x:v>https://dl.smwcentral.net/21746/Luigi%20and%20the%20Final%20Year.zip</x:v>
      </x:c>
    </x:row>
    <x:row r="876">
      <x:c r="A876" t="str">
        <x:v>Luigi and the Happy Hillside</x:v>
      </x:c>
      <x:c r="B876" t="str">
        <x:v>Luigi and the Happy Hillside</x:v>
      </x:c>
      <x:c r="C876" t="str">
        <x:v>Apple Boy</x:v>
      </x:c>
      <x:c r="D876" t="n">
        <x:v>5</x:v>
      </x:c>
      <x:c r="E876" t="str">
        <x:v>Newcomer</x:v>
      </x:c>
      <x:c r="F876" t="str">
        <x:v>Standard</x:v>
      </x:c>
      <x:c r="G876" t="n">
        <x:v>44730</x:v>
      </x:c>
      <x:c r="H876" t="str">
        <x:v>31167</x:v>
      </x:c>
      <x:c r="I876" t="str">
        <x:v>https://www.smwcentral.net/?a=details&amp;id=31167&amp;p=section</x:v>
      </x:c>
      <x:c r="J876" t="str">
        <x:v>https://dl.smwcentral.net/31167/HappyHillside.zip</x:v>
      </x:c>
    </x:row>
    <x:row r="877">
      <x:c r="A877" t="str">
        <x:v>Luigi and the Island of Mystery</x:v>
      </x:c>
      <x:c r="B877" t="str">
        <x:v>Luigi and the Island of Mystery</x:v>
      </x:c>
      <x:c r="C877" t="str">
        <x:v>superwiidude</x:v>
      </x:c>
      <x:c r="D877" t="n">
        <x:v>93</x:v>
      </x:c>
      <x:c r="E877" t="str">
        <x:v>Casual</x:v>
      </x:c>
      <x:c r="F877" t="str">
        <x:v>Standard</x:v>
      </x:c>
      <x:c r="G877" t="n">
        <x:v>42727</x:v>
      </x:c>
      <x:c r="H877" t="str">
        <x:v>14809</x:v>
      </x:c>
      <x:c r="I877" t="str">
        <x:v>https://www.smwcentral.net/?a=details&amp;id=14809&amp;p=section</x:v>
      </x:c>
      <x:c r="J877" t="str">
        <x:v>https://dl.smwcentral.net/14809/Luigi%20and%20the%20island%20of%20mystery.zip</x:v>
      </x:c>
    </x:row>
    <x:row r="878">
      <x:c r="A878" t="str">
        <x:v>Luigi and the Mysterious Portals</x:v>
      </x:c>
      <x:c r="B878" t="str">
        <x:v>Luigi and the Mysterious Portals</x:v>
      </x:c>
      <x:c r="C878" t="str">
        <x:v>imamelia</x:v>
      </x:c>
      <x:c r="D878" t="n">
        <x:v>10</x:v>
      </x:c>
      <x:c r="E878" t="str">
        <x:v>Casual</x:v>
      </x:c>
      <x:c r="F878" t="str">
        <x:v>Standard</x:v>
      </x:c>
      <x:c r="G878" t="n">
        <x:v>45704</x:v>
      </x:c>
      <x:c r="H878" t="str">
        <x:v>39174</x:v>
      </x:c>
      <x:c r="I878" t="str">
        <x:v>https://www.smwcentral.net/?a=details&amp;id=39174&amp;p=section</x:v>
      </x:c>
      <x:c r="J878" t="str">
        <x:v>https://dl.smwcentral.net/39174/Luigi%20and%20the%20Mysterious%20Portals.zip</x:v>
      </x:c>
    </x:row>
    <x:row r="879">
      <x:c r="A879" t="str">
        <x:v>Luigi in: The Rescue of Daisy</x:v>
      </x:c>
      <x:c r="B879" t="str">
        <x:v>Luigi in: The Rescue of Daisy</x:v>
      </x:c>
      <x:c r="C879" t="str">
        <x:v>Retired Man</x:v>
      </x:c>
      <x:c r="D879" t="n">
        <x:v>8</x:v>
      </x:c>
      <x:c r="E879" t="str">
        <x:v>Newcomer</x:v>
      </x:c>
      <x:c r="F879" t="str">
        <x:v>Standard</x:v>
      </x:c>
      <x:c r="G879" t="n">
        <x:v>42271</x:v>
      </x:c>
      <x:c r="H879" t="str">
        <x:v>10073</x:v>
      </x:c>
      <x:c r="I879" t="str">
        <x:v>https://www.smwcentral.net/?a=details&amp;id=10073&amp;p=section</x:v>
      </x:c>
      <x:c r="J879" t="str">
        <x:v>https://dl.smwcentral.net/10073/Luigi%20demo%201.zip</x:v>
      </x:c>
    </x:row>
    <x:row r="880">
      <x:c r="A880" t="str">
        <x:v>Luigi Kaizo King</x:v>
      </x:c>
      <x:c r="B880" t="str">
        <x:v>Luigi Kaizo King</x:v>
      </x:c>
      <x:c r="C880" t="str">
        <x:v>Yagami</x:v>
      </x:c>
      <x:c r="D880" t="n">
        <x:v>13</x:v>
      </x:c>
      <x:c r="E880" t="str">
        <x:v>Expert</x:v>
      </x:c>
      <x:c r="F880" t="str">
        <x:v>Kaizo</x:v>
      </x:c>
      <x:c r="G880" t="n">
        <x:v>43692</x:v>
      </x:c>
      <x:c r="H880" t="str">
        <x:v>20906</x:v>
      </x:c>
      <x:c r="I880" t="str">
        <x:v>https://www.smwcentral.net/?a=details&amp;id=20906&amp;p=section</x:v>
      </x:c>
      <x:c r="J880" t="str">
        <x:v>https://dl.smwcentral.net/20906/LKK.zip</x:v>
      </x:c>
    </x:row>
    <x:row r="881">
      <x:c r="A881" t="str">
        <x:v>Luigi lost in Telinc's World</x:v>
      </x:c>
      <x:c r="B881" t="str">
        <x:v>Luigi lost in Telinc's World</x:v>
      </x:c>
      <x:c r="C881" t="str">
        <x:v>Telinc1</x:v>
      </x:c>
      <x:c r="D881" t="n">
        <x:v>10</x:v>
      </x:c>
      <x:c r="E881" t="str">
        <x:v>Newcomer</x:v>
      </x:c>
      <x:c r="F881" t="str">
        <x:v>Standard</x:v>
      </x:c>
      <x:c r="G881" t="n">
        <x:v>42312</x:v>
      </x:c>
      <x:c r="H881" t="str">
        <x:v>10212</x:v>
      </x:c>
      <x:c r="I881" t="str">
        <x:v>https://www.smwcentral.net/?a=details&amp;id=10212&amp;p=section</x:v>
      </x:c>
      <x:c r="J881" t="str">
        <x:v>https://dl.smwcentral.net/10212/Luigi%20lost%20in%20Telinc%27s%20World%20-%20Demo%201.5.zip</x:v>
      </x:c>
    </x:row>
    <x:row r="882">
      <x:c r="A882" t="str">
        <x:v>Luigi Stardust Adventure</x:v>
      </x:c>
      <x:c r="B882" t="str">
        <x:v>Luigi Stardust Adventure</x:v>
      </x:c>
      <x:c r="C882" t="str">
        <x:v>Zavok</x:v>
      </x:c>
      <x:c r="D882" t="n">
        <x:v>65</x:v>
      </x:c>
      <x:c r="E882" t="str">
        <x:v>Intermediate</x:v>
      </x:c>
      <x:c r="F882" t="str">
        <x:v>Standard</x:v>
      </x:c>
      <x:c r="G882" t="n">
        <x:v>44222</x:v>
      </x:c>
      <x:c r="H882" t="str">
        <x:v>25705</x:v>
      </x:c>
      <x:c r="I882" t="str">
        <x:v>https://www.smwcentral.net/?a=details&amp;id=25705&amp;p=section</x:v>
      </x:c>
      <x:c r="J882" t="str">
        <x:v>https://dl.smwcentral.net/25705/Luigi%20Stardust%20Adventure.zip</x:v>
      </x:c>
    </x:row>
    <x:row r="883">
      <x:c r="A883" t="str">
        <x:v>Luigi's Adventure 3: Overseas Edition</x:v>
      </x:c>
      <x:c r="B883" t="str">
        <x:v>Luigi's Adventure 3: Overseas Edition</x:v>
      </x:c>
      <x:c r="C883" t="str">
        <x:v>Anikiti</x:v>
      </x:c>
      <x:c r="D883" t="n">
        <x:v>97</x:v>
      </x:c>
      <x:c r="E883" t="str">
        <x:v>Expert</x:v>
      </x:c>
      <x:c r="F883" t="str">
        <x:v>Standard</x:v>
      </x:c>
      <x:c r="G883" t="n">
        <x:v>44392</x:v>
      </x:c>
      <x:c r="H883" t="str">
        <x:v>27348</x:v>
      </x:c>
      <x:c r="I883" t="str">
        <x:v>https://www.smwcentral.net/?a=details&amp;id=27348&amp;p=section</x:v>
      </x:c>
      <x:c r="J883" t="str">
        <x:v>https://dl.smwcentral.net/27348/ladv3_ose_v10.zip</x:v>
      </x:c>
    </x:row>
    <x:row r="884">
      <x:c r="A884" t="str">
        <x:v>Luigi's Adventure 4: The Revival of Tortoise Empire</x:v>
      </x:c>
      <x:c r="B884" t="str">
        <x:v>Luigi's Adventure 4: The Revival of Tortoise Empire</x:v>
      </x:c>
      <x:c r="C884" t="str">
        <x:v>Anikiti</x:v>
      </x:c>
      <x:c r="D884" t="n">
        <x:v>30</x:v>
      </x:c>
      <x:c r="E884" t="str">
        <x:v>Casual</x:v>
      </x:c>
      <x:c r="F884" t="str">
        <x:v>Standard</x:v>
      </x:c>
      <x:c r="G884" t="n">
        <x:v>41497</x:v>
      </x:c>
      <x:c r="H884" t="str">
        <x:v>5127</x:v>
      </x:c>
      <x:c r="I884" t="str">
        <x:v>https://www.smwcentral.net/?a=details&amp;id=5127&amp;p=section</x:v>
      </x:c>
      <x:c r="J884" t="str">
        <x:v>https://dl.smwcentral.net/5127/ladv4_rev0422.zip</x:v>
      </x:c>
    </x:row>
    <x:row r="885">
      <x:c r="A885" t="str">
        <x:v>Luigi's Adventure OSE</x:v>
      </x:c>
      <x:c r="B885" t="str">
        <x:v>Luigi's Adventure OSE</x:v>
      </x:c>
      <x:c r="C885" t="str">
        <x:v>Anikiti</x:v>
      </x:c>
      <x:c r="D885" t="n">
        <x:v>87</x:v>
      </x:c>
      <x:c r="E885" t="str">
        <x:v>Advanced</x:v>
      </x:c>
      <x:c r="F885" t="str">
        <x:v>Standard</x:v>
      </x:c>
      <x:c r="G885" t="n">
        <x:v>45219</x:v>
      </x:c>
      <x:c r="H885" t="str">
        <x:v>34399</x:v>
      </x:c>
      <x:c r="I885" t="str">
        <x:v>https://www.smwcentral.net/?a=details&amp;id=34399&amp;p=section</x:v>
      </x:c>
      <x:c r="J885" t="str">
        <x:v>https://dl.smwcentral.net/34399/ladv_ose_v131.zip</x:v>
      </x:c>
    </x:row>
    <x:row r="886">
      <x:c r="A886" t="str">
        <x:v>Luigi's Adventure OSE - The Lost Levels</x:v>
      </x:c>
      <x:c r="B886" t="str">
        <x:v>Luigi's Adventure OSE - The Lost Levels</x:v>
      </x:c>
      <x:c r="C886" t="str">
        <x:v>Anikiti</x:v>
      </x:c>
      <x:c r="D886" t="n">
        <x:v>9</x:v>
      </x:c>
      <x:c r="E886" t="str">
        <x:v>Master</x:v>
      </x:c>
      <x:c r="F886" t="str">
        <x:v>Standard</x:v>
      </x:c>
      <x:c r="G886" t="n">
        <x:v>44392</x:v>
      </x:c>
      <x:c r="H886" t="str">
        <x:v>27196</x:v>
      </x:c>
      <x:c r="I886" t="str">
        <x:v>https://www.smwcentral.net/?a=details&amp;id=27196&amp;p=section</x:v>
      </x:c>
      <x:c r="J886" t="str">
        <x:v>https://dl.smwcentral.net/27196/Luigi%27s%20Adventure%20OSE%20-%20The%20Lost%20Levels%20-%20Fixed.zip</x:v>
      </x:c>
    </x:row>
    <x:row r="887">
      <x:c r="A887" t="str">
        <x:v>Luigi's Decision</x:v>
      </x:c>
      <x:c r="B887" t="str">
        <x:v>Luigi's Decision</x:v>
      </x:c>
      <x:c r="C887" t="str">
        <x:v>Thundahack</x:v>
      </x:c>
      <x:c r="D887" t="n">
        <x:v>7</x:v>
      </x:c>
      <x:c r="E887" t="str">
        <x:v>Casual</x:v>
      </x:c>
      <x:c r="F887" t="str">
        <x:v>Standard</x:v>
      </x:c>
      <x:c r="G887" t="n">
        <x:v>41509</x:v>
      </x:c>
      <x:c r="H887" t="str">
        <x:v>5180</x:v>
      </x:c>
      <x:c r="I887" t="str">
        <x:v>https://www.smwcentral.net/?a=details&amp;id=5180&amp;p=section</x:v>
      </x:c>
      <x:c r="J887" t="str">
        <x:v>https://dl.smwcentral.net/5180/Luigi%27s%20Decision.zip</x:v>
      </x:c>
    </x:row>
    <x:row r="888">
      <x:c r="A888" t="str">
        <x:v>Luigi's First Adventure</x:v>
      </x:c>
      <x:c r="B888" t="str">
        <x:v>Luigi's First Adventure</x:v>
      </x:c>
      <x:c r="C888" t="str">
        <x:v>Yoshi987</x:v>
      </x:c>
      <x:c r="D888" t="n">
        <x:v>6</x:v>
      </x:c>
      <x:c r="E888" t="str">
        <x:v>Casual</x:v>
      </x:c>
      <x:c r="F888" t="str">
        <x:v>Standard</x:v>
      </x:c>
      <x:c r="G888" t="n">
        <x:v>42267</x:v>
      </x:c>
      <x:c r="H888" t="str">
        <x:v>10000</x:v>
      </x:c>
      <x:c r="I888" t="str">
        <x:v>https://www.smwcentral.net/?a=details&amp;id=10000&amp;p=section</x:v>
      </x:c>
      <x:c r="J888" t="str">
        <x:v>https://dl.smwcentral.net/10000/Luigi%27s%20First%20Adventure%20%28Demo%29.zip</x:v>
      </x:c>
    </x:row>
    <x:row r="889">
      <x:c r="A889" t="str">
        <x:v>Luigi's Heated Journey</x:v>
      </x:c>
      <x:c r="B889" t="str">
        <x:v>Luigi's Heated Journey</x:v>
      </x:c>
      <x:c r="C889" t="str">
        <x:v>KennyJ</x:v>
      </x:c>
      <x:c r="D889" t="n">
        <x:v>15</x:v>
      </x:c>
      <x:c r="E889" t="str">
        <x:v>Newcomer</x:v>
      </x:c>
      <x:c r="F889" t="str">
        <x:v>Standard</x:v>
      </x:c>
      <x:c r="G889" t="n">
        <x:v>42291</x:v>
      </x:c>
      <x:c r="H889" t="str">
        <x:v>10101</x:v>
      </x:c>
      <x:c r="I889" t="str">
        <x:v>https://www.smwcentral.net/?a=details&amp;id=10101&amp;p=section</x:v>
      </x:c>
      <x:c r="J889" t="str">
        <x:v>https://dl.smwcentral.net/10101/LHJ.zip</x:v>
      </x:c>
    </x:row>
    <x:row r="890">
      <x:c r="A890" t="str">
        <x:v>Luigi's Lost Levels</x:v>
      </x:c>
      <x:c r="B890" t="str">
        <x:v>Luigi's Lost Levels</x:v>
      </x:c>
      <x:c r="C890" t="str">
        <x:v>Romano338</x:v>
      </x:c>
      <x:c r="D890" t="n">
        <x:v>4</x:v>
      </x:c>
      <x:c r="E890" t="str">
        <x:v>Expert</x:v>
      </x:c>
      <x:c r="F890" t="str">
        <x:v>Kaizo</x:v>
      </x:c>
      <x:c r="G890" t="n">
        <x:v>43065</x:v>
      </x:c>
      <x:c r="H890" t="str">
        <x:v>16689</x:v>
      </x:c>
      <x:c r="I890" t="str">
        <x:v>https://www.smwcentral.net/?a=details&amp;id=16689&amp;p=section</x:v>
      </x:c>
      <x:c r="J890" t="str">
        <x:v>https://dl.smwcentral.net/16689/Luigi%27s%20Lost%20Levels.zip</x:v>
      </x:c>
    </x:row>
    <x:row r="891">
      <x:c r="A891" t="str">
        <x:v>Luigi's Lost Levels 2 - Back With A Revenge</x:v>
      </x:c>
      <x:c r="B891" t="str">
        <x:v>Luigi's Lost Levels 2 - Back With A Revenge</x:v>
      </x:c>
      <x:c r="C891" t="str">
        <x:v>Romano338</x:v>
      </x:c>
      <x:c r="D891" t="n">
        <x:v>9</x:v>
      </x:c>
      <x:c r="E891" t="str">
        <x:v>Expert</x:v>
      </x:c>
      <x:c r="F891" t="str">
        <x:v>Kaizo</x:v>
      </x:c>
      <x:c r="G891" t="n">
        <x:v>44833</x:v>
      </x:c>
      <x:c r="H891" t="str">
        <x:v>32187</x:v>
      </x:c>
      <x:c r="I891" t="str">
        <x:v>https://www.smwcentral.net/?a=details&amp;id=32187&amp;p=section</x:v>
      </x:c>
      <x:c r="J891" t="str">
        <x:v>https://dl.smwcentral.net/32187/Luigi%27s%20Lost%20Levels%202%20-%20Back%20With%20A%20Revenge.zip</x:v>
      </x:c>
    </x:row>
    <x:row r="892">
      <x:c r="A892" t="str">
        <x:v>Luigi's Lost Levels 3 - Electrik Boogaloo</x:v>
      </x:c>
      <x:c r="B892" t="str">
        <x:v>Luigi's Lost Levels 3 - Electrik Boogaloo</x:v>
      </x:c>
      <x:c r="C892" t="str">
        <x:v>Romano338</x:v>
      </x:c>
      <x:c r="D892" t="n">
        <x:v>8</x:v>
      </x:c>
      <x:c r="E892" t="str">
        <x:v>Expert</x:v>
      </x:c>
      <x:c r="F892" t="str">
        <x:v>Kaizo</x:v>
      </x:c>
      <x:c r="G892" t="n">
        <x:v>44850</x:v>
      </x:c>
      <x:c r="H892" t="str">
        <x:v>32235</x:v>
      </x:c>
      <x:c r="I892" t="str">
        <x:v>https://www.smwcentral.net/?a=details&amp;id=32235&amp;p=section</x:v>
      </x:c>
      <x:c r="J892" t="str">
        <x:v>https://dl.smwcentral.net/32235/Luigi%27s%20Lost%20Levels%203%20-%20Electrik%20Boogaloo.zip</x:v>
      </x:c>
    </x:row>
    <x:row r="893">
      <x:c r="A893" t="str">
        <x:v>Luigi's Misadventures - Tsux Namine's factor</x:v>
      </x:c>
      <x:c r="B893" t="str">
        <x:v>Luigi's Misadventures - Tsux Namine's factor</x:v>
      </x:c>
      <x:c r="C893" t="str">
        <x:v>Roberto zampari</x:v>
      </x:c>
      <x:c r="D893" t="n">
        <x:v>108</x:v>
      </x:c>
      <x:c r="E893" t="str">
        <x:v>Casual</x:v>
      </x:c>
      <x:c r="F893" t="str">
        <x:v>Standard</x:v>
      </x:c>
      <x:c r="G893" t="n">
        <x:v>42924</x:v>
      </x:c>
      <x:c r="H893" t="str">
        <x:v>15802</x:v>
      </x:c>
      <x:c r="I893" t="str">
        <x:v>https://www.smwcentral.net/?a=details&amp;id=15802&amp;p=section</x:v>
      </x:c>
      <x:c r="J893" t="str">
        <x:v>https://dl.smwcentral.net/15802/Luigimisadventures.zip</x:v>
      </x:c>
    </x:row>
    <x:row r="894">
      <x:c r="A894" t="str">
        <x:v>Luigi's Misadventures 2 - Leviathan's Mania</x:v>
      </x:c>
      <x:c r="B894" t="str">
        <x:v>Luigi's Misadventures 2 - Leviathan's Mania</x:v>
      </x:c>
      <x:c r="C894" t="str">
        <x:v>Roberto zampari</x:v>
      </x:c>
      <x:c r="D894" t="n">
        <x:v>103</x:v>
      </x:c>
      <x:c r="E894" t="str">
        <x:v>Intermediate</x:v>
      </x:c>
      <x:c r="F894" t="str">
        <x:v>Standard</x:v>
      </x:c>
      <x:c r="G894" t="n">
        <x:v>43281</x:v>
      </x:c>
      <x:c r="H894" t="str">
        <x:v>17632</x:v>
      </x:c>
      <x:c r="I894" t="str">
        <x:v>https://www.smwcentral.net/?a=details&amp;id=17632&amp;p=section</x:v>
      </x:c>
      <x:c r="J894" t="str">
        <x:v>https://dl.smwcentral.net/17632/luigimiss2full2A.zip</x:v>
      </x:c>
    </x:row>
    <x:row r="895">
      <x:c r="A895" t="str">
        <x:v>Luigi's Misadventures 3 - Recipe for a disaster</x:v>
      </x:c>
      <x:c r="B895" t="str">
        <x:v>Luigi's Misadventures 3 - Recipe for a disaster</x:v>
      </x:c>
      <x:c r="C895" t="str">
        <x:v>Roberto zampari</x:v>
      </x:c>
      <x:c r="D895" t="n">
        <x:v>108</x:v>
      </x:c>
      <x:c r="E895" t="str">
        <x:v>Intermediate</x:v>
      </x:c>
      <x:c r="F895" t="str">
        <x:v>Standard</x:v>
      </x:c>
      <x:c r="G895" t="n">
        <x:v>43882</x:v>
      </x:c>
      <x:c r="H895" t="str">
        <x:v>21799</x:v>
      </x:c>
      <x:c r="I895" t="str">
        <x:v>https://www.smwcentral.net/?a=details&amp;id=21799&amp;p=section</x:v>
      </x:c>
      <x:c r="J895" t="str">
        <x:v>https://dl.smwcentral.net/21799/Luigimiss3full1A.zip</x:v>
      </x:c>
    </x:row>
    <x:row r="896">
      <x:c r="A896" t="str">
        <x:v>Luigi's Misadventures 4 - Galactic Kids Next Door</x:v>
      </x:c>
      <x:c r="B896" t="str">
        <x:v>Luigi's Misadventures 4 - Galactic Kids Next Door</x:v>
      </x:c>
      <x:c r="C896" t="str">
        <x:v>Roberto zampari</x:v>
      </x:c>
      <x:c r="D896" t="n">
        <x:v>105</x:v>
      </x:c>
      <x:c r="E896" t="str">
        <x:v>Intermediate</x:v>
      </x:c>
      <x:c r="F896" t="str">
        <x:v>Standard</x:v>
      </x:c>
      <x:c r="G896" t="n">
        <x:v>44760</x:v>
      </x:c>
      <x:c r="H896" t="str">
        <x:v>31321</x:v>
      </x:c>
      <x:c r="I896" t="str">
        <x:v>https://www.smwcentral.net/?a=details&amp;id=31321&amp;p=section</x:v>
      </x:c>
      <x:c r="J896" t="str">
        <x:v>https://dl.smwcentral.net/31321/Luigimiss4_U3.zip</x:v>
      </x:c>
    </x:row>
    <x:row r="897">
      <x:c r="A897" t="str">
        <x:v>Luigi's Misadventures 5 - Rougenia Merald's challenge</x:v>
      </x:c>
      <x:c r="B897" t="str">
        <x:v>Luigi's Misadventures 5 - Rougenia Merald's challenge</x:v>
      </x:c>
      <x:c r="C897" t="str">
        <x:v>Roberto zampari</x:v>
      </x:c>
      <x:c r="D897" t="n">
        <x:v>112</x:v>
      </x:c>
      <x:c r="E897" t="str">
        <x:v>Intermediate</x:v>
      </x:c>
      <x:c r="F897" t="str">
        <x:v>Standard</x:v>
      </x:c>
      <x:c r="G897" t="n">
        <x:v>45222</x:v>
      </x:c>
      <x:c r="H897" t="str">
        <x:v>35320</x:v>
      </x:c>
      <x:c r="I897" t="str">
        <x:v>https://www.smwcentral.net/?a=details&amp;id=35320&amp;p=section</x:v>
      </x:c>
      <x:c r="J897" t="str">
        <x:v>https://dl.smwcentral.net/35320/Luigimiss5full04A.zip</x:v>
      </x:c>
    </x:row>
    <x:row r="898">
      <x:c r="A898" t="str">
        <x:v>Luigi's Misadventures 6 - Bambulua</x:v>
      </x:c>
      <x:c r="B898" t="str">
        <x:v>Luigi's Misadventures 6 - Bambulua</x:v>
      </x:c>
      <x:c r="C898" t="str">
        <x:v>Roberto zampari</x:v>
      </x:c>
      <x:c r="D898" t="n">
        <x:v>103</x:v>
      </x:c>
      <x:c r="E898" t="str">
        <x:v>Intermediate</x:v>
      </x:c>
      <x:c r="F898" t="str">
        <x:v>Standard</x:v>
      </x:c>
      <x:c r="G898" t="n">
        <x:v>45739</x:v>
      </x:c>
      <x:c r="H898" t="str">
        <x:v>39177</x:v>
      </x:c>
      <x:c r="I898" t="str">
        <x:v>https://www.smwcentral.net/?a=details&amp;id=39177&amp;p=section</x:v>
      </x:c>
      <x:c r="J898" t="str">
        <x:v>https://dl.smwcentral.net/39177/Luigimiss6-F04a.zip</x:v>
      </x:c>
    </x:row>
    <x:row r="899">
      <x:c r="A899" t="str">
        <x:v>Luigi's New Quest</x:v>
      </x:c>
      <x:c r="B899" t="str">
        <x:v>Luigi's New Quest</x:v>
      </x:c>
      <x:c r="C899" t="str">
        <x:v>Mr. MS, edgar</x:v>
      </x:c>
      <x:c r="D899" t="n">
        <x:v>18</x:v>
      </x:c>
      <x:c r="E899" t="str">
        <x:v>Intermediate</x:v>
      </x:c>
      <x:c r="F899" t="str">
        <x:v>Standard</x:v>
      </x:c>
      <x:c r="G899" t="n">
        <x:v>45349</x:v>
      </x:c>
      <x:c r="H899" t="str">
        <x:v>37057</x:v>
      </x:c>
      <x:c r="I899" t="str">
        <x:v>https://www.smwcentral.net/?a=details&amp;id=37057&amp;p=section</x:v>
      </x:c>
      <x:c r="J899" t="str">
        <x:v>https://dl.smwcentral.net/37057/LuigisNewQuest.zip</x:v>
      </x:c>
    </x:row>
    <x:row r="900">
      <x:c r="A900" t="str">
        <x:v>Luigi's Revenge!</x:v>
      </x:c>
      <x:c r="B900" t="str">
        <x:v>Luigi's Revenge!</x:v>
      </x:c>
      <x:c r="C900" t="str">
        <x:v>Kaisaan</x:v>
      </x:c>
      <x:c r="D900" t="n">
        <x:v>7</x:v>
      </x:c>
      <x:c r="E900" t="str">
        <x:v>Casual</x:v>
      </x:c>
      <x:c r="F900" t="str">
        <x:v>Standard</x:v>
      </x:c>
      <x:c r="G900" t="n">
        <x:v>42503</x:v>
      </x:c>
      <x:c r="H900" t="str">
        <x:v>13613</x:v>
      </x:c>
      <x:c r="I900" t="str">
        <x:v>https://www.smwcentral.net/?a=details&amp;id=13613&amp;p=section</x:v>
      </x:c>
      <x:c r="J900" t="str">
        <x:v>https://dl.smwcentral.net/13613/Luigi%27s%20Revenge%21.zip</x:v>
      </x:c>
    </x:row>
    <x:row r="901">
      <x:c r="A901" t="str">
        <x:v>Luigi's Super Adventure - C3 Demo</x:v>
      </x:c>
      <x:c r="B901" t="str">
        <x:v>Luigi's Super Adventure - C3 Demo</x:v>
      </x:c>
      <x:c r="C901" t="str">
        <x:v>Dispace</x:v>
      </x:c>
      <x:c r="D901" t="n">
        <x:v>12</x:v>
      </x:c>
      <x:c r="E901" t="str">
        <x:v>Casual</x:v>
      </x:c>
      <x:c r="F901" t="str">
        <x:v>Standard</x:v>
      </x:c>
      <x:c r="G901" t="n">
        <x:v>44021</x:v>
      </x:c>
      <x:c r="H901" t="str">
        <x:v>23606</x:v>
      </x:c>
      <x:c r="I901" t="str">
        <x:v>https://www.smwcentral.net/?a=details&amp;id=23606&amp;p=section</x:v>
      </x:c>
      <x:c r="J901" t="str">
        <x:v>https://dl.smwcentral.net/23606/luigi_super_adventure_c3_demo_v1.02.zip</x:v>
      </x:c>
    </x:row>
    <x:row r="902">
      <x:c r="A902" t="str">
        <x:v>Luigi's Superstar Search</x:v>
      </x:c>
      <x:c r="B902" t="str">
        <x:v>Luigi's Superstar Search</x:v>
      </x:c>
      <x:c r="C902" t="str">
        <x:v>Delmaru</x:v>
      </x:c>
      <x:c r="D902" t="n">
        <x:v>11</x:v>
      </x:c>
      <x:c r="E902" t="str">
        <x:v>Newcomer</x:v>
      </x:c>
      <x:c r="F902" t="str">
        <x:v>Standard</x:v>
      </x:c>
      <x:c r="G902" t="n">
        <x:v>42224</x:v>
      </x:c>
      <x:c r="H902" t="str">
        <x:v>9912</x:v>
      </x:c>
      <x:c r="I902" t="str">
        <x:v>https://www.smwcentral.net/?a=details&amp;id=9912&amp;p=section</x:v>
      </x:c>
      <x:c r="J902" t="str">
        <x:v>https://dl.smwcentral.net/9912/LSSDemo1.1.zip</x:v>
      </x:c>
    </x:row>
    <x:row r="903">
      <x:c r="A903" t="str">
        <x:v>Luigis Story</x:v>
      </x:c>
      <x:c r="B903" t="str">
        <x:v>Luigis Story</x:v>
      </x:c>
      <x:c r="C903" t="str">
        <x:v>PaperMario94</x:v>
      </x:c>
      <x:c r="D903" t="n">
        <x:v>50</x:v>
      </x:c>
      <x:c r="E903" t="str">
        <x:v>Casual</x:v>
      </x:c>
      <x:c r="F903" t="str">
        <x:v>Standard</x:v>
      </x:c>
      <x:c r="G903" t="n">
        <x:v>42298</x:v>
      </x:c>
      <x:c r="H903" t="str">
        <x:v>10190</x:v>
      </x:c>
      <x:c r="I903" t="str">
        <x:v>https://www.smwcentral.net/?a=details&amp;id=10190&amp;p=section</x:v>
      </x:c>
      <x:c r="J903" t="str">
        <x:v>https://dl.smwcentral.net/10190/Luigis%20Story.zip</x:v>
      </x:c>
    </x:row>
    <x:row r="904">
      <x:c r="A904" t="str">
        <x:v>Luminescent</x:v>
      </x:c>
      <x:c r="B904" t="str">
        <x:v>Luminescent</x:v>
      </x:c>
      <x:c r="C904" t="str">
        <x:v>TheBourgyman</x:v>
      </x:c>
      <x:c r="D904" t="n">
        <x:v>16</x:v>
      </x:c>
      <x:c r="E904" t="str">
        <x:v>Expert</x:v>
      </x:c>
      <x:c r="F904" t="str">
        <x:v>Kaizo</x:v>
      </x:c>
      <x:c r="G904" t="n">
        <x:v>44539</x:v>
      </x:c>
      <x:c r="H904" t="str">
        <x:v>28951</x:v>
      </x:c>
      <x:c r="I904" t="str">
        <x:v>https://www.smwcentral.net/?a=details&amp;id=28951&amp;p=section</x:v>
      </x:c>
      <x:c r="J904" t="str">
        <x:v>https://dl.smwcentral.net/28951/Luminescent%20v1.02.zip</x:v>
      </x:c>
    </x:row>
    <x:row r="905">
      <x:c r="A905" t="str">
        <x:v>Lunar Legends</x:v>
      </x:c>
      <x:c r="B905" t="str">
        <x:v>Lunar Legends</x:v>
      </x:c>
      <x:c r="C905" t="str">
        <x:v>Chromite</x:v>
      </x:c>
      <x:c r="D905" t="n">
        <x:v>27</x:v>
      </x:c>
      <x:c r="E905" t="str">
        <x:v>Casual</x:v>
      </x:c>
      <x:c r="F905" t="str">
        <x:v>Standard</x:v>
      </x:c>
      <x:c r="G905" t="n">
        <x:v>41762</x:v>
      </x:c>
      <x:c r="H905" t="str">
        <x:v>6498</x:v>
      </x:c>
      <x:c r="I905" t="str">
        <x:v>https://www.smwcentral.net/?a=details&amp;id=6498&amp;p=section</x:v>
      </x:c>
      <x:c r="J905" t="str">
        <x:v>https://dl.smwcentral.net/6498/LL%20-%20C3%20Demo.zip</x:v>
      </x:c>
    </x:row>
    <x:row r="906">
      <x:c r="A906" t="str">
        <x:v>Lunar Legends: The Search</x:v>
      </x:c>
      <x:c r="B906" t="str">
        <x:v>Lunar Legends: The Search</x:v>
      </x:c>
      <x:c r="C906" t="str">
        <x:v>Chromite</x:v>
      </x:c>
      <x:c r="D906" t="n">
        <x:v>4</x:v>
      </x:c>
      <x:c r="E906" t="str">
        <x:v>Newcomer</x:v>
      </x:c>
      <x:c r="F906" t="str">
        <x:v>Standard</x:v>
      </x:c>
      <x:c r="G906" t="n">
        <x:v>41528</x:v>
      </x:c>
      <x:c r="H906" t="str">
        <x:v>5572</x:v>
      </x:c>
      <x:c r="I906" t="str">
        <x:v>https://www.smwcentral.net/?a=details&amp;id=5572&amp;p=section</x:v>
      </x:c>
      <x:c r="J906" t="str">
        <x:v>https://dl.smwcentral.net/5572/Lunar%20Legends%2C%20The%20Search%20-%20C3%20Demo.zip</x:v>
      </x:c>
    </x:row>
    <x:row r="907">
      <x:c r="A907" t="str">
        <x:v>Lunar Magic 1.0 Adventures</x:v>
      </x:c>
      <x:c r="B907" t="str">
        <x:v>Lunar Magic 1.0 Adventures</x:v>
      </x:c>
      <x:c r="C907" t="str">
        <x:v>Carld923, Gartore, Maxodex, Pinci, StanTheMackiar, VashVaati, anonimzwx</x:v>
      </x:c>
      <x:c r="D907" t="n">
        <x:v>7</x:v>
      </x:c>
      <x:c r="E907" t="str">
        <x:v>Casual</x:v>
      </x:c>
      <x:c r="F907" t="str">
        <x:v>Standard</x:v>
      </x:c>
      <x:c r="G907" t="n">
        <x:v>42205</x:v>
      </x:c>
      <x:c r="H907" t="str">
        <x:v>11760</x:v>
      </x:c>
      <x:c r="I907" t="str">
        <x:v>https://www.smwcentral.net/?a=details&amp;id=11760&amp;p=section</x:v>
      </x:c>
      <x:c r="J907" t="str">
        <x:v>https://dl.smwcentral.net/11760/LM%201.0%20Adventures%20v1.1.zip</x:v>
      </x:c>
    </x:row>
    <x:row r="908">
      <x:c r="A908" t="str">
        <x:v>LunchBreak</x:v>
      </x:c>
      <x:c r="B908" t="str">
        <x:v>LunchBreak</x:v>
      </x:c>
      <x:c r="C908" t="str">
        <x:v>ToxicRave</x:v>
      </x:c>
      <x:c r="D908" t="n">
        <x:v>10</x:v>
      </x:c>
      <x:c r="E908" t="str">
        <x:v>Intermediate</x:v>
      </x:c>
      <x:c r="F908" t="str">
        <x:v>Standard</x:v>
      </x:c>
      <x:c r="G908" t="n">
        <x:v>42163</x:v>
      </x:c>
      <x:c r="H908" t="str">
        <x:v>9818</x:v>
      </x:c>
      <x:c r="I908" t="str">
        <x:v>https://www.smwcentral.net/?a=details&amp;id=9818&amp;p=section</x:v>
      </x:c>
      <x:c r="J908" t="str">
        <x:v>https://dl.smwcentral.net/9818/LunchBreakDemo.zip</x:v>
      </x:c>
    </x:row>
    <x:row r="909">
      <x:c r="A909" t="str">
        <x:v>Lurn 2 Shell</x:v>
      </x:c>
      <x:c r="B909" t="str">
        <x:v>Lurn 2 Shell</x:v>
      </x:c>
      <x:c r="C909" t="str">
        <x:v>Wolfguy423</x:v>
      </x:c>
      <x:c r="D909" t="n">
        <x:v>59</x:v>
      </x:c>
      <x:c r="E909" t="str">
        <x:v>Advanced</x:v>
      </x:c>
      <x:c r="F909" t="str">
        <x:v>Kaizo</x:v>
      </x:c>
      <x:c r="G909" t="n">
        <x:v>45011</x:v>
      </x:c>
      <x:c r="H909" t="str">
        <x:v>33600</x:v>
      </x:c>
      <x:c r="I909" t="str">
        <x:v>https://www.smwcentral.net/?a=details&amp;id=33600&amp;p=section</x:v>
      </x:c>
      <x:c r="J909" t="str">
        <x:v>https://dl.smwcentral.net/33600/Lurn2Shell.zip</x:v>
      </x:c>
    </x:row>
    <x:row r="910">
      <x:c r="A910" t="str">
        <x:v>Lydian Mario World</x:v>
      </x:c>
      <x:c r="B910" t="str">
        <x:v>Lydian Mario World</x:v>
      </x:c>
      <x:c r="C910" t="str">
        <x:v>Jonah</x:v>
      </x:c>
      <x:c r="D910" t="n">
        <x:v>20</x:v>
      </x:c>
      <x:c r="E910" t="str">
        <x:v>Master</x:v>
      </x:c>
      <x:c r="F910" t="str">
        <x:v>Kaizo</x:v>
      </x:c>
      <x:c r="G910" t="n">
        <x:v>44634</x:v>
      </x:c>
      <x:c r="H910" t="str">
        <x:v>30107</x:v>
      </x:c>
      <x:c r="I910" t="str">
        <x:v>https://www.smwcentral.net/?a=details&amp;id=30107&amp;p=section</x:v>
      </x:c>
      <x:c r="J910" t="str">
        <x:v>https://dl.smwcentral.net/30107/Lydian%20Mario%20World.zip</x:v>
      </x:c>
    </x:row>
    <x:row r="911">
      <x:c r="A911" t="str">
        <x:v>Mad with Kaizo Power</x:v>
      </x:c>
      <x:c r="B911" t="str">
        <x:v>Mad with Kaizo Power</x:v>
      </x:c>
      <x:c r="C911" t="str">
        <x:v>NewPointless</x:v>
      </x:c>
      <x:c r="D911" t="n">
        <x:v>21</x:v>
      </x:c>
      <x:c r="E911" t="str">
        <x:v>Expert</x:v>
      </x:c>
      <x:c r="F911" t="str">
        <x:v>Kaizo</x:v>
      </x:c>
      <x:c r="G911" t="n">
        <x:v>44072</x:v>
      </x:c>
      <x:c r="H911" t="str">
        <x:v>24419</x:v>
      </x:c>
      <x:c r="I911" t="str">
        <x:v>https://www.smwcentral.net/?a=details&amp;id=24419&amp;p=section</x:v>
      </x:c>
      <x:c r="J911" t="str">
        <x:v>https://dl.smwcentral.net/24419/MadWithKaizoPower1_1.zip</x:v>
      </x:c>
    </x:row>
    <x:row r="912">
      <x:c r="A912" t="str">
        <x:v>Made of Fantasy</x:v>
      </x:c>
      <x:c r="B912" t="str">
        <x:v>Made of Fantasy</x:v>
      </x:c>
      <x:c r="C912" t="str">
        <x:v>Saphros</x:v>
      </x:c>
      <x:c r="D912" t="n">
        <x:v>16</x:v>
      </x:c>
      <x:c r="E912" t="str">
        <x:v>Advanced</x:v>
      </x:c>
      <x:c r="F912" t="str">
        <x:v>Kaizo</x:v>
      </x:c>
      <x:c r="G912" t="n">
        <x:v>45791</x:v>
      </x:c>
      <x:c r="H912" t="str">
        <x:v>39844</x:v>
      </x:c>
      <x:c r="I912" t="str">
        <x:v>https://www.smwcentral.net/?a=details&amp;id=39844&amp;p=section</x:v>
      </x:c>
      <x:c r="J912" t="str">
        <x:v>https://dl.smwcentral.net/39844/Made%20of%20Fantasy%20v1.1.1.zip</x:v>
      </x:c>
    </x:row>
    <x:row r="913">
      <x:c r="A913" t="str">
        <x:v>Magiopolis</x:v>
      </x:c>
      <x:c r="B913" t="str">
        <x:v>Magiopolis</x:v>
      </x:c>
      <x:c r="C913" t="str">
        <x:v>Mpereira</x:v>
      </x:c>
      <x:c r="D913" t="n">
        <x:v>70</x:v>
      </x:c>
      <x:c r="E913" t="str">
        <x:v>Intermediate</x:v>
      </x:c>
      <x:c r="F913" t="str">
        <x:v>Standard</x:v>
      </x:c>
      <x:c r="G913" t="n">
        <x:v>44497</x:v>
      </x:c>
      <x:c r="H913" t="str">
        <x:v>28580</x:v>
      </x:c>
      <x:c r="I913" t="str">
        <x:v>https://www.smwcentral.net/?a=details&amp;id=28580&amp;p=section</x:v>
      </x:c>
      <x:c r="J913" t="str">
        <x:v>https://dl.smwcentral.net/28580/Magiopolis.zip</x:v>
      </x:c>
    </x:row>
    <x:row r="914">
      <x:c r="A914" t="str">
        <x:v>Mahogen</x:v>
      </x:c>
      <x:c r="B914" t="str">
        <x:v>Mahogen</x:v>
      </x:c>
      <x:c r="C914" t="str">
        <x:v>marleymm</x:v>
      </x:c>
      <x:c r="D914" t="n">
        <x:v>17</x:v>
      </x:c>
      <x:c r="E914" t="str">
        <x:v>Advanced</x:v>
      </x:c>
      <x:c r="F914" t="str">
        <x:v>Kaizo</x:v>
      </x:c>
      <x:c r="G914" t="n">
        <x:v>44278</x:v>
      </x:c>
      <x:c r="H914" t="str">
        <x:v>26519</x:v>
      </x:c>
      <x:c r="I914" t="str">
        <x:v>https://www.smwcentral.net/?a=details&amp;id=26519&amp;p=section</x:v>
      </x:c>
      <x:c r="J914" t="str">
        <x:v>https://dl.smwcentral.net/26519/Mahogen.zip</x:v>
      </x:c>
    </x:row>
    <x:row r="915">
      <x:c r="A915" t="str">
        <x:v>mancorsa</x:v>
      </x:c>
      <x:c r="B915" t="str">
        <x:v>mancorsa</x:v>
      </x:c>
      <x:c r="C915" t="str">
        <x:v>Steven Atauchi, alvinwawa</x:v>
      </x:c>
      <x:c r="D915" t="n">
        <x:v>13</x:v>
      </x:c>
      <x:c r="E915" t="str">
        <x:v>Advanced</x:v>
      </x:c>
      <x:c r="F915" t="str">
        <x:v>Kaizo</x:v>
      </x:c>
      <x:c r="G915" t="n">
        <x:v>45479</x:v>
      </x:c>
      <x:c r="H915" t="str">
        <x:v>38063</x:v>
      </x:c>
      <x:c r="I915" t="str">
        <x:v>https://www.smwcentral.net/?a=details&amp;id=38063&amp;p=section</x:v>
      </x:c>
      <x:c r="J915" t="str">
        <x:v>https://dl.smwcentral.net/38063/mancorsa.zip</x:v>
      </x:c>
    </x:row>
    <x:row r="916">
      <x:c r="A916" t="str">
        <x:v>Maple Island</x:v>
      </x:c>
      <x:c r="B916" t="str">
        <x:v>Maple Island</x:v>
      </x:c>
      <x:c r="C916" t="str">
        <x:v>Jungche</x:v>
      </x:c>
      <x:c r="D916" t="n">
        <x:v>8</x:v>
      </x:c>
      <x:c r="E916" t="str">
        <x:v>Newcomer</x:v>
      </x:c>
      <x:c r="F916" t="str">
        <x:v>Standard</x:v>
      </x:c>
      <x:c r="G916" t="n">
        <x:v>42279</x:v>
      </x:c>
      <x:c r="H916" t="str">
        <x:v>9889</x:v>
      </x:c>
      <x:c r="I916" t="str">
        <x:v>https://www.smwcentral.net/?a=details&amp;id=9889&amp;p=section</x:v>
      </x:c>
      <x:c r="J916" t="str">
        <x:v>https://dl.smwcentral.net/9889/Maple%20Island%20DEMO.zip</x:v>
      </x:c>
    </x:row>
    <x:row r="917">
      <x:c r="A917" t="str">
        <x:v>Mario &amp; Friends in: Volcanic Panic</x:v>
      </x:c>
      <x:c r="B917" t="str">
        <x:v>Mario &amp; Friends in: Volcanic Panic</x:v>
      </x:c>
      <x:c r="C917" t="str">
        <x:v>CircleFriendo, HamOfJustice, sio-kedelic</x:v>
      </x:c>
      <x:c r="D917" t="n">
        <x:v>21</x:v>
      </x:c>
      <x:c r="E917" t="str">
        <x:v>Casual</x:v>
      </x:c>
      <x:c r="F917" t="str">
        <x:v>Standard</x:v>
      </x:c>
      <x:c r="G917" t="n">
        <x:v>45648</x:v>
      </x:c>
      <x:c r="H917" t="str">
        <x:v>38927</x:v>
      </x:c>
      <x:c r="I917" t="str">
        <x:v>https://www.smwcentral.net/?a=details&amp;id=38927&amp;p=section</x:v>
      </x:c>
      <x:c r="J917" t="str">
        <x:v>https://dl.smwcentral.net/38927/marioandfriends2.zip</x:v>
      </x:c>
    </x:row>
    <x:row r="918">
      <x:c r="A918" t="str">
        <x:v>Mario &amp; La Sphère de Toad 2</x:v>
      </x:c>
      <x:c r="B918" t="str">
        <x:v>Mario &amp; La Sphère de Toad 2</x:v>
      </x:c>
      <x:c r="C918" t="str">
        <x:v>Aurel509</x:v>
      </x:c>
      <x:c r="D918" t="n">
        <x:v>26</x:v>
      </x:c>
      <x:c r="E918" t="str">
        <x:v>Casual</x:v>
      </x:c>
      <x:c r="F918" t="str">
        <x:v>Standard</x:v>
      </x:c>
      <x:c r="G918" t="n">
        <x:v>41821</x:v>
      </x:c>
      <x:c r="H918" t="str">
        <x:v>6809</x:v>
      </x:c>
      <x:c r="I918" t="str">
        <x:v>https://www.smwcentral.net/?a=details&amp;id=6809&amp;p=section</x:v>
      </x:c>
      <x:c r="J918" t="str">
        <x:v>https://dl.smwcentral.net/6809/Mario%20%26%20la%20sph%C3%A8re%20de%20Toad%20Demo%202%20%28%20V.0.6%29%20Fixed%20%20bugs%20%282%29.zip</x:v>
      </x:c>
    </x:row>
    <x:row r="919">
      <x:c r="A919" t="str">
        <x:v>Mario &amp; Luigi - Mecha Koopa Mayhem</x:v>
      </x:c>
      <x:c r="B919" t="str">
        <x:v>Mario &amp; Luigi - Mecha Koopa Mayhem</x:v>
      </x:c>
      <x:c r="C919" t="str">
        <x:v>Kitikuchan, Kusamochi, This Eye o' Mine</x:v>
      </x:c>
      <x:c r="D919" t="n">
        <x:v>7</x:v>
      </x:c>
      <x:c r="E919" t="str">
        <x:v>Casual</x:v>
      </x:c>
      <x:c r="F919" t="str">
        <x:v>Standard</x:v>
      </x:c>
      <x:c r="G919" t="n">
        <x:v>44676</x:v>
      </x:c>
      <x:c r="H919" t="str">
        <x:v>29716</x:v>
      </x:c>
      <x:c r="I919" t="str">
        <x:v>https://www.smwcentral.net/?a=details&amp;id=29716&amp;p=section</x:v>
      </x:c>
      <x:c r="J919" t="str">
        <x:v>https://dl.smwcentral.net/29716/Mecha_Koopa_Mayhem_v1.21.zip</x:v>
      </x:c>
    </x:row>
    <x:row r="920">
      <x:c r="A920" t="str">
        <x:v>Mario &amp; Luigi DOS Remake</x:v>
      </x:c>
      <x:c r="B920" t="str">
        <x:v>Mario &amp; Luigi DOS Remake</x:v>
      </x:c>
      <x:c r="C920" t="str">
        <x:v>Superjustinbros</x:v>
      </x:c>
      <x:c r="D920" t="n">
        <x:v>6</x:v>
      </x:c>
      <x:c r="E920" t="str">
        <x:v>Newcomer</x:v>
      </x:c>
      <x:c r="F920" t="str">
        <x:v>Standard</x:v>
      </x:c>
      <x:c r="G920" t="n">
        <x:v>42108</x:v>
      </x:c>
      <x:c r="H920" t="str">
        <x:v>10092</x:v>
      </x:c>
      <x:c r="I920" t="str">
        <x:v>https://www.smwcentral.net/?a=details&amp;id=10092&amp;p=section</x:v>
      </x:c>
      <x:c r="J920" t="str">
        <x:v>https://dl.smwcentral.net/10092/Mario%20%26%20Luigi%20DOSv2.ips.zip</x:v>
      </x:c>
    </x:row>
    <x:row r="921">
      <x:c r="A921" t="str">
        <x:v>Mario &amp; Luigi: Adventures</x:v>
      </x:c>
      <x:c r="B921" t="str">
        <x:v>Mario &amp; Luigi: Adventures</x:v>
      </x:c>
      <x:c r="C921" t="str">
        <x:v>Marioman</x:v>
      </x:c>
      <x:c r="D921" t="n">
        <x:v>5</x:v>
      </x:c>
      <x:c r="E921" t="str">
        <x:v>Newcomer</x:v>
      </x:c>
      <x:c r="F921" t="str">
        <x:v>Standard</x:v>
      </x:c>
      <x:c r="G921" t="n">
        <x:v>42229</x:v>
      </x:c>
      <x:c r="H921" t="str">
        <x:v>9856</x:v>
      </x:c>
      <x:c r="I921" t="str">
        <x:v>https://www.smwcentral.net/?a=details&amp;id=9856&amp;p=section</x:v>
      </x:c>
      <x:c r="J921" t="str">
        <x:v>https://dl.smwcentral.net/9856/M%26L%20Adventures.zip</x:v>
      </x:c>
    </x:row>
    <x:row r="922">
      <x:c r="A922" t="str">
        <x:v>Mario &amp; Luigi: Kola Kingdom Quest</x:v>
      </x:c>
      <x:c r="B922" t="str">
        <x:v>Mario &amp; Luigi: Kola Kingdom Quest</x:v>
      </x:c>
      <x:c r="C922" t="str">
        <x:v>Gamma V</x:v>
      </x:c>
      <x:c r="D922" t="n">
        <x:v>86</x:v>
      </x:c>
      <x:c r="E922" t="str">
        <x:v>Casual</x:v>
      </x:c>
      <x:c r="F922" t="str">
        <x:v>Standard</x:v>
      </x:c>
      <x:c r="G922" t="n">
        <x:v>42939</x:v>
      </x:c>
      <x:c r="H922" t="str">
        <x:v>15940</x:v>
      </x:c>
      <x:c r="I922" t="str">
        <x:v>https://www.smwcentral.net/?a=details&amp;id=15940&amp;p=section</x:v>
      </x:c>
      <x:c r="J922" t="str">
        <x:v>https://dl.smwcentral.net/15940/KKQFixedIntros.zip</x:v>
      </x:c>
    </x:row>
    <x:row r="923">
      <x:c r="A923" t="str">
        <x:v>Mario &amp; Luigi: Power Blast</x:v>
      </x:c>
      <x:c r="B923" t="str">
        <x:v>Mario &amp; Luigi: Power Blast</x:v>
      </x:c>
      <x:c r="C923" t="str">
        <x:v>FridayFables</x:v>
      </x:c>
      <x:c r="D923" t="n">
        <x:v>16</x:v>
      </x:c>
      <x:c r="E923" t="str">
        <x:v>Intermediate</x:v>
      </x:c>
      <x:c r="F923" t="str">
        <x:v>Standard</x:v>
      </x:c>
      <x:c r="G923" t="n">
        <x:v>43373</x:v>
      </x:c>
      <x:c r="H923" t="str">
        <x:v>18162</x:v>
      </x:c>
      <x:c r="I923" t="str">
        <x:v>https://www.smwcentral.net/?a=details&amp;id=18162&amp;p=section</x:v>
      </x:c>
      <x:c r="J923" t="str">
        <x:v>https://dl.smwcentral.net/18162/MarioLuigiPowerBlastDemo.zip</x:v>
      </x:c>
    </x:row>
    <x:row r="924">
      <x:c r="A924" t="str">
        <x:v>Mario &amp; Luigi: Starlight Island Adventure</x:v>
      </x:c>
      <x:c r="B924" t="str">
        <x:v>Mario &amp; Luigi: Starlight Island Adventure</x:v>
      </x:c>
      <x:c r="C924" t="str">
        <x:v>Gamma V</x:v>
      </x:c>
      <x:c r="D924" t="n">
        <x:v>44</x:v>
      </x:c>
      <x:c r="E924" t="str">
        <x:v>Casual</x:v>
      </x:c>
      <x:c r="F924" t="str">
        <x:v>Standard</x:v>
      </x:c>
      <x:c r="G924" t="n">
        <x:v>42334</x:v>
      </x:c>
      <x:c r="H924" t="str">
        <x:v>12162</x:v>
      </x:c>
      <x:c r="I924" t="str">
        <x:v>https://www.smwcentral.net/?a=details&amp;id=12162&amp;p=section</x:v>
      </x:c>
      <x:c r="J924" t="str">
        <x:v>https://dl.smwcentral.net/12162/Starlight%20Island%20Adventure.zip</x:v>
      </x:c>
    </x:row>
    <x:row r="925">
      <x:c r="A925" t="str">
        <x:v>Mario &amp; Waluigi: In Search of Luigi</x:v>
      </x:c>
      <x:c r="B925" t="str">
        <x:v>Mario &amp; Waluigi: In Search of Luigi</x:v>
      </x:c>
      <x:c r="C925" t="str">
        <x:v>Arinsu</x:v>
      </x:c>
      <x:c r="D925" t="n">
        <x:v>28</x:v>
      </x:c>
      <x:c r="E925" t="str">
        <x:v>Casual</x:v>
      </x:c>
      <x:c r="F925" t="str">
        <x:v>Standard</x:v>
      </x:c>
      <x:c r="G925" t="n">
        <x:v>42217</x:v>
      </x:c>
      <x:c r="H925" t="str">
        <x:v>11900</x:v>
      </x:c>
      <x:c r="I925" t="str">
        <x:v>https://www.smwcentral.net/?a=details&amp;id=11900&amp;p=section</x:v>
      </x:c>
      <x:c r="J925" t="str">
        <x:v>https://dl.smwcentral.net/11900/M%26W%20-%20ISoL.zip</x:v>
      </x:c>
    </x:row>
    <x:row r="926">
      <x:c r="A926" t="str">
        <x:v>Mario - Crazy Adventures 1: Lost in Subcoony World</x:v>
      </x:c>
      <x:c r="B926" t="str">
        <x:v>Mario - Crazy Adventures 1: Lost in Subcoony World</x:v>
      </x:c>
      <x:c r="C926" t="str">
        <x:v>Major Flare</x:v>
      </x:c>
      <x:c r="D926" t="n">
        <x:v>8</x:v>
      </x:c>
      <x:c r="E926" t="str">
        <x:v>Newcomer</x:v>
      </x:c>
      <x:c r="F926" t="str">
        <x:v>Standard</x:v>
      </x:c>
      <x:c r="G926" t="n">
        <x:v>41528</x:v>
      </x:c>
      <x:c r="H926" t="str">
        <x:v>5276</x:v>
      </x:c>
      <x:c r="I926" t="str">
        <x:v>https://www.smwcentral.net/?a=details&amp;id=5276&amp;p=section</x:v>
      </x:c>
      <x:c r="J926" t="str">
        <x:v>https://dl.smwcentral.net/5276/Crazy%20adventure%20demo%201.zip</x:v>
      </x:c>
    </x:row>
    <x:row r="927">
      <x:c r="A927" t="str">
        <x:v>Mario - The Currently Unnamed Hack</x:v>
      </x:c>
      <x:c r="B927" t="str">
        <x:v>Mario - The Currently Unnamed Hack</x:v>
      </x:c>
      <x:c r="C927" t="str">
        <x:v>Halzyn</x:v>
      </x:c>
      <x:c r="D927" t="n">
        <x:v>6</x:v>
      </x:c>
      <x:c r="E927" t="str">
        <x:v>Intermediate</x:v>
      </x:c>
      <x:c r="F927" t="str">
        <x:v>Standard</x:v>
      </x:c>
      <x:c r="G927" t="n">
        <x:v>42217</x:v>
      </x:c>
      <x:c r="H927" t="str">
        <x:v>9837</x:v>
      </x:c>
      <x:c r="I927" t="str">
        <x:v>https://www.smwcentral.net/?a=details&amp;id=9837&amp;p=section</x:v>
      </x:c>
      <x:c r="J927" t="str">
        <x:v>https://dl.smwcentral.net/9837/mario%20-%20tcuh.zip</x:v>
      </x:c>
    </x:row>
    <x:row r="928">
      <x:c r="A928" t="str">
        <x:v>Mario - The Mystical Gem</x:v>
      </x:c>
      <x:c r="B928" t="str">
        <x:v>Mario - The Mystical Gem</x:v>
      </x:c>
      <x:c r="C928" t="str">
        <x:v>Mr. MS</x:v>
      </x:c>
      <x:c r="D928" t="n">
        <x:v>35</x:v>
      </x:c>
      <x:c r="E928" t="str">
        <x:v>Casual</x:v>
      </x:c>
      <x:c r="F928" t="str">
        <x:v>Standard</x:v>
      </x:c>
      <x:c r="G928" t="n">
        <x:v>45349</x:v>
      </x:c>
      <x:c r="H928" t="str">
        <x:v>36967</x:v>
      </x:c>
      <x:c r="I928" t="str">
        <x:v>https://www.smwcentral.net/?a=details&amp;id=36967&amp;p=section</x:v>
      </x:c>
      <x:c r="J928" t="str">
        <x:v>https://dl.smwcentral.net/36967/MTMGR1_8.zip</x:v>
      </x:c>
    </x:row>
    <x:row r="929">
      <x:c r="A929" t="str">
        <x:v>MARIO [SMWC #6416]</x:v>
      </x:c>
      <x:c r="B929" t="str">
        <x:v>MARIO</x:v>
      </x:c>
      <x:c r="C929" t="str">
        <x:v>Adam, M A R I O</x:v>
      </x:c>
      <x:c r="D929" t="n">
        <x:v>7</x:v>
      </x:c>
      <x:c r="E929" t="str">
        <x:v>Newcomer</x:v>
      </x:c>
      <x:c r="F929" t="str">
        <x:v>Standard</x:v>
      </x:c>
      <x:c r="G929" t="n">
        <x:v>41714</x:v>
      </x:c>
      <x:c r="H929" t="str">
        <x:v>6416</x:v>
      </x:c>
      <x:c r="I929" t="str">
        <x:v>https://www.smwcentral.net/?a=details&amp;id=6416&amp;p=section</x:v>
      </x:c>
      <x:c r="J929" t="str">
        <x:v>https://dl.smwcentral.net/6416/MARIO.zip</x:v>
      </x:c>
    </x:row>
    <x:row r="930">
      <x:c r="A930" t="str">
        <x:v>Mario [SMWC #9891]</x:v>
      </x:c>
      <x:c r="B930" t="str">
        <x:v>Mario</x:v>
      </x:c>
      <x:c r="C930" t="str">
        <x:v>UmbreonRomReviews</x:v>
      </x:c>
      <x:c r="D930" t="n">
        <x:v>5</x:v>
      </x:c>
      <x:c r="E930" t="str">
        <x:v>Newcomer</x:v>
      </x:c>
      <x:c r="F930" t="str">
        <x:v>Standard</x:v>
      </x:c>
      <x:c r="G930" t="n">
        <x:v>42237</x:v>
      </x:c>
      <x:c r="H930" t="str">
        <x:v>9891</x:v>
      </x:c>
      <x:c r="I930" t="str">
        <x:v>https://www.smwcentral.net/?a=details&amp;id=9891&amp;p=section</x:v>
      </x:c>
      <x:c r="J930" t="str">
        <x:v>https://dl.smwcentral.net/9891/Mario.zip</x:v>
      </x:c>
    </x:row>
    <x:row r="931">
      <x:c r="A931" t="str">
        <x:v>Mario and Friends in: The Ghost's Gallery</x:v>
      </x:c>
      <x:c r="B931" t="str">
        <x:v>Mario and Friends in: The Ghost's Gallery</x:v>
      </x:c>
      <x:c r="C931" t="str">
        <x:v>CircleFriendo, HamOfJustice, sio-kedelic</x:v>
      </x:c>
      <x:c r="D931" t="n">
        <x:v>1</x:v>
      </x:c>
      <x:c r="E931" t="str">
        <x:v>Casual</x:v>
      </x:c>
      <x:c r="F931" t="str">
        <x:v>Standard</x:v>
      </x:c>
      <x:c r="G931" t="n">
        <x:v>44565</x:v>
      </x:c>
      <x:c r="H931" t="str">
        <x:v>29048</x:v>
      </x:c>
      <x:c r="I931" t="str">
        <x:v>https://www.smwcentral.net/?a=details&amp;id=29048&amp;p=section</x:v>
      </x:c>
      <x:c r="J931" t="str">
        <x:v>https://dl.smwcentral.net/29048/marioandfriends.zip</x:v>
      </x:c>
    </x:row>
    <x:row r="932">
      <x:c r="A932" t="str">
        <x:v>Mario and Luigi Go to White Castle</x:v>
      </x:c>
      <x:c r="B932" t="str">
        <x:v>Mario and Luigi Go to White Castle</x:v>
      </x:c>
      <x:c r="C932" t="str">
        <x:v>Scrambles_</x:v>
      </x:c>
      <x:c r="D932" t="n">
        <x:v>1</x:v>
      </x:c>
      <x:c r="E932" t="str">
        <x:v>Advanced</x:v>
      </x:c>
      <x:c r="F932" t="str">
        <x:v>Kaizo</x:v>
      </x:c>
      <x:c r="G932" t="n">
        <x:v>44492</x:v>
      </x:c>
      <x:c r="H932" t="str">
        <x:v>28604</x:v>
      </x:c>
      <x:c r="I932" t="str">
        <x:v>https://www.smwcentral.net/?a=details&amp;id=28604&amp;p=section</x:v>
      </x:c>
      <x:c r="J932" t="str">
        <x:v>https://dl.smwcentral.net/28604/White%20Castle.zip</x:v>
      </x:c>
    </x:row>
    <x:row r="933">
      <x:c r="A933" t="str">
        <x:v>Mario and Luigi in an Unknown Island [SMWC #23496]</x:v>
      </x:c>
      <x:c r="B933" t="str">
        <x:v>Mario and Luigi in an Unknown Island</x:v>
      </x:c>
      <x:c r="C933" t="str">
        <x:v>MirrorReflect</x:v>
      </x:c>
      <x:c r="D933" t="n">
        <x:v>12</x:v>
      </x:c>
      <x:c r="E933" t="str">
        <x:v>Casual</x:v>
      </x:c>
      <x:c r="F933" t="str">
        <x:v>Standard</x:v>
      </x:c>
      <x:c r="G933" t="n">
        <x:v>44012</x:v>
      </x:c>
      <x:c r="H933" t="str">
        <x:v>23496</x:v>
      </x:c>
      <x:c r="I933" t="str">
        <x:v>https://www.smwcentral.net/?a=details&amp;id=23496&amp;p=section</x:v>
      </x:c>
      <x:c r="J933" t="str">
        <x:v>https://dl.smwcentral.net/23496/Mario%20and%20Luigi%20in%20an%20Unknown%20Island.zip</x:v>
      </x:c>
    </x:row>
    <x:row r="934">
      <x:c r="A934" t="str">
        <x:v>Mario and Luigi in an Unknown Island [SMWC #34207]</x:v>
      </x:c>
      <x:c r="B934" t="str">
        <x:v>Mario and Luigi in an Unknown Island</x:v>
      </x:c>
      <x:c r="C934" t="str">
        <x:v>MirrorReflect</x:v>
      </x:c>
      <x:c r="D934" t="n">
        <x:v>33</x:v>
      </x:c>
      <x:c r="E934" t="str">
        <x:v>Casual</x:v>
      </x:c>
      <x:c r="F934" t="str">
        <x:v>Standard</x:v>
      </x:c>
      <x:c r="G934" t="n">
        <x:v>45109</x:v>
      </x:c>
      <x:c r="H934" t="str">
        <x:v>34207</x:v>
      </x:c>
      <x:c r="I934" t="str">
        <x:v>https://www.smwcentral.net/?a=details&amp;id=34207&amp;p=section</x:v>
      </x:c>
      <x:c r="J934" t="str">
        <x:v>https://dl.smwcentral.net/34207/Mario%20and%20Luigi%20in%20an%20Unknown%20Island.zip</x:v>
      </x:c>
    </x:row>
    <x:row r="935">
      <x:c r="A935" t="str">
        <x:v>Mario and Luigi in an Unknown Island [SMWC #40092]</x:v>
      </x:c>
      <x:c r="B935" t="str">
        <x:v>Mario and Luigi in an Unknown Island</x:v>
      </x:c>
      <x:c r="C935" t="str">
        <x:v>MirrorReflect</x:v>
      </x:c>
      <x:c r="D935" t="n">
        <x:v>40</x:v>
      </x:c>
      <x:c r="E935" t="str">
        <x:v>Intermediate</x:v>
      </x:c>
      <x:c r="F935" t="str">
        <x:v>Standard</x:v>
      </x:c>
      <x:c r="G935" t="n">
        <x:v>45851</x:v>
      </x:c>
      <x:c r="H935" t="str">
        <x:v>40092</x:v>
      </x:c>
      <x:c r="I935" t="str">
        <x:v>https://www.smwcentral.net/?a=details&amp;id=40092&amp;p=section</x:v>
      </x:c>
      <x:c r="J935" t="str">
        <x:v>https://dl.smwcentral.net/40092/M%26L%20UI.zip</x:v>
      </x:c>
    </x:row>
    <x:row r="936">
      <x:c r="A936" t="str">
        <x:v>Mario and luigi MEGA Adventure 1</x:v>
      </x:c>
      <x:c r="B936" t="str">
        <x:v>Mario and luigi MEGA Adventure 1</x:v>
      </x:c>
      <x:c r="C936" t="str">
        <x:v>Master mario 27</x:v>
      </x:c>
      <x:c r="D936" t="n">
        <x:v>6</x:v>
      </x:c>
      <x:c r="E936" t="str">
        <x:v>Casual</x:v>
      </x:c>
      <x:c r="F936" t="str">
        <x:v>Standard</x:v>
      </x:c>
      <x:c r="G936" t="n">
        <x:v>42338</x:v>
      </x:c>
      <x:c r="H936" t="str">
        <x:v>10137</x:v>
      </x:c>
      <x:c r="I936" t="str">
        <x:v>https://www.smwcentral.net/?a=details&amp;id=10137&amp;p=section</x:v>
      </x:c>
      <x:c r="J936" t="str">
        <x:v>https://dl.smwcentral.net/10137/Mario%20and%20Luigi%20MEGA%20Adventure%201%20Demo%202.0.zip</x:v>
      </x:c>
    </x:row>
    <x:row r="937">
      <x:c r="A937" t="str">
        <x:v>Mario And Luigi: Super Berry World</x:v>
      </x:c>
      <x:c r="B937" t="str">
        <x:v>Mario And Luigi: Super Berry World</x:v>
      </x:c>
      <x:c r="C937" t="str">
        <x:v>LeonDragonCat, ViralTyphlosion</x:v>
      </x:c>
      <x:c r="D937" t="n">
        <x:v>8</x:v>
      </x:c>
      <x:c r="E937" t="str">
        <x:v>Casual</x:v>
      </x:c>
      <x:c r="F937" t="str">
        <x:v>Standard</x:v>
      </x:c>
      <x:c r="G937" t="n">
        <x:v>42872</x:v>
      </x:c>
      <x:c r="H937" t="str">
        <x:v>15571</x:v>
      </x:c>
      <x:c r="I937" t="str">
        <x:v>https://www.smwcentral.net/?a=details&amp;id=15571&amp;p=section</x:v>
      </x:c>
      <x:c r="J937" t="str">
        <x:v>https://dl.smwcentral.net/15571/Mario%20and%20Luigi%20Super%20Berry%20World%20First%20Demo.zip</x:v>
      </x:c>
    </x:row>
    <x:row r="938">
      <x:c r="A938" t="str">
        <x:v>Mario and The 5 Golden Eggs</x:v>
      </x:c>
      <x:c r="B938" t="str">
        <x:v>Mario and The 5 Golden Eggs</x:v>
      </x:c>
      <x:c r="C938" t="str">
        <x:v>Zildjian</x:v>
      </x:c>
      <x:c r="D938" t="n">
        <x:v>6</x:v>
      </x:c>
      <x:c r="E938" t="str">
        <x:v>Casual</x:v>
      </x:c>
      <x:c r="F938" t="str">
        <x:v>Standard</x:v>
      </x:c>
      <x:c r="G938" t="n">
        <x:v>42214</x:v>
      </x:c>
      <x:c r="H938" t="str">
        <x:v>10098</x:v>
      </x:c>
      <x:c r="I938" t="str">
        <x:v>https://www.smwcentral.net/?a=details&amp;id=10098&amp;p=section</x:v>
      </x:c>
      <x:c r="J938" t="str">
        <x:v>https://dl.smwcentral.net/10098/Mario%20and%20the%205%20Golden%20Eggs.zip</x:v>
      </x:c>
    </x:row>
    <x:row r="939">
      <x:c r="A939" t="str">
        <x:v>Mario and the Cursed Coins</x:v>
      </x:c>
      <x:c r="B939" t="str">
        <x:v>Mario and the Cursed Coins</x:v>
      </x:c>
      <x:c r="C939" t="str">
        <x:v>RedboneBit</x:v>
      </x:c>
      <x:c r="D939" t="n">
        <x:v>3</x:v>
      </x:c>
      <x:c r="E939" t="str">
        <x:v>Casual</x:v>
      </x:c>
      <x:c r="F939" t="str">
        <x:v>Standard</x:v>
      </x:c>
      <x:c r="G939" t="n">
        <x:v>42153</x:v>
      </x:c>
      <x:c r="H939" t="str">
        <x:v>9913</x:v>
      </x:c>
      <x:c r="I939" t="str">
        <x:v>https://www.smwcentral.net/?a=details&amp;id=9913&amp;p=section</x:v>
      </x:c>
      <x:c r="J939" t="str">
        <x:v>https://dl.smwcentral.net/9913/CursedCoinsSampler.zip</x:v>
      </x:c>
    </x:row>
    <x:row r="940">
      <x:c r="A940" t="str">
        <x:v>Mario And The Diamond Moon</x:v>
      </x:c>
      <x:c r="B940" t="str">
        <x:v>Mario And The Diamond Moon</x:v>
      </x:c>
      <x:c r="C940" t="str">
        <x:v>Enan63</x:v>
      </x:c>
      <x:c r="D940" t="n">
        <x:v>8</x:v>
      </x:c>
      <x:c r="E940" t="str">
        <x:v>Intermediate</x:v>
      </x:c>
      <x:c r="F940" t="str">
        <x:v>Standard</x:v>
      </x:c>
      <x:c r="G940" t="n">
        <x:v>45725</x:v>
      </x:c>
      <x:c r="H940" t="str">
        <x:v>39488</x:v>
      </x:c>
      <x:c r="I940" t="str">
        <x:v>https://www.smwcentral.net/?a=details&amp;id=39488&amp;p=section</x:v>
      </x:c>
      <x:c r="J940" t="str">
        <x:v>https://dl.smwcentral.net/39488/Mario%27s%20And%20The%20Diamond%20Moon.zip</x:v>
      </x:c>
    </x:row>
    <x:row r="941">
      <x:c r="A941" t="str">
        <x:v>Mario and the Forgotten Flower</x:v>
      </x:c>
      <x:c r="B941" t="str">
        <x:v>Mario and the Forgotten Flower</x:v>
      </x:c>
      <x:c r="C941" t="str">
        <x:v>Kh2playa</x:v>
      </x:c>
      <x:c r="D941" t="n">
        <x:v>5</x:v>
      </x:c>
      <x:c r="E941" t="str">
        <x:v>Casual</x:v>
      </x:c>
      <x:c r="F941" t="str">
        <x:v>Standard</x:v>
      </x:c>
      <x:c r="G941" t="n">
        <x:v>42236</x:v>
      </x:c>
      <x:c r="H941" t="str">
        <x:v>9846</x:v>
      </x:c>
      <x:c r="I941" t="str">
        <x:v>https://www.smwcentral.net/?a=details&amp;id=9846&amp;p=section</x:v>
      </x:c>
      <x:c r="J941" t="str">
        <x:v>https://dl.smwcentral.net/9846/Mario%20forgotten%20flower.zip</x:v>
      </x:c>
    </x:row>
    <x:row r="942">
      <x:c r="A942" t="str">
        <x:v>Mario And The Golden Star</x:v>
      </x:c>
      <x:c r="B942" t="str">
        <x:v>Mario And The Golden Star</x:v>
      </x:c>
      <x:c r="C942" t="str">
        <x:v>Enan63</x:v>
      </x:c>
      <x:c r="D942" t="n">
        <x:v>7</x:v>
      </x:c>
      <x:c r="E942" t="str">
        <x:v>Intermediate</x:v>
      </x:c>
      <x:c r="F942" t="str">
        <x:v>Standard</x:v>
      </x:c>
      <x:c r="G942" t="n">
        <x:v>46075</x:v>
      </x:c>
      <x:c r="H942" t="str">
        <x:v>41605</x:v>
      </x:c>
      <x:c r="I942" t="str">
        <x:v>https://www.smwcentral.net/?a=details&amp;id=41605&amp;p=section</x:v>
      </x:c>
      <x:c r="J942" t="str">
        <x:v>https://dl.smwcentral.net/41605/Mario%20And%20The%20Golden%20Star.zip</x:v>
      </x:c>
    </x:row>
    <x:row r="943">
      <x:c r="A943" t="str">
        <x:v>Mario and the Haunted Forest 2: Kamek's Return</x:v>
      </x:c>
      <x:c r="B943" t="str">
        <x:v>Mario and the Haunted Forest 2: Kamek's Return</x:v>
      </x:c>
      <x:c r="C943" t="str">
        <x:v>Mr.GameAndWatch</x:v>
      </x:c>
      <x:c r="D943" t="n">
        <x:v>11</x:v>
      </x:c>
      <x:c r="E943" t="str">
        <x:v>Newcomer</x:v>
      </x:c>
      <x:c r="F943" t="str">
        <x:v>Standard</x:v>
      </x:c>
      <x:c r="G943" t="n">
        <x:v>42091</x:v>
      </x:c>
      <x:c r="H943" t="str">
        <x:v>9802</x:v>
      </x:c>
      <x:c r="I943" t="str">
        <x:v>https://www.smwcentral.net/?a=details&amp;id=9802&amp;p=section</x:v>
      </x:c>
      <x:c r="J943" t="str">
        <x:v>https://dl.smwcentral.net/9802/MATHF%20DEMO%201.1.zip</x:v>
      </x:c>
    </x:row>
    <x:row r="944">
      <x:c r="A944" t="str">
        <x:v>Mario and the Kaizo Trials</x:v>
      </x:c>
      <x:c r="B944" t="str">
        <x:v>Mario and the Kaizo Trials</x:v>
      </x:c>
      <x:c r="C944" t="str">
        <x:v>PedroHrodrigues</x:v>
      </x:c>
      <x:c r="D944" t="n">
        <x:v>18</x:v>
      </x:c>
      <x:c r="E944" t="str">
        <x:v>Advanced</x:v>
      </x:c>
      <x:c r="F944" t="str">
        <x:v>Kaizo</x:v>
      </x:c>
      <x:c r="G944" t="n">
        <x:v>43957</x:v>
      </x:c>
      <x:c r="H944" t="str">
        <x:v>22897</x:v>
      </x:c>
      <x:c r="I944" t="str">
        <x:v>https://www.smwcentral.net/?a=details&amp;id=22897&amp;p=section</x:v>
      </x:c>
      <x:c r="J944" t="str">
        <x:v>https://dl.smwcentral.net/22897/MarioAndTheKaizoTrials.zip</x:v>
      </x:c>
    </x:row>
    <x:row r="945">
      <x:c r="A945" t="str">
        <x:v>Mario and the Magic Switches</x:v>
      </x:c>
      <x:c r="B945" t="str">
        <x:v>Mario and the Magic Switches</x:v>
      </x:c>
      <x:c r="C945" t="str">
        <x:v>yoshiapplecachetitos</x:v>
      </x:c>
      <x:c r="D945" t="n">
        <x:v>8</x:v>
      </x:c>
      <x:c r="E945" t="str">
        <x:v>Casual</x:v>
      </x:c>
      <x:c r="F945" t="str">
        <x:v>Standard</x:v>
      </x:c>
      <x:c r="G945" t="n">
        <x:v>42315</x:v>
      </x:c>
      <x:c r="H945" t="str">
        <x:v>10179</x:v>
      </x:c>
      <x:c r="I945" t="str">
        <x:v>https://www.smwcentral.net/?a=details&amp;id=10179&amp;p=section</x:v>
      </x:c>
      <x:c r="J945" t="str">
        <x:v>https://dl.smwcentral.net/10179/Mario%20and%20the%20Magic%20Switches%20v1.2.zip</x:v>
      </x:c>
    </x:row>
    <x:row r="946">
      <x:c r="A946" t="str">
        <x:v>Mario and the Mushroom of Power</x:v>
      </x:c>
      <x:c r="B946" t="str">
        <x:v>Mario and the Mushroom of Power</x:v>
      </x:c>
      <x:c r="C946" t="str">
        <x:v>SafeDesire</x:v>
      </x:c>
      <x:c r="D946" t="n">
        <x:v>12</x:v>
      </x:c>
      <x:c r="E946" t="str">
        <x:v>Casual</x:v>
      </x:c>
      <x:c r="F946" t="str">
        <x:v>Standard</x:v>
      </x:c>
      <x:c r="G946" t="n">
        <x:v>42224</x:v>
      </x:c>
      <x:c r="H946" t="str">
        <x:v>9851</x:v>
      </x:c>
      <x:c r="I946" t="str">
        <x:v>https://www.smwcentral.net/?a=details&amp;id=9851&amp;p=section</x:v>
      </x:c>
      <x:c r="J946" t="str">
        <x:v>https://dl.smwcentral.net/9851/Mario%20and%20The%20Mushroom%20of%20Power.zip</x:v>
      </x:c>
    </x:row>
    <x:row r="947">
      <x:c r="A947" t="str">
        <x:v>Mario and the Mysterious Robot</x:v>
      </x:c>
      <x:c r="B947" t="str">
        <x:v>Mario and the Mysterious Robot</x:v>
      </x:c>
      <x:c r="C947" t="str">
        <x:v>Firebar</x:v>
      </x:c>
      <x:c r="D947" t="n">
        <x:v>10</x:v>
      </x:c>
      <x:c r="E947" t="str">
        <x:v>Casual</x:v>
      </x:c>
      <x:c r="F947" t="str">
        <x:v>Standard</x:v>
      </x:c>
      <x:c r="G947" t="n">
        <x:v>41569</x:v>
      </x:c>
      <x:c r="H947" t="str">
        <x:v>5113</x:v>
      </x:c>
      <x:c r="I947" t="str">
        <x:v>https://www.smwcentral.net/?a=details&amp;id=5113&amp;p=section</x:v>
      </x:c>
      <x:c r="J947" t="str">
        <x:v>https://dl.smwcentral.net/5113/MATMR%20hack.zip</x:v>
      </x:c>
    </x:row>
    <x:row r="948">
      <x:c r="A948" t="str">
        <x:v>Mario and the Parallel World</x:v>
      </x:c>
      <x:c r="B948" t="str">
        <x:v>Mario and the Parallel World</x:v>
      </x:c>
      <x:c r="C948" t="str">
        <x:v>mamlazizou</x:v>
      </x:c>
      <x:c r="D948" t="n">
        <x:v>7</x:v>
      </x:c>
      <x:c r="E948" t="str">
        <x:v>Casual</x:v>
      </x:c>
      <x:c r="F948" t="str">
        <x:v>Standard</x:v>
      </x:c>
      <x:c r="G948" t="n">
        <x:v>41998</x:v>
      </x:c>
      <x:c r="H948" t="str">
        <x:v>9618</x:v>
      </x:c>
      <x:c r="I948" t="str">
        <x:v>https://www.smwcentral.net/?a=details&amp;id=9618&amp;p=section</x:v>
      </x:c>
      <x:c r="J948" t="str">
        <x:v>https://dl.smwcentral.net/9618/Mario%20and%20the%20parallel%20world%20%5B%20FR%20%5D.zip</x:v>
      </x:c>
    </x:row>
    <x:row r="949">
      <x:c r="A949" t="str">
        <x:v>Mario and the Passage of Perils</x:v>
      </x:c>
      <x:c r="B949" t="str">
        <x:v>Mario and the Passage of Perils</x:v>
      </x:c>
      <x:c r="C949" t="str">
        <x:v>Crystal King</x:v>
      </x:c>
      <x:c r="D949" t="n">
        <x:v>4</x:v>
      </x:c>
      <x:c r="E949" t="str">
        <x:v>Intermediate</x:v>
      </x:c>
      <x:c r="F949" t="str">
        <x:v>Standard</x:v>
      </x:c>
      <x:c r="G949" t="n">
        <x:v>42163</x:v>
      </x:c>
      <x:c r="H949" t="str">
        <x:v>9917</x:v>
      </x:c>
      <x:c r="I949" t="str">
        <x:v>https://www.smwcentral.net/?a=details&amp;id=9917&amp;p=section</x:v>
      </x:c>
      <x:c r="J949" t="str">
        <x:v>https://dl.smwcentral.net/9917/PoP.zip</x:v>
      </x:c>
    </x:row>
    <x:row r="950">
      <x:c r="A950" t="str">
        <x:v>Mario and the Pipe of Challenges</x:v>
      </x:c>
      <x:c r="B950" t="str">
        <x:v>Mario and the Pipe of Challenges</x:v>
      </x:c>
      <x:c r="C950" t="str">
        <x:v>LuigiPikachu</x:v>
      </x:c>
      <x:c r="D950" t="n">
        <x:v>6</x:v>
      </x:c>
      <x:c r="E950" t="str">
        <x:v>Newcomer</x:v>
      </x:c>
      <x:c r="F950" t="str">
        <x:v>Standard</x:v>
      </x:c>
      <x:c r="G950" t="n">
        <x:v>42264</x:v>
      </x:c>
      <x:c r="H950" t="str">
        <x:v>9968</x:v>
      </x:c>
      <x:c r="I950" t="str">
        <x:v>https://www.smwcentral.net/?a=details&amp;id=9968&amp;p=section</x:v>
      </x:c>
      <x:c r="J950" t="str">
        <x:v>https://dl.smwcentral.net/9968/Mario%20and%20the%20pipe%20of%20challenges.zip</x:v>
      </x:c>
    </x:row>
    <x:row r="951">
      <x:c r="A951" t="str">
        <x:v>Mario and the Sphere of Toad - Reloaded</x:v>
      </x:c>
      <x:c r="B951" t="str">
        <x:v>Mario and the Sphere of Toad - Reloaded</x:v>
      </x:c>
      <x:c r="C951" t="str">
        <x:v>Aurel509</x:v>
      </x:c>
      <x:c r="D951" t="n">
        <x:v>7</x:v>
      </x:c>
      <x:c r="E951" t="str">
        <x:v>Casual</x:v>
      </x:c>
      <x:c r="F951" t="str">
        <x:v>Standard</x:v>
      </x:c>
      <x:c r="G951" t="n">
        <x:v>43435</x:v>
      </x:c>
      <x:c r="H951" t="str">
        <x:v>18437</x:v>
      </x:c>
      <x:c r="I951" t="str">
        <x:v>https://www.smwcentral.net/?a=details&amp;id=18437&amp;p=section</x:v>
      </x:c>
      <x:c r="J951" t="str">
        <x:v>https://dl.smwcentral.net/18437/MLSDT2R.zip</x:v>
      </x:c>
    </x:row>
    <x:row r="952">
      <x:c r="A952" t="str">
        <x:v>Mario and the Stolen Yoshi-Egg</x:v>
      </x:c>
      <x:c r="B952" t="str">
        <x:v>Mario and the Stolen Yoshi-Egg</x:v>
      </x:c>
      <x:c r="C952" t="str">
        <x:v>Humingbird96</x:v>
      </x:c>
      <x:c r="D952" t="n">
        <x:v>5</x:v>
      </x:c>
      <x:c r="E952" t="str">
        <x:v>Intermediate</x:v>
      </x:c>
      <x:c r="F952" t="str">
        <x:v>Standard</x:v>
      </x:c>
      <x:c r="G952" t="n">
        <x:v>42208</x:v>
      </x:c>
      <x:c r="H952" t="str">
        <x:v>9810</x:v>
      </x:c>
      <x:c r="I952" t="str">
        <x:v>https://www.smwcentral.net/?a=details&amp;id=9810&amp;p=section</x:v>
      </x:c>
      <x:c r="J952" t="str">
        <x:v>https://dl.smwcentral.net/9810/Mario%20and%20the%20stolen%20Yoshi%20egg.zip</x:v>
      </x:c>
    </x:row>
    <x:row r="953">
      <x:c r="A953" t="str">
        <x:v>Mario and the Thwomp</x:v>
      </x:c>
      <x:c r="B953" t="str">
        <x:v>Mario and the Thwomp</x:v>
      </x:c>
      <x:c r="C953" t="str">
        <x:v>Master S</x:v>
      </x:c>
      <x:c r="D953" t="n">
        <x:v>3</x:v>
      </x:c>
      <x:c r="E953" t="str">
        <x:v>Casual</x:v>
      </x:c>
      <x:c r="F953" t="str">
        <x:v>Standard</x:v>
      </x:c>
      <x:c r="G953" t="n">
        <x:v>42135</x:v>
      </x:c>
      <x:c r="H953" t="str">
        <x:v>9941</x:v>
      </x:c>
      <x:c r="I953" t="str">
        <x:v>https://www.smwcentral.net/?a=details&amp;id=9941&amp;p=section</x:v>
      </x:c>
      <x:c r="J953" t="str">
        <x:v>https://dl.smwcentral.net/9941/MATT%20Beta%20Demo.zip</x:v>
      </x:c>
    </x:row>
    <x:row r="954">
      <x:c r="A954" t="str">
        <x:v>Mario at the Kasranova Levels</x:v>
      </x:c>
      <x:c r="B954" t="str">
        <x:v>Mario at the Kasranova Levels</x:v>
      </x:c>
      <x:c r="C954" t="str">
        <x:v>OEO6</x:v>
      </x:c>
      <x:c r="D954" t="n">
        <x:v>8</x:v>
      </x:c>
      <x:c r="E954" t="str">
        <x:v>Casual</x:v>
      </x:c>
      <x:c r="F954" t="str">
        <x:v>Standard</x:v>
      </x:c>
      <x:c r="G954" t="n">
        <x:v>43548</x:v>
      </x:c>
      <x:c r="H954" t="str">
        <x:v>19357</x:v>
      </x:c>
      <x:c r="I954" t="str">
        <x:v>https://www.smwcentral.net/?a=details&amp;id=19357&amp;p=section</x:v>
      </x:c>
      <x:c r="J954" t="str">
        <x:v>https://dl.smwcentral.net/19357/Mario%20at%20the%20Kasranova%20Levels.zip</x:v>
      </x:c>
    </x:row>
    <x:row r="955">
      <x:c r="A955" t="str">
        <x:v>Mario at the Kasranova Levels 2: Imgelemden Hallice</x:v>
      </x:c>
      <x:c r="B955" t="str">
        <x:v>Mario at the Kasranova Levels 2: Imgelemden Hallice</x:v>
      </x:c>
      <x:c r="C955" t="str">
        <x:v>OEO6</x:v>
      </x:c>
      <x:c r="D955" t="n">
        <x:v>32</x:v>
      </x:c>
      <x:c r="E955" t="str">
        <x:v>Casual</x:v>
      </x:c>
      <x:c r="F955" t="str">
        <x:v>Standard</x:v>
      </x:c>
      <x:c r="G955" t="n">
        <x:v>43747</x:v>
      </x:c>
      <x:c r="H955" t="str">
        <x:v>21232</x:v>
      </x:c>
      <x:c r="I955" t="str">
        <x:v>https://www.smwcentral.net/?a=details&amp;id=21232&amp;p=section</x:v>
      </x:c>
      <x:c r="J955" t="str">
        <x:v>https://dl.smwcentral.net/21232/mario%20at%20the%20kasranova%20levels%202%20-%20imgelemden%20hallice.zip</x:v>
      </x:c>
    </x:row>
    <x:row r="956">
      <x:c r="A956" t="str">
        <x:v>Mario Bros Adventure Land</x:v>
      </x:c>
      <x:c r="B956" t="str">
        <x:v>Mario Bros Adventure Land</x:v>
      </x:c>
      <x:c r="C956" t="str">
        <x:v>Wind Fish</x:v>
      </x:c>
      <x:c r="D956" t="n">
        <x:v>7</x:v>
      </x:c>
      <x:c r="E956" t="str">
        <x:v>Casual</x:v>
      </x:c>
      <x:c r="F956" t="str">
        <x:v>Standard</x:v>
      </x:c>
      <x:c r="G956" t="n">
        <x:v>42338</x:v>
      </x:c>
      <x:c r="H956" t="str">
        <x:v>10206</x:v>
      </x:c>
      <x:c r="I956" t="str">
        <x:v>https://www.smwcentral.net/?a=details&amp;id=10206&amp;p=section</x:v>
      </x:c>
      <x:c r="J956" t="str">
        <x:v>https://dl.smwcentral.net/10206/MBAL_demo1.zip</x:v>
      </x:c>
    </x:row>
    <x:row r="957">
      <x:c r="A957" t="str">
        <x:v>Mario Brother World</x:v>
      </x:c>
      <x:c r="B957" t="str">
        <x:v>Mario Brother World</x:v>
      </x:c>
      <x:c r="C957" t="str">
        <x:v>Keypas</x:v>
      </x:c>
      <x:c r="D957" t="n">
        <x:v>17</x:v>
      </x:c>
      <x:c r="E957" t="str">
        <x:v>Casual</x:v>
      </x:c>
      <x:c r="F957" t="str">
        <x:v>Standard</x:v>
      </x:c>
      <x:c r="G957" t="n">
        <x:v>42252</x:v>
      </x:c>
      <x:c r="H957" t="str">
        <x:v>9971</x:v>
      </x:c>
      <x:c r="I957" t="str">
        <x:v>https://www.smwcentral.net/?a=details&amp;id=9971&amp;p=section</x:v>
      </x:c>
      <x:c r="J957" t="str">
        <x:v>https://dl.smwcentral.net/9971/MBW%20demo.zip</x:v>
      </x:c>
    </x:row>
    <x:row r="958">
      <x:c r="A958" t="str">
        <x:v>Mario Brother World 2</x:v>
      </x:c>
      <x:c r="B958" t="str">
        <x:v>Mario Brother World 2</x:v>
      </x:c>
      <x:c r="C958" t="str">
        <x:v>Keypas</x:v>
      </x:c>
      <x:c r="D958" t="n">
        <x:v>6</x:v>
      </x:c>
      <x:c r="E958" t="str">
        <x:v>Newcomer</x:v>
      </x:c>
      <x:c r="F958" t="str">
        <x:v>Standard</x:v>
      </x:c>
      <x:c r="G958" t="n">
        <x:v>42293</x:v>
      </x:c>
      <x:c r="H958" t="str">
        <x:v>10122</x:v>
      </x:c>
      <x:c r="I958" t="str">
        <x:v>https://www.smwcentral.net/?a=details&amp;id=10122&amp;p=section</x:v>
      </x:c>
      <x:c r="J958" t="str">
        <x:v>https://dl.smwcentral.net/10122/MBW2.zip</x:v>
      </x:c>
    </x:row>
    <x:row r="959">
      <x:c r="A959" t="str">
        <x:v>Mario Brothers Adventures</x:v>
      </x:c>
      <x:c r="B959" t="str">
        <x:v>Mario Brothers Adventures</x:v>
      </x:c>
      <x:c r="C959" t="str">
        <x:v>nintendofreck</x:v>
      </x:c>
      <x:c r="D959" t="n">
        <x:v>60</x:v>
      </x:c>
      <x:c r="E959" t="str">
        <x:v>Newcomer</x:v>
      </x:c>
      <x:c r="F959" t="str">
        <x:v>Standard</x:v>
      </x:c>
      <x:c r="G959" t="n">
        <x:v>42286</x:v>
      </x:c>
      <x:c r="H959" t="str">
        <x:v>10069</x:v>
      </x:c>
      <x:c r="I959" t="str">
        <x:v>https://www.smwcentral.net/?a=details&amp;id=10069&amp;p=section</x:v>
      </x:c>
      <x:c r="J959" t="str">
        <x:v>https://dl.smwcentral.net/10069/MBAV02.zip</x:v>
      </x:c>
    </x:row>
    <x:row r="960">
      <x:c r="A960" t="str">
        <x:v>Mario Curse Hunter</x:v>
      </x:c>
      <x:c r="B960" t="str">
        <x:v>Mario Curse Hunter</x:v>
      </x:c>
      <x:c r="C960" t="str">
        <x:v>TheGremlin</x:v>
      </x:c>
      <x:c r="D960" t="n">
        <x:v>11</x:v>
      </x:c>
      <x:c r="E960" t="str">
        <x:v>Intermediate</x:v>
      </x:c>
      <x:c r="F960" t="str">
        <x:v>Standard</x:v>
      </x:c>
      <x:c r="G960" t="n">
        <x:v>42231</x:v>
      </x:c>
      <x:c r="H960" t="str">
        <x:v>9852</x:v>
      </x:c>
      <x:c r="I960" t="str">
        <x:v>https://www.smwcentral.net/?a=details&amp;id=9852&amp;p=section</x:v>
      </x:c>
      <x:c r="J960" t="str">
        <x:v>https://dl.smwcentral.net/9852/Mario%20Curse%20Hunter%20Demo%201.5.zip</x:v>
      </x:c>
    </x:row>
    <x:row r="961">
      <x:c r="A961" t="str">
        <x:v>Mario Destroys the World</x:v>
      </x:c>
      <x:c r="B961" t="str">
        <x:v>Mario Destroys the World</x:v>
      </x:c>
      <x:c r="C961" t="str">
        <x:v>NobbyBop</x:v>
      </x:c>
      <x:c r="D961" t="n">
        <x:v>3</x:v>
      </x:c>
      <x:c r="E961" t="str">
        <x:v>Advanced</x:v>
      </x:c>
      <x:c r="F961" t="str">
        <x:v>Kaizo</x:v>
      </x:c>
      <x:c r="G961" t="n">
        <x:v>44584</x:v>
      </x:c>
      <x:c r="H961" t="str">
        <x:v>29559</x:v>
      </x:c>
      <x:c r="I961" t="str">
        <x:v>https://www.smwcentral.net/?a=details&amp;id=29559&amp;p=section</x:v>
      </x:c>
      <x:c r="J961" t="str">
        <x:v>https://dl.smwcentral.net/29559/Mario%20Destroys%20the%20World.zip</x:v>
      </x:c>
    </x:row>
    <x:row r="962">
      <x:c r="A962" t="str">
        <x:v>MARIO EN BUSCA DE LA MASTER EMERALD (DEMO WORLD 2)</x:v>
      </x:c>
      <x:c r="B962" t="str">
        <x:v>MARIO EN BUSCA DE LA MASTER EMERALD (DEMO WORLD 2)</x:v>
      </x:c>
      <x:c r="C962" t="str">
        <x:v>Reynner's</x:v>
      </x:c>
      <x:c r="D962" t="n">
        <x:v>12</x:v>
      </x:c>
      <x:c r="E962" t="str">
        <x:v>Casual</x:v>
      </x:c>
      <x:c r="F962" t="str">
        <x:v>Standard</x:v>
      </x:c>
      <x:c r="G962" t="n">
        <x:v>46035</x:v>
      </x:c>
      <x:c r="H962" t="str">
        <x:v>41397</x:v>
      </x:c>
      <x:c r="I962" t="str">
        <x:v>https://www.smwcentral.net/?a=details&amp;id=41397&amp;p=section</x:v>
      </x:c>
      <x:c r="J962" t="str">
        <x:v>https://dl.smwcentral.net/41397/MARIO.zip</x:v>
      </x:c>
    </x:row>
    <x:row r="963">
      <x:c r="A963" t="str">
        <x:v>Mario Explores the Sewers</x:v>
      </x:c>
      <x:c r="B963" t="str">
        <x:v>Mario Explores the Sewers</x:v>
      </x:c>
      <x:c r="C963" t="str">
        <x:v>Snifit</x:v>
      </x:c>
      <x:c r="D963" t="n">
        <x:v>7</x:v>
      </x:c>
      <x:c r="E963" t="str">
        <x:v>Intermediate</x:v>
      </x:c>
      <x:c r="F963" t="str">
        <x:v>Standard</x:v>
      </x:c>
      <x:c r="G963" t="n">
        <x:v>42003</x:v>
      </x:c>
      <x:c r="H963" t="str">
        <x:v>10018</x:v>
      </x:c>
      <x:c r="I963" t="str">
        <x:v>https://www.smwcentral.net/?a=details&amp;id=10018&amp;p=section</x:v>
      </x:c>
      <x:c r="J963" t="str">
        <x:v>https://dl.smwcentral.net/10018/MES.zip</x:v>
      </x:c>
    </x:row>
    <x:row r="964">
      <x:c r="A964" t="str">
        <x:v>Mario Frenzy</x:v>
      </x:c>
      <x:c r="B964" t="str">
        <x:v>Mario Frenzy</x:v>
      </x:c>
      <x:c r="C964" t="str">
        <x:v>RedToonLink</x:v>
      </x:c>
      <x:c r="D964" t="n">
        <x:v>16</x:v>
      </x:c>
      <x:c r="E964" t="str">
        <x:v>Intermediate</x:v>
      </x:c>
      <x:c r="F964" t="str">
        <x:v>Standard</x:v>
      </x:c>
      <x:c r="G964" t="n">
        <x:v>42255</x:v>
      </x:c>
      <x:c r="H964" t="str">
        <x:v>9764</x:v>
      </x:c>
      <x:c r="I964" t="str">
        <x:v>https://www.smwcentral.net/?a=details&amp;id=9764&amp;p=section</x:v>
      </x:c>
      <x:c r="J964" t="str">
        <x:v>https://dl.smwcentral.net/9764/MFDemoC3.zip</x:v>
      </x:c>
    </x:row>
    <x:row r="965">
      <x:c r="A965" t="str">
        <x:v>Mario Gives Up</x:v>
      </x:c>
      <x:c r="B965" t="str">
        <x:v>Mario Gives Up</x:v>
      </x:c>
      <x:c r="C965" t="str">
        <x:v>cyphermur9t</x:v>
      </x:c>
      <x:c r="D965" t="n">
        <x:v>86</x:v>
      </x:c>
      <x:c r="E965" t="str">
        <x:v>Intermediate</x:v>
      </x:c>
      <x:c r="F965" t="str">
        <x:v>Standard</x:v>
      </x:c>
      <x:c r="G965" t="n">
        <x:v>44255</x:v>
      </x:c>
      <x:c r="H965" t="str">
        <x:v>25573</x:v>
      </x:c>
      <x:c r="I965" t="str">
        <x:v>https://www.smwcentral.net/?a=details&amp;id=25573&amp;p=section</x:v>
      </x:c>
      <x:c r="J965" t="str">
        <x:v>https://dl.smwcentral.net/25573/Mario%20Gives%20Up.zip</x:v>
      </x:c>
    </x:row>
    <x:row r="966">
      <x:c r="A966" t="str">
        <x:v>Mario Gives Up 2</x:v>
      </x:c>
      <x:c r="B966" t="str">
        <x:v>Mario Gives Up 2</x:v>
      </x:c>
      <x:c r="C966" t="str">
        <x:v>cyphermur9t</x:v>
      </x:c>
      <x:c r="D966" t="n">
        <x:v>95</x:v>
      </x:c>
      <x:c r="E966" t="str">
        <x:v>Intermediate</x:v>
      </x:c>
      <x:c r="F966" t="str">
        <x:v>Standard</x:v>
      </x:c>
      <x:c r="G966" t="n">
        <x:v>44395</x:v>
      </x:c>
      <x:c r="H966" t="str">
        <x:v>26935</x:v>
      </x:c>
      <x:c r="I966" t="str">
        <x:v>https://www.smwcentral.net/?a=details&amp;id=26935&amp;p=section</x:v>
      </x:c>
      <x:c r="J966" t="str">
        <x:v>https://dl.smwcentral.net/26935/Mario%20Gives%20Up%202.zip</x:v>
      </x:c>
    </x:row>
    <x:row r="967">
      <x:c r="A967" t="str">
        <x:v>Mario Gives Up 3</x:v>
      </x:c>
      <x:c r="B967" t="str">
        <x:v>Mario Gives Up 3</x:v>
      </x:c>
      <x:c r="C967" t="str">
        <x:v>cyphermur9t</x:v>
      </x:c>
      <x:c r="D967" t="n">
        <x:v>95</x:v>
      </x:c>
      <x:c r="E967" t="str">
        <x:v>Intermediate</x:v>
      </x:c>
      <x:c r="F967" t="str">
        <x:v>Standard</x:v>
      </x:c>
      <x:c r="G967" t="n">
        <x:v>42349</x:v>
      </x:c>
      <x:c r="H967" t="str">
        <x:v>12826</x:v>
      </x:c>
      <x:c r="I967" t="str">
        <x:v>https://www.smwcentral.net/?a=details&amp;id=12826&amp;p=section</x:v>
      </x:c>
      <x:c r="J967" t="str">
        <x:v>https://dl.smwcentral.net/12826/MGU3.zip</x:v>
      </x:c>
    </x:row>
    <x:row r="968">
      <x:c r="A968" t="str">
        <x:v>Mario goes on an adventure for apparently no reason</x:v>
      </x:c>
      <x:c r="B968" t="str">
        <x:v>Mario goes on an adventure for apparently no reason</x:v>
      </x:c>
      <x:c r="C968" t="str">
        <x:v>Alfombra de madera</x:v>
      </x:c>
      <x:c r="D968" t="n">
        <x:v>18</x:v>
      </x:c>
      <x:c r="E968" t="str">
        <x:v>Casual</x:v>
      </x:c>
      <x:c r="F968" t="str">
        <x:v>Standard</x:v>
      </x:c>
      <x:c r="G968" t="n">
        <x:v>45848</x:v>
      </x:c>
      <x:c r="H968" t="str">
        <x:v>40065</x:v>
      </x:c>
      <x:c r="I968" t="str">
        <x:v>https://www.smwcentral.net/?a=details&amp;id=40065&amp;p=section</x:v>
      </x:c>
      <x:c r="J968" t="str">
        <x:v>https://dl.smwcentral.net/40065/MGOAAFANR%20demo%201.51.zip</x:v>
      </x:c>
    </x:row>
    <x:row r="969">
      <x:c r="A969" t="str">
        <x:v>Mario goes to a castle to pay his taxes</x:v>
      </x:c>
      <x:c r="B969" t="str">
        <x:v>Mario goes to a castle to pay his taxes</x:v>
      </x:c>
      <x:c r="C969" t="str">
        <x:v>Young Boi</x:v>
      </x:c>
      <x:c r="D969" t="n">
        <x:v>5</x:v>
      </x:c>
      <x:c r="E969" t="str">
        <x:v>Casual</x:v>
      </x:c>
      <x:c r="F969" t="str">
        <x:v>Standard</x:v>
      </x:c>
      <x:c r="G969" t="n">
        <x:v>43454</x:v>
      </x:c>
      <x:c r="H969" t="str">
        <x:v>18681</x:v>
      </x:c>
      <x:c r="I969" t="str">
        <x:v>https://www.smwcentral.net/?a=details&amp;id=18681&amp;p=section</x:v>
      </x:c>
      <x:c r="J969" t="str">
        <x:v>https://dl.smwcentral.net/18681/Pay%20your%20taxes%20kids.zip</x:v>
      </x:c>
    </x:row>
    <x:row r="970">
      <x:c r="A970" t="str">
        <x:v>Mario Goes to Brazil</x:v>
      </x:c>
      <x:c r="B970" t="str">
        <x:v>Mario Goes to Brazil</x:v>
      </x:c>
      <x:c r="C970" t="str">
        <x:v>MarcosMoutta</x:v>
      </x:c>
      <x:c r="D970" t="n">
        <x:v>11</x:v>
      </x:c>
      <x:c r="E970" t="str">
        <x:v>Advanced</x:v>
      </x:c>
      <x:c r="F970" t="str">
        <x:v>Standard</x:v>
      </x:c>
      <x:c r="G970" t="n">
        <x:v>44891</x:v>
      </x:c>
      <x:c r="H970" t="str">
        <x:v>32554</x:v>
      </x:c>
      <x:c r="I970" t="str">
        <x:v>https://www.smwcentral.net/?a=details&amp;id=32554&amp;p=section</x:v>
      </x:c>
      <x:c r="J970" t="str">
        <x:v>https://dl.smwcentral.net/32554/MGtB.zip</x:v>
      </x:c>
    </x:row>
    <x:row r="971">
      <x:c r="A971" t="str">
        <x:v>Mario goes to the Adventure Park</x:v>
      </x:c>
      <x:c r="B971" t="str">
        <x:v>Mario goes to the Adventure Park</x:v>
      </x:c>
      <x:c r="C971" t="str">
        <x:v>Saibot1997</x:v>
      </x:c>
      <x:c r="D971" t="n">
        <x:v>5</x:v>
      </x:c>
      <x:c r="E971" t="str">
        <x:v>Casual</x:v>
      </x:c>
      <x:c r="F971" t="str">
        <x:v>Standard</x:v>
      </x:c>
      <x:c r="G971" t="n">
        <x:v>42255</x:v>
      </x:c>
      <x:c r="H971" t="str">
        <x:v>10282</x:v>
      </x:c>
      <x:c r="I971" t="str">
        <x:v>https://www.smwcentral.net/?a=details&amp;id=10282&amp;p=section</x:v>
      </x:c>
      <x:c r="J971" t="str">
        <x:v>https://dl.smwcentral.net/10282/Mario%20goes%20to%20the%20Adventure%20Park.zip</x:v>
      </x:c>
    </x:row>
    <x:row r="972">
      <x:c r="A972" t="str">
        <x:v>Mario Goes To The Store</x:v>
      </x:c>
      <x:c r="B972" t="str">
        <x:v>Mario Goes To The Store</x:v>
      </x:c>
      <x:c r="C972" t="str">
        <x:v>eltiolavara9</x:v>
      </x:c>
      <x:c r="D972" t="n">
        <x:v>56</x:v>
      </x:c>
      <x:c r="E972" t="str">
        <x:v>Intermediate</x:v>
      </x:c>
      <x:c r="F972" t="str">
        <x:v>Standard</x:v>
      </x:c>
      <x:c r="G972" t="n">
        <x:v>45828</x:v>
      </x:c>
      <x:c r="H972" t="str">
        <x:v>39995</x:v>
      </x:c>
      <x:c r="I972" t="str">
        <x:v>https://www.smwcentral.net/?a=details&amp;id=39995&amp;p=section</x:v>
      </x:c>
      <x:c r="J972" t="str">
        <x:v>https://dl.smwcentral.net/39995/mario%20goes%20to%20the%20store.zip</x:v>
      </x:c>
    </x:row>
    <x:row r="973">
      <x:c r="A973" t="str">
        <x:v>Mario goes to Wendy's</x:v>
      </x:c>
      <x:c r="B973" t="str">
        <x:v>Mario goes to Wendy's</x:v>
      </x:c>
      <x:c r="C973" t="str">
        <x:v>autumnfrog</x:v>
      </x:c>
      <x:c r="D973" t="n">
        <x:v>13</x:v>
      </x:c>
      <x:c r="E973" t="str">
        <x:v>Casual</x:v>
      </x:c>
      <x:c r="F973" t="str">
        <x:v>Standard</x:v>
      </x:c>
      <x:c r="G973" t="n">
        <x:v>44826</x:v>
      </x:c>
      <x:c r="H973" t="str">
        <x:v>32143</x:v>
      </x:c>
      <x:c r="I973" t="str">
        <x:v>https://www.smwcentral.net/?a=details&amp;id=32143&amp;p=section</x:v>
      </x:c>
      <x:c r="J973" t="str">
        <x:v>https://dl.smwcentral.net/32143/mario%20goes%20to%20wendys.zip</x:v>
      </x:c>
    </x:row>
    <x:row r="974">
      <x:c r="A974" t="str">
        <x:v>Mario Got Bored</x:v>
      </x:c>
      <x:c r="B974" t="str">
        <x:v>Mario Got Bored</x:v>
      </x:c>
      <x:c r="C974" t="str">
        <x:v>Zarasuto</x:v>
      </x:c>
      <x:c r="D974" t="n">
        <x:v>10</x:v>
      </x:c>
      <x:c r="E974" t="str">
        <x:v>Newcomer</x:v>
      </x:c>
      <x:c r="F974" t="str">
        <x:v>Standard</x:v>
      </x:c>
      <x:c r="G974" t="n">
        <x:v>42268</x:v>
      </x:c>
      <x:c r="H974" t="str">
        <x:v>10075</x:v>
      </x:c>
      <x:c r="I974" t="str">
        <x:v>https://www.smwcentral.net/?a=details&amp;id=10075&amp;p=section</x:v>
      </x:c>
      <x:c r="J974" t="str">
        <x:v>https://dl.smwcentral.net/10075/Mario%20Got%20Bored.zip</x:v>
      </x:c>
    </x:row>
    <x:row r="975">
      <x:c r="A975" t="str">
        <x:v>Mario in a Mysterious World</x:v>
      </x:c>
      <x:c r="B975" t="str">
        <x:v>Mario in a Mysterious World</x:v>
      </x:c>
      <x:c r="C975" t="str">
        <x:v>Falconpunch</x:v>
      </x:c>
      <x:c r="D975" t="n">
        <x:v>6</x:v>
      </x:c>
      <x:c r="E975" t="str">
        <x:v>Casual</x:v>
      </x:c>
      <x:c r="F975" t="str">
        <x:v>Standard</x:v>
      </x:c>
      <x:c r="G975" t="n">
        <x:v>42314</x:v>
      </x:c>
      <x:c r="H975" t="str">
        <x:v>10140</x:v>
      </x:c>
      <x:c r="I975" t="str">
        <x:v>https://www.smwcentral.net/?a=details&amp;id=10140&amp;p=section</x:v>
      </x:c>
      <x:c r="J975" t="str">
        <x:v>https://dl.smwcentral.net/10140/MiaMW.zip</x:v>
      </x:c>
    </x:row>
    <x:row r="976">
      <x:c r="A976" t="str">
        <x:v>Mario in a Strange Adventure</x:v>
      </x:c>
      <x:c r="B976" t="str">
        <x:v>Mario in a Strange Adventure</x:v>
      </x:c>
      <x:c r="C976" t="str">
        <x:v>Fan-cristian-Yuyuko-</x:v>
      </x:c>
      <x:c r="D976" t="n">
        <x:v>5</x:v>
      </x:c>
      <x:c r="E976" t="str">
        <x:v>Casual</x:v>
      </x:c>
      <x:c r="F976" t="str">
        <x:v>Standard</x:v>
      </x:c>
      <x:c r="G976" t="n">
        <x:v>42288</x:v>
      </x:c>
      <x:c r="H976" t="str">
        <x:v>10141</x:v>
      </x:c>
      <x:c r="I976" t="str">
        <x:v>https://www.smwcentral.net/?a=details&amp;id=10141&amp;p=section</x:v>
      </x:c>
      <x:c r="J976" t="str">
        <x:v>https://dl.smwcentral.net/10141/mario%20in%20a%20strange%20adventure.zip</x:v>
      </x:c>
    </x:row>
    <x:row r="977">
      <x:c r="A977" t="str">
        <x:v>Mario in Another Land</x:v>
      </x:c>
      <x:c r="B977" t="str">
        <x:v>Mario in Another Land</x:v>
      </x:c>
      <x:c r="C977" t="str">
        <x:v>Anonymous</x:v>
      </x:c>
      <x:c r="D977" t="n">
        <x:v>7</x:v>
      </x:c>
      <x:c r="E977" t="str">
        <x:v>Newcomer</x:v>
      </x:c>
      <x:c r="F977" t="str">
        <x:v>Standard</x:v>
      </x:c>
      <x:c r="G977" t="n">
        <x:v>42482</x:v>
      </x:c>
      <x:c r="H977" t="str">
        <x:v>13582</x:v>
      </x:c>
      <x:c r="I977" t="str">
        <x:v>https://www.smwcentral.net/?a=details&amp;id=13582&amp;p=section</x:v>
      </x:c>
      <x:c r="J977" t="str">
        <x:v>https://dl.smwcentral.net/13582/Mario%20in%20Another%20Land.zip</x:v>
      </x:c>
    </x:row>
    <x:row r="978">
      <x:c r="A978" t="str">
        <x:v>Mario In Dragon Land</x:v>
      </x:c>
      <x:c r="B978" t="str">
        <x:v>Mario In Dragon Land</x:v>
      </x:c>
      <x:c r="C978" t="str">
        <x:v>BobbyBombmaster</x:v>
      </x:c>
      <x:c r="D978" t="n">
        <x:v>6</x:v>
      </x:c>
      <x:c r="E978" t="str">
        <x:v>Newcomer</x:v>
      </x:c>
      <x:c r="F978" t="str">
        <x:v>Standard</x:v>
      </x:c>
      <x:c r="G978" t="n">
        <x:v>42228</x:v>
      </x:c>
      <x:c r="H978" t="str">
        <x:v>9845</x:v>
      </x:c>
      <x:c r="I978" t="str">
        <x:v>https://www.smwcentral.net/?a=details&amp;id=9845&amp;p=section</x:v>
      </x:c>
      <x:c r="J978" t="str">
        <x:v>https://dl.smwcentral.net/9845/Mario%20In%20Dragon%20Land.zip</x:v>
      </x:c>
    </x:row>
    <x:row r="979">
      <x:c r="A979" t="str">
        <x:v>Mario in Leprechaun Island</x:v>
      </x:c>
      <x:c r="B979" t="str">
        <x:v>Mario in Leprechaun Island</x:v>
      </x:c>
      <x:c r="C979" t="str">
        <x:v>Green Jerry</x:v>
      </x:c>
      <x:c r="D979" t="n">
        <x:v>9</x:v>
      </x:c>
      <x:c r="E979" t="str">
        <x:v>Intermediate</x:v>
      </x:c>
      <x:c r="F979" t="str">
        <x:v>Standard</x:v>
      </x:c>
      <x:c r="G979" t="n">
        <x:v>43909</x:v>
      </x:c>
      <x:c r="H979" t="str">
        <x:v>22412</x:v>
      </x:c>
      <x:c r="I979" t="str">
        <x:v>https://www.smwcentral.net/?a=details&amp;id=22412&amp;p=section</x:v>
      </x:c>
      <x:c r="J979" t="str">
        <x:v>https://dl.smwcentral.net/22412/Mario%20in%20Leprechaun%20Island%20%28V1.0.1%29.zip</x:v>
      </x:c>
    </x:row>
    <x:row r="980">
      <x:c r="A980" t="str">
        <x:v>Mario In Lucid Dream</x:v>
      </x:c>
      <x:c r="B980" t="str">
        <x:v>Mario In Lucid Dream</x:v>
      </x:c>
      <x:c r="C980" t="str">
        <x:v>TS_N</x:v>
      </x:c>
      <x:c r="D980" t="n">
        <x:v>20</x:v>
      </x:c>
      <x:c r="E980" t="str">
        <x:v>Master</x:v>
      </x:c>
      <x:c r="F980" t="str">
        <x:v>Kaizo, Tool-Assisted</x:v>
      </x:c>
      <x:c r="G980" t="n">
        <x:v>45510</x:v>
      </x:c>
      <x:c r="H980" t="str">
        <x:v>37694</x:v>
      </x:c>
      <x:c r="I980" t="str">
        <x:v>https://www.smwcentral.net/?a=details&amp;id=37694&amp;p=section</x:v>
      </x:c>
      <x:c r="J980" t="str">
        <x:v>https://dl.smwcentral.net/37694/Mario%20In%20Lucid%20Dream.zip</x:v>
      </x:c>
    </x:row>
    <x:row r="981">
      <x:c r="A981" t="str">
        <x:v>Mario In Midgard</x:v>
      </x:c>
      <x:c r="B981" t="str">
        <x:v>Mario In Midgard</x:v>
      </x:c>
      <x:c r="C981" t="str">
        <x:v>anonimato</x:v>
      </x:c>
      <x:c r="D981" t="n">
        <x:v>85</x:v>
      </x:c>
      <x:c r="E981" t="str">
        <x:v>Intermediate</x:v>
      </x:c>
      <x:c r="F981" t="str">
        <x:v>Standard</x:v>
      </x:c>
      <x:c r="G981" t="n">
        <x:v>42285</x:v>
      </x:c>
      <x:c r="H981" t="str">
        <x:v>9720</x:v>
      </x:c>
      <x:c r="I981" t="str">
        <x:v>https://www.smwcentral.net/?a=details&amp;id=9720&amp;p=section</x:v>
      </x:c>
      <x:c r="J981" t="str">
        <x:v>https://dl.smwcentral.net/9720/Mario%20in%20midgard.zip</x:v>
      </x:c>
    </x:row>
    <x:row r="982">
      <x:c r="A982" t="str">
        <x:v>Mario In Mushroom Rix Land</x:v>
      </x:c>
      <x:c r="B982" t="str">
        <x:v>Mario In Mushroom Rix Land</x:v>
      </x:c>
      <x:c r="C982" t="str">
        <x:v>Enan63</x:v>
      </x:c>
      <x:c r="D982" t="n">
        <x:v>32</x:v>
      </x:c>
      <x:c r="E982" t="str">
        <x:v>Advanced</x:v>
      </x:c>
      <x:c r="F982" t="str">
        <x:v>Standard</x:v>
      </x:c>
      <x:c r="G982" t="n">
        <x:v>44102</x:v>
      </x:c>
      <x:c r="H982" t="str">
        <x:v>24685</x:v>
      </x:c>
      <x:c r="I982" t="str">
        <x:v>https://www.smwcentral.net/?a=details&amp;id=24685&amp;p=section</x:v>
      </x:c>
      <x:c r="J982" t="str">
        <x:v>https://dl.smwcentral.net/24685/Mario%20in%20Mushroom%20Rix%20Land.zip</x:v>
      </x:c>
    </x:row>
    <x:row r="983">
      <x:c r="A983" t="str">
        <x:v>Mario In Mushroom Rix Land 2 Gimmicky Island</x:v>
      </x:c>
      <x:c r="B983" t="str">
        <x:v>Mario In Mushroom Rix Land 2 Gimmicky Island</x:v>
      </x:c>
      <x:c r="C983" t="str">
        <x:v>Enan63</x:v>
      </x:c>
      <x:c r="D983" t="n">
        <x:v>13</x:v>
      </x:c>
      <x:c r="E983" t="str">
        <x:v>Intermediate</x:v>
      </x:c>
      <x:c r="F983" t="str">
        <x:v>Standard</x:v>
      </x:c>
      <x:c r="G983" t="n">
        <x:v>44193</x:v>
      </x:c>
      <x:c r="H983" t="str">
        <x:v>25552</x:v>
      </x:c>
      <x:c r="I983" t="str">
        <x:v>https://www.smwcentral.net/?a=details&amp;id=25552&amp;p=section</x:v>
      </x:c>
      <x:c r="J983" t="str">
        <x:v>https://dl.smwcentral.net/25552/Mario%20in%20Mushroom%20Rix%20Land%202.zip</x:v>
      </x:c>
    </x:row>
    <x:row r="984">
      <x:c r="A984" t="str">
        <x:v>Mario In Mushroom Rix Land 3 Master Thwomps Avenge</x:v>
      </x:c>
      <x:c r="B984" t="str">
        <x:v>Mario In Mushroom Rix Land 3 Master Thwomps Avenge</x:v>
      </x:c>
      <x:c r="C984" t="str">
        <x:v>Enan63</x:v>
      </x:c>
      <x:c r="D984" t="n">
        <x:v>42</x:v>
      </x:c>
      <x:c r="E984" t="str">
        <x:v>Advanced</x:v>
      </x:c>
      <x:c r="F984" t="str">
        <x:v>Standard</x:v>
      </x:c>
      <x:c r="G984" t="n">
        <x:v>44452</x:v>
      </x:c>
      <x:c r="H984" t="str">
        <x:v>28229</x:v>
      </x:c>
      <x:c r="I984" t="str">
        <x:v>https://www.smwcentral.net/?a=details&amp;id=28229&amp;p=section</x:v>
      </x:c>
      <x:c r="J984" t="str">
        <x:v>https://dl.smwcentral.net/28229/Mario%20in%20Mushroom%20Rix%20Land%203.zip</x:v>
      </x:c>
    </x:row>
    <x:row r="985">
      <x:c r="A985" t="str">
        <x:v>Mario In Mushroom Rix Land 4 Trip To Nano Island</x:v>
      </x:c>
      <x:c r="B985" t="str">
        <x:v>Mario In Mushroom Rix Land 4 Trip To Nano Island</x:v>
      </x:c>
      <x:c r="C985" t="str">
        <x:v>Enan63</x:v>
      </x:c>
      <x:c r="D985" t="n">
        <x:v>50</x:v>
      </x:c>
      <x:c r="E985" t="str">
        <x:v>Advanced</x:v>
      </x:c>
      <x:c r="F985" t="str">
        <x:v>Standard</x:v>
      </x:c>
      <x:c r="G985" t="n">
        <x:v>45320</x:v>
      </x:c>
      <x:c r="H985" t="str">
        <x:v>35757</x:v>
      </x:c>
      <x:c r="I985" t="str">
        <x:v>https://www.smwcentral.net/?a=details&amp;id=35757&amp;p=section</x:v>
      </x:c>
      <x:c r="J985" t="str">
        <x:v>https://dl.smwcentral.net/35757/MIMRL4%20Trip%20To%20Nano%20Island.zip</x:v>
      </x:c>
    </x:row>
    <x:row r="986">
      <x:c r="A986" t="str">
        <x:v>Mario In Mushroom Rix Land 5</x:v>
      </x:c>
      <x:c r="B986" t="str">
        <x:v>Mario In Mushroom Rix Land 5</x:v>
      </x:c>
      <x:c r="C986" t="str">
        <x:v>Enan63</x:v>
      </x:c>
      <x:c r="D986" t="n">
        <x:v>4</x:v>
      </x:c>
      <x:c r="E986" t="str">
        <x:v>Intermediate</x:v>
      </x:c>
      <x:c r="F986" t="str">
        <x:v>Standard</x:v>
      </x:c>
      <x:c r="G986" t="n">
        <x:v>45540</x:v>
      </x:c>
      <x:c r="H986" t="str">
        <x:v>38322</x:v>
      </x:c>
      <x:c r="I986" t="str">
        <x:v>https://www.smwcentral.net/?a=details&amp;id=38322&amp;p=section</x:v>
      </x:c>
      <x:c r="J986" t="str">
        <x:v>https://dl.smwcentral.net/38322/Mario%20In%20Mushroom%20Rix%20Land%205%20C3%20Summer%202024%20Demo%20%28Version%201.1%20Update%21%29.zip</x:v>
      </x:c>
    </x:row>
    <x:row r="987">
      <x:c r="A987" t="str">
        <x:v>Mario in Neb's Land</x:v>
      </x:c>
      <x:c r="B987" t="str">
        <x:v>Mario in Neb's Land</x:v>
      </x:c>
      <x:c r="C987" t="str">
        <x:v>darken</x:v>
      </x:c>
      <x:c r="D987" t="n">
        <x:v>5</x:v>
      </x:c>
      <x:c r="E987" t="str">
        <x:v>Advanced</x:v>
      </x:c>
      <x:c r="F987" t="str">
        <x:v>Standard</x:v>
      </x:c>
      <x:c r="G987" t="n">
        <x:v>42629</x:v>
      </x:c>
      <x:c r="H987" t="str">
        <x:v>14422</x:v>
      </x:c>
      <x:c r="I987" t="str">
        <x:v>https://www.smwcentral.net/?a=details&amp;id=14422&amp;p=section</x:v>
      </x:c>
      <x:c r="J987" t="str">
        <x:v>https://dl.smwcentral.net/14422/MNL.zip</x:v>
      </x:c>
    </x:row>
    <x:row r="988">
      <x:c r="A988" t="str">
        <x:v>Mario in Search of the Rest</x:v>
      </x:c>
      <x:c r="B988" t="str">
        <x:v>Mario in Search of the Rest</x:v>
      </x:c>
      <x:c r="C988" t="str">
        <x:v>MirrorReflect</x:v>
      </x:c>
      <x:c r="D988" t="n">
        <x:v>11</x:v>
      </x:c>
      <x:c r="E988" t="str">
        <x:v>Casual</x:v>
      </x:c>
      <x:c r="F988" t="str">
        <x:v>Standard</x:v>
      </x:c>
      <x:c r="G988" t="n">
        <x:v>43907</x:v>
      </x:c>
      <x:c r="H988" t="str">
        <x:v>22397</x:v>
      </x:c>
      <x:c r="I988" t="str">
        <x:v>https://www.smwcentral.net/?a=details&amp;id=22397&amp;p=section</x:v>
      </x:c>
      <x:c r="J988" t="str">
        <x:v>https://dl.smwcentral.net/22397/MarioInSearchOfTheRest.zip</x:v>
      </x:c>
    </x:row>
    <x:row r="989">
      <x:c r="A989" t="str">
        <x:v>Mario In The World Of Matik</x:v>
      </x:c>
      <x:c r="B989" t="str">
        <x:v>Mario In The World Of Matik</x:v>
      </x:c>
      <x:c r="C989" t="str">
        <x:v>Red Chameleon</x:v>
      </x:c>
      <x:c r="D989" t="n">
        <x:v>26</x:v>
      </x:c>
      <x:c r="E989" t="str">
        <x:v>Casual</x:v>
      </x:c>
      <x:c r="F989" t="str">
        <x:v>Standard</x:v>
      </x:c>
      <x:c r="G989" t="n">
        <x:v>42339</x:v>
      </x:c>
      <x:c r="H989" t="str">
        <x:v>9828</x:v>
      </x:c>
      <x:c r="I989" t="str">
        <x:v>https://www.smwcentral.net/?a=details&amp;id=9828&amp;p=section</x:v>
      </x:c>
      <x:c r="J989" t="str">
        <x:v>https://dl.smwcentral.net/9828/Mario%20in%20the%20World%20of%20Matik%20-%20Demo%203.zip</x:v>
      </x:c>
    </x:row>
    <x:row r="990">
      <x:c r="A990" t="str">
        <x:v>Mario in the Yoshis' Heartland</x:v>
      </x:c>
      <x:c r="B990" t="str">
        <x:v>Mario in the Yoshis' Heartland</x:v>
      </x:c>
      <x:c r="C990" t="str">
        <x:v>Hach</x:v>
      </x:c>
      <x:c r="D990" t="n">
        <x:v>8</x:v>
      </x:c>
      <x:c r="E990" t="str">
        <x:v>Casual</x:v>
      </x:c>
      <x:c r="F990" t="str">
        <x:v>Standard</x:v>
      </x:c>
      <x:c r="G990" t="n">
        <x:v>41450</x:v>
      </x:c>
      <x:c r="H990" t="str">
        <x:v>4996</x:v>
      </x:c>
      <x:c r="I990" t="str">
        <x:v>https://www.smwcentral.net/?a=details&amp;id=4996&amp;p=section</x:v>
      </x:c>
      <x:c r="J990" t="str">
        <x:v>https://dl.smwcentral.net/4996/MitYH.zip</x:v>
      </x:c>
    </x:row>
    <x:row r="991">
      <x:c r="A991" t="str">
        <x:v>Mario in Whatever Land</x:v>
      </x:c>
      <x:c r="B991" t="str">
        <x:v>Mario in Whatever Land</x:v>
      </x:c>
      <x:c r="C991" t="str">
        <x:v>niko</x:v>
      </x:c>
      <x:c r="D991" t="n">
        <x:v>8</x:v>
      </x:c>
      <x:c r="E991" t="str">
        <x:v>Intermediate</x:v>
      </x:c>
      <x:c r="F991" t="str">
        <x:v>Standard</x:v>
      </x:c>
      <x:c r="G991" t="n">
        <x:v>42691</x:v>
      </x:c>
      <x:c r="H991" t="str">
        <x:v>14633</x:v>
      </x:c>
      <x:c r="I991" t="str">
        <x:v>https://www.smwcentral.net/?a=details&amp;id=14633&amp;p=section</x:v>
      </x:c>
      <x:c r="J991" t="str">
        <x:v>https://dl.smwcentral.net/14633/Mario%20in%20Whatever%20Land%20%28V.0.11%29.zip</x:v>
      </x:c>
    </x:row>
    <x:row r="992">
      <x:c r="A992" t="str">
        <x:v>Mario into Megaman</x:v>
      </x:c>
      <x:c r="B992" t="str">
        <x:v>Mario into Megaman</x:v>
      </x:c>
      <x:c r="C992" t="str">
        <x:v>Jimmy, That Guy</x:v>
      </x:c>
      <x:c r="D992" t="n">
        <x:v>96</x:v>
      </x:c>
      <x:c r="E992" t="str">
        <x:v>Casual</x:v>
      </x:c>
      <x:c r="F992" t="str">
        <x:v>Standard</x:v>
      </x:c>
      <x:c r="G992" t="n">
        <x:v>42010</x:v>
      </x:c>
      <x:c r="H992" t="str">
        <x:v>9645</x:v>
      </x:c>
      <x:c r="I992" t="str">
        <x:v>https://www.smwcentral.net/?a=details&amp;id=9645&amp;p=section</x:v>
      </x:c>
      <x:c r="J992" t="str">
        <x:v>https://dl.smwcentral.net/9645/Mario%20Into%20Megaman%202.0.zip</x:v>
      </x:c>
    </x:row>
    <x:row r="993">
      <x:c r="A993" t="str">
        <x:v>Mario is looking for the Golden Pizzaland</x:v>
      </x:c>
      <x:c r="B993" t="str">
        <x:v>Mario is looking for the Golden Pizzaland</x:v>
      </x:c>
      <x:c r="C993" t="str">
        <x:v>Saibot1997</x:v>
      </x:c>
      <x:c r="D993" t="n">
        <x:v>52</x:v>
      </x:c>
      <x:c r="E993" t="str">
        <x:v>Casual</x:v>
      </x:c>
      <x:c r="F993" t="str">
        <x:v>Standard</x:v>
      </x:c>
      <x:c r="G993" t="n">
        <x:v>45351</x:v>
      </x:c>
      <x:c r="H993" t="str">
        <x:v>35668</x:v>
      </x:c>
      <x:c r="I993" t="str">
        <x:v>https://www.smwcentral.net/?a=details&amp;id=35668&amp;p=section</x:v>
      </x:c>
      <x:c r="J993" t="str">
        <x:v>https://dl.smwcentral.net/35668/MarioGoldenPizza.zip</x:v>
      </x:c>
    </x:row>
    <x:row r="994">
      <x:c r="A994" t="str">
        <x:v>Mario Is Missing 3: Mario's Wreck</x:v>
      </x:c>
      <x:c r="B994" t="str">
        <x:v>Mario Is Missing 3: Mario's Wreck</x:v>
      </x:c>
      <x:c r="C994" t="str">
        <x:v>MetalUpYourAss</x:v>
      </x:c>
      <x:c r="D994" t="n">
        <x:v>3</x:v>
      </x:c>
      <x:c r="E994" t="str">
        <x:v>Newcomer</x:v>
      </x:c>
      <x:c r="F994" t="str">
        <x:v>Standard</x:v>
      </x:c>
      <x:c r="G994" t="n">
        <x:v>42135</x:v>
      </x:c>
      <x:c r="H994" t="str">
        <x:v>10068</x:v>
      </x:c>
      <x:c r="I994" t="str">
        <x:v>https://www.smwcentral.net/?a=details&amp;id=10068&amp;p=section</x:v>
      </x:c>
      <x:c r="J994" t="str">
        <x:v>https://dl.smwcentral.net/10068/M%20Is%20Missing%203.zip</x:v>
      </x:c>
    </x:row>
    <x:row r="995">
      <x:c r="A995" t="str">
        <x:v>Mario is Missing! Done Right</x:v>
      </x:c>
      <x:c r="B995" t="str">
        <x:v>Mario is Missing! Done Right</x:v>
      </x:c>
      <x:c r="C995" t="str">
        <x:v>Gamma V</x:v>
      </x:c>
      <x:c r="D995" t="n">
        <x:v>90</x:v>
      </x:c>
      <x:c r="E995" t="str">
        <x:v>Casual</x:v>
      </x:c>
      <x:c r="F995" t="str">
        <x:v>Standard</x:v>
      </x:c>
      <x:c r="G995" t="n">
        <x:v>42939</x:v>
      </x:c>
      <x:c r="H995" t="str">
        <x:v>15939</x:v>
      </x:c>
      <x:c r="I995" t="str">
        <x:v>https://www.smwcentral.net/?a=details&amp;id=15939&amp;p=section</x:v>
      </x:c>
      <x:c r="J995" t="str">
        <x:v>https://dl.smwcentral.net/15939/MIMFixedIntros.zip</x:v>
      </x:c>
    </x:row>
    <x:row r="996">
      <x:c r="A996" t="str">
        <x:v>Mario is Missing... again</x:v>
      </x:c>
      <x:c r="B996" t="str">
        <x:v>Mario is Missing... again</x:v>
      </x:c>
      <x:c r="C996" t="str">
        <x:v>B.B.Link</x:v>
      </x:c>
      <x:c r="D996" t="n">
        <x:v>13</x:v>
      </x:c>
      <x:c r="E996" t="str">
        <x:v>Newcomer</x:v>
      </x:c>
      <x:c r="F996" t="str">
        <x:v>Standard</x:v>
      </x:c>
      <x:c r="G996" t="n">
        <x:v>42306</x:v>
      </x:c>
      <x:c r="H996" t="str">
        <x:v>10197</x:v>
      </x:c>
      <x:c r="I996" t="str">
        <x:v>https://www.smwcentral.net/?a=details&amp;id=10197&amp;p=section</x:v>
      </x:c>
      <x:c r="J996" t="str">
        <x:v>https://dl.smwcentral.net/10197/Alt%20Mario%20is%20Missing%202.zip</x:v>
      </x:c>
    </x:row>
    <x:row r="997">
      <x:c r="A997" t="str">
        <x:v>Mario is Screwed</x:v>
      </x:c>
      <x:c r="B997" t="str">
        <x:v>Mario is Screwed</x:v>
      </x:c>
      <x:c r="C997" t="str">
        <x:v>Sixcorby</x:v>
      </x:c>
      <x:c r="D997" t="n">
        <x:v>9</x:v>
      </x:c>
      <x:c r="E997" t="str">
        <x:v>Advanced</x:v>
      </x:c>
      <x:c r="F997" t="str">
        <x:v>Kaizo, Tool-Assisted</x:v>
      </x:c>
      <x:c r="G997" t="n">
        <x:v>42960</x:v>
      </x:c>
      <x:c r="H997" t="str">
        <x:v>15922</x:v>
      </x:c>
      <x:c r="I997" t="str">
        <x:v>https://www.smwcentral.net/?a=details&amp;id=15922&amp;p=section</x:v>
      </x:c>
      <x:c r="J997" t="str">
        <x:v>https://dl.smwcentral.net/15922/marioisscrewed.zip</x:v>
      </x:c>
    </x:row>
    <x:row r="998">
      <x:c r="A998" t="str">
        <x:v>Mario is Sick!</x:v>
      </x:c>
      <x:c r="B998" t="str">
        <x:v>Mario is Sick!</x:v>
      </x:c>
      <x:c r="C998" t="str">
        <x:v>Corruptendo</x:v>
      </x:c>
      <x:c r="D998" t="n">
        <x:v>4</x:v>
      </x:c>
      <x:c r="E998" t="str">
        <x:v>Newcomer</x:v>
      </x:c>
      <x:c r="F998" t="str">
        <x:v>Standard</x:v>
      </x:c>
      <x:c r="G998" t="n">
        <x:v>42125</x:v>
      </x:c>
      <x:c r="H998" t="str">
        <x:v>10154</x:v>
      </x:c>
      <x:c r="I998" t="str">
        <x:v>https://www.smwcentral.net/?a=details&amp;id=10154&amp;p=section</x:v>
      </x:c>
      <x:c r="J998" t="str">
        <x:v>https://dl.smwcentral.net/10154/Mario%20Is%20Sick%21%20V.6.zip</x:v>
      </x:c>
    </x:row>
    <x:row r="999">
      <x:c r="A999" t="str">
        <x:v>Mario is Stupid</x:v>
      </x:c>
      <x:c r="B999" t="str">
        <x:v>Mario is Stupid</x:v>
      </x:c>
      <x:c r="C999" t="str">
        <x:v>Sokobansolver</x:v>
      </x:c>
      <x:c r="D999" t="n">
        <x:v>12</x:v>
      </x:c>
      <x:c r="E999" t="str">
        <x:v>Grandmaster</x:v>
      </x:c>
      <x:c r="F999" t="str">
        <x:v>Kaizo</x:v>
      </x:c>
      <x:c r="G999" t="n">
        <x:v>42722</x:v>
      </x:c>
      <x:c r="H999" t="str">
        <x:v>14712</x:v>
      </x:c>
      <x:c r="I999" t="str">
        <x:v>https://www.smwcentral.net/?a=details&amp;id=14712&amp;p=section</x:v>
      </x:c>
      <x:c r="J999" t="str">
        <x:v>https://dl.smwcentral.net/14712/Mario_is_Stupid.zip</x:v>
      </x:c>
    </x:row>
    <x:row r="1000">
      <x:c r="A1000" t="str">
        <x:v>Mario is too casual</x:v>
      </x:c>
      <x:c r="B1000" t="str">
        <x:v>Mario is too casual</x:v>
      </x:c>
      <x:c r="C1000" t="str">
        <x:v>ocked</x:v>
      </x:c>
      <x:c r="D1000" t="n">
        <x:v>18</x:v>
      </x:c>
      <x:c r="E1000" t="str">
        <x:v>Expert</x:v>
      </x:c>
      <x:c r="F1000" t="str">
        <x:v>Kaizo</x:v>
      </x:c>
      <x:c r="G1000" t="n">
        <x:v>44880</x:v>
      </x:c>
      <x:c r="H1000" t="str">
        <x:v>32566</x:v>
      </x:c>
      <x:c r="I1000" t="str">
        <x:v>https://www.smwcentral.net/?a=details&amp;id=32566&amp;p=section</x:v>
      </x:c>
      <x:c r="J1000" t="str">
        <x:v>https://dl.smwcentral.net/32566/v1.1.zip</x:v>
      </x:c>
    </x:row>
    <x:row r="1001">
      <x:c r="A1001" t="str">
        <x:v>Mario Keymanship</x:v>
      </x:c>
      <x:c r="B1001" t="str">
        <x:v>Mario Keymanship</x:v>
      </x:c>
      <x:c r="C1001" t="str">
        <x:v>ageVerrly</x:v>
      </x:c>
      <x:c r="D1001" t="n">
        <x:v>6</x:v>
      </x:c>
      <x:c r="E1001" t="str">
        <x:v>Master</x:v>
      </x:c>
      <x:c r="F1001" t="str">
        <x:v>Kaizo</x:v>
      </x:c>
      <x:c r="G1001" t="n">
        <x:v>44620</x:v>
      </x:c>
      <x:c r="H1001" t="str">
        <x:v>29650</x:v>
      </x:c>
      <x:c r="I1001" t="str">
        <x:v>https://www.smwcentral.net/?a=details&amp;id=29650&amp;p=section</x:v>
      </x:c>
      <x:c r="J1001" t="str">
        <x:v>https://dl.smwcentral.net/29650/keymanship.zip</x:v>
      </x:c>
    </x:row>
    <x:row r="1002">
      <x:c r="A1002" t="str">
        <x:v>Mario Kick World</x:v>
      </x:c>
      <x:c r="B1002" t="str">
        <x:v>Mario Kick World</x:v>
      </x:c>
      <x:c r="C1002" t="str">
        <x:v>Yagami</x:v>
      </x:c>
      <x:c r="D1002" t="n">
        <x:v>4</x:v>
      </x:c>
      <x:c r="E1002" t="str">
        <x:v>Expert</x:v>
      </x:c>
      <x:c r="F1002" t="str">
        <x:v>Kaizo</x:v>
      </x:c>
      <x:c r="G1002" t="n">
        <x:v>43459</x:v>
      </x:c>
      <x:c r="H1002" t="str">
        <x:v>18714</x:v>
      </x:c>
      <x:c r="I1002" t="str">
        <x:v>https://www.smwcentral.net/?a=details&amp;id=18714&amp;p=section</x:v>
      </x:c>
      <x:c r="J1002" t="str">
        <x:v>https://dl.smwcentral.net/18714/Mario%20Kick%20World%20Demo.zip</x:v>
      </x:c>
    </x:row>
    <x:row r="1003">
      <x:c r="A1003" t="str">
        <x:v>Mario Left the Garage Door Open Again</x:v>
      </x:c>
      <x:c r="B1003" t="str">
        <x:v>Mario Left the Garage Door Open Again</x:v>
      </x:c>
      <x:c r="C1003" t="str">
        <x:v>Lizstar</x:v>
      </x:c>
      <x:c r="D1003" t="n">
        <x:v>20</x:v>
      </x:c>
      <x:c r="E1003" t="str">
        <x:v>Expert</x:v>
      </x:c>
      <x:c r="F1003" t="str">
        <x:v>Kaizo</x:v>
      </x:c>
      <x:c r="G1003" t="n">
        <x:v>43984</x:v>
      </x:c>
      <x:c r="H1003" t="str">
        <x:v>23172</x:v>
      </x:c>
      <x:c r="I1003" t="str">
        <x:v>https://www.smwcentral.net/?a=details&amp;id=23172&amp;p=section</x:v>
      </x:c>
      <x:c r="J1003" t="str">
        <x:v>https://dl.smwcentral.net/23172/Mario%20Left%20The%20Garage%20Door%20Open%20Again.zip</x:v>
      </x:c>
    </x:row>
    <x:row r="1004">
      <x:c r="A1004" t="str">
        <x:v>Mario Lost in the Fruit Cave</x:v>
      </x:c>
      <x:c r="B1004" t="str">
        <x:v>Mario Lost in the Fruit Cave</x:v>
      </x:c>
      <x:c r="C1004" t="str">
        <x:v>mario and luigi</x:v>
      </x:c>
      <x:c r="D1004" t="n">
        <x:v>11</x:v>
      </x:c>
      <x:c r="E1004" t="str">
        <x:v>Casual</x:v>
      </x:c>
      <x:c r="F1004" t="str">
        <x:v>Standard</x:v>
      </x:c>
      <x:c r="G1004" t="n">
        <x:v>42062</x:v>
      </x:c>
      <x:c r="H1004" t="str">
        <x:v>10949</x:v>
      </x:c>
      <x:c r="I1004" t="str">
        <x:v>https://www.smwcentral.net/?a=details&amp;id=10949&amp;p=section</x:v>
      </x:c>
      <x:c r="J1004" t="str">
        <x:v>https://dl.smwcentral.net/10949/fruitcave.zip</x:v>
      </x:c>
    </x:row>
    <x:row r="1005">
      <x:c r="A1005" t="str">
        <x:v>Mario Mania [SMWC #22072]</x:v>
      </x:c>
      <x:c r="B1005" t="str">
        <x:v>Mario Mania</x:v>
      </x:c>
      <x:c r="C1005" t="str">
        <x:v>BlooberryPi</x:v>
      </x:c>
      <x:c r="D1005" t="n">
        <x:v>10</x:v>
      </x:c>
      <x:c r="E1005" t="str">
        <x:v>Expert</x:v>
      </x:c>
      <x:c r="F1005" t="str">
        <x:v>Kaizo</x:v>
      </x:c>
      <x:c r="G1005" t="n">
        <x:v>43870</x:v>
      </x:c>
      <x:c r="H1005" t="str">
        <x:v>22072</x:v>
      </x:c>
      <x:c r="I1005" t="str">
        <x:v>https://www.smwcentral.net/?a=details&amp;id=22072&amp;p=section</x:v>
      </x:c>
      <x:c r="J1005" t="str">
        <x:v>https://dl.smwcentral.net/22072/Mario%20Mania%201.1.zip</x:v>
      </x:c>
    </x:row>
    <x:row r="1006">
      <x:c r="A1006" t="str">
        <x:v>Mario Mania [SMWC #34594]</x:v>
      </x:c>
      <x:c r="B1006" t="str">
        <x:v>Mario Mania</x:v>
      </x:c>
      <x:c r="C1006" t="str">
        <x:v>Hammerer</x:v>
      </x:c>
      <x:c r="D1006" t="n">
        <x:v>15</x:v>
      </x:c>
      <x:c r="E1006" t="str">
        <x:v>Intermediate</x:v>
      </x:c>
      <x:c r="F1006" t="str">
        <x:v>Standard</x:v>
      </x:c>
      <x:c r="G1006" t="n">
        <x:v>45144</x:v>
      </x:c>
      <x:c r="H1006" t="str">
        <x:v>34594</x:v>
      </x:c>
      <x:c r="I1006" t="str">
        <x:v>https://www.smwcentral.net/?a=details&amp;id=34594&amp;p=section</x:v>
      </x:c>
      <x:c r="J1006" t="str">
        <x:v>https://dl.smwcentral.net/34594/M.Mania.zip</x:v>
      </x:c>
    </x:row>
    <x:row r="1007">
      <x:c r="A1007" t="str">
        <x:v>Mario Mario Mario</x:v>
      </x:c>
      <x:c r="B1007" t="str">
        <x:v>Mario Mario Mario</x:v>
      </x:c>
      <x:c r="C1007" t="str">
        <x:v>BlueSkye209</x:v>
      </x:c>
      <x:c r="D1007" t="n">
        <x:v>8</x:v>
      </x:c>
      <x:c r="E1007" t="str">
        <x:v>Intermediate</x:v>
      </x:c>
      <x:c r="F1007" t="str">
        <x:v>Standard</x:v>
      </x:c>
      <x:c r="G1007" t="n">
        <x:v>43383</x:v>
      </x:c>
      <x:c r="H1007" t="str">
        <x:v>18257</x:v>
      </x:c>
      <x:c r="I1007" t="str">
        <x:v>https://www.smwcentral.net/?a=details&amp;id=18257&amp;p=section</x:v>
      </x:c>
      <x:c r="J1007" t="str">
        <x:v>https://dl.smwcentral.net/18257/MMM%20Demo.zip</x:v>
      </x:c>
    </x:row>
    <x:row r="1008">
      <x:c r="A1008" t="str">
        <x:v>Mario Mario vs the Crab Army</x:v>
      </x:c>
      <x:c r="B1008" t="str">
        <x:v>Mario Mario vs the Crab Army</x:v>
      </x:c>
      <x:c r="C1008" t="str">
        <x:v>cozyduck</x:v>
      </x:c>
      <x:c r="D1008" t="n">
        <x:v>10</x:v>
      </x:c>
      <x:c r="E1008" t="str">
        <x:v>Master</x:v>
      </x:c>
      <x:c r="F1008" t="str">
        <x:v>Kaizo</x:v>
      </x:c>
      <x:c r="G1008" t="n">
        <x:v>44386</x:v>
      </x:c>
      <x:c r="H1008" t="str">
        <x:v>27426</x:v>
      </x:c>
      <x:c r="I1008" t="str">
        <x:v>https://www.smwcentral.net/?a=details&amp;id=27426&amp;p=section</x:v>
      </x:c>
      <x:c r="J1008" t="str">
        <x:v>https://dl.smwcentral.net/27426/crabs_v1.03.zip</x:v>
      </x:c>
    </x:row>
    <x:row r="1009">
      <x:c r="A1009" t="str">
        <x:v>Mario Mario's Superior Platforming Physics Challenge</x:v>
      </x:c>
      <x:c r="B1009" t="str">
        <x:v>Mario Mario's Superior Platforming Physics Challenge</x:v>
      </x:c>
      <x:c r="C1009" t="str">
        <x:v>Jamie</x:v>
      </x:c>
      <x:c r="D1009" t="n">
        <x:v>4</x:v>
      </x:c>
      <x:c r="E1009" t="str">
        <x:v>Advanced</x:v>
      </x:c>
      <x:c r="F1009" t="str">
        <x:v>Kaizo</x:v>
      </x:c>
      <x:c r="G1009" t="n">
        <x:v>45938</x:v>
      </x:c>
      <x:c r="H1009" t="str">
        <x:v>40735</x:v>
      </x:c>
      <x:c r="I1009" t="str">
        <x:v>https://www.smwcentral.net/?a=details&amp;id=40735&amp;p=section</x:v>
      </x:c>
      <x:c r="J1009" t="str">
        <x:v>https://dl.smwcentral.net/40735/MMSPPC.zip</x:v>
      </x:c>
    </x:row>
    <x:row r="1010">
      <x:c r="A1010" t="str">
        <x:v>Mario Memorandum</x:v>
      </x:c>
      <x:c r="B1010" t="str">
        <x:v>Mario Memorandum</x:v>
      </x:c>
      <x:c r="C1010" t="str">
        <x:v>Buzbee</x:v>
      </x:c>
      <x:c r="D1010" t="n">
        <x:v>15</x:v>
      </x:c>
      <x:c r="E1010" t="str">
        <x:v>Grandmaster</x:v>
      </x:c>
      <x:c r="F1010" t="str">
        <x:v>Kaizo</x:v>
      </x:c>
      <x:c r="G1010" t="n">
        <x:v>44952</x:v>
      </x:c>
      <x:c r="H1010" t="str">
        <x:v>32691</x:v>
      </x:c>
      <x:c r="I1010" t="str">
        <x:v>https://www.smwcentral.net/?a=details&amp;id=32691&amp;p=section</x:v>
      </x:c>
      <x:c r="J1010" t="str">
        <x:v>https://dl.smwcentral.net/32691/Mario%20Memorandum%201.1.zip</x:v>
      </x:c>
    </x:row>
    <x:row r="1011">
      <x:c r="A1011" t="str">
        <x:v>Mario Memorandum: New Game Plus</x:v>
      </x:c>
      <x:c r="B1011" t="str">
        <x:v>Mario Memorandum: New Game Plus</x:v>
      </x:c>
      <x:c r="C1011" t="str">
        <x:v>Buzbee</x:v>
      </x:c>
      <x:c r="D1011" t="n">
        <x:v>15</x:v>
      </x:c>
      <x:c r="E1011" t="str">
        <x:v>Expert</x:v>
      </x:c>
      <x:c r="F1011" t="str">
        <x:v>Kaizo</x:v>
      </x:c>
      <x:c r="G1011" t="n">
        <x:v>44984</x:v>
      </x:c>
      <x:c r="H1011" t="str">
        <x:v>33227</x:v>
      </x:c>
      <x:c r="I1011" t="str">
        <x:v>https://www.smwcentral.net/?a=details&amp;id=33227&amp;p=section</x:v>
      </x:c>
      <x:c r="J1011" t="str">
        <x:v>https://dl.smwcentral.net/33227/MMNGP%201.1.bps.zip</x:v>
      </x:c>
    </x:row>
    <x:row r="1012">
      <x:c r="A1012" t="str">
        <x:v>Mario Mission</x:v>
      </x:c>
      <x:c r="B1012" t="str">
        <x:v>Mario Mission</x:v>
      </x:c>
      <x:c r="C1012" t="str">
        <x:v>jstreet2000</x:v>
      </x:c>
      <x:c r="D1012" t="n">
        <x:v>7</x:v>
      </x:c>
      <x:c r="E1012" t="str">
        <x:v>Advanced</x:v>
      </x:c>
      <x:c r="F1012" t="str">
        <x:v>Kaizo</x:v>
      </x:c>
      <x:c r="G1012" t="n">
        <x:v>44243</x:v>
      </x:c>
      <x:c r="H1012" t="str">
        <x:v>26194</x:v>
      </x:c>
      <x:c r="I1012" t="str">
        <x:v>https://www.smwcentral.net/?a=details&amp;id=26194&amp;p=section</x:v>
      </x:c>
      <x:c r="J1012" t="str">
        <x:v>https://dl.smwcentral.net/26194/Mario%20Mission%201.0.zip</x:v>
      </x:c>
    </x:row>
    <x:row r="1013">
      <x:c r="A1013" t="str">
        <x:v>Mario Must Die (SMWC version)</x:v>
      </x:c>
      <x:c r="B1013" t="str">
        <x:v>Mario Must Die (SMWC version)</x:v>
      </x:c>
      <x:c r="C1013" t="str">
        <x:v>Sokobansolver</x:v>
      </x:c>
      <x:c r="D1013" t="n">
        <x:v>9</x:v>
      </x:c>
      <x:c r="E1013" t="str">
        <x:v>Advanced</x:v>
      </x:c>
      <x:c r="F1013" t="str">
        <x:v>Kaizo, Tool-Assisted</x:v>
      </x:c>
      <x:c r="G1013" t="n">
        <x:v>41917</x:v>
      </x:c>
      <x:c r="H1013" t="str">
        <x:v>9033</x:v>
      </x:c>
      <x:c r="I1013" t="str">
        <x:v>https://www.smwcentral.net/?a=details&amp;id=9033&amp;p=section</x:v>
      </x:c>
      <x:c r="J1013" t="str">
        <x:v>https://dl.smwcentral.net/9033/MarioMustDie.zip</x:v>
      </x:c>
    </x:row>
    <x:row r="1014">
      <x:c r="A1014" t="str">
        <x:v>Mario Must Die 2</x:v>
      </x:c>
      <x:c r="B1014" t="str">
        <x:v>Mario Must Die 2</x:v>
      </x:c>
      <x:c r="C1014" t="str">
        <x:v>Sokobansolver</x:v>
      </x:c>
      <x:c r="D1014" t="n">
        <x:v>9</x:v>
      </x:c>
      <x:c r="E1014" t="str">
        <x:v>Expert</x:v>
      </x:c>
      <x:c r="F1014" t="str">
        <x:v>Kaizo, Tool-Assisted</x:v>
      </x:c>
      <x:c r="G1014" t="n">
        <x:v>42557</x:v>
      </x:c>
      <x:c r="H1014" t="str">
        <x:v>13907</x:v>
      </x:c>
      <x:c r="I1014" t="str">
        <x:v>https://www.smwcentral.net/?a=details&amp;id=13907&amp;p=section</x:v>
      </x:c>
      <x:c r="J1014" t="str">
        <x:v>https://dl.smwcentral.net/13907/MMD2.zip</x:v>
      </x:c>
    </x:row>
    <x:row r="1015">
      <x:c r="A1015" t="str">
        <x:v>Mario No Kumorizora</x:v>
      </x:c>
      <x:c r="B1015" t="str">
        <x:v>Mario No Kumorizora</x:v>
      </x:c>
      <x:c r="C1015" t="str">
        <x:v>Azula16</x:v>
      </x:c>
      <x:c r="D1015" t="n">
        <x:v>18</x:v>
      </x:c>
      <x:c r="E1015" t="str">
        <x:v>Master</x:v>
      </x:c>
      <x:c r="F1015" t="str">
        <x:v>Kaizo</x:v>
      </x:c>
      <x:c r="G1015" t="n">
        <x:v>45705</x:v>
      </x:c>
      <x:c r="H1015" t="str">
        <x:v>39350</x:v>
      </x:c>
      <x:c r="I1015" t="str">
        <x:v>https://www.smwcentral.net/?a=details&amp;id=39350&amp;p=section</x:v>
      </x:c>
      <x:c r="J1015" t="str">
        <x:v>https://dl.smwcentral.net/39350/Kumorizora.zip</x:v>
      </x:c>
    </x:row>
    <x:row r="1016">
      <x:c r="A1016" t="str">
        <x:v>Mario OC</x:v>
      </x:c>
      <x:c r="B1016" t="str">
        <x:v>Mario OC</x:v>
      </x:c>
      <x:c r="C1016" t="str">
        <x:v>elieltonl</x:v>
      </x:c>
      <x:c r="D1016" t="n">
        <x:v>2</x:v>
      </x:c>
      <x:c r="E1016" t="str">
        <x:v>Intermediate</x:v>
      </x:c>
      <x:c r="F1016" t="str">
        <x:v>Kaizo, Tool-Assisted</x:v>
      </x:c>
      <x:c r="G1016" t="n">
        <x:v>44142</x:v>
      </x:c>
      <x:c r="H1016" t="str">
        <x:v>24890</x:v>
      </x:c>
      <x:c r="I1016" t="str">
        <x:v>https://www.smwcentral.net/?a=details&amp;id=24890&amp;p=section</x:v>
      </x:c>
      <x:c r="J1016" t="str">
        <x:v>https://dl.smwcentral.net/24890/MARIO%20OC%20ediitor.zip</x:v>
      </x:c>
    </x:row>
    <x:row r="1017">
      <x:c r="A1017" t="str">
        <x:v>Mario on Ice</x:v>
      </x:c>
      <x:c r="B1017" t="str">
        <x:v>Mario on Ice</x:v>
      </x:c>
      <x:c r="C1017" t="str">
        <x:v>Pureblade</x:v>
      </x:c>
      <x:c r="D1017" t="n">
        <x:v>6</x:v>
      </x:c>
      <x:c r="E1017" t="str">
        <x:v>Casual</x:v>
      </x:c>
      <x:c r="F1017" t="str">
        <x:v>Standard</x:v>
      </x:c>
      <x:c r="G1017" t="n">
        <x:v>42256</x:v>
      </x:c>
      <x:c r="H1017" t="str">
        <x:v>9946</x:v>
      </x:c>
      <x:c r="I1017" t="str">
        <x:v>https://www.smwcentral.net/?a=details&amp;id=9946&amp;p=section</x:v>
      </x:c>
      <x:c r="J1017" t="str">
        <x:v>https://dl.smwcentral.net/9946/Icemario.zip</x:v>
      </x:c>
    </x:row>
    <x:row r="1018">
      <x:c r="A1018" t="str">
        <x:v>Mario on the Moon</x:v>
      </x:c>
      <x:c r="B1018" t="str">
        <x:v>Mario on the Moon</x:v>
      </x:c>
      <x:c r="C1018" t="str">
        <x:v>Boosius</x:v>
      </x:c>
      <x:c r="D1018" t="n">
        <x:v>2</x:v>
      </x:c>
      <x:c r="E1018" t="str">
        <x:v>Advanced</x:v>
      </x:c>
      <x:c r="F1018" t="str">
        <x:v>Kaizo</x:v>
      </x:c>
      <x:c r="G1018" t="n">
        <x:v>44456</x:v>
      </x:c>
      <x:c r="H1018" t="str">
        <x:v>28324</x:v>
      </x:c>
      <x:c r="I1018" t="str">
        <x:v>https://www.smwcentral.net/?a=details&amp;id=28324&amp;p=section</x:v>
      </x:c>
      <x:c r="J1018" t="str">
        <x:v>https://dl.smwcentral.net/28324/Mario%20On%20The%20Moon.zip</x:v>
      </x:c>
    </x:row>
    <x:row r="1019">
      <x:c r="A1019" t="str">
        <x:v>Mario Quits</x:v>
      </x:c>
      <x:c r="B1019" t="str">
        <x:v>Mario Quits</x:v>
      </x:c>
      <x:c r="C1019" t="str">
        <x:v>DasFueller</x:v>
      </x:c>
      <x:c r="D1019" t="n">
        <x:v>17</x:v>
      </x:c>
      <x:c r="E1019" t="str">
        <x:v>Expert</x:v>
      </x:c>
      <x:c r="F1019" t="str">
        <x:v>Kaizo</x:v>
      </x:c>
      <x:c r="G1019" t="n">
        <x:v>44753</x:v>
      </x:c>
      <x:c r="H1019" t="str">
        <x:v>31372</x:v>
      </x:c>
      <x:c r="I1019" t="str">
        <x:v>https://www.smwcentral.net/?a=details&amp;id=31372&amp;p=section</x:v>
      </x:c>
      <x:c r="J1019" t="str">
        <x:v>https://dl.smwcentral.net/31372/Mario_Quits_1.0.zip</x:v>
      </x:c>
    </x:row>
    <x:row r="1020">
      <x:c r="A1020" t="str">
        <x:v>Mario Quits 2</x:v>
      </x:c>
      <x:c r="B1020" t="str">
        <x:v>Mario Quits 2</x:v>
      </x:c>
      <x:c r="C1020" t="str">
        <x:v>DasFueller</x:v>
      </x:c>
      <x:c r="D1020" t="n">
        <x:v>16</x:v>
      </x:c>
      <x:c r="E1020" t="str">
        <x:v>Expert</x:v>
      </x:c>
      <x:c r="F1020" t="str">
        <x:v>Kaizo</x:v>
      </x:c>
      <x:c r="G1020" t="n">
        <x:v>45991</x:v>
      </x:c>
      <x:c r="H1020" t="str">
        <x:v>41121</x:v>
      </x:c>
      <x:c r="I1020" t="str">
        <x:v>https://www.smwcentral.net/?a=details&amp;id=41121&amp;p=section</x:v>
      </x:c>
      <x:c r="J1020" t="str">
        <x:v>https://dl.smwcentral.net/41121/MQ2_v1_2.zip</x:v>
      </x:c>
    </x:row>
    <x:row r="1021">
      <x:c r="A1021" t="str">
        <x:v>Mario Rescues 4th Of July</x:v>
      </x:c>
      <x:c r="B1021" t="str">
        <x:v>Mario Rescues 4th Of July</x:v>
      </x:c>
      <x:c r="C1021" t="str">
        <x:v>El Cuh Fermin</x:v>
      </x:c>
      <x:c r="D1021" t="n">
        <x:v>9</x:v>
      </x:c>
      <x:c r="E1021" t="str">
        <x:v>Newcomer</x:v>
      </x:c>
      <x:c r="F1021" t="str">
        <x:v>Standard</x:v>
      </x:c>
      <x:c r="G1021" t="n">
        <x:v>44018</x:v>
      </x:c>
      <x:c r="H1021" t="str">
        <x:v>23536</x:v>
      </x:c>
      <x:c r="I1021" t="str">
        <x:v>https://www.smwcentral.net/?a=details&amp;id=23536&amp;p=section</x:v>
      </x:c>
      <x:c r="J1021" t="str">
        <x:v>https://dl.smwcentral.net/23536/Mario%20Rescues%204th%20Of%20July.zip</x:v>
      </x:c>
    </x:row>
    <x:row r="1022">
      <x:c r="A1022" t="str">
        <x:v>Mario Rescues Santa Claus</x:v>
      </x:c>
      <x:c r="B1022" t="str">
        <x:v>Mario Rescues Santa Claus</x:v>
      </x:c>
      <x:c r="C1022" t="str">
        <x:v>Green Jerry</x:v>
      </x:c>
      <x:c r="D1022" t="n">
        <x:v>33</x:v>
      </x:c>
      <x:c r="E1022" t="str">
        <x:v>Intermediate</x:v>
      </x:c>
      <x:c r="F1022" t="str">
        <x:v>Standard</x:v>
      </x:c>
      <x:c r="G1022" t="n">
        <x:v>44923</x:v>
      </x:c>
      <x:c r="H1022" t="str">
        <x:v>32809</x:v>
      </x:c>
      <x:c r="I1022" t="str">
        <x:v>https://www.smwcentral.net/?a=details&amp;id=32809&amp;p=section</x:v>
      </x:c>
      <x:c r="J1022" t="str">
        <x:v>https://dl.smwcentral.net/32809/Mario%20Rescues%20Santa%20Claus%20%28V1.0.2%29.zip</x:v>
      </x:c>
    </x:row>
    <x:row r="1023">
      <x:c r="A1023" t="str">
        <x:v>Mario Rescues the Golden Mushroom</x:v>
      </x:c>
      <x:c r="B1023" t="str">
        <x:v>Mario Rescues the Golden Mushroom</x:v>
      </x:c>
      <x:c r="C1023" t="str">
        <x:v>Green Jerry</x:v>
      </x:c>
      <x:c r="D1023" t="n">
        <x:v>42</x:v>
      </x:c>
      <x:c r="E1023" t="str">
        <x:v>Casual</x:v>
      </x:c>
      <x:c r="F1023" t="str">
        <x:v>Standard</x:v>
      </x:c>
      <x:c r="G1023" t="n">
        <x:v>43690</x:v>
      </x:c>
      <x:c r="H1023" t="str">
        <x:v>20754</x:v>
      </x:c>
      <x:c r="I1023" t="str">
        <x:v>https://www.smwcentral.net/?a=details&amp;id=20754&amp;p=section</x:v>
      </x:c>
      <x:c r="J1023" t="str">
        <x:v>https://dl.smwcentral.net/20754/Mario%20Rescues%20the%20Golden%20Mushroom%20V1.1.4.zip</x:v>
      </x:c>
    </x:row>
    <x:row r="1024">
      <x:c r="A1024" t="str">
        <x:v>Mario Returns To Yoshi's Island</x:v>
      </x:c>
      <x:c r="B1024" t="str">
        <x:v>Mario Returns To Yoshi's Island</x:v>
      </x:c>
      <x:c r="C1024" t="str">
        <x:v>supernova38</x:v>
      </x:c>
      <x:c r="D1024" t="n">
        <x:v>12</x:v>
      </x:c>
      <x:c r="E1024" t="str">
        <x:v>Newcomer</x:v>
      </x:c>
      <x:c r="F1024" t="str">
        <x:v>Standard</x:v>
      </x:c>
      <x:c r="G1024" t="n">
        <x:v>41626</x:v>
      </x:c>
      <x:c r="H1024" t="str">
        <x:v>5982</x:v>
      </x:c>
      <x:c r="I1024" t="str">
        <x:v>https://www.smwcentral.net/?a=details&amp;id=5982&amp;p=section</x:v>
      </x:c>
      <x:c r="J1024" t="str">
        <x:v>https://dl.smwcentral.net/5982/MRTYI%20demo.zip</x:v>
      </x:c>
    </x:row>
    <x:row r="1025">
      <x:c r="A1025" t="str">
        <x:v>Mario Saves Christmas</x:v>
      </x:c>
      <x:c r="B1025" t="str">
        <x:v>Mario Saves Christmas</x:v>
      </x:c>
      <x:c r="C1025" t="str">
        <x:v>Green Jerry</x:v>
      </x:c>
      <x:c r="D1025" t="n">
        <x:v>13</x:v>
      </x:c>
      <x:c r="E1025" t="str">
        <x:v>Casual</x:v>
      </x:c>
      <x:c r="F1025" t="str">
        <x:v>Standard</x:v>
      </x:c>
      <x:c r="G1025" t="n">
        <x:v>43823</x:v>
      </x:c>
      <x:c r="H1025" t="str">
        <x:v>21687</x:v>
      </x:c>
      <x:c r="I1025" t="str">
        <x:v>https://www.smwcentral.net/?a=details&amp;id=21687&amp;p=section</x:v>
      </x:c>
      <x:c r="J1025" t="str">
        <x:v>https://dl.smwcentral.net/21687/Mario%20Saves%20Christmas%20V1.2.zip</x:v>
      </x:c>
    </x:row>
    <x:row r="1026">
      <x:c r="A1026" t="str">
        <x:v>Mario Saves Christmas 2021</x:v>
      </x:c>
      <x:c r="B1026" t="str">
        <x:v>Mario Saves Christmas 2021</x:v>
      </x:c>
      <x:c r="C1026" t="str">
        <x:v>El Cuh Fermin</x:v>
      </x:c>
      <x:c r="D1026" t="n">
        <x:v>10</x:v>
      </x:c>
      <x:c r="E1026" t="str">
        <x:v>Intermediate</x:v>
      </x:c>
      <x:c r="F1026" t="str">
        <x:v>Standard</x:v>
      </x:c>
      <x:c r="G1026" t="n">
        <x:v>44537</x:v>
      </x:c>
      <x:c r="H1026" t="str">
        <x:v>28944</x:v>
      </x:c>
      <x:c r="I1026" t="str">
        <x:v>https://www.smwcentral.net/?a=details&amp;id=28944&amp;p=section</x:v>
      </x:c>
      <x:c r="J1026" t="str">
        <x:v>https://dl.smwcentral.net/28944/Mario%20Saves%20Christmas%202021.zip</x:v>
      </x:c>
    </x:row>
    <x:row r="1027">
      <x:c r="A1027" t="str">
        <x:v>Mario Saves Easter 2023</x:v>
      </x:c>
      <x:c r="B1027" t="str">
        <x:v>Mario Saves Easter 2023</x:v>
      </x:c>
      <x:c r="C1027" t="str">
        <x:v>El Cuh Fermin</x:v>
      </x:c>
      <x:c r="D1027" t="n">
        <x:v>17</x:v>
      </x:c>
      <x:c r="E1027" t="str">
        <x:v>Casual</x:v>
      </x:c>
      <x:c r="F1027" t="str">
        <x:v>Standard</x:v>
      </x:c>
      <x:c r="G1027" t="n">
        <x:v>45020</x:v>
      </x:c>
      <x:c r="H1027" t="str">
        <x:v>33669</x:v>
      </x:c>
      <x:c r="I1027" t="str">
        <x:v>https://www.smwcentral.net/?a=details&amp;id=33669&amp;p=section</x:v>
      </x:c>
      <x:c r="J1027" t="str">
        <x:v>https://dl.smwcentral.net/33669/Mario%20Saves%20Easter%202023.zip</x:v>
      </x:c>
    </x:row>
    <x:row r="1028">
      <x:c r="A1028" t="str">
        <x:v>Mario Saves Fermin's Birthday</x:v>
      </x:c>
      <x:c r="B1028" t="str">
        <x:v>Mario Saves Fermin's Birthday</x:v>
      </x:c>
      <x:c r="C1028" t="str">
        <x:v>El Cuh Fermin</x:v>
      </x:c>
      <x:c r="D1028" t="n">
        <x:v>9</x:v>
      </x:c>
      <x:c r="E1028" t="str">
        <x:v>Casual</x:v>
      </x:c>
      <x:c r="F1028" t="str">
        <x:v>Standard</x:v>
      </x:c>
      <x:c r="G1028" t="n">
        <x:v>44610</x:v>
      </x:c>
      <x:c r="H1028" t="str">
        <x:v>29823</x:v>
      </x:c>
      <x:c r="I1028" t="str">
        <x:v>https://www.smwcentral.net/?a=details&amp;id=29823&amp;p=section</x:v>
      </x:c>
      <x:c r="J1028" t="str">
        <x:v>https://dl.smwcentral.net/29823/Mario%20Saves%20Fermin%27s%20Birthday.zip</x:v>
      </x:c>
    </x:row>
    <x:row r="1029">
      <x:c r="A1029" t="str">
        <x:v>Mario Saves Peach Once Again</x:v>
      </x:c>
      <x:c r="B1029" t="str">
        <x:v>Mario Saves Peach Once Again</x:v>
      </x:c>
      <x:c r="C1029" t="str">
        <x:v>Lmao</x:v>
      </x:c>
      <x:c r="D1029" t="n">
        <x:v>16</x:v>
      </x:c>
      <x:c r="E1029" t="str">
        <x:v>Casual</x:v>
      </x:c>
      <x:c r="F1029" t="str">
        <x:v>Standard</x:v>
      </x:c>
      <x:c r="G1029" t="n">
        <x:v>44613</x:v>
      </x:c>
      <x:c r="H1029" t="str">
        <x:v>29857</x:v>
      </x:c>
      <x:c r="I1029" t="str">
        <x:v>https://www.smwcentral.net/?a=details&amp;id=29857&amp;p=section</x:v>
      </x:c>
      <x:c r="J1029" t="str">
        <x:v>https://dl.smwcentral.net/29857/MSPOA%20DEMO%20UPDATE%203.zip</x:v>
      </x:c>
    </x:row>
    <x:row r="1030">
      <x:c r="A1030" t="str">
        <x:v>Mario Saves Princess Peach</x:v>
      </x:c>
      <x:c r="B1030" t="str">
        <x:v>Mario Saves Princess Peach</x:v>
      </x:c>
      <x:c r="C1030" t="str">
        <x:v>El Cuh Fermin</x:v>
      </x:c>
      <x:c r="D1030" t="n">
        <x:v>10</x:v>
      </x:c>
      <x:c r="E1030" t="str">
        <x:v>Casual</x:v>
      </x:c>
      <x:c r="F1030" t="str">
        <x:v>Standard</x:v>
      </x:c>
      <x:c r="G1030" t="n">
        <x:v>44448</x:v>
      </x:c>
      <x:c r="H1030" t="str">
        <x:v>28253</x:v>
      </x:c>
      <x:c r="I1030" t="str">
        <x:v>https://www.smwcentral.net/?a=details&amp;id=28253&amp;p=section</x:v>
      </x:c>
      <x:c r="J1030" t="str">
        <x:v>https://dl.smwcentral.net/28253/Mario%20Saves%20Princess%20Peach.zip</x:v>
      </x:c>
    </x:row>
    <x:row r="1031">
      <x:c r="A1031" t="str">
        <x:v>Mario Saves Princess Toadstool 2</x:v>
      </x:c>
      <x:c r="B1031" t="str">
        <x:v>Mario Saves Princess Toadstool 2</x:v>
      </x:c>
      <x:c r="C1031" t="str">
        <x:v>El Cuh Fermin</x:v>
      </x:c>
      <x:c r="D1031" t="n">
        <x:v>9</x:v>
      </x:c>
      <x:c r="E1031" t="str">
        <x:v>Casual</x:v>
      </x:c>
      <x:c r="F1031" t="str">
        <x:v>Standard</x:v>
      </x:c>
      <x:c r="G1031" t="n">
        <x:v>44951</x:v>
      </x:c>
      <x:c r="H1031" t="str">
        <x:v>32992</x:v>
      </x:c>
      <x:c r="I1031" t="str">
        <x:v>https://www.smwcentral.net/?a=details&amp;id=32992&amp;p=section</x:v>
      </x:c>
      <x:c r="J1031" t="str">
        <x:v>https://dl.smwcentral.net/32992/Mario%20Saves%20Princess%20Toadstool%202.zip</x:v>
      </x:c>
    </x:row>
    <x:row r="1032">
      <x:c r="A1032" t="str">
        <x:v>Mario Saves Spring Break</x:v>
      </x:c>
      <x:c r="B1032" t="str">
        <x:v>Mario Saves Spring Break</x:v>
      </x:c>
      <x:c r="C1032" t="str">
        <x:v>El Cuh Fermin</x:v>
      </x:c>
      <x:c r="D1032" t="n">
        <x:v>9</x:v>
      </x:c>
      <x:c r="E1032" t="str">
        <x:v>Casual</x:v>
      </x:c>
      <x:c r="F1032" t="str">
        <x:v>Standard</x:v>
      </x:c>
      <x:c r="G1032" t="n">
        <x:v>43668</x:v>
      </x:c>
      <x:c r="H1032" t="str">
        <x:v>20687</x:v>
      </x:c>
      <x:c r="I1032" t="str">
        <x:v>https://www.smwcentral.net/?a=details&amp;id=20687&amp;p=section</x:v>
      </x:c>
      <x:c r="J1032" t="str">
        <x:v>https://dl.smwcentral.net/20687/Mario%20Saves%20Spring%20Break%20%28UPDATED%29.zip</x:v>
      </x:c>
    </x:row>
    <x:row r="1033">
      <x:c r="A1033" t="str">
        <x:v>Mario Saves Spring Break 2</x:v>
      </x:c>
      <x:c r="B1033" t="str">
        <x:v>Mario Saves Spring Break 2</x:v>
      </x:c>
      <x:c r="C1033" t="str">
        <x:v>El Cuh Fermin</x:v>
      </x:c>
      <x:c r="D1033" t="n">
        <x:v>9</x:v>
      </x:c>
      <x:c r="E1033" t="str">
        <x:v>Casual</x:v>
      </x:c>
      <x:c r="F1033" t="str">
        <x:v>Standard</x:v>
      </x:c>
      <x:c r="G1033" t="n">
        <x:v>44641</x:v>
      </x:c>
      <x:c r="H1033" t="str">
        <x:v>30183</x:v>
      </x:c>
      <x:c r="I1033" t="str">
        <x:v>https://www.smwcentral.net/?a=details&amp;id=30183&amp;p=section</x:v>
      </x:c>
      <x:c r="J1033" t="str">
        <x:v>https://dl.smwcentral.net/30183/Mario%20Saves%20Spring%20Break%202.zip</x:v>
      </x:c>
    </x:row>
    <x:row r="1034">
      <x:c r="A1034" t="str">
        <x:v>Mario Saves Summer Break 2024</x:v>
      </x:c>
      <x:c r="B1034" t="str">
        <x:v>Mario Saves Summer Break 2024</x:v>
      </x:c>
      <x:c r="C1034" t="str">
        <x:v>El Cuh Fermin</x:v>
      </x:c>
      <x:c r="D1034" t="n">
        <x:v>14</x:v>
      </x:c>
      <x:c r="E1034" t="str">
        <x:v>Intermediate</x:v>
      </x:c>
      <x:c r="F1034" t="str">
        <x:v>Standard</x:v>
      </x:c>
      <x:c r="G1034" t="n">
        <x:v>45462</x:v>
      </x:c>
      <x:c r="H1034" t="str">
        <x:v>37877</x:v>
      </x:c>
      <x:c r="I1034" t="str">
        <x:v>https://www.smwcentral.net/?a=details&amp;id=37877&amp;p=section</x:v>
      </x:c>
      <x:c r="J1034" t="str">
        <x:v>https://dl.smwcentral.net/37877/Mario%20Saves%20Summer%20Break%202024.zip</x:v>
      </x:c>
    </x:row>
    <x:row r="1035">
      <x:c r="A1035" t="str">
        <x:v>Mario Silver Land Ep I</x:v>
      </x:c>
      <x:c r="B1035" t="str">
        <x:v>Mario Silver Land Ep I</x:v>
      </x:c>
      <x:c r="C1035" t="str">
        <x:v>BlackStone187</x:v>
      </x:c>
      <x:c r="D1035" t="n">
        <x:v>7</x:v>
      </x:c>
      <x:c r="E1035" t="str">
        <x:v>Casual</x:v>
      </x:c>
      <x:c r="F1035" t="str">
        <x:v>Standard</x:v>
      </x:c>
      <x:c r="G1035" t="n">
        <x:v>42256</x:v>
      </x:c>
      <x:c r="H1035" t="str">
        <x:v>10256</x:v>
      </x:c>
      <x:c r="I1035" t="str">
        <x:v>https://www.smwcentral.net/?a=details&amp;id=10256&amp;p=section</x:v>
      </x:c>
      <x:c r="J1035" t="str">
        <x:v>https://dl.smwcentral.net/10256/Silver%20Land%20Ep%201%20%28Mario%20demo%29.zip</x:v>
      </x:c>
    </x:row>
    <x:row r="1036">
      <x:c r="A1036" t="str">
        <x:v>Mario story : Return to sweet n' sour land</x:v>
      </x:c>
      <x:c r="B1036" t="str">
        <x:v>Mario story : Return to sweet n' sour land</x:v>
      </x:c>
      <x:c r="C1036" t="str">
        <x:v>Lush_50</x:v>
      </x:c>
      <x:c r="D1036" t="n">
        <x:v>21</x:v>
      </x:c>
      <x:c r="E1036" t="str">
        <x:v>Intermediate</x:v>
      </x:c>
      <x:c r="F1036" t="str">
        <x:v>Kaizo</x:v>
      </x:c>
      <x:c r="G1036" t="n">
        <x:v>44390</x:v>
      </x:c>
      <x:c r="H1036" t="str">
        <x:v>27627</x:v>
      </x:c>
      <x:c r="I1036" t="str">
        <x:v>https://www.smwcentral.net/?a=details&amp;id=27627&amp;p=section</x:v>
      </x:c>
      <x:c r="J1036" t="str">
        <x:v>https://dl.smwcentral.net/27627/Mario%20story%20-%20return%20to%20SNS%20V1.1.zip</x:v>
      </x:c>
    </x:row>
    <x:row r="1037">
      <x:c r="A1037" t="str">
        <x:v>Mario Super R</x:v>
      </x:c>
      <x:c r="B1037" t="str">
        <x:v>Mario Super R</x:v>
      </x:c>
      <x:c r="C1037" t="str">
        <x:v>expgst</x:v>
      </x:c>
      <x:c r="D1037" t="n">
        <x:v>8</x:v>
      </x:c>
      <x:c r="E1037" t="str">
        <x:v>Advanced</x:v>
      </x:c>
      <x:c r="F1037" t="str">
        <x:v>Kaizo</x:v>
      </x:c>
      <x:c r="G1037" t="n">
        <x:v>44010</x:v>
      </x:c>
      <x:c r="H1037" t="str">
        <x:v>23422</x:v>
      </x:c>
      <x:c r="I1037" t="str">
        <x:v>https://www.smwcentral.net/?a=details&amp;id=23422&amp;p=section</x:v>
      </x:c>
      <x:c r="J1037" t="str">
        <x:v>https://dl.smwcentral.net/23422/Mario%20Super%20R%20V1.01.zip</x:v>
      </x:c>
    </x:row>
    <x:row r="1038">
      <x:c r="A1038" t="str">
        <x:v>Mario the Archaeologist</x:v>
      </x:c>
      <x:c r="B1038" t="str">
        <x:v>Mario the Archaeologist</x:v>
      </x:c>
      <x:c r="C1038" t="str">
        <x:v>MATTAN</x:v>
      </x:c>
      <x:c r="D1038" t="n">
        <x:v>17</x:v>
      </x:c>
      <x:c r="E1038" t="str">
        <x:v>Newcomer</x:v>
      </x:c>
      <x:c r="F1038" t="str">
        <x:v>Standard</x:v>
      </x:c>
      <x:c r="G1038" t="n">
        <x:v>42215</x:v>
      </x:c>
      <x:c r="H1038" t="str">
        <x:v>9814</x:v>
      </x:c>
      <x:c r="I1038" t="str">
        <x:v>https://www.smwcentral.net/?a=details&amp;id=9814&amp;p=section</x:v>
      </x:c>
      <x:c r="J1038" t="str">
        <x:v>https://dl.smwcentral.net/9814/MTA.zip</x:v>
      </x:c>
    </x:row>
    <x:row r="1039">
      <x:c r="A1039" t="str">
        <x:v>Mario to the Rescue</x:v>
      </x:c>
      <x:c r="B1039" t="str">
        <x:v>Mario to the Rescue</x:v>
      </x:c>
      <x:c r="C1039" t="str">
        <x:v>Medic</x:v>
      </x:c>
      <x:c r="D1039" t="n">
        <x:v>7</x:v>
      </x:c>
      <x:c r="E1039" t="str">
        <x:v>Casual</x:v>
      </x:c>
      <x:c r="F1039" t="str">
        <x:v>Standard</x:v>
      </x:c>
      <x:c r="G1039" t="n">
        <x:v>42062</x:v>
      </x:c>
      <x:c r="H1039" t="str">
        <x:v>10037</x:v>
      </x:c>
      <x:c r="I1039" t="str">
        <x:v>https://www.smwcentral.net/?a=details&amp;id=10037&amp;p=section</x:v>
      </x:c>
      <x:c r="J1039" t="str">
        <x:v>https://dl.smwcentral.net/10037/Mario%20to%20the%20rescue%21.zip</x:v>
      </x:c>
    </x:row>
    <x:row r="1040">
      <x:c r="A1040" t="str">
        <x:v>Mario travels around the World</x:v>
      </x:c>
      <x:c r="B1040" t="str">
        <x:v>Mario travels around the World</x:v>
      </x:c>
      <x:c r="C1040" t="str">
        <x:v>Edphonse15</x:v>
      </x:c>
      <x:c r="D1040" t="n">
        <x:v>7</x:v>
      </x:c>
      <x:c r="E1040" t="str">
        <x:v>Casual</x:v>
      </x:c>
      <x:c r="F1040" t="str">
        <x:v>Standard</x:v>
      </x:c>
      <x:c r="G1040" t="n">
        <x:v>44189</x:v>
      </x:c>
      <x:c r="H1040" t="str">
        <x:v>25469</x:v>
      </x:c>
      <x:c r="I1040" t="str">
        <x:v>https://www.smwcentral.net/?a=details&amp;id=25469&amp;p=section</x:v>
      </x:c>
      <x:c r="J1040" t="str">
        <x:v>https://dl.smwcentral.net/25469/Mario%20travels%20around%20the%20world%20-%20Demo.zip</x:v>
      </x:c>
    </x:row>
    <x:row r="1041">
      <x:c r="A1041" t="str">
        <x:v>Mario vs Sonic.exe 2</x:v>
      </x:c>
      <x:c r="B1041" t="str">
        <x:v>Mario vs Sonic.exe 2</x:v>
      </x:c>
      <x:c r="C1041" t="str">
        <x:v>TheInsanity115</x:v>
      </x:c>
      <x:c r="D1041" t="n">
        <x:v>21</x:v>
      </x:c>
      <x:c r="E1041" t="str">
        <x:v>Casual</x:v>
      </x:c>
      <x:c r="F1041" t="str">
        <x:v>Standard</x:v>
      </x:c>
      <x:c r="G1041" t="n">
        <x:v>42594</x:v>
      </x:c>
      <x:c r="H1041" t="str">
        <x:v>13963</x:v>
      </x:c>
      <x:c r="I1041" t="str">
        <x:v>https://www.smwcentral.net/?a=details&amp;id=13963&amp;p=section</x:v>
      </x:c>
      <x:c r="J1041" t="str">
        <x:v>https://dl.smwcentral.net/13963/Mario%20vs%20SONIC.EXE%202%20Final%20Version.zip</x:v>
      </x:c>
    </x:row>
    <x:row r="1042">
      <x:c r="A1042" t="str">
        <x:v>Mario VS The Police 2</x:v>
      </x:c>
      <x:c r="B1042" t="str">
        <x:v>Mario VS The Police 2</x:v>
      </x:c>
      <x:c r="C1042" t="str">
        <x:v>nnj</x:v>
      </x:c>
      <x:c r="D1042" t="n">
        <x:v>34</x:v>
      </x:c>
      <x:c r="E1042" t="str">
        <x:v>Intermediate</x:v>
      </x:c>
      <x:c r="F1042" t="str">
        <x:v>Standard</x:v>
      </x:c>
      <x:c r="G1042" t="n">
        <x:v>44159</x:v>
      </x:c>
      <x:c r="H1042" t="str">
        <x:v>25224</x:v>
      </x:c>
      <x:c r="I1042" t="str">
        <x:v>https://www.smwcentral.net/?a=details&amp;id=25224&amp;p=section</x:v>
      </x:c>
      <x:c r="J1042" t="str">
        <x:v>https://dl.smwcentral.net/25224/awfulhack.zip</x:v>
      </x:c>
    </x:row>
    <x:row r="1043">
      <x:c r="A1043" t="str">
        <x:v>Mario Vs. Big Boo</x:v>
      </x:c>
      <x:c r="B1043" t="str">
        <x:v>Mario Vs. Big Boo</x:v>
      </x:c>
      <x:c r="C1043" t="str">
        <x:v>XpheXl</x:v>
      </x:c>
      <x:c r="D1043" t="n">
        <x:v>6</x:v>
      </x:c>
      <x:c r="E1043" t="str">
        <x:v>Newcomer</x:v>
      </x:c>
      <x:c r="F1043" t="str">
        <x:v>Standard</x:v>
      </x:c>
      <x:c r="G1043" t="n">
        <x:v>42680</x:v>
      </x:c>
      <x:c r="H1043" t="str">
        <x:v>14571</x:v>
      </x:c>
      <x:c r="I1043" t="str">
        <x:v>https://www.smwcentral.net/?a=details&amp;id=14571&amp;p=section</x:v>
      </x:c>
      <x:c r="J1043" t="str">
        <x:v>https://dl.smwcentral.net/14571/Mario%20Vs.%20Big%20Boo%20-%20the%20ultimate%20epic%20showdown%20of%20destiny%20in%20a%20duel%20of%20life%2C%20death%20and%20bananas.zip</x:v>
      </x:c>
    </x:row>
    <x:row r="1044">
      <x:c r="A1044" t="str">
        <x:v>Mario vs. Bowser and Mighty No. 9</x:v>
      </x:c>
      <x:c r="B1044" t="str">
        <x:v>Mario vs. Bowser and Mighty No. 9</x:v>
      </x:c>
      <x:c r="C1044" t="str">
        <x:v>Roberto zampari</x:v>
      </x:c>
      <x:c r="D1044" t="n">
        <x:v>80</x:v>
      </x:c>
      <x:c r="E1044" t="str">
        <x:v>Casual</x:v>
      </x:c>
      <x:c r="F1044" t="str">
        <x:v>Standard</x:v>
      </x:c>
      <x:c r="G1044" t="n">
        <x:v>41806</x:v>
      </x:c>
      <x:c r="H1044" t="str">
        <x:v>6632</x:v>
      </x:c>
      <x:c r="I1044" t="str">
        <x:v>https://www.smwcentral.net/?a=details&amp;id=6632&amp;p=section</x:v>
      </x:c>
      <x:c r="J1044" t="str">
        <x:v>https://dl.smwcentral.net/6632/SMWMightyFull3.zip</x:v>
      </x:c>
    </x:row>
    <x:row r="1045">
      <x:c r="A1045" t="str">
        <x:v>Mario vs. Shyguy</x:v>
      </x:c>
      <x:c r="B1045" t="str">
        <x:v>Mario vs. Shyguy</x:v>
      </x:c>
      <x:c r="C1045" t="str">
        <x:v>chris10125</x:v>
      </x:c>
      <x:c r="D1045" t="n">
        <x:v>35</x:v>
      </x:c>
      <x:c r="E1045" t="str">
        <x:v>Casual</x:v>
      </x:c>
      <x:c r="F1045" t="str">
        <x:v>Standard</x:v>
      </x:c>
      <x:c r="G1045" t="n">
        <x:v>42207</x:v>
      </x:c>
      <x:c r="H1045" t="str">
        <x:v>9700</x:v>
      </x:c>
      <x:c r="I1045" t="str">
        <x:v>https://www.smwcentral.net/?a=details&amp;id=9700&amp;p=section</x:v>
      </x:c>
      <x:c r="J1045" t="str">
        <x:v>https://dl.smwcentral.net/9700/Mario_Vs_Shyguy.zip</x:v>
      </x:c>
    </x:row>
    <x:row r="1046">
      <x:c r="A1046" t="str">
        <x:v>Mario vs. SONIC.EXE</x:v>
      </x:c>
      <x:c r="B1046" t="str">
        <x:v>Mario vs. SONIC.EXE</x:v>
      </x:c>
      <x:c r="C1046" t="str">
        <x:v>TheInsanity115</x:v>
      </x:c>
      <x:c r="D1046" t="n">
        <x:v>18</x:v>
      </x:c>
      <x:c r="E1046" t="str">
        <x:v>Intermediate</x:v>
      </x:c>
      <x:c r="F1046" t="str">
        <x:v>Standard</x:v>
      </x:c>
      <x:c r="G1046" t="n">
        <x:v>42188</x:v>
      </x:c>
      <x:c r="H1046" t="str">
        <x:v>11616</x:v>
      </x:c>
      <x:c r="I1046" t="str">
        <x:v>https://www.smwcentral.net/?a=details&amp;id=11616&amp;p=section</x:v>
      </x:c>
      <x:c r="J1046" t="str">
        <x:v>https://dl.smwcentral.net/11616/Mario%20vs%20Sonic%20v6.zip</x:v>
      </x:c>
    </x:row>
    <x:row r="1047">
      <x:c r="A1047" t="str">
        <x:v>Mario Vs. The Deadly Alliance</x:v>
      </x:c>
      <x:c r="B1047" t="str">
        <x:v>Mario Vs. The Deadly Alliance</x:v>
      </x:c>
      <x:c r="C1047" t="str">
        <x:v>SpoodahBro</x:v>
      </x:c>
      <x:c r="D1047" t="n">
        <x:v>60</x:v>
      </x:c>
      <x:c r="E1047" t="str">
        <x:v>Advanced</x:v>
      </x:c>
      <x:c r="F1047" t="str">
        <x:v>Standard</x:v>
      </x:c>
      <x:c r="G1047" t="n">
        <x:v>44987</x:v>
      </x:c>
      <x:c r="H1047" t="str">
        <x:v>33308</x:v>
      </x:c>
      <x:c r="I1047" t="str">
        <x:v>https://www.smwcentral.net/?a=details&amp;id=33308&amp;p=section</x:v>
      </x:c>
      <x:c r="J1047" t="str">
        <x:v>https://dl.smwcentral.net/33308/Mario%20Vs.%20The%20Deadly%20Alliance%28V2.5%29.zip</x:v>
      </x:c>
    </x:row>
    <x:row r="1048">
      <x:c r="A1048" t="str">
        <x:v>Mario vs. the Magnificent 7</x:v>
      </x:c>
      <x:c r="B1048" t="str">
        <x:v>Mario vs. the Magnificent 7</x:v>
      </x:c>
      <x:c r="C1048" t="str">
        <x:v>Agent Q</x:v>
      </x:c>
      <x:c r="D1048" t="n">
        <x:v>3</x:v>
      </x:c>
      <x:c r="E1048" t="str">
        <x:v>Casual</x:v>
      </x:c>
      <x:c r="F1048" t="str">
        <x:v>Standard</x:v>
      </x:c>
      <x:c r="G1048" t="n">
        <x:v>42148</x:v>
      </x:c>
      <x:c r="H1048" t="str">
        <x:v>9896</x:v>
      </x:c>
      <x:c r="I1048" t="str">
        <x:v>https://www.smwcentral.net/?a=details&amp;id=9896&amp;p=section</x:v>
      </x:c>
      <x:c r="J1048" t="str">
        <x:v>https://dl.smwcentral.net/9896/DaKingDemo.zip</x:v>
      </x:c>
    </x:row>
    <x:row r="1049">
      <x:c r="A1049" t="str">
        <x:v>Mario Wakes Up... Expanded!</x:v>
      </x:c>
      <x:c r="B1049" t="str">
        <x:v>Mario Wakes Up... Expanded!</x:v>
      </x:c>
      <x:c r="C1049" t="str">
        <x:v>MATTAN</x:v>
      </x:c>
      <x:c r="D1049" t="n">
        <x:v>2</x:v>
      </x:c>
      <x:c r="E1049" t="str">
        <x:v>Casual</x:v>
      </x:c>
      <x:c r="F1049" t="str">
        <x:v>Standard</x:v>
      </x:c>
      <x:c r="G1049" t="n">
        <x:v>42003</x:v>
      </x:c>
      <x:c r="H1049" t="str">
        <x:v>9798</x:v>
      </x:c>
      <x:c r="I1049" t="str">
        <x:v>https://www.smwcentral.net/?a=details&amp;id=9798&amp;p=section</x:v>
      </x:c>
      <x:c r="J1049" t="str">
        <x:v>https://dl.smwcentral.net/9798/MWU-Ex.zip</x:v>
      </x:c>
    </x:row>
    <x:row r="1050">
      <x:c r="A1050" t="str">
        <x:v>Mario Wants His Lemonade</x:v>
      </x:c>
      <x:c r="B1050" t="str">
        <x:v>Mario Wants His Lemonade</x:v>
      </x:c>
      <x:c r="C1050" t="str">
        <x:v>Gamma V</x:v>
      </x:c>
      <x:c r="D1050" t="n">
        <x:v>9</x:v>
      </x:c>
      <x:c r="E1050" t="str">
        <x:v>Newcomer</x:v>
      </x:c>
      <x:c r="F1050" t="str">
        <x:v>Standard</x:v>
      </x:c>
      <x:c r="G1050" t="n">
        <x:v>41466</x:v>
      </x:c>
      <x:c r="H1050" t="str">
        <x:v>5596</x:v>
      </x:c>
      <x:c r="I1050" t="str">
        <x:v>https://www.smwcentral.net/?a=details&amp;id=5596&amp;p=section</x:v>
      </x:c>
      <x:c r="J1050" t="str">
        <x:v>https://dl.smwcentral.net/5596/Mario%20Wants%20His%20Lemonade.zip</x:v>
      </x:c>
    </x:row>
    <x:row r="1051">
      <x:c r="A1051" t="str">
        <x:v>Mario World Super Yuri's Hack</x:v>
      </x:c>
      <x:c r="B1051" t="str">
        <x:v>Mario World Super Yuri's Hack</x:v>
      </x:c>
      <x:c r="C1051" t="str">
        <x:v>Yurelvis123</x:v>
      </x:c>
      <x:c r="D1051" t="n">
        <x:v>16</x:v>
      </x:c>
      <x:c r="E1051" t="str">
        <x:v>Casual</x:v>
      </x:c>
      <x:c r="F1051" t="str">
        <x:v>Standard</x:v>
      </x:c>
      <x:c r="G1051" t="n">
        <x:v>42312</x:v>
      </x:c>
      <x:c r="H1051" t="str">
        <x:v>10185</x:v>
      </x:c>
      <x:c r="I1051" t="str">
        <x:v>https://www.smwcentral.net/?a=details&amp;id=10185&amp;p=section</x:v>
      </x:c>
      <x:c r="J1051" t="str">
        <x:v>https://dl.smwcentral.net/10185/Mario%20World%20Super%20Yuri%27s%20Hack%20DEMO%202.6.1.zip</x:v>
      </x:c>
    </x:row>
    <x:row r="1052">
      <x:c r="A1052" t="str">
        <x:v>Mario World The Mario Adventure</x:v>
      </x:c>
      <x:c r="B1052" t="str">
        <x:v>Mario World The Mario Adventure</x:v>
      </x:c>
      <x:c r="C1052" t="str">
        <x:v>rodark</x:v>
      </x:c>
      <x:c r="D1052" t="n">
        <x:v>10</x:v>
      </x:c>
      <x:c r="E1052" t="str">
        <x:v>Casual</x:v>
      </x:c>
      <x:c r="F1052" t="str">
        <x:v>Standard</x:v>
      </x:c>
      <x:c r="G1052" t="n">
        <x:v>45250</x:v>
      </x:c>
      <x:c r="H1052" t="str">
        <x:v>35335</x:v>
      </x:c>
      <x:c r="I1052" t="str">
        <x:v>https://www.smwcentral.net/?a=details&amp;id=35335&amp;p=section</x:v>
      </x:c>
      <x:c r="J1052" t="str">
        <x:v>https://dl.smwcentral.net/35335/Mario%20World%20the%20mario%20adventure%20demo.zip</x:v>
      </x:c>
    </x:row>
    <x:row r="1053">
      <x:c r="A1053" t="str">
        <x:v>Mario! A New Era</x:v>
      </x:c>
      <x:c r="B1053" t="str">
        <x:v>Mario! A New Era</x:v>
      </x:c>
      <x:c r="C1053" t="str">
        <x:v>Tahixham</x:v>
      </x:c>
      <x:c r="D1053" t="n">
        <x:v>5</x:v>
      </x:c>
      <x:c r="E1053" t="str">
        <x:v>Newcomer</x:v>
      </x:c>
      <x:c r="F1053" t="str">
        <x:v>Standard</x:v>
      </x:c>
      <x:c r="G1053" t="n">
        <x:v>42219</x:v>
      </x:c>
      <x:c r="H1053" t="str">
        <x:v>9897</x:v>
      </x:c>
      <x:c r="I1053" t="str">
        <x:v>https://www.smwcentral.net/?a=details&amp;id=9897&amp;p=section</x:v>
      </x:c>
      <x:c r="J1053" t="str">
        <x:v>https://dl.smwcentral.net/9897/mario%21%20nera.zip</x:v>
      </x:c>
    </x:row>
    <x:row r="1054">
      <x:c r="A1054" t="str">
        <x:v>Mario's 100s Challenge</x:v>
      </x:c>
      <x:c r="B1054" t="str">
        <x:v>Mario's 100s Challenge</x:v>
      </x:c>
      <x:c r="C1054" t="str">
        <x:v>JP32</x:v>
      </x:c>
      <x:c r="D1054" t="n">
        <x:v>88</x:v>
      </x:c>
      <x:c r="E1054" t="str">
        <x:v>Advanced</x:v>
      </x:c>
      <x:c r="F1054" t="str">
        <x:v>Standard</x:v>
      </x:c>
      <x:c r="G1054" t="n">
        <x:v>42433</x:v>
      </x:c>
      <x:c r="H1054" t="str">
        <x:v>13372</x:v>
      </x:c>
      <x:c r="I1054" t="str">
        <x:v>https://www.smwcentral.net/?a=details&amp;id=13372&amp;p=section</x:v>
      </x:c>
      <x:c r="J1054" t="str">
        <x:v>https://dl.smwcentral.net/13372/Marios%20100s%20Challenge%20FINAL%202%2C1.zip</x:v>
      </x:c>
    </x:row>
    <x:row r="1055">
      <x:c r="A1055" t="str">
        <x:v>Mario's 2 Ways 2 Victory</x:v>
      </x:c>
      <x:c r="B1055" t="str">
        <x:v>Mario's 2 Ways 2 Victory</x:v>
      </x:c>
      <x:c r="C1055" t="str">
        <x:v>Ckristina</x:v>
      </x:c>
      <x:c r="D1055" t="n">
        <x:v>85</x:v>
      </x:c>
      <x:c r="E1055" t="str">
        <x:v>Intermediate</x:v>
      </x:c>
      <x:c r="F1055" t="str">
        <x:v>Standard</x:v>
      </x:c>
      <x:c r="G1055" t="n">
        <x:v>41445</x:v>
      </x:c>
      <x:c r="H1055" t="str">
        <x:v>5583</x:v>
      </x:c>
      <x:c r="I1055" t="str">
        <x:v>https://www.smwcentral.net/?a=details&amp;id=5583&amp;p=section</x:v>
      </x:c>
      <x:c r="J1055" t="str">
        <x:v>https://dl.smwcentral.net/5583/Mario%27s%202%20Ways%202%20Victory.zip</x:v>
      </x:c>
    </x:row>
    <x:row r="1056">
      <x:c r="A1056" t="str">
        <x:v>Mario's Adventure</x:v>
      </x:c>
      <x:c r="B1056" t="str">
        <x:v>Mario's Adventure</x:v>
      </x:c>
      <x:c r="C1056" t="str">
        <x:v>John Freeman</x:v>
      </x:c>
      <x:c r="D1056" t="n">
        <x:v>8</x:v>
      </x:c>
      <x:c r="E1056" t="str">
        <x:v>Newcomer</x:v>
      </x:c>
      <x:c r="F1056" t="str">
        <x:v>Standard</x:v>
      </x:c>
      <x:c r="G1056" t="n">
        <x:v>42044</x:v>
      </x:c>
      <x:c r="H1056" t="str">
        <x:v>9785</x:v>
      </x:c>
      <x:c r="I1056" t="str">
        <x:v>https://www.smwcentral.net/?a=details&amp;id=9785&amp;p=section</x:v>
      </x:c>
      <x:c r="J1056" t="str">
        <x:v>https://dl.smwcentral.net/9785/Mario%27s%20adventure%20demo%202.zip</x:v>
      </x:c>
    </x:row>
    <x:row r="1057">
      <x:c r="A1057" t="str">
        <x:v>Mario's Adventure in Yoshi's Island</x:v>
      </x:c>
      <x:c r="B1057" t="str">
        <x:v>Mario's Adventure in Yoshi's Island</x:v>
      </x:c>
      <x:c r="C1057" t="str">
        <x:v>Falconpunch</x:v>
      </x:c>
      <x:c r="D1057" t="n">
        <x:v>5</x:v>
      </x:c>
      <x:c r="E1057" t="str">
        <x:v>Casual</x:v>
      </x:c>
      <x:c r="F1057" t="str">
        <x:v>Standard</x:v>
      </x:c>
      <x:c r="G1057" t="n">
        <x:v>42329</x:v>
      </x:c>
      <x:c r="H1057" t="str">
        <x:v>10188</x:v>
      </x:c>
      <x:c r="I1057" t="str">
        <x:v>https://www.smwcentral.net/?a=details&amp;id=10188&amp;p=section</x:v>
      </x:c>
      <x:c r="J1057" t="str">
        <x:v>https://dl.smwcentral.net/10188/Mario%27s.zip</x:v>
      </x:c>
    </x:row>
    <x:row r="1058">
      <x:c r="A1058" t="str">
        <x:v>Mario's Adventure on the Southern Continent</x:v>
      </x:c>
      <x:c r="B1058" t="str">
        <x:v>Mario's Adventure on the Southern Continent</x:v>
      </x:c>
      <x:c r="C1058" t="str">
        <x:v>NoodleSauce</x:v>
      </x:c>
      <x:c r="D1058" t="n">
        <x:v>15</x:v>
      </x:c>
      <x:c r="E1058" t="str">
        <x:v>Intermediate</x:v>
      </x:c>
      <x:c r="F1058" t="str">
        <x:v>Standard</x:v>
      </x:c>
      <x:c r="G1058" t="n">
        <x:v>41554</x:v>
      </x:c>
      <x:c r="H1058" t="str">
        <x:v>5564</x:v>
      </x:c>
      <x:c r="I1058" t="str">
        <x:v>https://www.smwcentral.net/?a=details&amp;id=5564&amp;p=section</x:v>
      </x:c>
      <x:c r="J1058" t="str">
        <x:v>https://dl.smwcentral.net/5564/Southern%20Continent.zip</x:v>
      </x:c>
    </x:row>
    <x:row r="1059">
      <x:c r="A1059" t="str">
        <x:v>Mario's Amazing Adventure Revitalized</x:v>
      </x:c>
      <x:c r="B1059" t="str">
        <x:v>Mario's Amazing Adventure Revitalized</x:v>
      </x:c>
      <x:c r="C1059" t="str">
        <x:v>superwiidude</x:v>
      </x:c>
      <x:c r="D1059" t="n">
        <x:v>105</x:v>
      </x:c>
      <x:c r="E1059" t="str">
        <x:v>Casual</x:v>
      </x:c>
      <x:c r="F1059" t="str">
        <x:v>Standard</x:v>
      </x:c>
      <x:c r="G1059" t="n">
        <x:v>42545</x:v>
      </x:c>
      <x:c r="H1059" t="str">
        <x:v>13836</x:v>
      </x:c>
      <x:c r="I1059" t="str">
        <x:v>https://www.smwcentral.net/?a=details&amp;id=13836&amp;p=section</x:v>
      </x:c>
      <x:c r="J1059" t="str">
        <x:v>https://dl.smwcentral.net/13836/Mario%27s%20amazing%20adventure.zip</x:v>
      </x:c>
    </x:row>
    <x:row r="1060">
      <x:c r="A1060" t="str">
        <x:v>Mario's Amazing Adventure: Extrem Edition</x:v>
      </x:c>
      <x:c r="B1060" t="str">
        <x:v>Mario's Amazing Adventure: Extrem Edition</x:v>
      </x:c>
      <x:c r="C1060" t="str">
        <x:v>superwiidude</x:v>
      </x:c>
      <x:c r="D1060" t="n">
        <x:v>15</x:v>
      </x:c>
      <x:c r="E1060" t="str">
        <x:v>Advanced</x:v>
      </x:c>
      <x:c r="F1060" t="str">
        <x:v>Standard</x:v>
      </x:c>
      <x:c r="G1060" t="n">
        <x:v>43046</x:v>
      </x:c>
      <x:c r="H1060" t="str">
        <x:v>16579</x:v>
      </x:c>
      <x:c r="I1060" t="str">
        <x:v>https://www.smwcentral.net/?a=details&amp;id=16579&amp;p=section</x:v>
      </x:c>
      <x:c r="J1060" t="str">
        <x:v>https://dl.smwcentral.net/16579/MAAEE.zip</x:v>
      </x:c>
    </x:row>
    <x:row r="1061">
      <x:c r="A1061" t="str">
        <x:v>Mario's Ascetic Adventure</x:v>
      </x:c>
      <x:c r="B1061" t="str">
        <x:v>Mario's Ascetic Adventure</x:v>
      </x:c>
      <x:c r="C1061" t="str">
        <x:v>Sokobansolver</x:v>
      </x:c>
      <x:c r="D1061" t="n">
        <x:v>4</x:v>
      </x:c>
      <x:c r="E1061" t="str">
        <x:v>Expert</x:v>
      </x:c>
      <x:c r="F1061" t="str">
        <x:v>Kaizo, Tool-Assisted</x:v>
      </x:c>
      <x:c r="G1061" t="n">
        <x:v>42190</x:v>
      </x:c>
      <x:c r="H1061" t="str">
        <x:v>11662</x:v>
      </x:c>
      <x:c r="I1061" t="str">
        <x:v>https://www.smwcentral.net/?a=details&amp;id=11662&amp;p=section</x:v>
      </x:c>
      <x:c r="J1061" t="str">
        <x:v>https://dl.smwcentral.net/11662/Mario%27sAsceticAdventuredemo.zip</x:v>
      </x:c>
    </x:row>
    <x:row r="1062">
      <x:c r="A1062" t="str">
        <x:v>Mario's Awesome Journey</x:v>
      </x:c>
      <x:c r="B1062" t="str">
        <x:v>Mario's Awesome Journey</x:v>
      </x:c>
      <x:c r="C1062" t="str">
        <x:v>niko</x:v>
      </x:c>
      <x:c r="D1062" t="n">
        <x:v>11</x:v>
      </x:c>
      <x:c r="E1062" t="str">
        <x:v>Intermediate</x:v>
      </x:c>
      <x:c r="F1062" t="str">
        <x:v>Standard</x:v>
      </x:c>
      <x:c r="G1062" t="n">
        <x:v>43002</x:v>
      </x:c>
      <x:c r="H1062" t="str">
        <x:v>16326</x:v>
      </x:c>
      <x:c r="I1062" t="str">
        <x:v>https://www.smwcentral.net/?a=details&amp;id=16326&amp;p=section</x:v>
      </x:c>
      <x:c r="J1062" t="str">
        <x:v>https://dl.smwcentral.net/16326/Mario%27s%20Awesome%20Journey%20Demo%202.zip</x:v>
      </x:c>
    </x:row>
    <x:row r="1063">
      <x:c r="A1063" t="str">
        <x:v>Mario's Bathroom Adventure</x:v>
      </x:c>
      <x:c r="B1063" t="str">
        <x:v>Mario's Bathroom Adventure</x:v>
      </x:c>
      <x:c r="C1063" t="str">
        <x:v>Noobish Noobsicle</x:v>
      </x:c>
      <x:c r="D1063" t="n">
        <x:v>13</x:v>
      </x:c>
      <x:c r="E1063" t="str">
        <x:v>Casual</x:v>
      </x:c>
      <x:c r="F1063" t="str">
        <x:v>Standard</x:v>
      </x:c>
      <x:c r="G1063" t="n">
        <x:v>42270</x:v>
      </x:c>
      <x:c r="H1063" t="str">
        <x:v>10034</x:v>
      </x:c>
      <x:c r="I1063" t="str">
        <x:v>https://www.smwcentral.net/?a=details&amp;id=10034&amp;p=section</x:v>
      </x:c>
      <x:c r="J1063" t="str">
        <x:v>https://dl.smwcentral.net/10034/Mario%27s%20Bathroom%20Adventure.zip</x:v>
      </x:c>
    </x:row>
    <x:row r="1064">
      <x:c r="A1064" t="str">
        <x:v>Mario's Bizarre Adventure</x:v>
      </x:c>
      <x:c r="B1064" t="str">
        <x:v>Mario's Bizarre Adventure</x:v>
      </x:c>
      <x:c r="C1064" t="str">
        <x:v>StayAtHomeStegosaurus</x:v>
      </x:c>
      <x:c r="D1064" t="n">
        <x:v>1</x:v>
      </x:c>
      <x:c r="E1064" t="str">
        <x:v>Expert</x:v>
      </x:c>
      <x:c r="F1064" t="str">
        <x:v>Kaizo</x:v>
      </x:c>
      <x:c r="G1064" t="n">
        <x:v>44378</x:v>
      </x:c>
      <x:c r="H1064" t="str">
        <x:v>26949</x:v>
      </x:c>
      <x:c r="I1064" t="str">
        <x:v>https://www.smwcentral.net/?a=details&amp;id=26949&amp;p=section</x:v>
      </x:c>
      <x:c r="J1064" t="str">
        <x:v>https://dl.smwcentral.net/26949/MariosBizarreAdventure_v1.1.zip</x:v>
      </x:c>
    </x:row>
    <x:row r="1065">
      <x:c r="A1065" t="str">
        <x:v>Mario's Bizarre Adventure DLC</x:v>
      </x:c>
      <x:c r="B1065" t="str">
        <x:v>Mario's Bizarre Adventure DLC</x:v>
      </x:c>
      <x:c r="C1065" t="str">
        <x:v>StayAtHomeStegosaurus</x:v>
      </x:c>
      <x:c r="D1065" t="n">
        <x:v>1</x:v>
      </x:c>
      <x:c r="E1065" t="str">
        <x:v>Master</x:v>
      </x:c>
      <x:c r="F1065" t="str">
        <x:v>Kaizo</x:v>
      </x:c>
      <x:c r="G1065" t="n">
        <x:v>44384</x:v>
      </x:c>
      <x:c r="H1065" t="str">
        <x:v>27388</x:v>
      </x:c>
      <x:c r="I1065" t="str">
        <x:v>https://www.smwcentral.net/?a=details&amp;id=27388&amp;p=section</x:v>
      </x:c>
      <x:c r="J1065" t="str">
        <x:v>https://dl.smwcentral.net/27388/MariosBizarreAdventureDLC.zip</x:v>
      </x:c>
    </x:row>
    <x:row r="1066">
      <x:c r="A1066" t="str">
        <x:v>Mario's Cookie Catastrophe</x:v>
      </x:c>
      <x:c r="B1066" t="str">
        <x:v>Mario's Cookie Catastrophe</x:v>
      </x:c>
      <x:c r="C1066" t="str">
        <x:v>millieman76</x:v>
      </x:c>
      <x:c r="D1066" t="n">
        <x:v>20</x:v>
      </x:c>
      <x:c r="E1066" t="str">
        <x:v>Casual</x:v>
      </x:c>
      <x:c r="F1066" t="str">
        <x:v>Standard</x:v>
      </x:c>
      <x:c r="G1066" t="n">
        <x:v>42312</x:v>
      </x:c>
      <x:c r="H1066" t="str">
        <x:v>10239</x:v>
      </x:c>
      <x:c r="I1066" t="str">
        <x:v>https://www.smwcentral.net/?a=details&amp;id=10239&amp;p=section</x:v>
      </x:c>
      <x:c r="J1066" t="str">
        <x:v>https://dl.smwcentral.net/10239/Mario%27s%20Cookie%20Catastrophe%20V1.2.zip</x:v>
      </x:c>
    </x:row>
    <x:row r="1067">
      <x:c r="A1067" t="str">
        <x:v>Mario's Cool Mission</x:v>
      </x:c>
      <x:c r="B1067" t="str">
        <x:v>Mario's Cool Mission</x:v>
      </x:c>
      <x:c r="C1067" t="str">
        <x:v>Woody</x:v>
      </x:c>
      <x:c r="D1067" t="n">
        <x:v>6</x:v>
      </x:c>
      <x:c r="E1067" t="str">
        <x:v>Newcomer</x:v>
      </x:c>
      <x:c r="F1067" t="str">
        <x:v>Standard</x:v>
      </x:c>
      <x:c r="G1067" t="n">
        <x:v>42229</x:v>
      </x:c>
      <x:c r="H1067" t="str">
        <x:v>9861</x:v>
      </x:c>
      <x:c r="I1067" t="str">
        <x:v>https://www.smwcentral.net/?a=details&amp;id=9861&amp;p=section</x:v>
      </x:c>
      <x:c r="J1067" t="str">
        <x:v>https://dl.smwcentral.net/9861/SMW%20Mario%27s%20Cool%20Mission.zip</x:v>
      </x:c>
    </x:row>
    <x:row r="1068">
      <x:c r="A1068" t="str">
        <x:v>Mario's Day Off</x:v>
      </x:c>
      <x:c r="B1068" t="str">
        <x:v>Mario's Day Off</x:v>
      </x:c>
      <x:c r="C1068" t="str">
        <x:v>hendog30_</x:v>
      </x:c>
      <x:c r="D1068" t="n">
        <x:v>19</x:v>
      </x:c>
      <x:c r="E1068" t="str">
        <x:v>Casual</x:v>
      </x:c>
      <x:c r="F1068" t="str">
        <x:v>Standard</x:v>
      </x:c>
      <x:c r="G1068" t="n">
        <x:v>43731</x:v>
      </x:c>
      <x:c r="H1068" t="str">
        <x:v>21139</x:v>
      </x:c>
      <x:c r="I1068" t="str">
        <x:v>https://www.smwcentral.net/?a=details&amp;id=21139&amp;p=section</x:v>
      </x:c>
      <x:c r="J1068" t="str">
        <x:v>https://dl.smwcentral.net/21139/MariosDayOff.zip</x:v>
      </x:c>
    </x:row>
    <x:row r="1069">
      <x:c r="A1069" t="str">
        <x:v>Mario's Double Trouble</x:v>
      </x:c>
      <x:c r="B1069" t="str">
        <x:v>Mario's Double Trouble</x:v>
      </x:c>
      <x:c r="C1069" t="str">
        <x:v>AlWaYsDeLiVeRz</x:v>
      </x:c>
      <x:c r="D1069" t="n">
        <x:v>74</x:v>
      </x:c>
      <x:c r="E1069" t="str">
        <x:v>Intermediate</x:v>
      </x:c>
      <x:c r="F1069" t="str">
        <x:v>Standard</x:v>
      </x:c>
      <x:c r="G1069" t="n">
        <x:v>42239</x:v>
      </x:c>
      <x:c r="H1069" t="str">
        <x:v>9769</x:v>
      </x:c>
      <x:c r="I1069" t="str">
        <x:v>https://www.smwcentral.net/?a=details&amp;id=9769&amp;p=section</x:v>
      </x:c>
      <x:c r="J1069" t="str">
        <x:v>https://dl.smwcentral.net/9769/Mario%27s%20Double%20Trouble.zip</x:v>
      </x:c>
    </x:row>
    <x:row r="1070">
      <x:c r="A1070" t="str">
        <x:v>Mario's Dying Simulator</x:v>
      </x:c>
      <x:c r="B1070" t="str">
        <x:v>Mario's Dying Simulator</x:v>
      </x:c>
      <x:c r="C1070" t="str">
        <x:v>Sokobansolver</x:v>
      </x:c>
      <x:c r="D1070" t="n">
        <x:v>15</x:v>
      </x:c>
      <x:c r="E1070" t="str">
        <x:v>Advanced</x:v>
      </x:c>
      <x:c r="F1070" t="str">
        <x:v>Kaizo, Tool-Assisted</x:v>
      </x:c>
      <x:c r="G1070" t="n">
        <x:v>45742</x:v>
      </x:c>
      <x:c r="H1070" t="str">
        <x:v>39635</x:v>
      </x:c>
      <x:c r="I1070" t="str">
        <x:v>https://www.smwcentral.net/?a=details&amp;id=39635&amp;p=section</x:v>
      </x:c>
      <x:c r="J1070" t="str">
        <x:v>https://dl.smwcentral.net/39635/MariosDyingSimulator.zip</x:v>
      </x:c>
    </x:row>
    <x:row r="1071">
      <x:c r="A1071" t="str">
        <x:v>Mario's Endless Adventure 2: Escape From Koopatraz Prison</x:v>
      </x:c>
      <x:c r="B1071" t="str">
        <x:v>Mario's Endless Adventure 2: Escape From Koopatraz Prison</x:v>
      </x:c>
      <x:c r="C1071" t="str">
        <x:v>Ddoomm10</x:v>
      </x:c>
      <x:c r="D1071" t="n">
        <x:v>1</x:v>
      </x:c>
      <x:c r="E1071" t="str">
        <x:v>Intermediate</x:v>
      </x:c>
      <x:c r="F1071" t="str">
        <x:v>Standard</x:v>
      </x:c>
      <x:c r="G1071" t="n">
        <x:v>42155</x:v>
      </x:c>
      <x:c r="H1071" t="str">
        <x:v>10268</x:v>
      </x:c>
      <x:c r="I1071" t="str">
        <x:v>https://www.smwcentral.net/?a=details&amp;id=10268&amp;p=section</x:v>
      </x:c>
      <x:c r="J1071" t="str">
        <x:v>https://dl.smwcentral.net/10268/MEA2.zip</x:v>
      </x:c>
    </x:row>
    <x:row r="1072">
      <x:c r="A1072" t="str">
        <x:v>Mario's Enigmatic Tales 1: The Betrayal</x:v>
      </x:c>
      <x:c r="B1072" t="str">
        <x:v>Mario's Enigmatic Tales 1: The Betrayal</x:v>
      </x:c>
      <x:c r="C1072" t="str">
        <x:v>Major Flare</x:v>
      </x:c>
      <x:c r="D1072" t="n">
        <x:v>87</x:v>
      </x:c>
      <x:c r="E1072" t="str">
        <x:v>Casual</x:v>
      </x:c>
      <x:c r="F1072" t="str">
        <x:v>Standard</x:v>
      </x:c>
      <x:c r="G1072" t="n">
        <x:v>42003</x:v>
      </x:c>
      <x:c r="H1072" t="str">
        <x:v>10300</x:v>
      </x:c>
      <x:c r="I1072" t="str">
        <x:v>https://www.smwcentral.net/?a=details&amp;id=10300&amp;p=section</x:v>
      </x:c>
      <x:c r="J1072" t="str">
        <x:v>https://dl.smwcentral.net/10300/Mario%27s%20Enigmatic%20Tales%20BETA%20Fixed.zip</x:v>
      </x:c>
    </x:row>
    <x:row r="1073">
      <x:c r="A1073" t="str">
        <x:v>Mario's Epic Adventure [SMWC #10132]</x:v>
      </x:c>
      <x:c r="B1073" t="str">
        <x:v>Mario's Epic Adventure</x:v>
      </x:c>
      <x:c r="C1073" t="str">
        <x:v>MolSno</x:v>
      </x:c>
      <x:c r="D1073" t="n">
        <x:v>21</x:v>
      </x:c>
      <x:c r="E1073" t="str">
        <x:v>Casual</x:v>
      </x:c>
      <x:c r="F1073" t="str">
        <x:v>Standard</x:v>
      </x:c>
      <x:c r="G1073" t="n">
        <x:v>42286</x:v>
      </x:c>
      <x:c r="H1073" t="str">
        <x:v>10132</x:v>
      </x:c>
      <x:c r="I1073" t="str">
        <x:v>https://www.smwcentral.net/?a=details&amp;id=10132&amp;p=section</x:v>
      </x:c>
      <x:c r="J1073" t="str">
        <x:v>https://dl.smwcentral.net/10132/Mario%27s%20Epic%20Adventure.zip</x:v>
      </x:c>
    </x:row>
    <x:row r="1074">
      <x:c r="A1074" t="str">
        <x:v>Mario's Epic Adventure [SMWC #36826]</x:v>
      </x:c>
      <x:c r="B1074" t="str">
        <x:v>Mario's Epic Adventure</x:v>
      </x:c>
      <x:c r="C1074" t="str">
        <x:v>niko</x:v>
      </x:c>
      <x:c r="D1074" t="n">
        <x:v>17</x:v>
      </x:c>
      <x:c r="E1074" t="str">
        <x:v>Advanced</x:v>
      </x:c>
      <x:c r="F1074" t="str">
        <x:v>Standard</x:v>
      </x:c>
      <x:c r="G1074" t="n">
        <x:v>45397</x:v>
      </x:c>
      <x:c r="H1074" t="str">
        <x:v>36826</x:v>
      </x:c>
      <x:c r="I1074" t="str">
        <x:v>https://www.smwcentral.net/?a=details&amp;id=36826&amp;p=section</x:v>
      </x:c>
      <x:c r="J1074" t="str">
        <x:v>https://dl.smwcentral.net/36826/Marios%20Epic%20Adventure%20Demo%202.zip</x:v>
      </x:c>
    </x:row>
    <x:row r="1075">
      <x:c r="A1075" t="str">
        <x:v>Mario's Evil Level</x:v>
      </x:c>
      <x:c r="B1075" t="str">
        <x:v>Mario's Evil Level</x:v>
      </x:c>
      <x:c r="C1075" t="str">
        <x:v>Mapsking</x:v>
      </x:c>
      <x:c r="D1075" t="n">
        <x:v>5</x:v>
      </x:c>
      <x:c r="E1075" t="str">
        <x:v>Intermediate</x:v>
      </x:c>
      <x:c r="F1075" t="str">
        <x:v>Kaizo, Tool-Assisted</x:v>
      </x:c>
      <x:c r="G1075" t="n">
        <x:v>45347</x:v>
      </x:c>
      <x:c r="H1075" t="str">
        <x:v>33315</x:v>
      </x:c>
      <x:c r="I1075" t="str">
        <x:v>https://www.smwcentral.net/?a=details&amp;id=33315&amp;p=section</x:v>
      </x:c>
      <x:c r="J1075" t="str">
        <x:v>https://dl.smwcentral.net/33315/Mario%27s%20Evil%20Level%20v1.5.zip</x:v>
      </x:c>
    </x:row>
    <x:row r="1076">
      <x:c r="A1076" t="str">
        <x:v>Mario's Exodus To Death</x:v>
      </x:c>
      <x:c r="B1076" t="str">
        <x:v>Mario's Exodus To Death</x:v>
      </x:c>
      <x:c r="C1076" t="str">
        <x:v>Soul2Limbo</x:v>
      </x:c>
      <x:c r="D1076" t="n">
        <x:v>7</x:v>
      </x:c>
      <x:c r="E1076" t="str">
        <x:v>Casual</x:v>
      </x:c>
      <x:c r="F1076" t="str">
        <x:v>Standard</x:v>
      </x:c>
      <x:c r="G1076" t="n">
        <x:v>41491</x:v>
      </x:c>
      <x:c r="H1076" t="str">
        <x:v>5261</x:v>
      </x:c>
      <x:c r="I1076" t="str">
        <x:v>https://www.smwcentral.net/?a=details&amp;id=5261&amp;p=section</x:v>
      </x:c>
      <x:c r="J1076" t="str">
        <x:v>https://dl.smwcentral.net/5261/MD.zip</x:v>
      </x:c>
    </x:row>
    <x:row r="1077">
      <x:c r="A1077" t="str">
        <x:v>Mario's Final Quest</x:v>
      </x:c>
      <x:c r="B1077" t="str">
        <x:v>Mario's Final Quest</x:v>
      </x:c>
      <x:c r="C1077" t="str">
        <x:v>Kyanite</x:v>
      </x:c>
      <x:c r="D1077" t="n">
        <x:v>8</x:v>
      </x:c>
      <x:c r="E1077" t="str">
        <x:v>Casual</x:v>
      </x:c>
      <x:c r="F1077" t="str">
        <x:v>Standard</x:v>
      </x:c>
      <x:c r="G1077" t="n">
        <x:v>42550</x:v>
      </x:c>
      <x:c r="H1077" t="str">
        <x:v>13877</x:v>
      </x:c>
      <x:c r="I1077" t="str">
        <x:v>https://www.smwcentral.net/?a=details&amp;id=13877&amp;p=section</x:v>
      </x:c>
      <x:c r="J1077" t="str">
        <x:v>https://dl.smwcentral.net/13877/MFQ%20v1.2.zip</x:v>
      </x:c>
    </x:row>
    <x:row r="1078">
      <x:c r="A1078" t="str">
        <x:v>Mario's First Adventure</x:v>
      </x:c>
      <x:c r="B1078" t="str">
        <x:v>Mario's First Adventure</x:v>
      </x:c>
      <x:c r="C1078" t="str">
        <x:v>Daizo Dee Von</x:v>
      </x:c>
      <x:c r="D1078" t="n">
        <x:v>8</x:v>
      </x:c>
      <x:c r="E1078" t="str">
        <x:v>Advanced</x:v>
      </x:c>
      <x:c r="F1078" t="str">
        <x:v>Standard</x:v>
      </x:c>
      <x:c r="G1078" t="n">
        <x:v>42315</x:v>
      </x:c>
      <x:c r="H1078" t="str">
        <x:v>10243</x:v>
      </x:c>
      <x:c r="I1078" t="str">
        <x:v>https://www.smwcentral.net/?a=details&amp;id=10243&amp;p=section</x:v>
      </x:c>
      <x:c r="J1078" t="str">
        <x:v>https://dl.smwcentral.net/10243/C3%20Demo%20of%20M1A.zip</x:v>
      </x:c>
    </x:row>
    <x:row r="1079">
      <x:c r="A1079" t="str">
        <x:v>Mario's Grand Adventure</x:v>
      </x:c>
      <x:c r="B1079" t="str">
        <x:v>Mario's Grand Adventure</x:v>
      </x:c>
      <x:c r="C1079" t="str">
        <x:v>Apple Boy</x:v>
      </x:c>
      <x:c r="D1079" t="n">
        <x:v>40</x:v>
      </x:c>
      <x:c r="E1079" t="str">
        <x:v>Casual</x:v>
      </x:c>
      <x:c r="F1079" t="str">
        <x:v>Standard</x:v>
      </x:c>
      <x:c r="G1079" t="n">
        <x:v>44793</x:v>
      </x:c>
      <x:c r="H1079" t="str">
        <x:v>31857</x:v>
      </x:c>
      <x:c r="I1079" t="str">
        <x:v>https://www.smwcentral.net/?a=details&amp;id=31857&amp;p=section</x:v>
      </x:c>
      <x:c r="J1079" t="str">
        <x:v>https://dl.smwcentral.net/31857/Mario%27s%20Grand%20Adventure.zip</x:v>
      </x:c>
    </x:row>
    <x:row r="1080">
      <x:c r="A1080" t="str">
        <x:v>Mario's Grand Adventure 2: Mario's World Tour</x:v>
      </x:c>
      <x:c r="B1080" t="str">
        <x:v>Mario's Grand Adventure 2: Mario's World Tour</x:v>
      </x:c>
      <x:c r="C1080" t="str">
        <x:v>Apple Boy</x:v>
      </x:c>
      <x:c r="D1080" t="n">
        <x:v>21</x:v>
      </x:c>
      <x:c r="E1080" t="str">
        <x:v>Casual</x:v>
      </x:c>
      <x:c r="F1080" t="str">
        <x:v>Standard</x:v>
      </x:c>
      <x:c r="G1080" t="n">
        <x:v>44574</x:v>
      </x:c>
      <x:c r="H1080" t="str">
        <x:v>28978</x:v>
      </x:c>
      <x:c r="I1080" t="str">
        <x:v>https://www.smwcentral.net/?a=details&amp;id=28978&amp;p=section</x:v>
      </x:c>
      <x:c r="J1080" t="str">
        <x:v>https://dl.smwcentral.net/28978/Mario%27s%20Grand%20Adventure%202%20Mario%27s%20World%20Tour.zip</x:v>
      </x:c>
    </x:row>
    <x:row r="1081">
      <x:c r="A1081" t="str">
        <x:v>Mario's Grand Adventure: Delta Island</x:v>
      </x:c>
      <x:c r="B1081" t="str">
        <x:v>Mario's Grand Adventure: Delta Island</x:v>
      </x:c>
      <x:c r="C1081" t="str">
        <x:v>Apple Boy</x:v>
      </x:c>
      <x:c r="D1081" t="n">
        <x:v>7</x:v>
      </x:c>
      <x:c r="E1081" t="str">
        <x:v>Casual</x:v>
      </x:c>
      <x:c r="F1081" t="str">
        <x:v>Standard</x:v>
      </x:c>
      <x:c r="G1081" t="n">
        <x:v>44407</x:v>
      </x:c>
      <x:c r="H1081" t="str">
        <x:v>27808</x:v>
      </x:c>
      <x:c r="I1081" t="str">
        <x:v>https://www.smwcentral.net/?a=details&amp;id=27808&amp;p=section</x:v>
      </x:c>
      <x:c r="J1081" t="str">
        <x:v>https://dl.smwcentral.net/27808/Mario%27s%20Grand%20Adventure%20Delta%20Island.zip</x:v>
      </x:c>
    </x:row>
    <x:row r="1082">
      <x:c r="A1082" t="str">
        <x:v>Mario's Grand Adventure: Omega Jungle</x:v>
      </x:c>
      <x:c r="B1082" t="str">
        <x:v>Mario's Grand Adventure: Omega Jungle</x:v>
      </x:c>
      <x:c r="C1082" t="str">
        <x:v>Apple Boy</x:v>
      </x:c>
      <x:c r="D1082" t="n">
        <x:v>6</x:v>
      </x:c>
      <x:c r="E1082" t="str">
        <x:v>Newcomer</x:v>
      </x:c>
      <x:c r="F1082" t="str">
        <x:v>Standard</x:v>
      </x:c>
      <x:c r="G1082" t="n">
        <x:v>44434</x:v>
      </x:c>
      <x:c r="H1082" t="str">
        <x:v>28058</x:v>
      </x:c>
      <x:c r="I1082" t="str">
        <x:v>https://www.smwcentral.net/?a=details&amp;id=28058&amp;p=section</x:v>
      </x:c>
      <x:c r="J1082" t="str">
        <x:v>https://dl.smwcentral.net/28058/Mario%27s%20Grand%20Adventure%20Omega%20Jungle.zip</x:v>
      </x:c>
    </x:row>
    <x:row r="1083">
      <x:c r="A1083" t="str">
        <x:v>Mario's Homeland</x:v>
      </x:c>
      <x:c r="B1083" t="str">
        <x:v>Mario's Homeland</x:v>
      </x:c>
      <x:c r="C1083" t="str">
        <x:v>Tommy15551</x:v>
      </x:c>
      <x:c r="D1083" t="n">
        <x:v>5</x:v>
      </x:c>
      <x:c r="E1083" t="str">
        <x:v>Newcomer</x:v>
      </x:c>
      <x:c r="F1083" t="str">
        <x:v>Standard</x:v>
      </x:c>
      <x:c r="G1083" t="n">
        <x:v>42255</x:v>
      </x:c>
      <x:c r="H1083" t="str">
        <x:v>9953</x:v>
      </x:c>
      <x:c r="I1083" t="str">
        <x:v>https://www.smwcentral.net/?a=details&amp;id=9953&amp;p=section</x:v>
      </x:c>
      <x:c r="J1083" t="str">
        <x:v>https://dl.smwcentral.net/9953/Mario%27s%20Homeland%20%28Demo1%29.zip</x:v>
      </x:c>
    </x:row>
    <x:row r="1084">
      <x:c r="A1084" t="str">
        <x:v>Mario's Island Exploration</x:v>
      </x:c>
      <x:c r="B1084" t="str">
        <x:v>Mario's Island Exploration</x:v>
      </x:c>
      <x:c r="C1084" t="str">
        <x:v>KennyJ</x:v>
      </x:c>
      <x:c r="D1084" t="n">
        <x:v>17</x:v>
      </x:c>
      <x:c r="E1084" t="str">
        <x:v>Intermediate</x:v>
      </x:c>
      <x:c r="F1084" t="str">
        <x:v>Standard</x:v>
      </x:c>
      <x:c r="G1084" t="n">
        <x:v>41572</x:v>
      </x:c>
      <x:c r="H1084" t="str">
        <x:v>5573</x:v>
      </x:c>
      <x:c r="I1084" t="str">
        <x:v>https://www.smwcentral.net/?a=details&amp;id=5573&amp;p=section</x:v>
      </x:c>
      <x:c r="J1084" t="str">
        <x:v>https://dl.smwcentral.net/5573/MIE.zip</x:v>
      </x:c>
    </x:row>
    <x:row r="1085">
      <x:c r="A1085" t="str">
        <x:v>Mario's Journey Through Time &amp; Space</x:v>
      </x:c>
      <x:c r="B1085" t="str">
        <x:v>Mario's Journey Through Time &amp; Space</x:v>
      </x:c>
      <x:c r="C1085" t="str">
        <x:v>Ice Man</x:v>
      </x:c>
      <x:c r="D1085" t="n">
        <x:v>34</x:v>
      </x:c>
      <x:c r="E1085" t="str">
        <x:v>Casual</x:v>
      </x:c>
      <x:c r="F1085" t="str">
        <x:v>Standard</x:v>
      </x:c>
      <x:c r="G1085" t="n">
        <x:v>41814</x:v>
      </x:c>
      <x:c r="H1085" t="str">
        <x:v>6505</x:v>
      </x:c>
      <x:c r="I1085" t="str">
        <x:v>https://www.smwcentral.net/?a=details&amp;id=6505&amp;p=section</x:v>
      </x:c>
      <x:c r="J1085" t="str">
        <x:v>https://dl.smwcentral.net/6505/MJTTAS%20Final.zip</x:v>
      </x:c>
    </x:row>
    <x:row r="1086">
      <x:c r="A1086" t="str">
        <x:v>Mario's Keytastrophe</x:v>
      </x:c>
      <x:c r="B1086" t="str">
        <x:v>Mario's Keytastrophe</x:v>
      </x:c>
      <x:c r="C1086" t="str">
        <x:v>S.N.N.</x:v>
      </x:c>
      <x:c r="D1086" t="n">
        <x:v>51</x:v>
      </x:c>
      <x:c r="E1086" t="str">
        <x:v>Casual</x:v>
      </x:c>
      <x:c r="F1086" t="str">
        <x:v>Standard, Puzzle</x:v>
      </x:c>
      <x:c r="G1086" t="n">
        <x:v>41589</x:v>
      </x:c>
      <x:c r="H1086" t="str">
        <x:v>5317</x:v>
      </x:c>
      <x:c r="I1086" t="str">
        <x:v>https://www.smwcentral.net/?a=details&amp;id=5317&amp;p=section</x:v>
      </x:c>
      <x:c r="J1086" t="str">
        <x:v>https://dl.smwcentral.net/5317/MKT.zip</x:v>
      </x:c>
    </x:row>
    <x:row r="1087">
      <x:c r="A1087" t="str">
        <x:v>Mario's Keytastrophe: Rebirth Edition</x:v>
      </x:c>
      <x:c r="B1087" t="str">
        <x:v>Mario's Keytastrophe: Rebirth Edition</x:v>
      </x:c>
      <x:c r="C1087" t="str">
        <x:v>S.N.N.</x:v>
      </x:c>
      <x:c r="D1087" t="n">
        <x:v>37</x:v>
      </x:c>
      <x:c r="E1087" t="str">
        <x:v>Casual</x:v>
      </x:c>
      <x:c r="F1087" t="str">
        <x:v>Standard, Puzzle</x:v>
      </x:c>
      <x:c r="G1087" t="n">
        <x:v>42925</x:v>
      </x:c>
      <x:c r="H1087" t="str">
        <x:v>15797</x:v>
      </x:c>
      <x:c r="I1087" t="str">
        <x:v>https://www.smwcentral.net/?a=details&amp;id=15797&amp;p=section</x:v>
      </x:c>
      <x:c r="J1087" t="str">
        <x:v>https://dl.smwcentral.net/15797/KTR.zip</x:v>
      </x:c>
    </x:row>
    <x:row r="1088">
      <x:c r="A1088" t="str">
        <x:v>Mario's Last Adventure</x:v>
      </x:c>
      <x:c r="B1088" t="str">
        <x:v>Mario's Last Adventure</x:v>
      </x:c>
      <x:c r="C1088" t="str">
        <x:v>niko</x:v>
      </x:c>
      <x:c r="D1088" t="n">
        <x:v>20</x:v>
      </x:c>
      <x:c r="E1088" t="str">
        <x:v>Intermediate</x:v>
      </x:c>
      <x:c r="F1088" t="str">
        <x:v>Standard</x:v>
      </x:c>
      <x:c r="G1088" t="n">
        <x:v>42658</x:v>
      </x:c>
      <x:c r="H1088" t="str">
        <x:v>14534</x:v>
      </x:c>
      <x:c r="I1088" t="str">
        <x:v>https://www.smwcentral.net/?a=details&amp;id=14534&amp;p=section</x:v>
      </x:c>
      <x:c r="J1088" t="str">
        <x:v>https://dl.smwcentral.net/14534/MLA%20Demo%201.zip</x:v>
      </x:c>
    </x:row>
    <x:row r="1089">
      <x:c r="A1089" t="str">
        <x:v>Mario's Long Traveling</x:v>
      </x:c>
      <x:c r="B1089" t="str">
        <x:v>Mario's Long Traveling</x:v>
      </x:c>
      <x:c r="C1089" t="str">
        <x:v>Teo17</x:v>
      </x:c>
      <x:c r="D1089" t="n">
        <x:v>7</x:v>
      </x:c>
      <x:c r="E1089" t="str">
        <x:v>Casual</x:v>
      </x:c>
      <x:c r="F1089" t="str">
        <x:v>Standard</x:v>
      </x:c>
      <x:c r="G1089" t="n">
        <x:v>41543</x:v>
      </x:c>
      <x:c r="H1089" t="str">
        <x:v>5435</x:v>
      </x:c>
      <x:c r="I1089" t="str">
        <x:v>https://www.smwcentral.net/?a=details&amp;id=5435&amp;p=section</x:v>
      </x:c>
      <x:c r="J1089" t="str">
        <x:v>https://dl.smwcentral.net/5435/MLT.zip</x:v>
      </x:c>
    </x:row>
    <x:row r="1090">
      <x:c r="A1090" t="str">
        <x:v>Mario's Lost World</x:v>
      </x:c>
      <x:c r="B1090" t="str">
        <x:v>Mario's Lost World</x:v>
      </x:c>
      <x:c r="C1090" t="str">
        <x:v>icegoom</x:v>
      </x:c>
      <x:c r="D1090" t="n">
        <x:v>27</x:v>
      </x:c>
      <x:c r="E1090" t="str">
        <x:v>Intermediate</x:v>
      </x:c>
      <x:c r="F1090" t="str">
        <x:v>Standard</x:v>
      </x:c>
      <x:c r="G1090" t="n">
        <x:v>41457</x:v>
      </x:c>
      <x:c r="H1090" t="str">
        <x:v>4982</x:v>
      </x:c>
      <x:c r="I1090" t="str">
        <x:v>https://www.smwcentral.net/?a=details&amp;id=4982&amp;p=section</x:v>
      </x:c>
      <x:c r="J1090" t="str">
        <x:v>https://dl.smwcentral.net/4982/MariosLostWorldDemo.zip</x:v>
      </x:c>
    </x:row>
    <x:row r="1091">
      <x:c r="A1091" t="str">
        <x:v>Mario's Low-Budget Adventure</x:v>
      </x:c>
      <x:c r="B1091" t="str">
        <x:v>Mario's Low-Budget Adventure</x:v>
      </x:c>
      <x:c r="C1091" t="str">
        <x:v>tranvucam</x:v>
      </x:c>
      <x:c r="D1091" t="n">
        <x:v>50</x:v>
      </x:c>
      <x:c r="E1091" t="str">
        <x:v>Intermediate</x:v>
      </x:c>
      <x:c r="F1091" t="str">
        <x:v>Standard</x:v>
      </x:c>
      <x:c r="G1091" t="n">
        <x:v>45554</x:v>
      </x:c>
      <x:c r="H1091" t="str">
        <x:v>38080</x:v>
      </x:c>
      <x:c r="I1091" t="str">
        <x:v>https://www.smwcentral.net/?a=details&amp;id=38080&amp;p=section</x:v>
      </x:c>
      <x:c r="J1091" t="str">
        <x:v>https://dl.smwcentral.net/38080/Mario%27s%20Low-Budget%20Adventure%20v1.2.zip</x:v>
      </x:c>
    </x:row>
    <x:row r="1092">
      <x:c r="A1092" t="str">
        <x:v>Mario's Mad Adventure</x:v>
      </x:c>
      <x:c r="B1092" t="str">
        <x:v>Mario's Mad Adventure</x:v>
      </x:c>
      <x:c r="C1092" t="str">
        <x:v>cyphermur9t</x:v>
      </x:c>
      <x:c r="D1092" t="n">
        <x:v>25</x:v>
      </x:c>
      <x:c r="E1092" t="str">
        <x:v>Intermediate</x:v>
      </x:c>
      <x:c r="F1092" t="str">
        <x:v>Standard</x:v>
      </x:c>
      <x:c r="G1092" t="n">
        <x:v>42209</x:v>
      </x:c>
      <x:c r="H1092" t="str">
        <x:v>9703</x:v>
      </x:c>
      <x:c r="I1092" t="str">
        <x:v>https://www.smwcentral.net/?a=details&amp;id=9703&amp;p=section</x:v>
      </x:c>
      <x:c r="J1092" t="str">
        <x:v>https://dl.smwcentral.net/9703/Mario%27s%20Mad%20Adventure%20%282%20Parts%29.zip</x:v>
      </x:c>
    </x:row>
    <x:row r="1093">
      <x:c r="A1093" t="str">
        <x:v>Mario's Misadventures 2: The Black Hole Bomb</x:v>
      </x:c>
      <x:c r="B1093" t="str">
        <x:v>Mario's Misadventures 2: The Black Hole Bomb</x:v>
      </x:c>
      <x:c r="C1093" t="str">
        <x:v>signature_steve</x:v>
      </x:c>
      <x:c r="D1093" t="n">
        <x:v>98</x:v>
      </x:c>
      <x:c r="E1093" t="str">
        <x:v>Casual</x:v>
      </x:c>
      <x:c r="F1093" t="str">
        <x:v>Standard</x:v>
      </x:c>
      <x:c r="G1093" t="n">
        <x:v>46024</x:v>
      </x:c>
      <x:c r="H1093" t="str">
        <x:v>41279</x:v>
      </x:c>
      <x:c r="I1093" t="str">
        <x:v>https://www.smwcentral.net/?a=details&amp;id=41279&amp;p=section</x:v>
      </x:c>
      <x:c r="J1093" t="str">
        <x:v>https://dl.smwcentral.net/41279/MariosMisadventures2%20v1.2.5.zip</x:v>
      </x:c>
    </x:row>
    <x:row r="1094">
      <x:c r="A1094" t="str">
        <x:v>Mario's Misadventures: The Secret of The 11 Gems</x:v>
      </x:c>
      <x:c r="B1094" t="str">
        <x:v>Mario's Misadventures: The Secret of The 11 Gems</x:v>
      </x:c>
      <x:c r="C1094" t="str">
        <x:v>signature_steve</x:v>
      </x:c>
      <x:c r="D1094" t="n">
        <x:v>98</x:v>
      </x:c>
      <x:c r="E1094" t="str">
        <x:v>Casual</x:v>
      </x:c>
      <x:c r="F1094" t="str">
        <x:v>Standard</x:v>
      </x:c>
      <x:c r="G1094" t="n">
        <x:v>45508</x:v>
      </x:c>
      <x:c r="H1094" t="str">
        <x:v>38098</x:v>
      </x:c>
      <x:c r="I1094" t="str">
        <x:v>https://www.smwcentral.net/?a=details&amp;id=38098&amp;p=section</x:v>
      </x:c>
      <x:c r="J1094" t="str">
        <x:v>https://dl.smwcentral.net/38098/MariosMisadventures1.4.3.zip</x:v>
      </x:c>
    </x:row>
    <x:row r="1095">
      <x:c r="A1095" t="str">
        <x:v>Mario's Mission</x:v>
      </x:c>
      <x:c r="B1095" t="str">
        <x:v>Mario's Mission</x:v>
      </x:c>
      <x:c r="C1095" t="str">
        <x:v>PaperMario94</x:v>
      </x:c>
      <x:c r="D1095" t="n">
        <x:v>49</x:v>
      </x:c>
      <x:c r="E1095" t="str">
        <x:v>Intermediate</x:v>
      </x:c>
      <x:c r="F1095" t="str">
        <x:v>Standard</x:v>
      </x:c>
      <x:c r="G1095" t="n">
        <x:v>42333</x:v>
      </x:c>
      <x:c r="H1095" t="str">
        <x:v>10225</x:v>
      </x:c>
      <x:c r="I1095" t="str">
        <x:v>https://www.smwcentral.net/?a=details&amp;id=10225&amp;p=section</x:v>
      </x:c>
      <x:c r="J1095" t="str">
        <x:v>https://dl.smwcentral.net/10225/Marios%20Mission.zip</x:v>
      </x:c>
    </x:row>
    <x:row r="1096">
      <x:c r="A1096" t="str">
        <x:v>Mario's Mistake</x:v>
      </x:c>
      <x:c r="B1096" t="str">
        <x:v>Mario's Mistake</x:v>
      </x:c>
      <x:c r="C1096" t="str">
        <x:v>gibbl</x:v>
      </x:c>
      <x:c r="D1096" t="n">
        <x:v>7</x:v>
      </x:c>
      <x:c r="E1096" t="str">
        <x:v>Advanced</x:v>
      </x:c>
      <x:c r="F1096" t="str">
        <x:v>Kaizo, Tool-Assisted</x:v>
      </x:c>
      <x:c r="G1096" t="n">
        <x:v>41748</x:v>
      </x:c>
      <x:c r="H1096" t="str">
        <x:v>6131</x:v>
      </x:c>
      <x:c r="I1096" t="str">
        <x:v>https://www.smwcentral.net/?a=details&amp;id=6131&amp;p=section</x:v>
      </x:c>
      <x:c r="J1096" t="str">
        <x:v>https://dl.smwcentral.net/6131/Mario%27s%20Mistake.zip</x:v>
      </x:c>
    </x:row>
    <x:row r="1097">
      <x:c r="A1097" t="str">
        <x:v>Mario's Mystery Meat</x:v>
      </x:c>
      <x:c r="B1097" t="str">
        <x:v>Mario's Mystery Meat</x:v>
      </x:c>
      <x:c r="C1097" t="str">
        <x:v>Eminus</x:v>
      </x:c>
      <x:c r="D1097" t="n">
        <x:v>1</x:v>
      </x:c>
      <x:c r="E1097" t="str">
        <x:v>Advanced</x:v>
      </x:c>
      <x:c r="F1097" t="str">
        <x:v>Standard</x:v>
      </x:c>
      <x:c r="G1097" t="n">
        <x:v>43992</x:v>
      </x:c>
      <x:c r="H1097" t="str">
        <x:v>23290</x:v>
      </x:c>
      <x:c r="I1097" t="str">
        <x:v>https://www.smwcentral.net/?a=details&amp;id=23290&amp;p=section</x:v>
      </x:c>
      <x:c r="J1097" t="str">
        <x:v>https://dl.smwcentral.net/23290/mmmeat.zip</x:v>
      </x:c>
    </x:row>
    <x:row r="1098">
      <x:c r="A1098" t="str">
        <x:v>Mario's Mystical Garden</x:v>
      </x:c>
      <x:c r="B1098" t="str">
        <x:v>Mario's Mystical Garden</x:v>
      </x:c>
      <x:c r="C1098" t="str">
        <x:v>2dareduck</x:v>
      </x:c>
      <x:c r="D1098" t="n">
        <x:v>10</x:v>
      </x:c>
      <x:c r="E1098" t="str">
        <x:v>Casual</x:v>
      </x:c>
      <x:c r="F1098" t="str">
        <x:v>Standard</x:v>
      </x:c>
      <x:c r="G1098" t="n">
        <x:v>41545</x:v>
      </x:c>
      <x:c r="H1098" t="str">
        <x:v>5529</x:v>
      </x:c>
      <x:c r="I1098" t="str">
        <x:v>https://www.smwcentral.net/?a=details&amp;id=5529&amp;p=section</x:v>
      </x:c>
      <x:c r="J1098" t="str">
        <x:v>https://dl.smwcentral.net/5529/MMG1.3.zip</x:v>
      </x:c>
    </x:row>
    <x:row r="1099">
      <x:c r="A1099" t="str">
        <x:v>Mario's New World</x:v>
      </x:c>
      <x:c r="B1099" t="str">
        <x:v>Mario's New World</x:v>
      </x:c>
      <x:c r="C1099" t="str">
        <x:v>noon</x:v>
      </x:c>
      <x:c r="D1099" t="n">
        <x:v>5</x:v>
      </x:c>
      <x:c r="E1099" t="str">
        <x:v>Casual</x:v>
      </x:c>
      <x:c r="F1099" t="str">
        <x:v>Standard</x:v>
      </x:c>
      <x:c r="G1099" t="n">
        <x:v>42215</x:v>
      </x:c>
      <x:c r="H1099" t="str">
        <x:v>10217</x:v>
      </x:c>
      <x:c r="I1099" t="str">
        <x:v>https://www.smwcentral.net/?a=details&amp;id=10217&amp;p=section</x:v>
      </x:c>
      <x:c r="J1099" t="str">
        <x:v>https://dl.smwcentral.net/10217/%282004%29%20Mario%27s%20New%20World.zip</x:v>
      </x:c>
    </x:row>
    <x:row r="1100">
      <x:c r="A1100" t="str">
        <x:v>Mario's New Year Mini Quest</x:v>
      </x:c>
      <x:c r="B1100" t="str">
        <x:v>Mario's New Year Mini Quest</x:v>
      </x:c>
      <x:c r="C1100" t="str">
        <x:v>Green Jerry</x:v>
      </x:c>
      <x:c r="D1100" t="n">
        <x:v>10</x:v>
      </x:c>
      <x:c r="E1100" t="str">
        <x:v>Intermediate</x:v>
      </x:c>
      <x:c r="F1100" t="str">
        <x:v>Standard</x:v>
      </x:c>
      <x:c r="G1100" t="n">
        <x:v>44233</x:v>
      </x:c>
      <x:c r="H1100" t="str">
        <x:v>26149</x:v>
      </x:c>
      <x:c r="I1100" t="str">
        <x:v>https://www.smwcentral.net/?a=details&amp;id=26149&amp;p=section</x:v>
      </x:c>
      <x:c r="J1100" t="str">
        <x:v>https://dl.smwcentral.net/26149/Mario%27s%20New%20Year%20Mini%20Quest%20%28V1.2%29.zip</x:v>
      </x:c>
    </x:row>
    <x:row r="1101">
      <x:c r="A1101" t="str">
        <x:v>Mario's Next Adventure</x:v>
      </x:c>
      <x:c r="B1101" t="str">
        <x:v>Mario's Next Adventure</x:v>
      </x:c>
      <x:c r="C1101" t="str">
        <x:v>Systrem Studios</x:v>
      </x:c>
      <x:c r="D1101" t="n">
        <x:v>11</x:v>
      </x:c>
      <x:c r="E1101" t="str">
        <x:v>Newcomer</x:v>
      </x:c>
      <x:c r="F1101" t="str">
        <x:v>Standard</x:v>
      </x:c>
      <x:c r="G1101" t="n">
        <x:v>42412</x:v>
      </x:c>
      <x:c r="H1101" t="str">
        <x:v>13292</x:v>
      </x:c>
      <x:c r="I1101" t="str">
        <x:v>https://www.smwcentral.net/?a=details&amp;id=13292&amp;p=section</x:v>
      </x:c>
      <x:c r="J1101" t="str">
        <x:v>https://dl.smwcentral.net/13292/Marios%20Next%20Adventure%20v.2.0.zip</x:v>
      </x:c>
    </x:row>
    <x:row r="1102">
      <x:c r="A1102" t="str">
        <x:v>Mario's Nightmare: Episode 1</x:v>
      </x:c>
      <x:c r="B1102" t="str">
        <x:v>Mario's Nightmare: Episode 1</x:v>
      </x:c>
      <x:c r="C1102" t="str">
        <x:v>TooManyToasters</x:v>
      </x:c>
      <x:c r="D1102" t="n">
        <x:v>7</x:v>
      </x:c>
      <x:c r="E1102" t="str">
        <x:v>Casual</x:v>
      </x:c>
      <x:c r="F1102" t="str">
        <x:v>Standard</x:v>
      </x:c>
      <x:c r="G1102" t="n">
        <x:v>42044</x:v>
      </x:c>
      <x:c r="H1102" t="str">
        <x:v>9816</x:v>
      </x:c>
      <x:c r="I1102" t="str">
        <x:v>https://www.smwcentral.net/?a=details&amp;id=9816&amp;p=section</x:v>
      </x:c>
      <x:c r="J1102" t="str">
        <x:v>https://dl.smwcentral.net/9816/Mario%27s%20Nightmare%20Ep1.zip</x:v>
      </x:c>
    </x:row>
    <x:row r="1103">
      <x:c r="A1103" t="str">
        <x:v>Mario's NOSE</x:v>
      </x:c>
      <x:c r="B1103" t="str">
        <x:v>Mario's NOSE</x:v>
      </x:c>
      <x:c r="C1103" t="str">
        <x:v>rextep</x:v>
      </x:c>
      <x:c r="D1103" t="n">
        <x:v>4</x:v>
      </x:c>
      <x:c r="E1103" t="str">
        <x:v>Intermediate</x:v>
      </x:c>
      <x:c r="F1103" t="str">
        <x:v>Standard</x:v>
      </x:c>
      <x:c r="G1103" t="n">
        <x:v>43219</x:v>
      </x:c>
      <x:c r="H1103" t="str">
        <x:v>17452</x:v>
      </x:c>
      <x:c r="I1103" t="str">
        <x:v>https://www.smwcentral.net/?a=details&amp;id=17452&amp;p=section</x:v>
      </x:c>
      <x:c r="J1103" t="str">
        <x:v>https://dl.smwcentral.net/17452/MNOSE.zip</x:v>
      </x:c>
    </x:row>
    <x:row r="1104">
      <x:c r="A1104" t="str">
        <x:v>Mario's on a New Adventure!</x:v>
      </x:c>
      <x:c r="B1104" t="str">
        <x:v>Mario's on a New Adventure!</x:v>
      </x:c>
      <x:c r="C1104" t="str">
        <x:v>ItsaMe.64</x:v>
      </x:c>
      <x:c r="D1104" t="n">
        <x:v>21</x:v>
      </x:c>
      <x:c r="E1104" t="str">
        <x:v>Intermediate</x:v>
      </x:c>
      <x:c r="F1104" t="str">
        <x:v>Standard</x:v>
      </x:c>
      <x:c r="G1104" t="n">
        <x:v>43483</x:v>
      </x:c>
      <x:c r="H1104" t="str">
        <x:v>18975</x:v>
      </x:c>
      <x:c r="I1104" t="str">
        <x:v>https://www.smwcentral.net/?a=details&amp;id=18975&amp;p=section</x:v>
      </x:c>
      <x:c r="J1104" t="str">
        <x:v>https://dl.smwcentral.net/18975/%5BMoaNA%21%20up1%5D.zip</x:v>
      </x:c>
    </x:row>
    <x:row r="1105">
      <x:c r="A1105" t="str">
        <x:v>Mario's Peregrination-Kingdom Elementum Phantasia</x:v>
      </x:c>
      <x:c r="B1105" t="str">
        <x:v>Mario's Peregrination-Kingdom Elementum Phantasia</x:v>
      </x:c>
      <x:c r="C1105" t="str">
        <x:v>Vamperumbra</x:v>
      </x:c>
      <x:c r="D1105" t="n">
        <x:v>48</x:v>
      </x:c>
      <x:c r="E1105" t="str">
        <x:v>Casual</x:v>
      </x:c>
      <x:c r="F1105" t="str">
        <x:v>Standard</x:v>
      </x:c>
      <x:c r="G1105" t="n">
        <x:v>42662</x:v>
      </x:c>
      <x:c r="H1105" t="str">
        <x:v>14536</x:v>
      </x:c>
      <x:c r="I1105" t="str">
        <x:v>https://www.smwcentral.net/?a=details&amp;id=14536&amp;p=section</x:v>
      </x:c>
      <x:c r="J1105" t="str">
        <x:v>https://dl.smwcentral.net/14536/MP.zip</x:v>
      </x:c>
    </x:row>
    <x:row r="1106">
      <x:c r="A1106" t="str">
        <x:v>Mario's Pride Mini Quest</x:v>
      </x:c>
      <x:c r="B1106" t="str">
        <x:v>Mario's Pride Mini Quest</x:v>
      </x:c>
      <x:c r="C1106" t="str">
        <x:v>Green Jerry</x:v>
      </x:c>
      <x:c r="D1106" t="n">
        <x:v>17</x:v>
      </x:c>
      <x:c r="E1106" t="str">
        <x:v>Intermediate</x:v>
      </x:c>
      <x:c r="F1106" t="str">
        <x:v>Standard</x:v>
      </x:c>
      <x:c r="G1106" t="n">
        <x:v>45103</x:v>
      </x:c>
      <x:c r="H1106" t="str">
        <x:v>34166</x:v>
      </x:c>
      <x:c r="I1106" t="str">
        <x:v>https://www.smwcentral.net/?a=details&amp;id=34166&amp;p=section</x:v>
      </x:c>
      <x:c r="J1106" t="str">
        <x:v>https://dl.smwcentral.net/34166/Mario%27s%20Pride%20Mini%20Quest%20%28V1.3.5%29.zip</x:v>
      </x:c>
    </x:row>
    <x:row r="1107">
      <x:c r="A1107" t="str">
        <x:v>Mario's Quest For The Water</x:v>
      </x:c>
      <x:c r="B1107" t="str">
        <x:v>Mario's Quest For The Water</x:v>
      </x:c>
      <x:c r="C1107" t="str">
        <x:v>waffledoctor87</x:v>
      </x:c>
      <x:c r="D1107" t="n">
        <x:v>28</x:v>
      </x:c>
      <x:c r="E1107" t="str">
        <x:v>Intermediate</x:v>
      </x:c>
      <x:c r="F1107" t="str">
        <x:v>Standard</x:v>
      </x:c>
      <x:c r="G1107" t="n">
        <x:v>43683</x:v>
      </x:c>
      <x:c r="H1107" t="str">
        <x:v>20324</x:v>
      </x:c>
      <x:c r="I1107" t="str">
        <x:v>https://www.smwcentral.net/?a=details&amp;id=20324&amp;p=section</x:v>
      </x:c>
      <x:c r="J1107" t="str">
        <x:v>https://dl.smwcentral.net/20324/MQFTW.zip</x:v>
      </x:c>
    </x:row>
    <x:row r="1108">
      <x:c r="A1108" t="str">
        <x:v>Mario's Quest: The Legend of Darmi</x:v>
      </x:c>
      <x:c r="B1108" t="str">
        <x:v>Mario's Quest: The Legend of Darmi</x:v>
      </x:c>
      <x:c r="C1108" t="str">
        <x:v>Guilherme F Santos</x:v>
      </x:c>
      <x:c r="D1108" t="n">
        <x:v>7</x:v>
      </x:c>
      <x:c r="E1108" t="str">
        <x:v>Intermediate</x:v>
      </x:c>
      <x:c r="F1108" t="str">
        <x:v>Standard</x:v>
      </x:c>
      <x:c r="G1108" t="n">
        <x:v>42374</x:v>
      </x:c>
      <x:c r="H1108" t="str">
        <x:v>12947</x:v>
      </x:c>
      <x:c r="I1108" t="str">
        <x:v>https://www.smwcentral.net/?a=details&amp;id=12947&amp;p=section</x:v>
      </x:c>
      <x:c r="J1108" t="str">
        <x:v>https://dl.smwcentral.net/12947/Mario%27s%20Quest-%20The%20Legend%20of%20Darmi.zip</x:v>
      </x:c>
    </x:row>
    <x:row r="1109">
      <x:c r="A1109" t="str">
        <x:v>Mario's Redemption Quest</x:v>
      </x:c>
      <x:c r="B1109" t="str">
        <x:v>Mario's Redemption Quest</x:v>
      </x:c>
      <x:c r="C1109" t="str">
        <x:v>Alex</x:v>
      </x:c>
      <x:c r="D1109" t="n">
        <x:v>12</x:v>
      </x:c>
      <x:c r="E1109" t="str">
        <x:v>Expert</x:v>
      </x:c>
      <x:c r="F1109" t="str">
        <x:v>Kaizo</x:v>
      </x:c>
      <x:c r="G1109" t="n">
        <x:v>44217</x:v>
      </x:c>
      <x:c r="H1109" t="str">
        <x:v>25924</x:v>
      </x:c>
      <x:c r="I1109" t="str">
        <x:v>https://www.smwcentral.net/?a=details&amp;id=25924&amp;p=section</x:v>
      </x:c>
      <x:c r="J1109" t="str">
        <x:v>https://dl.smwcentral.net/25924/Mario%27s%20Redemption%20Quest%20v1.1.zip</x:v>
      </x:c>
    </x:row>
    <x:row r="1110">
      <x:c r="A1110" t="str">
        <x:v>Mario's Redrawn Adventure</x:v>
      </x:c>
      <x:c r="B1110" t="str">
        <x:v>Mario's Redrawn Adventure</x:v>
      </x:c>
      <x:c r="C1110" t="str">
        <x:v>Moltz</x:v>
      </x:c>
      <x:c r="D1110" t="n">
        <x:v>17</x:v>
      </x:c>
      <x:c r="E1110" t="str">
        <x:v>Casual</x:v>
      </x:c>
      <x:c r="F1110" t="str">
        <x:v>Standard</x:v>
      </x:c>
      <x:c r="G1110" t="n">
        <x:v>41862</x:v>
      </x:c>
      <x:c r="H1110" t="str">
        <x:v>8897</x:v>
      </x:c>
      <x:c r="I1110" t="str">
        <x:v>https://www.smwcentral.net/?a=details&amp;id=8897&amp;p=section</x:v>
      </x:c>
      <x:c r="J1110" t="str">
        <x:v>https://dl.smwcentral.net/8897/MRA.zip</x:v>
      </x:c>
    </x:row>
    <x:row r="1111">
      <x:c r="A1111" t="str">
        <x:v>Mario's Return</x:v>
      </x:c>
      <x:c r="B1111" t="str">
        <x:v>Mario's Return</x:v>
      </x:c>
      <x:c r="C1111" t="str">
        <x:v>Stark</x:v>
      </x:c>
      <x:c r="D1111" t="n">
        <x:v>87</x:v>
      </x:c>
      <x:c r="E1111" t="str">
        <x:v>Casual</x:v>
      </x:c>
      <x:c r="F1111" t="str">
        <x:v>Standard</x:v>
      </x:c>
      <x:c r="G1111" t="n">
        <x:v>43601</x:v>
      </x:c>
      <x:c r="H1111" t="str">
        <x:v>19903</x:v>
      </x:c>
      <x:c r="I1111" t="str">
        <x:v>https://www.smwcentral.net/?a=details&amp;id=19903&amp;p=section</x:v>
      </x:c>
      <x:c r="J1111" t="str">
        <x:v>https://dl.smwcentral.net/19903/Marios_Return.zip</x:v>
      </x:c>
    </x:row>
    <x:row r="1112">
      <x:c r="A1112" t="str">
        <x:v>Mario's Return Again</x:v>
      </x:c>
      <x:c r="B1112" t="str">
        <x:v>Mario's Return Again</x:v>
      </x:c>
      <x:c r="C1112" t="str">
        <x:v>Stark</x:v>
      </x:c>
      <x:c r="D1112" t="n">
        <x:v>88</x:v>
      </x:c>
      <x:c r="E1112" t="str">
        <x:v>Intermediate</x:v>
      </x:c>
      <x:c r="F1112" t="str">
        <x:v>Standard</x:v>
      </x:c>
      <x:c r="G1112" t="n">
        <x:v>42232</x:v>
      </x:c>
      <x:c r="H1112" t="str">
        <x:v>9878</x:v>
      </x:c>
      <x:c r="I1112" t="str">
        <x:v>https://www.smwcentral.net/?a=details&amp;id=9878&amp;p=section</x:v>
      </x:c>
      <x:c r="J1112" t="str">
        <x:v>https://dl.smwcentral.net/9878/MRA%20Beta.zip</x:v>
      </x:c>
    </x:row>
    <x:row r="1113">
      <x:c r="A1113" t="str">
        <x:v>Mario's Ruined Seclusion</x:v>
      </x:c>
      <x:c r="B1113" t="str">
        <x:v>Mario's Ruined Seclusion</x:v>
      </x:c>
      <x:c r="C1113" t="str">
        <x:v>BlueSheep123</x:v>
      </x:c>
      <x:c r="D1113" t="n">
        <x:v>31</x:v>
      </x:c>
      <x:c r="E1113" t="str">
        <x:v>Casual</x:v>
      </x:c>
      <x:c r="F1113" t="str">
        <x:v>Standard</x:v>
      </x:c>
      <x:c r="G1113" t="n">
        <x:v>45010</x:v>
      </x:c>
      <x:c r="H1113" t="str">
        <x:v>33606</x:v>
      </x:c>
      <x:c r="I1113" t="str">
        <x:v>https://www.smwcentral.net/?a=details&amp;id=33606&amp;p=section</x:v>
      </x:c>
      <x:c r="J1113" t="str">
        <x:v>https://dl.smwcentral.net/33606/Mario%27s_Ruined_Seclusion_1.0.0.zip</x:v>
      </x:c>
    </x:row>
    <x:row r="1114">
      <x:c r="A1114" t="str">
        <x:v>Mario's Search for the 8 Jewels</x:v>
      </x:c>
      <x:c r="B1114" t="str">
        <x:v>Mario's Search for the 8 Jewels</x:v>
      </x:c>
      <x:c r="C1114" t="str">
        <x:v>MaiK</x:v>
      </x:c>
      <x:c r="D1114" t="n">
        <x:v>96</x:v>
      </x:c>
      <x:c r="E1114" t="str">
        <x:v>Casual</x:v>
      </x:c>
      <x:c r="F1114" t="str">
        <x:v>Standard</x:v>
      </x:c>
      <x:c r="G1114" t="n">
        <x:v>41445</x:v>
      </x:c>
      <x:c r="H1114" t="str">
        <x:v>5373</x:v>
      </x:c>
      <x:c r="I1114" t="str">
        <x:v>https://www.smwcentral.net/?a=details&amp;id=5373&amp;p=section</x:v>
      </x:c>
      <x:c r="J1114" t="str">
        <x:v>https://dl.smwcentral.net/5373/MariosSearchForThe8Jewels%20Mawwo7.zip</x:v>
      </x:c>
    </x:row>
    <x:row r="1115">
      <x:c r="A1115" t="str">
        <x:v>Mario's Search for the 8 Jewels 2</x:v>
      </x:c>
      <x:c r="B1115" t="str">
        <x:v>Mario's Search for the 8 Jewels 2</x:v>
      </x:c>
      <x:c r="C1115" t="str">
        <x:v>MaiK</x:v>
      </x:c>
      <x:c r="D1115" t="n">
        <x:v>59</x:v>
      </x:c>
      <x:c r="E1115" t="str">
        <x:v>Casual</x:v>
      </x:c>
      <x:c r="F1115" t="str">
        <x:v>Standard</x:v>
      </x:c>
      <x:c r="G1115" t="n">
        <x:v>43060</x:v>
      </x:c>
      <x:c r="H1115" t="str">
        <x:v>16492</x:v>
      </x:c>
      <x:c r="I1115" t="str">
        <x:v>https://www.smwcentral.net/?a=details&amp;id=16492&amp;p=section</x:v>
      </x:c>
      <x:c r="J1115" t="str">
        <x:v>https://dl.smwcentral.net/16492/Mario%27s%20Search%20for%20the%208%20Jewels%202%20-%20by%20MaiK.zip</x:v>
      </x:c>
    </x:row>
    <x:row r="1116">
      <x:c r="A1116" t="str">
        <x:v>Mario's Search for the Shrine of Eternal Ice</x:v>
      </x:c>
      <x:c r="B1116" t="str">
        <x:v>Mario's Search for the Shrine of Eternal Ice</x:v>
      </x:c>
      <x:c r="C1116" t="str">
        <x:v>NGB</x:v>
      </x:c>
      <x:c r="D1116" t="n">
        <x:v>1</x:v>
      </x:c>
      <x:c r="E1116" t="str">
        <x:v>Casual</x:v>
      </x:c>
      <x:c r="F1116" t="str">
        <x:v>Standard</x:v>
      </x:c>
      <x:c r="G1116" t="n">
        <x:v>42283</x:v>
      </x:c>
      <x:c r="H1116" t="str">
        <x:v>12310</x:v>
      </x:c>
      <x:c r="I1116" t="str">
        <x:v>https://www.smwcentral.net/?a=details&amp;id=12310&amp;p=section</x:v>
      </x:c>
      <x:c r="J1116" t="str">
        <x:v>https://dl.smwcentral.net/12310/Mario%27s%20Search%20for%20the%20Shrine%20of%20Eternal%20Ice%20%28Version%201.1%29.zip</x:v>
      </x:c>
    </x:row>
    <x:row r="1117">
      <x:c r="A1117" t="str">
        <x:v>Mario's Search for the Stolen Stars</x:v>
      </x:c>
      <x:c r="B1117" t="str">
        <x:v>Mario's Search for the Stolen Stars</x:v>
      </x:c>
      <x:c r="C1117" t="str">
        <x:v>majora211</x:v>
      </x:c>
      <x:c r="D1117" t="n">
        <x:v>14</x:v>
      </x:c>
      <x:c r="E1117" t="str">
        <x:v>Casual</x:v>
      </x:c>
      <x:c r="F1117" t="str">
        <x:v>Standard</x:v>
      </x:c>
      <x:c r="G1117" t="n">
        <x:v>41492</x:v>
      </x:c>
      <x:c r="H1117" t="str">
        <x:v>5412</x:v>
      </x:c>
      <x:c r="I1117" t="str">
        <x:v>https://www.smwcentral.net/?a=details&amp;id=5412&amp;p=section</x:v>
      </x:c>
      <x:c r="J1117" t="str">
        <x:v>https://dl.smwcentral.net/5412/Mario%27s%20search%20for%20the%20stolen%20stars.zip</x:v>
      </x:c>
    </x:row>
    <x:row r="1118">
      <x:c r="A1118" t="str">
        <x:v>Mario's Simple Way</x:v>
      </x:c>
      <x:c r="B1118" t="str">
        <x:v>Mario's Simple Way</x:v>
      </x:c>
      <x:c r="C1118" t="str">
        <x:v>Everest</x:v>
      </x:c>
      <x:c r="D1118" t="n">
        <x:v>10</x:v>
      </x:c>
      <x:c r="E1118" t="str">
        <x:v>Intermediate</x:v>
      </x:c>
      <x:c r="F1118" t="str">
        <x:v>Standard</x:v>
      </x:c>
      <x:c r="G1118" t="n">
        <x:v>42308</x:v>
      </x:c>
      <x:c r="H1118" t="str">
        <x:v>10079</x:v>
      </x:c>
      <x:c r="I1118" t="str">
        <x:v>https://www.smwcentral.net/?a=details&amp;id=10079&amp;p=section</x:v>
      </x:c>
      <x:c r="J1118" t="str">
        <x:v>https://dl.smwcentral.net/10079/mswdemo1.zip</x:v>
      </x:c>
    </x:row>
    <x:row r="1119">
      <x:c r="A1119" t="str">
        <x:v>Mario's Strange Quest</x:v>
      </x:c>
      <x:c r="B1119" t="str">
        <x:v>Mario's Strange Quest</x:v>
      </x:c>
      <x:c r="C1119" t="str">
        <x:v>yoshifanatic</x:v>
      </x:c>
      <x:c r="D1119" t="n">
        <x:v>79</x:v>
      </x:c>
      <x:c r="E1119" t="str">
        <x:v>Intermediate</x:v>
      </x:c>
      <x:c r="F1119" t="str">
        <x:v>Standard</x:v>
      </x:c>
      <x:c r="G1119" t="n">
        <x:v>41604</x:v>
      </x:c>
      <x:c r="H1119" t="str">
        <x:v>5258</x:v>
      </x:c>
      <x:c r="I1119" t="str">
        <x:v>https://www.smwcentral.net/?a=details&amp;id=5258&amp;p=section</x:v>
      </x:c>
      <x:c r="J1119" t="str">
        <x:v>https://dl.smwcentral.net/5258/Mario%27s%20Strange%20Quest%20v1.6.zip</x:v>
      </x:c>
    </x:row>
    <x:row r="1120">
      <x:c r="A1120" t="str">
        <x:v>Mario's Super Galactic Illusion Space Time</x:v>
      </x:c>
      <x:c r="B1120" t="str">
        <x:v>Mario's Super Galactic Illusion Space Time</x:v>
      </x:c>
      <x:c r="C1120" t="str">
        <x:v>Sulcuryalt</x:v>
      </x:c>
      <x:c r="D1120" t="n">
        <x:v>9</x:v>
      </x:c>
      <x:c r="E1120" t="str">
        <x:v>Casual</x:v>
      </x:c>
      <x:c r="F1120" t="str">
        <x:v>Standard</x:v>
      </x:c>
      <x:c r="G1120" t="n">
        <x:v>42267</x:v>
      </x:c>
      <x:c r="H1120" t="str">
        <x:v>10033</x:v>
      </x:c>
      <x:c r="I1120" t="str">
        <x:v>https://www.smwcentral.net/?a=details&amp;id=10033&amp;p=section</x:v>
      </x:c>
      <x:c r="J1120" t="str">
        <x:v>https://dl.smwcentral.net/10033/Mario%27s%20Super%20Galactic%20Illusion%20Space%20Time.zip</x:v>
      </x:c>
    </x:row>
    <x:row r="1121">
      <x:c r="A1121" t="str">
        <x:v>Mario's Supper World</x:v>
      </x:c>
      <x:c r="B1121" t="str">
        <x:v>Mario's Supper World</x:v>
      </x:c>
      <x:c r="C1121" t="str">
        <x:v>therealSWK</x:v>
      </x:c>
      <x:c r="D1121" t="n">
        <x:v>6</x:v>
      </x:c>
      <x:c r="E1121" t="str">
        <x:v>Casual</x:v>
      </x:c>
      <x:c r="F1121" t="str">
        <x:v>Standard</x:v>
      </x:c>
      <x:c r="G1121" t="n">
        <x:v>45275</x:v>
      </x:c>
      <x:c r="H1121" t="str">
        <x:v>35659</x:v>
      </x:c>
      <x:c r="I1121" t="str">
        <x:v>https://www.smwcentral.net/?a=details&amp;id=35659&amp;p=section</x:v>
      </x:c>
      <x:c r="J1121" t="str">
        <x:v>https://dl.smwcentral.net/35659/Mario%27s%20Supper%20World.zip</x:v>
      </x:c>
    </x:row>
    <x:row r="1122">
      <x:c r="A1122" t="str">
        <x:v>Mario's Sweet Adventure</x:v>
      </x:c>
      <x:c r="B1122" t="str">
        <x:v>Mario's Sweet Adventure</x:v>
      </x:c>
      <x:c r="C1122" t="str">
        <x:v>niko</x:v>
      </x:c>
      <x:c r="D1122" t="n">
        <x:v>7</x:v>
      </x:c>
      <x:c r="E1122" t="str">
        <x:v>Casual</x:v>
      </x:c>
      <x:c r="F1122" t="str">
        <x:v>Standard</x:v>
      </x:c>
      <x:c r="G1122" t="n">
        <x:v>42345</x:v>
      </x:c>
      <x:c r="H1122" t="str">
        <x:v>12794</x:v>
      </x:c>
      <x:c r="I1122" t="str">
        <x:v>https://www.smwcentral.net/?a=details&amp;id=12794&amp;p=section</x:v>
      </x:c>
      <x:c r="J1122" t="str">
        <x:v>https://dl.smwcentral.net/12794/Marios%20Sweet%20Adventure%20Demo%204.zip</x:v>
      </x:c>
    </x:row>
    <x:row r="1123">
      <x:c r="A1123" t="str">
        <x:v>Mario's Sweet Adventure 2</x:v>
      </x:c>
      <x:c r="B1123" t="str">
        <x:v>Mario's Sweet Adventure 2</x:v>
      </x:c>
      <x:c r="C1123" t="str">
        <x:v>niko</x:v>
      </x:c>
      <x:c r="D1123" t="n">
        <x:v>5</x:v>
      </x:c>
      <x:c r="E1123" t="str">
        <x:v>Casual</x:v>
      </x:c>
      <x:c r="F1123" t="str">
        <x:v>Standard</x:v>
      </x:c>
      <x:c r="G1123" t="n">
        <x:v>42356</x:v>
      </x:c>
      <x:c r="H1123" t="str">
        <x:v>12884</x:v>
      </x:c>
      <x:c r="I1123" t="str">
        <x:v>https://www.smwcentral.net/?a=details&amp;id=12884&amp;p=section</x:v>
      </x:c>
      <x:c r="J1123" t="str">
        <x:v>https://dl.smwcentral.net/12884/Marios%20Sweet%20Adventure%202%20Demo%201.zip</x:v>
      </x:c>
    </x:row>
    <x:row r="1124">
      <x:c r="A1124" t="str">
        <x:v>Mario's Sweet Adventure 3 - A New Quest</x:v>
      </x:c>
      <x:c r="B1124" t="str">
        <x:v>Mario's Sweet Adventure 3 - A New Quest</x:v>
      </x:c>
      <x:c r="C1124" t="str">
        <x:v>niko</x:v>
      </x:c>
      <x:c r="D1124" t="n">
        <x:v>66</x:v>
      </x:c>
      <x:c r="E1124" t="str">
        <x:v>Intermediate</x:v>
      </x:c>
      <x:c r="F1124" t="str">
        <x:v>Standard</x:v>
      </x:c>
      <x:c r="G1124" t="n">
        <x:v>42730</x:v>
      </x:c>
      <x:c r="H1124" t="str">
        <x:v>14710</x:v>
      </x:c>
      <x:c r="I1124" t="str">
        <x:v>https://www.smwcentral.net/?a=details&amp;id=14710&amp;p=section</x:v>
      </x:c>
      <x:c r="J1124" t="str">
        <x:v>https://dl.smwcentral.net/14710/MSA%203%20FINAL%201.1.0.0.zip</x:v>
      </x:c>
    </x:row>
    <x:row r="1125">
      <x:c r="A1125" t="str">
        <x:v>Mario's Time Quest</x:v>
      </x:c>
      <x:c r="B1125" t="str">
        <x:v>Mario's Time Quest</x:v>
      </x:c>
      <x:c r="C1125" t="str">
        <x:v>Red Chameleon, YoshiFan501</x:v>
      </x:c>
      <x:c r="D1125" t="n">
        <x:v>10</x:v>
      </x:c>
      <x:c r="E1125" t="str">
        <x:v>Newcomer</x:v>
      </x:c>
      <x:c r="F1125" t="str">
        <x:v>Standard</x:v>
      </x:c>
      <x:c r="G1125" t="n">
        <x:v>42242</x:v>
      </x:c>
      <x:c r="H1125" t="str">
        <x:v>9842</x:v>
      </x:c>
      <x:c r="I1125" t="str">
        <x:v>https://www.smwcentral.net/?a=details&amp;id=9842&amp;p=section</x:v>
      </x:c>
      <x:c r="J1125" t="str">
        <x:v>https://dl.smwcentral.net/9842/Mario%27s%20Time%20Quest%20-%20Demo%201.zip</x:v>
      </x:c>
    </x:row>
    <x:row r="1126">
      <x:c r="A1126" t="str">
        <x:v>Mario's Timely Adventure</x:v>
      </x:c>
      <x:c r="B1126" t="str">
        <x:v>Mario's Timely Adventure</x:v>
      </x:c>
      <x:c r="C1126" t="str">
        <x:v>xman0444</x:v>
      </x:c>
      <x:c r="D1126" t="n">
        <x:v>7</x:v>
      </x:c>
      <x:c r="E1126" t="str">
        <x:v>Newcomer</x:v>
      </x:c>
      <x:c r="F1126" t="str">
        <x:v>Standard</x:v>
      </x:c>
      <x:c r="G1126" t="n">
        <x:v>42248</x:v>
      </x:c>
      <x:c r="H1126" t="str">
        <x:v>9868</x:v>
      </x:c>
      <x:c r="I1126" t="str">
        <x:v>https://www.smwcentral.net/?a=details&amp;id=9868&amp;p=section</x:v>
      </x:c>
      <x:c r="J1126" t="str">
        <x:v>https://dl.smwcentral.net/9868/mta.zip.zip</x:v>
      </x:c>
    </x:row>
    <x:row r="1127">
      <x:c r="A1127" t="str">
        <x:v>Mario's Training</x:v>
      </x:c>
      <x:c r="B1127" t="str">
        <x:v>Mario's Training</x:v>
      </x:c>
      <x:c r="C1127" t="str">
        <x:v>RussianMan</x:v>
      </x:c>
      <x:c r="D1127" t="n">
        <x:v>4</x:v>
      </x:c>
      <x:c r="E1127" t="str">
        <x:v>Advanced</x:v>
      </x:c>
      <x:c r="F1127" t="str">
        <x:v>Kaizo</x:v>
      </x:c>
      <x:c r="G1127" t="n">
        <x:v>43433</x:v>
      </x:c>
      <x:c r="H1127" t="str">
        <x:v>18509</x:v>
      </x:c>
      <x:c r="I1127" t="str">
        <x:v>https://www.smwcentral.net/?a=details&amp;id=18509&amp;p=section</x:v>
      </x:c>
      <x:c r="J1127" t="str">
        <x:v>https://dl.smwcentral.net/18509/Mario%27s%20Training.zip</x:v>
      </x:c>
    </x:row>
    <x:row r="1128">
      <x:c r="A1128" t="str">
        <x:v>Mario's Treasure Hunt</x:v>
      </x:c>
      <x:c r="B1128" t="str">
        <x:v>Mario's Treasure Hunt</x:v>
      </x:c>
      <x:c r="C1128" t="str">
        <x:v>MaiK</x:v>
      </x:c>
      <x:c r="D1128" t="n">
        <x:v>64</x:v>
      </x:c>
      <x:c r="E1128" t="str">
        <x:v>Casual</x:v>
      </x:c>
      <x:c r="F1128" t="str">
        <x:v>Standard</x:v>
      </x:c>
      <x:c r="G1128" t="n">
        <x:v>41598</x:v>
      </x:c>
      <x:c r="H1128" t="str">
        <x:v>5551</x:v>
      </x:c>
      <x:c r="I1128" t="str">
        <x:v>https://www.smwcentral.net/?a=details&amp;id=5551&amp;p=section</x:v>
      </x:c>
      <x:c r="J1128" t="str">
        <x:v>https://dl.smwcentral.net/5551/MTH%20by%20Mawwo7.zip</x:v>
      </x:c>
    </x:row>
    <x:row r="1129">
      <x:c r="A1129" t="str">
        <x:v>Mario's Treasure Hunt 2</x:v>
      </x:c>
      <x:c r="B1129" t="str">
        <x:v>Mario's Treasure Hunt 2</x:v>
      </x:c>
      <x:c r="C1129" t="str">
        <x:v>MaiK</x:v>
      </x:c>
      <x:c r="D1129" t="n">
        <x:v>75</x:v>
      </x:c>
      <x:c r="E1129" t="str">
        <x:v>Casual</x:v>
      </x:c>
      <x:c r="F1129" t="str">
        <x:v>Standard</x:v>
      </x:c>
      <x:c r="G1129" t="n">
        <x:v>41600</x:v>
      </x:c>
      <x:c r="H1129" t="str">
        <x:v>5566</x:v>
      </x:c>
      <x:c r="I1129" t="str">
        <x:v>https://www.smwcentral.net/?a=details&amp;id=5566&amp;p=section</x:v>
      </x:c>
      <x:c r="J1129" t="str">
        <x:v>https://dl.smwcentral.net/5566/MTH2.zip</x:v>
      </x:c>
    </x:row>
    <x:row r="1130">
      <x:c r="A1130" t="str">
        <x:v>Mario's Ultimate Journey</x:v>
      </x:c>
      <x:c r="B1130" t="str">
        <x:v>Mario's Ultimate Journey</x:v>
      </x:c>
      <x:c r="C1130" t="str">
        <x:v>Tahixham</x:v>
      </x:c>
      <x:c r="D1130" t="n">
        <x:v>9</x:v>
      </x:c>
      <x:c r="E1130" t="str">
        <x:v>Casual</x:v>
      </x:c>
      <x:c r="F1130" t="str">
        <x:v>Standard</x:v>
      </x:c>
      <x:c r="G1130" t="n">
        <x:v>41545</x:v>
      </x:c>
      <x:c r="H1130" t="str">
        <x:v>5488</x:v>
      </x:c>
      <x:c r="I1130" t="str">
        <x:v>https://www.smwcentral.net/?a=details&amp;id=5488&amp;p=section</x:v>
      </x:c>
      <x:c r="J1130" t="str">
        <x:v>https://dl.smwcentral.net/5488/Mario%27s%20Ultimate%20Journey%20Demo%201.zip</x:v>
      </x:c>
    </x:row>
    <x:row r="1131">
      <x:c r="A1131" t="str">
        <x:v>Mario's Vanilla Journey</x:v>
      </x:c>
      <x:c r="B1131" t="str">
        <x:v>Mario's Vanilla Journey</x:v>
      </x:c>
      <x:c r="C1131" t="str">
        <x:v>akacesfan</x:v>
      </x:c>
      <x:c r="D1131" t="n">
        <x:v>24</x:v>
      </x:c>
      <x:c r="E1131" t="str">
        <x:v>Casual</x:v>
      </x:c>
      <x:c r="F1131" t="str">
        <x:v>Standard</x:v>
      </x:c>
      <x:c r="G1131" t="n">
        <x:v>41856</x:v>
      </x:c>
      <x:c r="H1131" t="str">
        <x:v>8721</x:v>
      </x:c>
      <x:c r="I1131" t="str">
        <x:v>https://www.smwcentral.net/?a=details&amp;id=8721&amp;p=section</x:v>
      </x:c>
      <x:c r="J1131" t="str">
        <x:v>https://dl.smwcentral.net/8721/Mario%27s%20Vanilla%20Journey%20-%20Demo%202.02.zip</x:v>
      </x:c>
    </x:row>
    <x:row r="1132">
      <x:c r="A1132" t="str">
        <x:v>Mario's Walk Home: Extended Collector's Edition</x:v>
      </x:c>
      <x:c r="B1132" t="str">
        <x:v>Mario's Walk Home: Extended Collector's Edition</x:v>
      </x:c>
      <x:c r="C1132" t="str">
        <x:v>Noivern</x:v>
      </x:c>
      <x:c r="D1132" t="n">
        <x:v>15</x:v>
      </x:c>
      <x:c r="E1132" t="str">
        <x:v>Newcomer</x:v>
      </x:c>
      <x:c r="F1132" t="str">
        <x:v>Standard</x:v>
      </x:c>
      <x:c r="G1132" t="n">
        <x:v>41560</x:v>
      </x:c>
      <x:c r="H1132" t="str">
        <x:v>5422</x:v>
      </x:c>
      <x:c r="I1132" t="str">
        <x:v>https://www.smwcentral.net/?a=details&amp;id=5422&amp;p=section</x:v>
      </x:c>
      <x:c r="J1132" t="str">
        <x:v>https://dl.smwcentral.net/5422/Mario%27s%20Walk%20Home.zip</x:v>
      </x:c>
    </x:row>
    <x:row r="1133">
      <x:c r="A1133" t="str">
        <x:v>Mario's Way to be a Legend</x:v>
      </x:c>
      <x:c r="B1133" t="str">
        <x:v>Mario's Way to be a Legend</x:v>
      </x:c>
      <x:c r="C1133" t="str">
        <x:v>SuperMarisa1999</x:v>
      </x:c>
      <x:c r="D1133" t="n">
        <x:v>5</x:v>
      </x:c>
      <x:c r="E1133" t="str">
        <x:v>Expert</x:v>
      </x:c>
      <x:c r="F1133" t="str">
        <x:v>Kaizo</x:v>
      </x:c>
      <x:c r="G1133" t="n">
        <x:v>42458</x:v>
      </x:c>
      <x:c r="H1133" t="str">
        <x:v>13486</x:v>
      </x:c>
      <x:c r="I1133" t="str">
        <x:v>https://www.smwcentral.net/?a=details&amp;id=13486&amp;p=section</x:v>
      </x:c>
      <x:c r="J1133" t="str">
        <x:v>https://dl.smwcentral.net/13486/Mario%27s%20Way%20To%20Be%20a%20Legend%20Demo%200.1.1.zip</x:v>
      </x:c>
    </x:row>
    <x:row r="1134">
      <x:c r="A1134" t="str">
        <x:v>Mario, Luigi and the 7 Eggs of Peace</x:v>
      </x:c>
      <x:c r="B1134" t="str">
        <x:v>Mario, Luigi and the 7 Eggs of Peace</x:v>
      </x:c>
      <x:c r="C1134" t="str">
        <x:v>cyphermur9t</x:v>
      </x:c>
      <x:c r="D1134" t="n">
        <x:v>53</x:v>
      </x:c>
      <x:c r="E1134" t="str">
        <x:v>Intermediate</x:v>
      </x:c>
      <x:c r="F1134" t="str">
        <x:v>Standard</x:v>
      </x:c>
      <x:c r="G1134" t="n">
        <x:v>43695</x:v>
      </x:c>
      <x:c r="H1134" t="str">
        <x:v>20943</x:v>
      </x:c>
      <x:c r="I1134" t="str">
        <x:v>https://www.smwcentral.net/?a=details&amp;id=20943&amp;p=section</x:v>
      </x:c>
      <x:c r="J1134" t="str">
        <x:v>https://dl.smwcentral.net/20943/Mario%20Luigi%20and%20the%207%20eggs%20of%20peace.zip</x:v>
      </x:c>
    </x:row>
    <x:row r="1135">
      <x:c r="A1135" t="str">
        <x:v>Mario41001's Unknown Hack</x:v>
      </x:c>
      <x:c r="B1135" t="str">
        <x:v>Mario41001's Unknown Hack</x:v>
      </x:c>
      <x:c r="C1135" t="str">
        <x:v>440</x:v>
      </x:c>
      <x:c r="D1135" t="n">
        <x:v>4</x:v>
      </x:c>
      <x:c r="E1135" t="str">
        <x:v>Casual</x:v>
      </x:c>
      <x:c r="F1135" t="str">
        <x:v>Standard</x:v>
      </x:c>
      <x:c r="G1135" t="n">
        <x:v>42111</x:v>
      </x:c>
      <x:c r="H1135" t="str">
        <x:v>9693</x:v>
      </x:c>
      <x:c r="I1135" t="str">
        <x:v>https://www.smwcentral.net/?a=details&amp;id=9693&amp;p=section</x:v>
      </x:c>
      <x:c r="J1135" t="str">
        <x:v>https://dl.smwcentral.net/9693/MUH.zip</x:v>
      </x:c>
    </x:row>
    <x:row r="1136">
      <x:c r="A1136" t="str">
        <x:v>Mario: Apocalypse Dawn</x:v>
      </x:c>
      <x:c r="B1136" t="str">
        <x:v>Mario: Apocalypse Dawn</x:v>
      </x:c>
      <x:c r="C1136" t="str">
        <x:v>BulletBillTime</x:v>
      </x:c>
      <x:c r="D1136" t="n">
        <x:v>5</x:v>
      </x:c>
      <x:c r="E1136" t="str">
        <x:v>Casual</x:v>
      </x:c>
      <x:c r="F1136" t="str">
        <x:v>Standard</x:v>
      </x:c>
      <x:c r="G1136" t="n">
        <x:v>42040</x:v>
      </x:c>
      <x:c r="H1136" t="str">
        <x:v>9725</x:v>
      </x:c>
      <x:c r="I1136" t="str">
        <x:v>https://www.smwcentral.net/?a=details&amp;id=9725&amp;p=section</x:v>
      </x:c>
      <x:c r="J1136" t="str">
        <x:v>https://dl.smwcentral.net/9725/Mario%20-%20Apocalypse%20Dawn%20Demo%201.zip</x:v>
      </x:c>
    </x:row>
    <x:row r="1137">
      <x:c r="A1137" t="str">
        <x:v>Mario: Collapsing Worlds</x:v>
      </x:c>
      <x:c r="B1137" t="str">
        <x:v>Mario: Collapsing Worlds</x:v>
      </x:c>
      <x:c r="C1137" t="str">
        <x:v>Blue_Raven</x:v>
      </x:c>
      <x:c r="D1137" t="n">
        <x:v>4</x:v>
      </x:c>
      <x:c r="E1137" t="str">
        <x:v>Casual</x:v>
      </x:c>
      <x:c r="F1137" t="str">
        <x:v>Standard</x:v>
      </x:c>
      <x:c r="G1137" t="n">
        <x:v>42314</x:v>
      </x:c>
      <x:c r="H1137" t="str">
        <x:v>10145</x:v>
      </x:c>
      <x:c r="I1137" t="str">
        <x:v>https://www.smwcentral.net/?a=details&amp;id=10145&amp;p=section</x:v>
      </x:c>
      <x:c r="J1137" t="str">
        <x:v>https://dl.smwcentral.net/10145/MCW.zip</x:v>
      </x:c>
    </x:row>
    <x:row r="1138">
      <x:c r="A1138" t="str">
        <x:v>Mario: Dawn to Darkness</x:v>
      </x:c>
      <x:c r="B1138" t="str">
        <x:v>Mario: Dawn to Darkness</x:v>
      </x:c>
      <x:c r="C1138" t="str">
        <x:v>Yanama</x:v>
      </x:c>
      <x:c r="D1138" t="n">
        <x:v>23</x:v>
      </x:c>
      <x:c r="E1138" t="str">
        <x:v>Newcomer</x:v>
      </x:c>
      <x:c r="F1138" t="str">
        <x:v>Standard</x:v>
      </x:c>
      <x:c r="G1138" t="n">
        <x:v>42512</x:v>
      </x:c>
      <x:c r="H1138" t="str">
        <x:v>13707</x:v>
      </x:c>
      <x:c r="I1138" t="str">
        <x:v>https://www.smwcentral.net/?a=details&amp;id=13707&amp;p=section</x:v>
      </x:c>
      <x:c r="J1138" t="str">
        <x:v>https://dl.smwcentral.net/13707/MarioDawnToDarkness_fixed.zip</x:v>
      </x:c>
    </x:row>
    <x:row r="1139">
      <x:c r="A1139" t="str">
        <x:v>Mario: Other M</x:v>
      </x:c>
      <x:c r="B1139" t="str">
        <x:v>Mario: Other M</x:v>
      </x:c>
      <x:c r="C1139" t="str">
        <x:v>majora211</x:v>
      </x:c>
      <x:c r="D1139" t="n">
        <x:v>8</x:v>
      </x:c>
      <x:c r="E1139" t="str">
        <x:v>Casual</x:v>
      </x:c>
      <x:c r="F1139" t="str">
        <x:v>Standard</x:v>
      </x:c>
      <x:c r="G1139" t="n">
        <x:v>42311</x:v>
      </x:c>
      <x:c r="H1139" t="str">
        <x:v>10131</x:v>
      </x:c>
      <x:c r="I1139" t="str">
        <x:v>https://www.smwcentral.net/?a=details&amp;id=10131&amp;p=section</x:v>
      </x:c>
      <x:c r="J1139" t="str">
        <x:v>https://dl.smwcentral.net/10131/Mario%20Other%20M.zip</x:v>
      </x:c>
    </x:row>
    <x:row r="1140">
      <x:c r="A1140" t="str">
        <x:v>Mario: The Curse of King Boo</x:v>
      </x:c>
      <x:c r="B1140" t="str">
        <x:v>Mario: The Curse of King Boo</x:v>
      </x:c>
      <x:c r="C1140" t="str">
        <x:v>Parahax</x:v>
      </x:c>
      <x:c r="D1140" t="n">
        <x:v>35</x:v>
      </x:c>
      <x:c r="E1140" t="str">
        <x:v>Intermediate</x:v>
      </x:c>
      <x:c r="F1140" t="str">
        <x:v>Kaizo</x:v>
      </x:c>
      <x:c r="G1140" t="n">
        <x:v>43785</x:v>
      </x:c>
      <x:c r="H1140" t="str">
        <x:v>21156</x:v>
      </x:c>
      <x:c r="I1140" t="str">
        <x:v>https://www.smwcentral.net/?a=details&amp;id=21156&amp;p=section</x:v>
      </x:c>
      <x:c r="J1140" t="str">
        <x:v>https://dl.smwcentral.net/21156/Curse%20of%20King%20Boo.zip</x:v>
      </x:c>
    </x:row>
    <x:row r="1141">
      <x:c r="A1141" t="str">
        <x:v>Marios Adventure in the Dream World</x:v>
      </x:c>
      <x:c r="B1141" t="str">
        <x:v>Marios Adventure in the Dream World</x:v>
      </x:c>
      <x:c r="C1141" t="str">
        <x:v>HookEcho</x:v>
      </x:c>
      <x:c r="D1141" t="n">
        <x:v>21</x:v>
      </x:c>
      <x:c r="E1141" t="str">
        <x:v>Casual</x:v>
      </x:c>
      <x:c r="F1141" t="str">
        <x:v>Standard</x:v>
      </x:c>
      <x:c r="G1141" t="n">
        <x:v>43157</x:v>
      </x:c>
      <x:c r="H1141" t="str">
        <x:v>17178</x:v>
      </x:c>
      <x:c r="I1141" t="str">
        <x:v>https://www.smwcentral.net/?a=details&amp;id=17178&amp;p=section</x:v>
      </x:c>
      <x:c r="J1141" t="str">
        <x:v>https://dl.smwcentral.net/17178/MarioAdventureInTheDreamWorld.zip</x:v>
      </x:c>
    </x:row>
    <x:row r="1142">
      <x:c r="A1142" t="str">
        <x:v>Marios Christmas Adventure</x:v>
      </x:c>
      <x:c r="B1142" t="str">
        <x:v>Marios Christmas Adventure</x:v>
      </x:c>
      <x:c r="C1142" t="str">
        <x:v>Saphros</x:v>
      </x:c>
      <x:c r="D1142" t="n">
        <x:v>5</x:v>
      </x:c>
      <x:c r="E1142" t="str">
        <x:v>Intermediate</x:v>
      </x:c>
      <x:c r="F1142" t="str">
        <x:v>Kaizo</x:v>
      </x:c>
      <x:c r="G1142" t="n">
        <x:v>45654</x:v>
      </x:c>
      <x:c r="H1142" t="str">
        <x:v>38969</x:v>
      </x:c>
      <x:c r="I1142" t="str">
        <x:v>https://www.smwcentral.net/?a=details&amp;id=38969&amp;p=section</x:v>
      </x:c>
      <x:c r="J1142" t="str">
        <x:v>https://dl.smwcentral.net/38969/Marios_Christmas_Adventure.zip</x:v>
      </x:c>
    </x:row>
    <x:row r="1143">
      <x:c r="A1143" t="str">
        <x:v>Marios Christmas Adventure 2</x:v>
      </x:c>
      <x:c r="B1143" t="str">
        <x:v>Marios Christmas Adventure 2</x:v>
      </x:c>
      <x:c r="C1143" t="str">
        <x:v>Saphros</x:v>
      </x:c>
      <x:c r="D1143" t="n">
        <x:v>5</x:v>
      </x:c>
      <x:c r="E1143" t="str">
        <x:v>Intermediate</x:v>
      </x:c>
      <x:c r="F1143" t="str">
        <x:v>Kaizo</x:v>
      </x:c>
      <x:c r="G1143" t="n">
        <x:v>45990</x:v>
      </x:c>
      <x:c r="H1143" t="str">
        <x:v>41143</x:v>
      </x:c>
      <x:c r="I1143" t="str">
        <x:v>https://www.smwcentral.net/?a=details&amp;id=41143&amp;p=section</x:v>
      </x:c>
      <x:c r="J1143" t="str">
        <x:v>https://dl.smwcentral.net/41143/Marios_Christmas_Adventure_2.zip</x:v>
      </x:c>
    </x:row>
    <x:row r="1144">
      <x:c r="A1144" t="str">
        <x:v>Marios Pizza Party</x:v>
      </x:c>
      <x:c r="B1144" t="str">
        <x:v>Marios Pizza Party</x:v>
      </x:c>
      <x:c r="C1144" t="str">
        <x:v>Saphros</x:v>
      </x:c>
      <x:c r="D1144" t="n">
        <x:v>10</x:v>
      </x:c>
      <x:c r="E1144" t="str">
        <x:v>Intermediate</x:v>
      </x:c>
      <x:c r="F1144" t="str">
        <x:v>Kaizo</x:v>
      </x:c>
      <x:c r="G1144" t="n">
        <x:v>45455</x:v>
      </x:c>
      <x:c r="H1144" t="str">
        <x:v>37928</x:v>
      </x:c>
      <x:c r="I1144" t="str">
        <x:v>https://www.smwcentral.net/?a=details&amp;id=37928&amp;p=section</x:v>
      </x:c>
      <x:c r="J1144" t="str">
        <x:v>https://dl.smwcentral.net/37928/MariosPizzaParty.zip</x:v>
      </x:c>
    </x:row>
    <x:row r="1145">
      <x:c r="A1145" t="str">
        <x:v>Marios Pizza Party 2</x:v>
      </x:c>
      <x:c r="B1145" t="str">
        <x:v>Marios Pizza Party 2</x:v>
      </x:c>
      <x:c r="C1145" t="str">
        <x:v>Saphros</x:v>
      </x:c>
      <x:c r="D1145" t="n">
        <x:v>16</x:v>
      </x:c>
      <x:c r="E1145" t="str">
        <x:v>Intermediate</x:v>
      </x:c>
      <x:c r="F1145" t="str">
        <x:v>Kaizo</x:v>
      </x:c>
      <x:c r="G1145" t="n">
        <x:v>45569</x:v>
      </x:c>
      <x:c r="H1145" t="str">
        <x:v>38576</x:v>
      </x:c>
      <x:c r="I1145" t="str">
        <x:v>https://www.smwcentral.net/?a=details&amp;id=38576&amp;p=section</x:v>
      </x:c>
      <x:c r="J1145" t="str">
        <x:v>https://dl.smwcentral.net/38576/Marios_Pizza_Party_2.zip</x:v>
      </x:c>
    </x:row>
    <x:row r="1146">
      <x:c r="A1146" t="str">
        <x:v>Marios Pizza Party 3</x:v>
      </x:c>
      <x:c r="B1146" t="str">
        <x:v>Marios Pizza Party 3</x:v>
      </x:c>
      <x:c r="C1146" t="str">
        <x:v>Saphros</x:v>
      </x:c>
      <x:c r="D1146" t="n">
        <x:v>13</x:v>
      </x:c>
      <x:c r="E1146" t="str">
        <x:v>Intermediate</x:v>
      </x:c>
      <x:c r="F1146" t="str">
        <x:v>Kaizo</x:v>
      </x:c>
      <x:c r="G1146" t="n">
        <x:v>45869</x:v>
      </x:c>
      <x:c r="H1146" t="str">
        <x:v>40193</x:v>
      </x:c>
      <x:c r="I1146" t="str">
        <x:v>https://www.smwcentral.net/?a=details&amp;id=40193&amp;p=section</x:v>
      </x:c>
      <x:c r="J1146" t="str">
        <x:v>https://dl.smwcentral.net/40193/Marios%20Pizza%20Party%203%20-%201.1.zip</x:v>
      </x:c>
    </x:row>
    <x:row r="1147">
      <x:c r="A1147" t="str">
        <x:v>Marios story</x:v>
      </x:c>
      <x:c r="B1147" t="str">
        <x:v>Marios story</x:v>
      </x:c>
      <x:c r="C1147" t="str">
        <x:v>PaperMario94</x:v>
      </x:c>
      <x:c r="D1147" t="n">
        <x:v>22</x:v>
      </x:c>
      <x:c r="E1147" t="str">
        <x:v>Casual</x:v>
      </x:c>
      <x:c r="F1147" t="str">
        <x:v>Standard</x:v>
      </x:c>
      <x:c r="G1147" t="n">
        <x:v>42294</x:v>
      </x:c>
      <x:c r="H1147" t="str">
        <x:v>9928</x:v>
      </x:c>
      <x:c r="I1147" t="str">
        <x:v>https://www.smwcentral.net/?a=details&amp;id=9928&amp;p=section</x:v>
      </x:c>
      <x:c r="J1147" t="str">
        <x:v>https://dl.smwcentral.net/9928/Mario%C2%B4s%20Story.zip</x:v>
      </x:c>
    </x:row>
    <x:row r="1148">
      <x:c r="A1148" t="str">
        <x:v>MarioX World SER</x:v>
      </x:c>
      <x:c r="B1148" t="str">
        <x:v>MarioX World SER</x:v>
      </x:c>
      <x:c r="C1148" t="str">
        <x:v>Anikiti</x:v>
      </x:c>
      <x:c r="D1148" t="n">
        <x:v>80</x:v>
      </x:c>
      <x:c r="E1148" t="str">
        <x:v>Advanced</x:v>
      </x:c>
      <x:c r="F1148" t="str">
        <x:v>Standard</x:v>
      </x:c>
      <x:c r="G1148" t="n">
        <x:v>42336</x:v>
      </x:c>
      <x:c r="H1148" t="str">
        <x:v>10183</x:v>
      </x:c>
      <x:c r="I1148" t="str">
        <x:v>https://www.smwcentral.net/?a=details&amp;id=10183&amp;p=section</x:v>
      </x:c>
      <x:c r="J1148" t="str">
        <x:v>https://dl.smwcentral.net/10183/mxw2ndr.zip</x:v>
      </x:c>
    </x:row>
    <x:row r="1149">
      <x:c r="A1149" t="str">
        <x:v>Marisa And Reimu VS C3</x:v>
      </x:c>
      <x:c r="B1149" t="str">
        <x:v>Marisa And Reimu VS C3</x:v>
      </x:c>
      <x:c r="C1149" t="str">
        <x:v>RussianMan</x:v>
      </x:c>
      <x:c r="D1149" t="n">
        <x:v>6</x:v>
      </x:c>
      <x:c r="E1149" t="str">
        <x:v>Advanced</x:v>
      </x:c>
      <x:c r="F1149" t="str">
        <x:v>Standard</x:v>
      </x:c>
      <x:c r="G1149" t="n">
        <x:v>44601</x:v>
      </x:c>
      <x:c r="H1149" t="str">
        <x:v>29522</x:v>
      </x:c>
      <x:c r="I1149" t="str">
        <x:v>https://www.smwcentral.net/?a=details&amp;id=29522&amp;p=section</x:v>
      </x:c>
      <x:c r="J1149" t="str">
        <x:v>https://dl.smwcentral.net/29522/Marisa%20And%20Reimu%20VS%20C3.zip</x:v>
      </x:c>
    </x:row>
    <x:row r="1150">
      <x:c r="A1150" t="str">
        <x:v>Marisa And Reimu's Hack</x:v>
      </x:c>
      <x:c r="B1150" t="str">
        <x:v>Marisa And Reimu's Hack</x:v>
      </x:c>
      <x:c r="C1150" t="str">
        <x:v>RussianMan</x:v>
      </x:c>
      <x:c r="D1150" t="n">
        <x:v>8</x:v>
      </x:c>
      <x:c r="E1150" t="str">
        <x:v>Advanced</x:v>
      </x:c>
      <x:c r="F1150" t="str">
        <x:v>Standard</x:v>
      </x:c>
      <x:c r="G1150" t="n">
        <x:v>44565</x:v>
      </x:c>
      <x:c r="H1150" t="str">
        <x:v>29146</x:v>
      </x:c>
      <x:c r="I1150" t="str">
        <x:v>https://www.smwcentral.net/?a=details&amp;id=29146&amp;p=section</x:v>
      </x:c>
      <x:c r="J1150" t="str">
        <x:v>https://dl.smwcentral.net/29146/Marisa%20And%20Reimu%27s%20Hack.zip</x:v>
      </x:c>
    </x:row>
    <x:row r="1151">
      <x:c r="A1151" t="str">
        <x:v>Marisa And Reimu's Hack 2</x:v>
      </x:c>
      <x:c r="B1151" t="str">
        <x:v>Marisa And Reimu's Hack 2</x:v>
      </x:c>
      <x:c r="C1151" t="str">
        <x:v>RussianMan</x:v>
      </x:c>
      <x:c r="D1151" t="n">
        <x:v>8</x:v>
      </x:c>
      <x:c r="E1151" t="str">
        <x:v>Expert</x:v>
      </x:c>
      <x:c r="F1151" t="str">
        <x:v>Kaizo</x:v>
      </x:c>
      <x:c r="G1151" t="n">
        <x:v>45811</x:v>
      </x:c>
      <x:c r="H1151" t="str">
        <x:v>39933</x:v>
      </x:c>
      <x:c r="I1151" t="str">
        <x:v>https://www.smwcentral.net/?a=details&amp;id=39933&amp;p=section</x:v>
      </x:c>
      <x:c r="J1151" t="str">
        <x:v>https://dl.smwcentral.net/39933/Marisa%20and%20Reimu%27s%20Hack%202.zip</x:v>
      </x:c>
    </x:row>
    <x:row r="1152">
      <x:c r="A1152" t="str">
        <x:v>Marisa And Reimu's Switch Hunt</x:v>
      </x:c>
      <x:c r="B1152" t="str">
        <x:v>Marisa And Reimu's Switch Hunt</x:v>
      </x:c>
      <x:c r="C1152" t="str">
        <x:v>RussianMan</x:v>
      </x:c>
      <x:c r="D1152" t="n">
        <x:v>5</x:v>
      </x:c>
      <x:c r="E1152" t="str">
        <x:v>Advanced</x:v>
      </x:c>
      <x:c r="F1152" t="str">
        <x:v>Standard</x:v>
      </x:c>
      <x:c r="G1152" t="n">
        <x:v>44390</x:v>
      </x:c>
      <x:c r="H1152" t="str">
        <x:v>27626</x:v>
      </x:c>
      <x:c r="I1152" t="str">
        <x:v>https://www.smwcentral.net/?a=details&amp;id=27626&amp;p=section</x:v>
      </x:c>
      <x:c r="J1152" t="str">
        <x:v>https://dl.smwcentral.net/27626/MarisaAndReimuC3_V.1.02.zip</x:v>
      </x:c>
    </x:row>
    <x:row r="1153">
      <x:c r="A1153" t="str">
        <x:v>Marisa's Dimensional Adventure Demo 2</x:v>
      </x:c>
      <x:c r="B1153" t="str">
        <x:v>Marisa's Dimensional Adventure Demo 2</x:v>
      </x:c>
      <x:c r="C1153" t="str">
        <x:v>tfpivman</x:v>
      </x:c>
      <x:c r="D1153" t="n">
        <x:v>35</x:v>
      </x:c>
      <x:c r="E1153" t="str">
        <x:v>Casual</x:v>
      </x:c>
      <x:c r="F1153" t="str">
        <x:v>Standard</x:v>
      </x:c>
      <x:c r="G1153" t="n">
        <x:v>44904</x:v>
      </x:c>
      <x:c r="H1153" t="str">
        <x:v>32694</x:v>
      </x:c>
      <x:c r="I1153" t="str">
        <x:v>https://www.smwcentral.net/?a=details&amp;id=32694&amp;p=section</x:v>
      </x:c>
      <x:c r="J1153" t="str">
        <x:v>https://dl.smwcentral.net/32694/Marisa%27s%20Dimensional%20Adventure%20Demo%202.zip</x:v>
      </x:c>
    </x:row>
    <x:row r="1154">
      <x:c r="A1154" t="str">
        <x:v>MaSeHiHa - Mario's Search For His Hat</x:v>
      </x:c>
      <x:c r="B1154" t="str">
        <x:v>MaSeHiHa - Mario's Search For His Hat</x:v>
      </x:c>
      <x:c r="C1154" t="str">
        <x:v>neidoodle</x:v>
      </x:c>
      <x:c r="D1154" t="n">
        <x:v>7</x:v>
      </x:c>
      <x:c r="E1154" t="str">
        <x:v>Casual</x:v>
      </x:c>
      <x:c r="F1154" t="str">
        <x:v>Standard</x:v>
      </x:c>
      <x:c r="G1154" t="n">
        <x:v>41644</x:v>
      </x:c>
      <x:c r="H1154" t="str">
        <x:v>6055</x:v>
      </x:c>
      <x:c r="I1154" t="str">
        <x:v>https://www.smwcentral.net/?a=details&amp;id=6055&amp;p=section</x:v>
      </x:c>
      <x:c r="J1154" t="str">
        <x:v>https://dl.smwcentral.net/6055/MaSeHiHa.zip</x:v>
      </x:c>
    </x:row>
    <x:row r="1155">
      <x:c r="A1155" t="str">
        <x:v>Master of Shell</x:v>
      </x:c>
      <x:c r="B1155" t="str">
        <x:v>Master of Shell</x:v>
      </x:c>
      <x:c r="C1155" t="str">
        <x:v>ageVerrly</x:v>
      </x:c>
      <x:c r="D1155" t="n">
        <x:v>16</x:v>
      </x:c>
      <x:c r="E1155" t="str">
        <x:v>Master</x:v>
      </x:c>
      <x:c r="F1155" t="str">
        <x:v>Kaizo</x:v>
      </x:c>
      <x:c r="G1155" t="n">
        <x:v>44586</x:v>
      </x:c>
      <x:c r="H1155" t="str">
        <x:v>29054</x:v>
      </x:c>
      <x:c r="I1155" t="str">
        <x:v>https://www.smwcentral.net/?a=details&amp;id=29054&amp;p=section</x:v>
      </x:c>
      <x:c r="J1155" t="str">
        <x:v>https://dl.smwcentral.net/29054/MasterOfShellSMWC.zip</x:v>
      </x:c>
    </x:row>
    <x:row r="1156">
      <x:c r="A1156" t="str">
        <x:v>Masterpiece</x:v>
      </x:c>
      <x:c r="B1156" t="str">
        <x:v>Masterpiece</x:v>
      </x:c>
      <x:c r="C1156" t="str">
        <x:v>YMM</x:v>
      </x:c>
      <x:c r="D1156" t="n">
        <x:v>62</x:v>
      </x:c>
      <x:c r="E1156" t="str">
        <x:v>Master</x:v>
      </x:c>
      <x:c r="F1156" t="str">
        <x:v>Kaizo</x:v>
      </x:c>
      <x:c r="G1156" t="n">
        <x:v>45951</x:v>
      </x:c>
      <x:c r="H1156" t="str">
        <x:v>40715</x:v>
      </x:c>
      <x:c r="I1156" t="str">
        <x:v>https://www.smwcentral.net/?a=details&amp;id=40715&amp;p=section</x:v>
      </x:c>
      <x:c r="J1156" t="str">
        <x:v>https://dl.smwcentral.net/40715/Masterpiece%20v1.2.8.zip</x:v>
      </x:c>
    </x:row>
    <x:row r="1157">
      <x:c r="A1157" t="str">
        <x:v>Mastery Shells</x:v>
      </x:c>
      <x:c r="B1157" t="str">
        <x:v>Mastery Shells</x:v>
      </x:c>
      <x:c r="C1157" t="str">
        <x:v>Jaozin712</x:v>
      </x:c>
      <x:c r="D1157" t="n">
        <x:v>15</x:v>
      </x:c>
      <x:c r="E1157" t="str">
        <x:v>Expert</x:v>
      </x:c>
      <x:c r="F1157" t="str">
        <x:v>Kaizo</x:v>
      </x:c>
      <x:c r="G1157" t="n">
        <x:v>45673</x:v>
      </x:c>
      <x:c r="H1157" t="str">
        <x:v>39059</x:v>
      </x:c>
      <x:c r="I1157" t="str">
        <x:v>https://www.smwcentral.net/?a=details&amp;id=39059&amp;p=section</x:v>
      </x:c>
      <x:c r="J1157" t="str">
        <x:v>https://dl.smwcentral.net/39059/Mastery%20Shells.zip</x:v>
      </x:c>
    </x:row>
    <x:row r="1158">
      <x:c r="A1158" t="str">
        <x:v>Mastery Shells 2</x:v>
      </x:c>
      <x:c r="B1158" t="str">
        <x:v>Mastery Shells 2</x:v>
      </x:c>
      <x:c r="C1158" t="str">
        <x:v>Jaozin712</x:v>
      </x:c>
      <x:c r="D1158" t="n">
        <x:v>15</x:v>
      </x:c>
      <x:c r="E1158" t="str">
        <x:v>Master</x:v>
      </x:c>
      <x:c r="F1158" t="str">
        <x:v>Kaizo</x:v>
      </x:c>
      <x:c r="G1158" t="n">
        <x:v>45968</x:v>
      </x:c>
      <x:c r="H1158" t="str">
        <x:v>40966</x:v>
      </x:c>
      <x:c r="I1158" t="str">
        <x:v>https://www.smwcentral.net/?a=details&amp;id=40966&amp;p=section</x:v>
      </x:c>
      <x:c r="J1158" t="str">
        <x:v>https://dl.smwcentral.net/40966/Mastery%20Shells%202.zip</x:v>
      </x:c>
    </x:row>
    <x:row r="1159">
      <x:c r="A1159" t="str">
        <x:v>Maxodex's World: The Ancestor's Treasure</x:v>
      </x:c>
      <x:c r="B1159" t="str">
        <x:v>Maxodex's World: The Ancestor's Treasure</x:v>
      </x:c>
      <x:c r="C1159" t="str">
        <x:v>Maxodex</x:v>
      </x:c>
      <x:c r="D1159" t="n">
        <x:v>46</x:v>
      </x:c>
      <x:c r="E1159" t="str">
        <x:v>Casual</x:v>
      </x:c>
      <x:c r="F1159" t="str">
        <x:v>Standard</x:v>
      </x:c>
      <x:c r="G1159" t="n">
        <x:v>41590</x:v>
      </x:c>
      <x:c r="H1159" t="str">
        <x:v>5534</x:v>
      </x:c>
      <x:c r="I1159" t="str">
        <x:v>https://www.smwcentral.net/?a=details&amp;id=5534&amp;p=section</x:v>
      </x:c>
      <x:c r="J1159" t="str">
        <x:v>https://dl.smwcentral.net/5534/Maxworld%20-%20TAT.zip</x:v>
      </x:c>
    </x:row>
    <x:row r="1160">
      <x:c r="A1160" t="str">
        <x:v>Mecha-Bowser's Revenge</x:v>
      </x:c>
      <x:c r="B1160" t="str">
        <x:v>Mecha-Bowser's Revenge</x:v>
      </x:c>
      <x:c r="C1160" t="str">
        <x:v>Gamma V</x:v>
      </x:c>
      <x:c r="D1160" t="n">
        <x:v>16</x:v>
      </x:c>
      <x:c r="E1160" t="str">
        <x:v>Casual</x:v>
      </x:c>
      <x:c r="F1160" t="str">
        <x:v>Standard</x:v>
      </x:c>
      <x:c r="G1160" t="n">
        <x:v>42209</x:v>
      </x:c>
      <x:c r="H1160" t="str">
        <x:v>10237</x:v>
      </x:c>
      <x:c r="I1160" t="str">
        <x:v>https://www.smwcentral.net/?a=details&amp;id=10237&amp;p=section</x:v>
      </x:c>
      <x:c r="J1160" t="str">
        <x:v>https://dl.smwcentral.net/10237/Mecha-Bowser%27s%20Revenge%20Demo.zip</x:v>
      </x:c>
    </x:row>
    <x:row r="1161">
      <x:c r="A1161" t="str">
        <x:v>Med's World - A Stick's Birthday</x:v>
      </x:c>
      <x:c r="B1161" t="str">
        <x:v>Med's World - A Stick's Birthday</x:v>
      </x:c>
      <x:c r="C1161" t="str">
        <x:v>GlitchyR-01</x:v>
      </x:c>
      <x:c r="D1161" t="n">
        <x:v>6</x:v>
      </x:c>
      <x:c r="E1161" t="str">
        <x:v>Intermediate</x:v>
      </x:c>
      <x:c r="F1161" t="str">
        <x:v>Standard</x:v>
      </x:c>
      <x:c r="G1161" t="n">
        <x:v>45377</x:v>
      </x:c>
      <x:c r="H1161" t="str">
        <x:v>37517</x:v>
      </x:c>
      <x:c r="I1161" t="str">
        <x:v>https://www.smwcentral.net/?a=details&amp;id=37517&amp;p=section</x:v>
      </x:c>
      <x:c r="J1161" t="str">
        <x:v>https://dl.smwcentral.net/37517/Med%27s%20World%20A%20Stick%27s%20Birthday.zip</x:v>
      </x:c>
    </x:row>
    <x:row r="1162">
      <x:c r="A1162" t="str">
        <x:v>Meet The Balkans (Demo)</x:v>
      </x:c>
      <x:c r="B1162" t="str">
        <x:v>Meet The Balkans (Demo)</x:v>
      </x:c>
      <x:c r="C1162" t="str">
        <x:v>karls_Corinthia</x:v>
      </x:c>
      <x:c r="D1162" t="n">
        <x:v>11</x:v>
      </x:c>
      <x:c r="E1162" t="str">
        <x:v>Intermediate</x:v>
      </x:c>
      <x:c r="F1162" t="str">
        <x:v>Standard</x:v>
      </x:c>
      <x:c r="G1162" t="n">
        <x:v>45022</x:v>
      </x:c>
      <x:c r="H1162" t="str">
        <x:v>33618</x:v>
      </x:c>
      <x:c r="I1162" t="str">
        <x:v>https://www.smwcentral.net/?a=details&amp;id=33618&amp;p=section</x:v>
      </x:c>
      <x:c r="J1162" t="str">
        <x:v>https://dl.smwcentral.net/33618/Meet%20the%20Balkans.zip</x:v>
      </x:c>
    </x:row>
    <x:row r="1163">
      <x:c r="A1163" t="str">
        <x:v>Mega Man's Trip to an Unknown World</x:v>
      </x:c>
      <x:c r="B1163" t="str">
        <x:v>Mega Man's Trip to an Unknown World</x:v>
      </x:c>
      <x:c r="C1163" t="str">
        <x:v>Hackerboy1</x:v>
      </x:c>
      <x:c r="D1163" t="n">
        <x:v>6</x:v>
      </x:c>
      <x:c r="E1163" t="str">
        <x:v>Newcomer</x:v>
      </x:c>
      <x:c r="F1163" t="str">
        <x:v>Standard</x:v>
      </x:c>
      <x:c r="G1163" t="n">
        <x:v>42252</x:v>
      </x:c>
      <x:c r="H1163" t="str">
        <x:v>9967</x:v>
      </x:c>
      <x:c r="I1163" t="str">
        <x:v>https://www.smwcentral.net/?a=details&amp;id=9967&amp;p=section</x:v>
      </x:c>
      <x:c r="J1163" t="str">
        <x:v>https://dl.smwcentral.net/9967/Mega%20Man%27s%20Trip%20to%20An%20Unknown%20World.zip</x:v>
      </x:c>
    </x:row>
    <x:row r="1164">
      <x:c r="A1164" t="str">
        <x:v>Mega Mario Bros. 2</x:v>
      </x:c>
      <x:c r="B1164" t="str">
        <x:v>Mega Mario Bros. 2</x:v>
      </x:c>
      <x:c r="C1164" t="str">
        <x:v>BlackBoo24</x:v>
      </x:c>
      <x:c r="D1164" t="n">
        <x:v>15</x:v>
      </x:c>
      <x:c r="E1164" t="str">
        <x:v>Casual</x:v>
      </x:c>
      <x:c r="F1164" t="str">
        <x:v>Standard</x:v>
      </x:c>
      <x:c r="G1164" t="n">
        <x:v>42213</x:v>
      </x:c>
      <x:c r="H1164" t="str">
        <x:v>9669</x:v>
      </x:c>
      <x:c r="I1164" t="str">
        <x:v>https://www.smwcentral.net/?a=details&amp;id=9669&amp;p=section</x:v>
      </x:c>
      <x:c r="J1164" t="str">
        <x:v>https://dl.smwcentral.net/9669/MMB2.zip</x:v>
      </x:c>
    </x:row>
    <x:row r="1165">
      <x:c r="A1165" t="str">
        <x:v>Mega Mario World 2: Awakened Power</x:v>
      </x:c>
      <x:c r="B1165" t="str">
        <x:v>Mega Mario World 2: Awakened Power</x:v>
      </x:c>
      <x:c r="C1165" t="str">
        <x:v>yoshi3706</x:v>
      </x:c>
      <x:c r="D1165" t="n">
        <x:v>77</x:v>
      </x:c>
      <x:c r="E1165" t="str">
        <x:v>Intermediate</x:v>
      </x:c>
      <x:c r="F1165" t="str">
        <x:v>Standard</x:v>
      </x:c>
      <x:c r="G1165" t="n">
        <x:v>45438</x:v>
      </x:c>
      <x:c r="H1165" t="str">
        <x:v>37601</x:v>
      </x:c>
      <x:c r="I1165" t="str">
        <x:v>https://www.smwcentral.net/?a=details&amp;id=37601&amp;p=section</x:v>
      </x:c>
      <x:c r="J1165" t="str">
        <x:v>https://dl.smwcentral.net/37601/Mega%20Mario%20World%202%20-%20Awakened%20Power%201.4%20%28eng%2Besp%29.zip</x:v>
      </x:c>
    </x:row>
    <x:row r="1166">
      <x:c r="A1166" t="str">
        <x:v>Mega Mario World: Another Universe</x:v>
      </x:c>
      <x:c r="B1166" t="str">
        <x:v>Mega Mario World: Another Universe</x:v>
      </x:c>
      <x:c r="C1166" t="str">
        <x:v>yoshi3706</x:v>
      </x:c>
      <x:c r="D1166" t="n">
        <x:v>59</x:v>
      </x:c>
      <x:c r="E1166" t="str">
        <x:v>Casual</x:v>
      </x:c>
      <x:c r="F1166" t="str">
        <x:v>Standard</x:v>
      </x:c>
      <x:c r="G1166" t="n">
        <x:v>43281</x:v>
      </x:c>
      <x:c r="H1166" t="str">
        <x:v>17688</x:v>
      </x:c>
      <x:c r="I1166" t="str">
        <x:v>https://www.smwcentral.net/?a=details&amp;id=17688&amp;p=section</x:v>
      </x:c>
      <x:c r="J1166" t="str">
        <x:v>https://dl.smwcentral.net/17688/Mega%20Mario%20World%20Another%20Universe%20v1.2.zip</x:v>
      </x:c>
    </x:row>
    <x:row r="1167">
      <x:c r="A1167" t="str">
        <x:v>Mega Rex Adventure [SMWC #9773]</x:v>
      </x:c>
      <x:c r="B1167" t="str">
        <x:v>Mega Rex Adventure</x:v>
      </x:c>
      <x:c r="C1167" t="str">
        <x:v>omegaLakitu</x:v>
      </x:c>
      <x:c r="D1167" t="n">
        <x:v>8</x:v>
      </x:c>
      <x:c r="E1167" t="str">
        <x:v>Newcomer</x:v>
      </x:c>
      <x:c r="F1167" t="str">
        <x:v>Standard</x:v>
      </x:c>
      <x:c r="G1167" t="n">
        <x:v>42221</x:v>
      </x:c>
      <x:c r="H1167" t="str">
        <x:v>9773</x:v>
      </x:c>
      <x:c r="I1167" t="str">
        <x:v>https://www.smwcentral.net/?a=details&amp;id=9773&amp;p=section</x:v>
      </x:c>
      <x:c r="J1167" t="str">
        <x:v>https://dl.smwcentral.net/9773/mega%20rex%20adventure.zip</x:v>
      </x:c>
    </x:row>
    <x:row r="1168">
      <x:c r="A1168" t="str">
        <x:v>Mega Rex Adventure [SMWC #9869]</x:v>
      </x:c>
      <x:c r="B1168" t="str">
        <x:v>Mega Rex Adventure</x:v>
      </x:c>
      <x:c r="C1168" t="str">
        <x:v>superwiidude</x:v>
      </x:c>
      <x:c r="D1168" t="n">
        <x:v>27</x:v>
      </x:c>
      <x:c r="E1168" t="str">
        <x:v>Casual</x:v>
      </x:c>
      <x:c r="F1168" t="str">
        <x:v>Standard</x:v>
      </x:c>
      <x:c r="G1168" t="n">
        <x:v>42237</x:v>
      </x:c>
      <x:c r="H1168" t="str">
        <x:v>9869</x:v>
      </x:c>
      <x:c r="I1168" t="str">
        <x:v>https://www.smwcentral.net/?a=details&amp;id=9869&amp;p=section</x:v>
      </x:c>
      <x:c r="J1168" t="str">
        <x:v>https://dl.smwcentral.net/9869/rex.zip</x:v>
      </x:c>
    </x:row>
    <x:row r="1169">
      <x:c r="A1169" t="str">
        <x:v>Mega Rex Island</x:v>
      </x:c>
      <x:c r="B1169" t="str">
        <x:v>Mega Rex Island</x:v>
      </x:c>
      <x:c r="C1169" t="str">
        <x:v>superwiidude</x:v>
      </x:c>
      <x:c r="D1169" t="n">
        <x:v>6</x:v>
      </x:c>
      <x:c r="E1169" t="str">
        <x:v>Newcomer</x:v>
      </x:c>
      <x:c r="F1169" t="str">
        <x:v>Standard</x:v>
      </x:c>
      <x:c r="G1169" t="n">
        <x:v>42587</x:v>
      </x:c>
      <x:c r="H1169" t="str">
        <x:v>14144</x:v>
      </x:c>
      <x:c r="I1169" t="str">
        <x:v>https://www.smwcentral.net/?a=details&amp;id=14144&amp;p=section</x:v>
      </x:c>
      <x:c r="J1169" t="str">
        <x:v>https://dl.smwcentral.net/14144/mega%20rex%20island.zip</x:v>
      </x:c>
    </x:row>
    <x:row r="1170">
      <x:c r="A1170" t="str">
        <x:v>Megaman Reborn</x:v>
      </x:c>
      <x:c r="B1170" t="str">
        <x:v>Megaman Reborn</x:v>
      </x:c>
      <x:c r="C1170" t="str">
        <x:v>YamiMario</x:v>
      </x:c>
      <x:c r="D1170" t="n">
        <x:v>1</x:v>
      </x:c>
      <x:c r="E1170" t="str">
        <x:v>Intermediate</x:v>
      </x:c>
      <x:c r="F1170" t="str">
        <x:v>Standard</x:v>
      </x:c>
      <x:c r="G1170" t="n">
        <x:v>42005</x:v>
      </x:c>
      <x:c r="H1170" t="str">
        <x:v>9931</x:v>
      </x:c>
      <x:c r="I1170" t="str">
        <x:v>https://www.smwcentral.net/?a=details&amp;id=9931&amp;p=section</x:v>
      </x:c>
      <x:c r="J1170" t="str">
        <x:v>https://dl.smwcentral.net/9931/MMRDemo.zip</x:v>
      </x:c>
    </x:row>
    <x:row r="1171">
      <x:c r="A1171" t="str">
        <x:v>MEME 😂👌💯</x:v>
      </x:c>
      <x:c r="B1171" t="str">
        <x:v>MEME 😂👌💯</x:v>
      </x:c>
      <x:c r="C1171" t="str">
        <x:v>The_Uber_Camper</x:v>
      </x:c>
      <x:c r="D1171" t="n">
        <x:v>17</x:v>
      </x:c>
      <x:c r="E1171" t="str">
        <x:v>Advanced</x:v>
      </x:c>
      <x:c r="F1171" t="str">
        <x:v>Kaizo</x:v>
      </x:c>
      <x:c r="G1171" t="n">
        <x:v>45182</x:v>
      </x:c>
      <x:c r="H1171" t="str">
        <x:v>34925</x:v>
      </x:c>
      <x:c r="I1171" t="str">
        <x:v>https://www.smwcentral.net/?a=details&amp;id=34925&amp;p=section</x:v>
      </x:c>
      <x:c r="J1171" t="str">
        <x:v>https://dl.smwcentral.net/34925/MEME1.1.zip</x:v>
      </x:c>
    </x:row>
    <x:row r="1172">
      <x:c r="A1172" t="str">
        <x:v>Memento Mori</x:v>
      </x:c>
      <x:c r="B1172" t="str">
        <x:v>Memento Mori</x:v>
      </x:c>
      <x:c r="C1172" t="str">
        <x:v>Saela</x:v>
      </x:c>
      <x:c r="D1172" t="n">
        <x:v>19</x:v>
      </x:c>
      <x:c r="E1172" t="str">
        <x:v>Expert</x:v>
      </x:c>
      <x:c r="F1172" t="str">
        <x:v>Kaizo</x:v>
      </x:c>
      <x:c r="G1172" t="n">
        <x:v>45399</x:v>
      </x:c>
      <x:c r="H1172" t="str">
        <x:v>37658</x:v>
      </x:c>
      <x:c r="I1172" t="str">
        <x:v>https://www.smwcentral.net/?a=details&amp;id=37658&amp;p=section</x:v>
      </x:c>
      <x:c r="J1172" t="str">
        <x:v>https://dl.smwcentral.net/37658/Memento%20Mori.zip</x:v>
      </x:c>
    </x:row>
    <x:row r="1173">
      <x:c r="A1173" t="str">
        <x:v>Memorabilia</x:v>
      </x:c>
      <x:c r="B1173" t="str">
        <x:v>Memorabilia</x:v>
      </x:c>
      <x:c r="C1173" t="str">
        <x:v>LightAligns, Saela</x:v>
      </x:c>
      <x:c r="D1173" t="n">
        <x:v>10</x:v>
      </x:c>
      <x:c r="E1173" t="str">
        <x:v>Master</x:v>
      </x:c>
      <x:c r="F1173" t="str">
        <x:v>Kaizo</x:v>
      </x:c>
      <x:c r="G1173" t="n">
        <x:v>45022</x:v>
      </x:c>
      <x:c r="H1173" t="str">
        <x:v>33449</x:v>
      </x:c>
      <x:c r="I1173" t="str">
        <x:v>https://www.smwcentral.net/?a=details&amp;id=33449&amp;p=section</x:v>
      </x:c>
      <x:c r="J1173" t="str">
        <x:v>https://dl.smwcentral.net/33449/Memorabilia.zip</x:v>
      </x:c>
    </x:row>
    <x:row r="1174">
      <x:c r="A1174" t="str">
        <x:v>Memory Lane</x:v>
      </x:c>
      <x:c r="B1174" t="str">
        <x:v>Memory Lane</x:v>
      </x:c>
      <x:c r="C1174" t="str">
        <x:v>Fryinb</x:v>
      </x:c>
      <x:c r="D1174" t="n">
        <x:v>7</x:v>
      </x:c>
      <x:c r="E1174" t="str">
        <x:v>Advanced</x:v>
      </x:c>
      <x:c r="F1174" t="str">
        <x:v>Kaizo</x:v>
      </x:c>
      <x:c r="G1174" t="n">
        <x:v>44502</x:v>
      </x:c>
      <x:c r="H1174" t="str">
        <x:v>28692</x:v>
      </x:c>
      <x:c r="I1174" t="str">
        <x:v>https://www.smwcentral.net/?a=details&amp;id=28692&amp;p=section</x:v>
      </x:c>
      <x:c r="J1174" t="str">
        <x:v>https://dl.smwcentral.net/28692/MemoryLane1.1.zip</x:v>
      </x:c>
    </x:row>
    <x:row r="1175">
      <x:c r="A1175" t="str">
        <x:v>Mercenaries</x:v>
      </x:c>
      <x:c r="B1175" t="str">
        <x:v>Mercenaries</x:v>
      </x:c>
      <x:c r="C1175" t="str">
        <x:v>DTG</x:v>
      </x:c>
      <x:c r="D1175" t="n">
        <x:v>0</x:v>
      </x:c>
      <x:c r="E1175" t="str">
        <x:v>Casual</x:v>
      </x:c>
      <x:c r="F1175" t="str">
        <x:v>Standard</x:v>
      </x:c>
      <x:c r="G1175" t="n">
        <x:v>42113</x:v>
      </x:c>
      <x:c r="H1175" t="str">
        <x:v>9646</x:v>
      </x:c>
      <x:c r="I1175" t="str">
        <x:v>https://www.smwcentral.net/?a=details&amp;id=9646&amp;p=section</x:v>
      </x:c>
      <x:c r="J1175" t="str">
        <x:v>https://dl.smwcentral.net/9646/Mercenaries%20Version%201.1.zip</x:v>
      </x:c>
    </x:row>
    <x:row r="1176">
      <x:c r="A1176" t="str">
        <x:v>MFC</x:v>
      </x:c>
      <x:c r="B1176" t="str">
        <x:v>MFC</x:v>
      </x:c>
      <x:c r="C1176" t="str">
        <x:v>Firstnamebutt, Jordan</x:v>
      </x:c>
      <x:c r="D1176" t="n">
        <x:v>25</x:v>
      </x:c>
      <x:c r="E1176" t="str">
        <x:v>Advanced</x:v>
      </x:c>
      <x:c r="F1176" t="str">
        <x:v>Kaizo</x:v>
      </x:c>
      <x:c r="G1176" t="n">
        <x:v>45350</x:v>
      </x:c>
      <x:c r="H1176" t="str">
        <x:v>37167</x:v>
      </x:c>
      <x:c r="I1176" t="str">
        <x:v>https://www.smwcentral.net/?a=details&amp;id=37167&amp;p=section</x:v>
      </x:c>
      <x:c r="J1176" t="str">
        <x:v>https://dl.smwcentral.net/37167/MFC.zip</x:v>
      </x:c>
    </x:row>
    <x:row r="1177">
      <x:c r="A1177" t="str">
        <x:v>Midair Mastery</x:v>
      </x:c>
      <x:c r="B1177" t="str">
        <x:v>Midair Mastery</x:v>
      </x:c>
      <x:c r="C1177" t="str">
        <x:v>tjb0607</x:v>
      </x:c>
      <x:c r="D1177" t="n">
        <x:v>7</x:v>
      </x:c>
      <x:c r="E1177" t="str">
        <x:v>Grandmaster</x:v>
      </x:c>
      <x:c r="F1177" t="str">
        <x:v>Kaizo</x:v>
      </x:c>
      <x:c r="G1177" t="n">
        <x:v>44148</x:v>
      </x:c>
      <x:c r="H1177" t="str">
        <x:v>24680</x:v>
      </x:c>
      <x:c r="I1177" t="str">
        <x:v>https://www.smwcentral.net/?a=details&amp;id=24680&amp;p=section</x:v>
      </x:c>
      <x:c r="J1177" t="str">
        <x:v>https://dl.smwcentral.net/24680/Midair%20Mastery%201.1.zip</x:v>
      </x:c>
    </x:row>
    <x:row r="1178">
      <x:c r="A1178" t="str">
        <x:v>Midday</x:v>
      </x:c>
      <x:c r="B1178" t="str">
        <x:v>Midday</x:v>
      </x:c>
      <x:c r="C1178" t="str">
        <x:v>Edidoo</x:v>
      </x:c>
      <x:c r="D1178" t="n">
        <x:v>26</x:v>
      </x:c>
      <x:c r="E1178" t="str">
        <x:v>Expert</x:v>
      </x:c>
      <x:c r="F1178" t="str">
        <x:v>Kaizo</x:v>
      </x:c>
      <x:c r="G1178" t="n">
        <x:v>45436</x:v>
      </x:c>
      <x:c r="H1178" t="str">
        <x:v>37802</x:v>
      </x:c>
      <x:c r="I1178" t="str">
        <x:v>https://www.smwcentral.net/?a=details&amp;id=37802&amp;p=section</x:v>
      </x:c>
      <x:c r="J1178" t="str">
        <x:v>https://dl.smwcentral.net/37802/Midday.zip</x:v>
      </x:c>
    </x:row>
    <x:row r="1179">
      <x:c r="A1179" t="str">
        <x:v>Midnight Lightning</x:v>
      </x:c>
      <x:c r="B1179" t="str">
        <x:v>Midnight Lightning</x:v>
      </x:c>
      <x:c r="C1179" t="str">
        <x:v>MassPunishment</x:v>
      </x:c>
      <x:c r="D1179" t="n">
        <x:v>12</x:v>
      </x:c>
      <x:c r="E1179" t="str">
        <x:v>Master</x:v>
      </x:c>
      <x:c r="F1179" t="str">
        <x:v>Kaizo</x:v>
      </x:c>
      <x:c r="G1179" t="n">
        <x:v>44373</x:v>
      </x:c>
      <x:c r="H1179" t="str">
        <x:v>27345</x:v>
      </x:c>
      <x:c r="I1179" t="str">
        <x:v>https://www.smwcentral.net/?a=details&amp;id=27345&amp;p=section</x:v>
      </x:c>
      <x:c r="J1179" t="str">
        <x:v>https://dl.smwcentral.net/27345/MidnightLightning1.1.zip</x:v>
      </x:c>
    </x:row>
    <x:row r="1180">
      <x:c r="A1180" t="str">
        <x:v>Miku's Spike Hell</x:v>
      </x:c>
      <x:c r="B1180" t="str">
        <x:v>Miku's Spike Hell</x:v>
      </x:c>
      <x:c r="C1180" t="str">
        <x:v>Boosius</x:v>
      </x:c>
      <x:c r="D1180" t="n">
        <x:v>0</x:v>
      </x:c>
      <x:c r="E1180" t="str">
        <x:v>Advanced</x:v>
      </x:c>
      <x:c r="F1180" t="str">
        <x:v>Kaizo</x:v>
      </x:c>
      <x:c r="G1180" t="n">
        <x:v>44370</x:v>
      </x:c>
      <x:c r="H1180" t="str">
        <x:v>27264</x:v>
      </x:c>
      <x:c r="I1180" t="str">
        <x:v>https://www.smwcentral.net/?a=details&amp;id=27264&amp;p=section</x:v>
      </x:c>
      <x:c r="J1180" t="str">
        <x:v>https://dl.smwcentral.net/27264/miku.zip</x:v>
      </x:c>
    </x:row>
    <x:row r="1181">
      <x:c r="A1181" t="str">
        <x:v>MINERVA</x:v>
      </x:c>
      <x:c r="B1181" t="str">
        <x:v>MINERVA</x:v>
      </x:c>
      <x:c r="C1181" t="str">
        <x:v>Sariel</x:v>
      </x:c>
      <x:c r="D1181" t="n">
        <x:v>12</x:v>
      </x:c>
      <x:c r="E1181" t="str">
        <x:v>Master</x:v>
      </x:c>
      <x:c r="F1181" t="str">
        <x:v>Kaizo, Puzzle</x:v>
      </x:c>
      <x:c r="G1181" t="n">
        <x:v>44145</x:v>
      </x:c>
      <x:c r="H1181" t="str">
        <x:v>25100</x:v>
      </x:c>
      <x:c r="I1181" t="str">
        <x:v>https://www.smwcentral.net/?a=details&amp;id=25100&amp;p=section</x:v>
      </x:c>
      <x:c r="J1181" t="str">
        <x:v>https://dl.smwcentral.net/25100/Minerva1.5.zip</x:v>
      </x:c>
    </x:row>
    <x:row r="1182">
      <x:c r="A1182" t="str">
        <x:v>Mini Challenge Medley (Wave 1)</x:v>
      </x:c>
      <x:c r="B1182" t="str">
        <x:v>Mini Challenge Medley (Wave 1)</x:v>
      </x:c>
      <x:c r="C1182" t="str">
        <x:v>Dispace</x:v>
      </x:c>
      <x:c r="D1182" t="n">
        <x:v>8</x:v>
      </x:c>
      <x:c r="E1182" t="str">
        <x:v>Casual</x:v>
      </x:c>
      <x:c r="F1182" t="str">
        <x:v>Standard</x:v>
      </x:c>
      <x:c r="G1182" t="n">
        <x:v>44873</x:v>
      </x:c>
      <x:c r="H1182" t="str">
        <x:v>32526</x:v>
      </x:c>
      <x:c r="I1182" t="str">
        <x:v>https://www.smwcentral.net/?a=details&amp;id=32526&amp;p=section</x:v>
      </x:c>
      <x:c r="J1182" t="str">
        <x:v>https://dl.smwcentral.net/32526/Mini%20Challenge%20Medley%20%28Demo%201.0%29.zip</x:v>
      </x:c>
    </x:row>
    <x:row r="1183">
      <x:c r="A1183" t="str">
        <x:v>Mini Kaizo</x:v>
      </x:c>
      <x:c r="B1183" t="str">
        <x:v>Mini Kaizo</x:v>
      </x:c>
      <x:c r="C1183" t="str">
        <x:v>KarDiux</x:v>
      </x:c>
      <x:c r="D1183" t="n">
        <x:v>4</x:v>
      </x:c>
      <x:c r="E1183" t="str">
        <x:v>Intermediate</x:v>
      </x:c>
      <x:c r="F1183" t="str">
        <x:v>Kaizo</x:v>
      </x:c>
      <x:c r="G1183" t="n">
        <x:v>44944</x:v>
      </x:c>
      <x:c r="H1183" t="str">
        <x:v>32943</x:v>
      </x:c>
      <x:c r="I1183" t="str">
        <x:v>https://www.smwcentral.net/?a=details&amp;id=32943&amp;p=section</x:v>
      </x:c>
      <x:c r="J1183" t="str">
        <x:v>https://dl.smwcentral.net/32943/Mini%20Kaizo.zip</x:v>
      </x:c>
    </x:row>
    <x:row r="1184">
      <x:c r="A1184" t="str">
        <x:v>minidumb</x:v>
      </x:c>
      <x:c r="B1184" t="str">
        <x:v>minidumb</x:v>
      </x:c>
      <x:c r="C1184" t="str">
        <x:v>OEO6</x:v>
      </x:c>
      <x:c r="D1184" t="n">
        <x:v>13</x:v>
      </x:c>
      <x:c r="E1184" t="str">
        <x:v>Advanced</x:v>
      </x:c>
      <x:c r="F1184" t="str">
        <x:v>Standard</x:v>
      </x:c>
      <x:c r="G1184" t="n">
        <x:v>44134</x:v>
      </x:c>
      <x:c r="H1184" t="str">
        <x:v>24954</x:v>
      </x:c>
      <x:c r="I1184" t="str">
        <x:v>https://www.smwcentral.net/?a=details&amp;id=24954&amp;p=section</x:v>
      </x:c>
      <x:c r="J1184" t="str">
        <x:v>https://dl.smwcentral.net/24954/minidumbson%20-%20new%20update.zip</x:v>
      </x:c>
    </x:row>
    <x:row r="1185">
      <x:c r="A1185" t="str">
        <x:v>Mint Chocolate</x:v>
      </x:c>
      <x:c r="B1185" t="str">
        <x:v>Mint Chocolate</x:v>
      </x:c>
      <x:c r="C1185" t="str">
        <x:v>dashlet</x:v>
      </x:c>
      <x:c r="D1185" t="n">
        <x:v>6</x:v>
      </x:c>
      <x:c r="E1185" t="str">
        <x:v>Advanced</x:v>
      </x:c>
      <x:c r="F1185" t="str">
        <x:v>Standard</x:v>
      </x:c>
      <x:c r="G1185" t="n">
        <x:v>45470</x:v>
      </x:c>
      <x:c r="H1185" t="str">
        <x:v>38002</x:v>
      </x:c>
      <x:c r="I1185" t="str">
        <x:v>https://www.smwcentral.net/?a=details&amp;id=38002&amp;p=section</x:v>
      </x:c>
      <x:c r="J1185" t="str">
        <x:v>https://dl.smwcentral.net/38002/Mint%20Chocolate.zip</x:v>
      </x:c>
    </x:row>
    <x:row r="1186">
      <x:c r="A1186" t="str">
        <x:v>MintGreenYoshi's Challenge</x:v>
      </x:c>
      <x:c r="B1186" t="str">
        <x:v>MintGreenYoshi's Challenge</x:v>
      </x:c>
      <x:c r="C1186" t="str">
        <x:v>7 up</x:v>
      </x:c>
      <x:c r="D1186" t="n">
        <x:v>1</x:v>
      </x:c>
      <x:c r="E1186" t="str">
        <x:v>Advanced</x:v>
      </x:c>
      <x:c r="F1186" t="str">
        <x:v>Tool-Assisted, Pit</x:v>
      </x:c>
      <x:c r="G1186" t="n">
        <x:v>42772</x:v>
      </x:c>
      <x:c r="H1186" t="str">
        <x:v>14969</x:v>
      </x:c>
      <x:c r="I1186" t="str">
        <x:v>https://www.smwcentral.net/?a=details&amp;id=14969&amp;p=section</x:v>
      </x:c>
      <x:c r="J1186" t="str">
        <x:v>https://dl.smwcentral.net/14969/MintGreenYoshi_s_Challenge.zip</x:v>
      </x:c>
    </x:row>
    <x:row r="1187">
      <x:c r="A1187" t="str">
        <x:v>Mirthful Mario-Escapade through Stellatus Shire</x:v>
      </x:c>
      <x:c r="B1187" t="str">
        <x:v>Mirthful Mario-Escapade through Stellatus Shire</x:v>
      </x:c>
      <x:c r="C1187" t="str">
        <x:v>Vamperumbra</x:v>
      </x:c>
      <x:c r="D1187" t="n">
        <x:v>13</x:v>
      </x:c>
      <x:c r="E1187" t="str">
        <x:v>Casual</x:v>
      </x:c>
      <x:c r="F1187" t="str">
        <x:v>Standard</x:v>
      </x:c>
      <x:c r="G1187" t="n">
        <x:v>42741</x:v>
      </x:c>
      <x:c r="H1187" t="str">
        <x:v>14845</x:v>
      </x:c>
      <x:c r="I1187" t="str">
        <x:v>https://www.smwcentral.net/?a=details&amp;id=14845&amp;p=section</x:v>
      </x:c>
      <x:c r="J1187" t="str">
        <x:v>https://dl.smwcentral.net/14845/MM.zip</x:v>
      </x:c>
    </x:row>
    <x:row r="1188">
      <x:c r="A1188" t="str">
        <x:v>Mischievous Mouser</x:v>
      </x:c>
      <x:c r="B1188" t="str">
        <x:v>Mischievous Mouser</x:v>
      </x:c>
      <x:c r="C1188" t="str">
        <x:v>MagmaMouse</x:v>
      </x:c>
      <x:c r="D1188" t="n">
        <x:v>18</x:v>
      </x:c>
      <x:c r="E1188" t="str">
        <x:v>Advanced</x:v>
      </x:c>
      <x:c r="F1188" t="str">
        <x:v>Kaizo</x:v>
      </x:c>
      <x:c r="G1188" t="n">
        <x:v>44183</x:v>
      </x:c>
      <x:c r="H1188" t="str">
        <x:v>25403</x:v>
      </x:c>
      <x:c r="I1188" t="str">
        <x:v>https://www.smwcentral.net/?a=details&amp;id=25403&amp;p=section</x:v>
      </x:c>
      <x:c r="J1188" t="str">
        <x:v>https://dl.smwcentral.net/25403/MischievousMouser_v1.5.zip</x:v>
      </x:c>
    </x:row>
    <x:row r="1189">
      <x:c r="A1189" t="str">
        <x:v>Mistakes Were Made</x:v>
      </x:c>
      <x:c r="B1189" t="str">
        <x:v>Mistakes Were Made</x:v>
      </x:c>
      <x:c r="C1189" t="str">
        <x:v>ThirdWall</x:v>
      </x:c>
      <x:c r="D1189" t="n">
        <x:v>10</x:v>
      </x:c>
      <x:c r="E1189" t="str">
        <x:v>Master</x:v>
      </x:c>
      <x:c r="F1189" t="str">
        <x:v>Kaizo</x:v>
      </x:c>
      <x:c r="G1189" t="n">
        <x:v>45370</x:v>
      </x:c>
      <x:c r="H1189" t="str">
        <x:v>36957</x:v>
      </x:c>
      <x:c r="I1189" t="str">
        <x:v>https://www.smwcentral.net/?a=details&amp;id=36957&amp;p=section</x:v>
      </x:c>
      <x:c r="J1189" t="str">
        <x:v>https://dl.smwcentral.net/36957/MistakesWereMade1.2.zip</x:v>
      </x:c>
    </x:row>
    <x:row r="1190">
      <x:c r="A1190" t="str">
        <x:v>Misty Out There</x:v>
      </x:c>
      <x:c r="B1190" t="str">
        <x:v>Misty Out There</x:v>
      </x:c>
      <x:c r="C1190" t="str">
        <x:v>Nint</x:v>
      </x:c>
      <x:c r="D1190" t="n">
        <x:v>15</x:v>
      </x:c>
      <x:c r="E1190" t="str">
        <x:v>Advanced</x:v>
      </x:c>
      <x:c r="F1190" t="str">
        <x:v>Kaizo</x:v>
      </x:c>
      <x:c r="G1190" t="n">
        <x:v>44054</x:v>
      </x:c>
      <x:c r="H1190" t="str">
        <x:v>24114</x:v>
      </x:c>
      <x:c r="I1190" t="str">
        <x:v>https://www.smwcentral.net/?a=details&amp;id=24114&amp;p=section</x:v>
      </x:c>
      <x:c r="J1190" t="str">
        <x:v>https://dl.smwcentral.net/24114/Misty%20Out%20There.zip</x:v>
      </x:c>
    </x:row>
    <x:row r="1191">
      <x:c r="A1191" t="str">
        <x:v>MK Ultra</x:v>
      </x:c>
      <x:c r="B1191" t="str">
        <x:v>MK Ultra</x:v>
      </x:c>
      <x:c r="C1191" t="str">
        <x:v>51690</x:v>
      </x:c>
      <x:c r="D1191" t="n">
        <x:v>3</x:v>
      </x:c>
      <x:c r="E1191" t="str">
        <x:v>Master</x:v>
      </x:c>
      <x:c r="F1191" t="str">
        <x:v>Kaizo</x:v>
      </x:c>
      <x:c r="G1191" t="n">
        <x:v>45118</x:v>
      </x:c>
      <x:c r="H1191" t="str">
        <x:v>34095</x:v>
      </x:c>
      <x:c r="I1191" t="str">
        <x:v>https://www.smwcentral.net/?a=details&amp;id=34095&amp;p=section</x:v>
      </x:c>
      <x:c r="J1191" t="str">
        <x:v>https://dl.smwcentral.net/34095/MK_Ultra.zip</x:v>
      </x:c>
    </x:row>
    <x:row r="1192">
      <x:c r="A1192" t="str">
        <x:v>mod cape: a precision cape level</x:v>
      </x:c>
      <x:c r="B1192" t="str">
        <x:v>mod cape: a precision cape level</x:v>
      </x:c>
      <x:c r="C1192" t="str">
        <x:v>tjb0607</x:v>
      </x:c>
      <x:c r="D1192" t="n">
        <x:v>1</x:v>
      </x:c>
      <x:c r="E1192" t="str">
        <x:v>Grandmaster</x:v>
      </x:c>
      <x:c r="F1192" t="str">
        <x:v>Kaizo</x:v>
      </x:c>
      <x:c r="G1192" t="n">
        <x:v>44467</x:v>
      </x:c>
      <x:c r="H1192" t="str">
        <x:v>27521</x:v>
      </x:c>
      <x:c r="I1192" t="str">
        <x:v>https://www.smwcentral.net/?a=details&amp;id=27521&amp;p=section</x:v>
      </x:c>
      <x:c r="J1192" t="str">
        <x:v>https://dl.smwcentral.net/27521/mod%20cape.zip</x:v>
      </x:c>
    </x:row>
    <x:row r="1193">
      <x:c r="A1193" t="str">
        <x:v>Momoku Mario World</x:v>
      </x:c>
      <x:c r="B1193" t="str">
        <x:v>Momoku Mario World</x:v>
      </x:c>
      <x:c r="C1193" t="str">
        <x:v>penguin64</x:v>
      </x:c>
      <x:c r="D1193" t="n">
        <x:v>5</x:v>
      </x:c>
      <x:c r="E1193" t="str">
        <x:v>Intermediate</x:v>
      </x:c>
      <x:c r="F1193" t="str">
        <x:v>Standard, Kaizo</x:v>
      </x:c>
      <x:c r="G1193" t="n">
        <x:v>43917</x:v>
      </x:c>
      <x:c r="H1193" t="str">
        <x:v>22491</x:v>
      </x:c>
      <x:c r="I1193" t="str">
        <x:v>https://www.smwcentral.net/?a=details&amp;id=22491&amp;p=section</x:v>
      </x:c>
      <x:c r="J1193" t="str">
        <x:v>https://dl.smwcentral.net/22491/Momoku%20Mario%20World.zip</x:v>
      </x:c>
    </x:row>
    <x:row r="1194">
      <x:c r="A1194" t="str">
        <x:v>Monty Mole Island</x:v>
      </x:c>
      <x:c r="B1194" t="str">
        <x:v>Monty Mole Island</x:v>
      </x:c>
      <x:c r="C1194" t="str">
        <x:v>Green Jerry</x:v>
      </x:c>
      <x:c r="D1194" t="n">
        <x:v>6</x:v>
      </x:c>
      <x:c r="E1194" t="str">
        <x:v>Casual</x:v>
      </x:c>
      <x:c r="F1194" t="str">
        <x:v>Standard</x:v>
      </x:c>
      <x:c r="G1194" t="n">
        <x:v>43432</x:v>
      </x:c>
      <x:c r="H1194" t="str">
        <x:v>18419</x:v>
      </x:c>
      <x:c r="I1194" t="str">
        <x:v>https://www.smwcentral.net/?a=details&amp;id=18419&amp;p=section</x:v>
      </x:c>
      <x:c r="J1194" t="str">
        <x:v>https://dl.smwcentral.net/18419/Monty%20Mole%20Island%20V1.2.zip</x:v>
      </x:c>
    </x:row>
    <x:row r="1195">
      <x:c r="A1195" t="str">
        <x:v>Monty Mole Island 2 - Redrawn Island</x:v>
      </x:c>
      <x:c r="B1195" t="str">
        <x:v>Monty Mole Island 2 - Redrawn Island</x:v>
      </x:c>
      <x:c r="C1195" t="str">
        <x:v>Green Jerry</x:v>
      </x:c>
      <x:c r="D1195" t="n">
        <x:v>12</x:v>
      </x:c>
      <x:c r="E1195" t="str">
        <x:v>Casual</x:v>
      </x:c>
      <x:c r="F1195" t="str">
        <x:v>Standard</x:v>
      </x:c>
      <x:c r="G1195" t="n">
        <x:v>43385</x:v>
      </x:c>
      <x:c r="H1195" t="str">
        <x:v>18254</x:v>
      </x:c>
      <x:c r="I1195" t="str">
        <x:v>https://www.smwcentral.net/?a=details&amp;id=18254&amp;p=section</x:v>
      </x:c>
      <x:c r="J1195" t="str">
        <x:v>https://dl.smwcentral.net/18254/Monty%20Mole%20Island%202%20-%20Redrawn%20Island.zip</x:v>
      </x:c>
    </x:row>
    <x:row r="1196">
      <x:c r="A1196" t="str">
        <x:v>Monty Mole Island 3 - Boom Boom's World</x:v>
      </x:c>
      <x:c r="B1196" t="str">
        <x:v>Monty Mole Island 3 - Boom Boom's World</x:v>
      </x:c>
      <x:c r="C1196" t="str">
        <x:v>Green Jerry</x:v>
      </x:c>
      <x:c r="D1196" t="n">
        <x:v>10</x:v>
      </x:c>
      <x:c r="E1196" t="str">
        <x:v>Casual</x:v>
      </x:c>
      <x:c r="F1196" t="str">
        <x:v>Standard</x:v>
      </x:c>
      <x:c r="G1196" t="n">
        <x:v>43474</x:v>
      </x:c>
      <x:c r="H1196" t="str">
        <x:v>18890</x:v>
      </x:c>
      <x:c r="I1196" t="str">
        <x:v>https://www.smwcentral.net/?a=details&amp;id=18890&amp;p=section</x:v>
      </x:c>
      <x:c r="J1196" t="str">
        <x:v>https://dl.smwcentral.net/18890/Monty%20Mole%20Island%203%20-%20Boom%20Boom%27s%20World%20V1.1.zip</x:v>
      </x:c>
    </x:row>
    <x:row r="1197">
      <x:c r="A1197" t="str">
        <x:v>Monty Mole Island 4 - Gamma Archipelago</x:v>
      </x:c>
      <x:c r="B1197" t="str">
        <x:v>Monty Mole Island 4 - Gamma Archipelago</x:v>
      </x:c>
      <x:c r="C1197" t="str">
        <x:v>Green Jerry</x:v>
      </x:c>
      <x:c r="D1197" t="n">
        <x:v>11</x:v>
      </x:c>
      <x:c r="E1197" t="str">
        <x:v>Casual</x:v>
      </x:c>
      <x:c r="F1197" t="str">
        <x:v>Standard</x:v>
      </x:c>
      <x:c r="G1197" t="n">
        <x:v>43586</x:v>
      </x:c>
      <x:c r="H1197" t="str">
        <x:v>19837</x:v>
      </x:c>
      <x:c r="I1197" t="str">
        <x:v>https://www.smwcentral.net/?a=details&amp;id=19837&amp;p=section</x:v>
      </x:c>
      <x:c r="J1197" t="str">
        <x:v>https://dl.smwcentral.net/19837/Monty%20Mole%20Island%204%20-%20Gamma%20Archipelago%20%28V1.0.1%29.zip</x:v>
      </x:c>
    </x:row>
    <x:row r="1198">
      <x:c r="A1198" t="str">
        <x:v>MOON</x:v>
      </x:c>
      <x:c r="B1198" t="str">
        <x:v>MOON</x:v>
      </x:c>
      <x:c r="C1198" t="str">
        <x:v>cur</x:v>
      </x:c>
      <x:c r="D1198" t="n">
        <x:v>20</x:v>
      </x:c>
      <x:c r="E1198" t="str">
        <x:v>Master</x:v>
      </x:c>
      <x:c r="F1198" t="str">
        <x:v>Kaizo</x:v>
      </x:c>
      <x:c r="G1198" t="n">
        <x:v>44208</x:v>
      </x:c>
      <x:c r="H1198" t="str">
        <x:v>25624</x:v>
      </x:c>
      <x:c r="I1198" t="str">
        <x:v>https://www.smwcentral.net/?a=details&amp;id=25624&amp;p=section</x:v>
      </x:c>
      <x:c r="J1198" t="str">
        <x:v>https://dl.smwcentral.net/25624/MOON.zip</x:v>
      </x:c>
    </x:row>
    <x:row r="1199">
      <x:c r="A1199" t="str">
        <x:v>Moon Finder</x:v>
      </x:c>
      <x:c r="B1199" t="str">
        <x:v>Moon Finder</x:v>
      </x:c>
      <x:c r="C1199" t="str">
        <x:v>Fyre150, Mega</x:v>
      </x:c>
      <x:c r="D1199" t="n">
        <x:v>40</x:v>
      </x:c>
      <x:c r="E1199" t="str">
        <x:v>Casual</x:v>
      </x:c>
      <x:c r="F1199" t="str">
        <x:v>Standard, Puzzle</x:v>
      </x:c>
      <x:c r="G1199" t="n">
        <x:v>45537</x:v>
      </x:c>
      <x:c r="H1199" t="str">
        <x:v>38359</x:v>
      </x:c>
      <x:c r="I1199" t="str">
        <x:v>https://www.smwcentral.net/?a=details&amp;id=38359&amp;p=section</x:v>
      </x:c>
      <x:c r="J1199" t="str">
        <x:v>https://dl.smwcentral.net/38359/MoonFinder_.zip</x:v>
      </x:c>
    </x:row>
    <x:row r="1200">
      <x:c r="A1200" t="str">
        <x:v>Morton's Empire</x:v>
      </x:c>
      <x:c r="B1200" t="str">
        <x:v>Morton's Empire</x:v>
      </x:c>
      <x:c r="C1200" t="str">
        <x:v>Arinsu, Centipede, MercuryPenny, SMW Central, a hick</x:v>
      </x:c>
      <x:c r="D1200" t="n">
        <x:v>43</x:v>
      </x:c>
      <x:c r="E1200" t="str">
        <x:v>Advanced</x:v>
      </x:c>
      <x:c r="F1200" t="str">
        <x:v>Standard</x:v>
      </x:c>
      <x:c r="G1200" t="n">
        <x:v>43217</x:v>
      </x:c>
      <x:c r="H1200" t="str">
        <x:v>17305</x:v>
      </x:c>
      <x:c r="I1200" t="str">
        <x:v>https://www.smwcentral.net/?a=details&amp;id=17305&amp;p=section</x:v>
      </x:c>
      <x:c r="J1200" t="str">
        <x:v>https://dl.smwcentral.net/17305/Mortons_Empire.zip</x:v>
      </x:c>
    </x:row>
    <x:row r="1201">
      <x:c r="A1201" t="str">
        <x:v>Morton's Tyranny</x:v>
      </x:c>
      <x:c r="B1201" t="str">
        <x:v>Morton's Tyranny</x:v>
      </x:c>
      <x:c r="C1201" t="str">
        <x:v>Pirate Yoshi</x:v>
      </x:c>
      <x:c r="D1201" t="n">
        <x:v>8</x:v>
      </x:c>
      <x:c r="E1201" t="str">
        <x:v>Newcomer</x:v>
      </x:c>
      <x:c r="F1201" t="str">
        <x:v>Standard</x:v>
      </x:c>
      <x:c r="G1201" t="n">
        <x:v>42232</x:v>
      </x:c>
      <x:c r="H1201" t="str">
        <x:v>9865</x:v>
      </x:c>
      <x:c r="I1201" t="str">
        <x:v>https://www.smwcentral.net/?a=details&amp;id=9865&amp;p=section</x:v>
      </x:c>
      <x:c r="J1201" t="str">
        <x:v>https://dl.smwcentral.net/9865/Morton%27s%20Tyranny%20Zip.zip</x:v>
      </x:c>
    </x:row>
    <x:row r="1202">
      <x:c r="A1202" t="str">
        <x:v>Mostly Harmless</x:v>
      </x:c>
      <x:c r="B1202" t="str">
        <x:v>Mostly Harmless</x:v>
      </x:c>
      <x:c r="C1202" t="str">
        <x:v>ThirdWall</x:v>
      </x:c>
      <x:c r="D1202" t="n">
        <x:v>17</x:v>
      </x:c>
      <x:c r="E1202" t="str">
        <x:v>Master</x:v>
      </x:c>
      <x:c r="F1202" t="str">
        <x:v>Kaizo</x:v>
      </x:c>
      <x:c r="G1202" t="n">
        <x:v>44173</x:v>
      </x:c>
      <x:c r="H1202" t="str">
        <x:v>25402</x:v>
      </x:c>
      <x:c r="I1202" t="str">
        <x:v>https://www.smwcentral.net/?a=details&amp;id=25402&amp;p=section</x:v>
      </x:c>
      <x:c r="J1202" t="str">
        <x:v>https://dl.smwcentral.net/25402/Mostly%20Harmless.zip</x:v>
      </x:c>
    </x:row>
    <x:row r="1203">
      <x:c r="A1203" t="str">
        <x:v>Motor Shells</x:v>
      </x:c>
      <x:c r="B1203" t="str">
        <x:v>Motor Shells</x:v>
      </x:c>
      <x:c r="C1203" t="str">
        <x:v>Pottsie</x:v>
      </x:c>
      <x:c r="D1203" t="n">
        <x:v>8</x:v>
      </x:c>
      <x:c r="E1203" t="str">
        <x:v>Expert</x:v>
      </x:c>
      <x:c r="F1203" t="str">
        <x:v>Kaizo</x:v>
      </x:c>
      <x:c r="G1203" t="n">
        <x:v>45800</x:v>
      </x:c>
      <x:c r="H1203" t="str">
        <x:v>39881</x:v>
      </x:c>
      <x:c r="I1203" t="str">
        <x:v>https://www.smwcentral.net/?a=details&amp;id=39881&amp;p=section</x:v>
      </x:c>
      <x:c r="J1203" t="str">
        <x:v>https://dl.smwcentral.net/39881/motor%20shells.zip</x:v>
      </x:c>
    </x:row>
    <x:row r="1204">
      <x:c r="A1204" t="str">
        <x:v>MrUg's Mini Level Pack</x:v>
      </x:c>
      <x:c r="B1204" t="str">
        <x:v>MrUg's Mini Level Pack</x:v>
      </x:c>
      <x:c r="C1204" t="str">
        <x:v>MrUg123</x:v>
      </x:c>
      <x:c r="D1204" t="n">
        <x:v>4</x:v>
      </x:c>
      <x:c r="E1204" t="str">
        <x:v>Casual</x:v>
      </x:c>
      <x:c r="F1204" t="str">
        <x:v>Standard</x:v>
      </x:c>
      <x:c r="G1204" t="n">
        <x:v>46202</x:v>
      </x:c>
      <x:c r="H1204" t="str">
        <x:v>42537</x:v>
      </x:c>
      <x:c r="I1204" t="str">
        <x:v>https://www.smwcentral.net/?a=details&amp;id=42537&amp;p=section</x:v>
      </x:c>
      <x:c r="J1204" t="str">
        <x:v>https://dl.smwcentral.net/42537/MMLP.zip</x:v>
      </x:c>
    </x:row>
    <x:row r="1205">
      <x:c r="A1205" t="str">
        <x:v>Much Ado About Eggs</x:v>
      </x:c>
      <x:c r="B1205" t="str">
        <x:v>Much Ado About Eggs</x:v>
      </x:c>
      <x:c r="C1205" t="str">
        <x:v>Diego</x:v>
      </x:c>
      <x:c r="D1205" t="n">
        <x:v>8</x:v>
      </x:c>
      <x:c r="E1205" t="str">
        <x:v>Casual</x:v>
      </x:c>
      <x:c r="F1205" t="str">
        <x:v>Standard</x:v>
      </x:c>
      <x:c r="G1205" t="n">
        <x:v>43796</x:v>
      </x:c>
      <x:c r="H1205" t="str">
        <x:v>21516</x:v>
      </x:c>
      <x:c r="I1205" t="str">
        <x:v>https://www.smwcentral.net/?a=details&amp;id=21516&amp;p=section</x:v>
      </x:c>
      <x:c r="J1205" t="str">
        <x:v>https://dl.smwcentral.net/21516/Much%20Ado%20About%20Eggs.zip</x:v>
      </x:c>
    </x:row>
    <x:row r="1206">
      <x:c r="A1206" t="str">
        <x:v>Mura World</x:v>
      </x:c>
      <x:c r="B1206" t="str">
        <x:v>Mura World</x:v>
      </x:c>
      <x:c r="C1206" t="str">
        <x:v>TheMURAmatsu</x:v>
      </x:c>
      <x:c r="D1206" t="n">
        <x:v>6</x:v>
      </x:c>
      <x:c r="E1206" t="str">
        <x:v>Advanced</x:v>
      </x:c>
      <x:c r="F1206" t="str">
        <x:v>Kaizo</x:v>
      </x:c>
      <x:c r="G1206" t="n">
        <x:v>44336</x:v>
      </x:c>
      <x:c r="H1206" t="str">
        <x:v>27022</x:v>
      </x:c>
      <x:c r="I1206" t="str">
        <x:v>https://www.smwcentral.net/?a=details&amp;id=27022&amp;p=section</x:v>
      </x:c>
      <x:c r="J1206" t="str">
        <x:v>https://dl.smwcentral.net/27022/_MuraWorld_V1.2.zip</x:v>
      </x:c>
    </x:row>
    <x:row r="1207">
      <x:c r="A1207" t="str">
        <x:v>Mura World 2</x:v>
      </x:c>
      <x:c r="B1207" t="str">
        <x:v>Mura World 2</x:v>
      </x:c>
      <x:c r="C1207" t="str">
        <x:v>TheMURAmatsu</x:v>
      </x:c>
      <x:c r="D1207" t="n">
        <x:v>11</x:v>
      </x:c>
      <x:c r="E1207" t="str">
        <x:v>Expert</x:v>
      </x:c>
      <x:c r="F1207" t="str">
        <x:v>Kaizo</x:v>
      </x:c>
      <x:c r="G1207" t="n">
        <x:v>43875</x:v>
      </x:c>
      <x:c r="H1207" t="str">
        <x:v>21997</x:v>
      </x:c>
      <x:c r="I1207" t="str">
        <x:v>https://www.smwcentral.net/?a=details&amp;id=21997&amp;p=section</x:v>
      </x:c>
      <x:c r="J1207" t="str">
        <x:v>https://dl.smwcentral.net/21997/MuraWorld2.zip</x:v>
      </x:c>
    </x:row>
    <x:row r="1208">
      <x:c r="A1208" t="str">
        <x:v>Mushroom Kingdom - Under Crimson Skies</x:v>
      </x:c>
      <x:c r="B1208" t="str">
        <x:v>Mushroom Kingdom - Under Crimson Skies</x:v>
      </x:c>
      <x:c r="C1208" t="str">
        <x:v>Blind Devil</x:v>
      </x:c>
      <x:c r="D1208" t="n">
        <x:v>25</x:v>
      </x:c>
      <x:c r="E1208" t="str">
        <x:v>Intermediate</x:v>
      </x:c>
      <x:c r="F1208" t="str">
        <x:v>Standard</x:v>
      </x:c>
      <x:c r="G1208" t="n">
        <x:v>42926</x:v>
      </x:c>
      <x:c r="H1208" t="str">
        <x:v>15820</x:v>
      </x:c>
      <x:c r="I1208" t="str">
        <x:v>https://www.smwcentral.net/?a=details&amp;id=15820&amp;p=section</x:v>
      </x:c>
      <x:c r="J1208" t="str">
        <x:v>https://dl.smwcentral.net/15820/Mushroom%20Kingdom%20-%20Under%20Crimson%20Skies.zip</x:v>
      </x:c>
    </x:row>
    <x:row r="1209">
      <x:c r="A1209" t="str">
        <x:v>Mushroom Kingdom Invasion</x:v>
      </x:c>
      <x:c r="B1209" t="str">
        <x:v>Mushroom Kingdom Invasion</x:v>
      </x:c>
      <x:c r="C1209" t="str">
        <x:v>mario and luigi</x:v>
      </x:c>
      <x:c r="D1209" t="n">
        <x:v>7</x:v>
      </x:c>
      <x:c r="E1209" t="str">
        <x:v>Casual</x:v>
      </x:c>
      <x:c r="F1209" t="str">
        <x:v>Standard</x:v>
      </x:c>
      <x:c r="G1209" t="n">
        <x:v>41781</x:v>
      </x:c>
      <x:c r="H1209" t="str">
        <x:v>6550</x:v>
      </x:c>
      <x:c r="I1209" t="str">
        <x:v>https://www.smwcentral.net/?a=details&amp;id=6550&amp;p=section</x:v>
      </x:c>
      <x:c r="J1209" t="str">
        <x:v>https://dl.smwcentral.net/6550/mushroom%20kingdom%20invasion.zip</x:v>
      </x:c>
    </x:row>
    <x:row r="1210">
      <x:c r="A1210" t="str">
        <x:v>Mushroom Kingdom Meltdown</x:v>
      </x:c>
      <x:c r="B1210" t="str">
        <x:v>Mushroom Kingdom Meltdown</x:v>
      </x:c>
      <x:c r="C1210" t="str">
        <x:v>cyphermur9t</x:v>
      </x:c>
      <x:c r="D1210" t="n">
        <x:v>66</x:v>
      </x:c>
      <x:c r="E1210" t="str">
        <x:v>Intermediate</x:v>
      </x:c>
      <x:c r="F1210" t="str">
        <x:v>Standard</x:v>
      </x:c>
      <x:c r="G1210" t="n">
        <x:v>44641</x:v>
      </x:c>
      <x:c r="H1210" t="str">
        <x:v>30027</x:v>
      </x:c>
      <x:c r="I1210" t="str">
        <x:v>https://www.smwcentral.net/?a=details&amp;id=30027&amp;p=section</x:v>
      </x:c>
      <x:c r="J1210" t="str">
        <x:v>https://dl.smwcentral.net/30027/Mushroom%20Kingdom%20Meltdown%20-%20Fixed.zip</x:v>
      </x:c>
    </x:row>
    <x:row r="1211">
      <x:c r="A1211" t="str">
        <x:v>Mushroom Kingdom Meltdown 2</x:v>
      </x:c>
      <x:c r="B1211" t="str">
        <x:v>Mushroom Kingdom Meltdown 2</x:v>
      </x:c>
      <x:c r="C1211" t="str">
        <x:v>cyphermur9t</x:v>
      </x:c>
      <x:c r="D1211" t="n">
        <x:v>89</x:v>
      </x:c>
      <x:c r="E1211" t="str">
        <x:v>Intermediate</x:v>
      </x:c>
      <x:c r="F1211" t="str">
        <x:v>Standard</x:v>
      </x:c>
      <x:c r="G1211" t="n">
        <x:v>44771</x:v>
      </x:c>
      <x:c r="H1211" t="str">
        <x:v>31223</x:v>
      </x:c>
      <x:c r="I1211" t="str">
        <x:v>https://www.smwcentral.net/?a=details&amp;id=31223&amp;p=section</x:v>
      </x:c>
      <x:c r="J1211" t="str">
        <x:v>https://dl.smwcentral.net/31223/Mushroom%20Kingdom%20Meltdown%202%20-%20Fixed.zip</x:v>
      </x:c>
    </x:row>
    <x:row r="1212">
      <x:c r="A1212" t="str">
        <x:v>Mushroom Onion Pizza</x:v>
      </x:c>
      <x:c r="B1212" t="str">
        <x:v>Mushroom Onion Pizza</x:v>
      </x:c>
      <x:c r="C1212" t="str">
        <x:v>MistaX88</x:v>
      </x:c>
      <x:c r="D1212" t="n">
        <x:v>17</x:v>
      </x:c>
      <x:c r="E1212" t="str">
        <x:v>Expert</x:v>
      </x:c>
      <x:c r="F1212" t="str">
        <x:v>Kaizo</x:v>
      </x:c>
      <x:c r="G1212" t="n">
        <x:v>44158</x:v>
      </x:c>
      <x:c r="H1212" t="str">
        <x:v>25204</x:v>
      </x:c>
      <x:c r="I1212" t="str">
        <x:v>https://www.smwcentral.net/?a=details&amp;id=25204&amp;p=section</x:v>
      </x:c>
      <x:c r="J1212" t="str">
        <x:v>https://dl.smwcentral.net/25204/MushroomOnionPizzaV1.2.zip</x:v>
      </x:c>
    </x:row>
    <x:row r="1213">
      <x:c r="A1213" t="str">
        <x:v>Mute's Christmas Quest</x:v>
      </x:c>
      <x:c r="B1213" t="str">
        <x:v>Mute's Christmas Quest</x:v>
      </x:c>
      <x:c r="C1213" t="str">
        <x:v>ChaseNScooter, Daizo Dee Von</x:v>
      </x:c>
      <x:c r="D1213" t="n">
        <x:v>3</x:v>
      </x:c>
      <x:c r="E1213" t="str">
        <x:v>Casual</x:v>
      </x:c>
      <x:c r="F1213" t="str">
        <x:v>Standard</x:v>
      </x:c>
      <x:c r="G1213" t="n">
        <x:v>43669</x:v>
      </x:c>
      <x:c r="H1213" t="str">
        <x:v>20595</x:v>
      </x:c>
      <x:c r="I1213" t="str">
        <x:v>https://www.smwcentral.net/?a=details&amp;id=20595&amp;p=section</x:v>
      </x:c>
      <x:c r="J1213" t="str">
        <x:v>https://dl.smwcentral.net/20595/Mute%27s%20Christmas%20Quest.zip</x:v>
      </x:c>
    </x:row>
    <x:row r="1214">
      <x:c r="A1214" t="str">
        <x:v>My Contest Entries Collection</x:v>
      </x:c>
      <x:c r="B1214" t="str">
        <x:v>My Contest Entries Collection</x:v>
      </x:c>
      <x:c r="C1214" t="str">
        <x:v>TheKazooBloccGosh</x:v>
      </x:c>
      <x:c r="D1214" t="n">
        <x:v>16</x:v>
      </x:c>
      <x:c r="E1214" t="str">
        <x:v>Expert</x:v>
      </x:c>
      <x:c r="F1214" t="str">
        <x:v>Standard, Kaizo, Puzzle</x:v>
      </x:c>
      <x:c r="G1214" t="n">
        <x:v>45944</x:v>
      </x:c>
      <x:c r="H1214" t="str">
        <x:v>40447</x:v>
      </x:c>
      <x:c r="I1214" t="str">
        <x:v>https://www.smwcentral.net/?a=details&amp;id=40447&amp;p=section</x:v>
      </x:c>
      <x:c r="J1214" t="str">
        <x:v>https://dl.smwcentral.net/40447/My%20entries%20contest%20collection.zip</x:v>
      </x:c>
    </x:row>
    <x:row r="1215">
      <x:c r="A1215" t="str">
        <x:v>My Favorite Things</x:v>
      </x:c>
      <x:c r="B1215" t="str">
        <x:v>My Favorite Things</x:v>
      </x:c>
      <x:c r="C1215" t="str">
        <x:v>revolug</x:v>
      </x:c>
      <x:c r="D1215" t="n">
        <x:v>8</x:v>
      </x:c>
      <x:c r="E1215" t="str">
        <x:v>Master</x:v>
      </x:c>
      <x:c r="F1215" t="str">
        <x:v>Kaizo</x:v>
      </x:c>
      <x:c r="G1215" t="n">
        <x:v>45033</x:v>
      </x:c>
      <x:c r="H1215" t="str">
        <x:v>33687</x:v>
      </x:c>
      <x:c r="I1215" t="str">
        <x:v>https://www.smwcentral.net/?a=details&amp;id=33687&amp;p=section</x:v>
      </x:c>
      <x:c r="J1215" t="str">
        <x:v>https://dl.smwcentral.net/33687/My%20Favorite%20Things%201.2.zip</x:v>
      </x:c>
    </x:row>
    <x:row r="1216">
      <x:c r="A1216" t="str">
        <x:v>My Hack</x:v>
      </x:c>
      <x:c r="B1216" t="str">
        <x:v>My Hack</x:v>
      </x:c>
      <x:c r="C1216" t="str">
        <x:v>LouisDoucet</x:v>
      </x:c>
      <x:c r="D1216" t="n">
        <x:v>69</x:v>
      </x:c>
      <x:c r="E1216" t="str">
        <x:v>Grandmaster</x:v>
      </x:c>
      <x:c r="F1216" t="str">
        <x:v>Kaizo</x:v>
      </x:c>
      <x:c r="G1216" t="n">
        <x:v>45818</x:v>
      </x:c>
      <x:c r="H1216" t="str">
        <x:v>39638</x:v>
      </x:c>
      <x:c r="I1216" t="str">
        <x:v>https://www.smwcentral.net/?a=details&amp;id=39638&amp;p=section</x:v>
      </x:c>
      <x:c r="J1216" t="str">
        <x:v>https://dl.smwcentral.net/39638/My%20Hack.zip</x:v>
      </x:c>
    </x:row>
    <x:row r="1217">
      <x:c r="A1217" t="str">
        <x:v>My Level 4 Emero</x:v>
      </x:c>
      <x:c r="B1217" t="str">
        <x:v>My Level 4 Emero</x:v>
      </x:c>
      <x:c r="C1217" t="str">
        <x:v>DjMPK</x:v>
      </x:c>
      <x:c r="D1217" t="n">
        <x:v>1</x:v>
      </x:c>
      <x:c r="E1217" t="str">
        <x:v>Casual</x:v>
      </x:c>
      <x:c r="F1217" t="str">
        <x:v>Standard</x:v>
      </x:c>
      <x:c r="G1217" t="n">
        <x:v>44163</x:v>
      </x:c>
      <x:c r="H1217" t="str">
        <x:v>25216</x:v>
      </x:c>
      <x:c r="I1217" t="str">
        <x:v>https://www.smwcentral.net/?a=details&amp;id=25216&amp;p=section</x:v>
      </x:c>
      <x:c r="J1217" t="str">
        <x:v>https://dl.smwcentral.net/25216/l4emero.zip</x:v>
      </x:c>
    </x:row>
    <x:row r="1218">
      <x:c r="A1218" t="str">
        <x:v>My little Puzzles - The Road to Wisdom</x:v>
      </x:c>
      <x:c r="B1218" t="str">
        <x:v>My little Puzzles - The Road to Wisdom</x:v>
      </x:c>
      <x:c r="C1218" t="str">
        <x:v>Chosentw0</x:v>
      </x:c>
      <x:c r="D1218" t="n">
        <x:v>38</x:v>
      </x:c>
      <x:c r="E1218" t="str">
        <x:v>Intermediate</x:v>
      </x:c>
      <x:c r="F1218" t="str">
        <x:v>Standard, Kaizo, Puzzle, Tool-Assisted</x:v>
      </x:c>
      <x:c r="G1218" t="n">
        <x:v>42374</x:v>
      </x:c>
      <x:c r="H1218" t="str">
        <x:v>12920</x:v>
      </x:c>
      <x:c r="I1218" t="str">
        <x:v>https://www.smwcentral.net/?a=details&amp;id=12920&amp;p=section</x:v>
      </x:c>
      <x:c r="J1218" t="str">
        <x:v>https://dl.smwcentral.net/12920/My%20little%20Puzzles%20-%20The%20Road%20to%20Wisdom%20v1.1.zip</x:v>
      </x:c>
    </x:row>
    <x:row r="1219">
      <x:c r="A1219" t="str">
        <x:v>My little Puzzles 2 - The Continents of Knowledge</x:v>
      </x:c>
      <x:c r="B1219" t="str">
        <x:v>My little Puzzles 2 - The Continents of Knowledge</x:v>
      </x:c>
      <x:c r="C1219" t="str">
        <x:v>Chosentw0, Sariel</x:v>
      </x:c>
      <x:c r="D1219" t="n">
        <x:v>57</x:v>
      </x:c>
      <x:c r="E1219" t="str">
        <x:v>Advanced</x:v>
      </x:c>
      <x:c r="F1219" t="str">
        <x:v>Standard, Kaizo, Puzzle, Tool-Assisted</x:v>
      </x:c>
      <x:c r="G1219" t="n">
        <x:v>42751</x:v>
      </x:c>
      <x:c r="H1219" t="str">
        <x:v>14080</x:v>
      </x:c>
      <x:c r="I1219" t="str">
        <x:v>https://www.smwcentral.net/?a=details&amp;id=14080&amp;p=section</x:v>
      </x:c>
      <x:c r="J1219" t="str">
        <x:v>https://dl.smwcentral.net/14080/My%20little%20Puzzles%202%20-%20The%20Continents%20of%20Knowledge.zip</x:v>
      </x:c>
    </x:row>
    <x:row r="1220">
      <x:c r="A1220" t="str">
        <x:v>My little Puzzles 3 - The Key to Eternity</x:v>
      </x:c>
      <x:c r="B1220" t="str">
        <x:v>My little Puzzles 3 - The Key to Eternity</x:v>
      </x:c>
      <x:c r="C1220" t="str">
        <x:v>Chosentw0</x:v>
      </x:c>
      <x:c r="D1220" t="n">
        <x:v>64</x:v>
      </x:c>
      <x:c r="E1220" t="str">
        <x:v>Advanced</x:v>
      </x:c>
      <x:c r="F1220" t="str">
        <x:v>Standard, Kaizo, Puzzle, Tool-Assisted</x:v>
      </x:c>
      <x:c r="G1220" t="n">
        <x:v>42750</x:v>
      </x:c>
      <x:c r="H1220" t="str">
        <x:v>14882</x:v>
      </x:c>
      <x:c r="I1220" t="str">
        <x:v>https://www.smwcentral.net/?a=details&amp;id=14882&amp;p=section</x:v>
      </x:c>
      <x:c r="J1220" t="str">
        <x:v>https://dl.smwcentral.net/14882/My%20little%20Puzzles%203%20-%20The%20Key%20to%20Eternity.zip</x:v>
      </x:c>
    </x:row>
    <x:row r="1221">
      <x:c r="A1221" t="str">
        <x:v>My love is all wrong</x:v>
      </x:c>
      <x:c r="B1221" t="str">
        <x:v>My love is all wrong</x:v>
      </x:c>
      <x:c r="C1221" t="str">
        <x:v>Firstnamebutt</x:v>
      </x:c>
      <x:c r="D1221" t="n">
        <x:v>10</x:v>
      </x:c>
      <x:c r="E1221" t="str">
        <x:v>Advanced</x:v>
      </x:c>
      <x:c r="F1221" t="str">
        <x:v>Kaizo</x:v>
      </x:c>
      <x:c r="G1221" t="n">
        <x:v>45596</x:v>
      </x:c>
      <x:c r="H1221" t="str">
        <x:v>38704</x:v>
      </x:c>
      <x:c r="I1221" t="str">
        <x:v>https://www.smwcentral.net/?a=details&amp;id=38704&amp;p=section</x:v>
      </x:c>
      <x:c r="J1221" t="str">
        <x:v>https://dl.smwcentral.net/38704/Myloveisallwrong.zip</x:v>
      </x:c>
    </x:row>
    <x:row r="1222">
      <x:c r="A1222" t="str">
        <x:v>My Name is Goal</x:v>
      </x:c>
      <x:c r="B1222" t="str">
        <x:v>My Name is Goal</x:v>
      </x:c>
      <x:c r="C1222" t="str">
        <x:v>sholmes</x:v>
      </x:c>
      <x:c r="D1222" t="n">
        <x:v>24</x:v>
      </x:c>
      <x:c r="E1222" t="str">
        <x:v>Advanced</x:v>
      </x:c>
      <x:c r="F1222" t="str">
        <x:v>Standard</x:v>
      </x:c>
      <x:c r="G1222" t="n">
        <x:v>45697</x:v>
      </x:c>
      <x:c r="H1222" t="str">
        <x:v>39058</x:v>
      </x:c>
      <x:c r="I1222" t="str">
        <x:v>https://www.smwcentral.net/?a=details&amp;id=39058&amp;p=section</x:v>
      </x:c>
      <x:c r="J1222" t="str">
        <x:v>https://dl.smwcentral.net/39058/My%20Name%20is%20Goal.zip</x:v>
      </x:c>
    </x:row>
    <x:row r="1223">
      <x:c r="A1223" t="str">
        <x:v>My New Favorite Hack</x:v>
      </x:c>
      <x:c r="B1223" t="str">
        <x:v>My New Favorite Hack</x:v>
      </x:c>
      <x:c r="C1223" t="str">
        <x:v>VLSkoot</x:v>
      </x:c>
      <x:c r="D1223" t="n">
        <x:v>17</x:v>
      </x:c>
      <x:c r="E1223" t="str">
        <x:v>Expert</x:v>
      </x:c>
      <x:c r="F1223" t="str">
        <x:v>Kaizo</x:v>
      </x:c>
      <x:c r="G1223" t="n">
        <x:v>44629</x:v>
      </x:c>
      <x:c r="H1223" t="str">
        <x:v>30077</x:v>
      </x:c>
      <x:c r="I1223" t="str">
        <x:v>https://www.smwcentral.net/?a=details&amp;id=30077&amp;p=section</x:v>
      </x:c>
      <x:c r="J1223" t="str">
        <x:v>https://dl.smwcentral.net/30077/My%20New%20Favorite%20Hack.zip</x:v>
      </x:c>
    </x:row>
    <x:row r="1224">
      <x:c r="A1224" t="str">
        <x:v>Mycelium</x:v>
      </x:c>
      <x:c r="B1224" t="str">
        <x:v>Mycelium</x:v>
      </x:c>
      <x:c r="C1224" t="str">
        <x:v>schema_tuna</x:v>
      </x:c>
      <x:c r="D1224" t="n">
        <x:v>13</x:v>
      </x:c>
      <x:c r="E1224" t="str">
        <x:v>Advanced</x:v>
      </x:c>
      <x:c r="F1224" t="str">
        <x:v>Kaizo</x:v>
      </x:c>
      <x:c r="G1224" t="n">
        <x:v>45218</x:v>
      </x:c>
      <x:c r="H1224" t="str">
        <x:v>35259</x:v>
      </x:c>
      <x:c r="I1224" t="str">
        <x:v>https://www.smwcentral.net/?a=details&amp;id=35259&amp;p=section</x:v>
      </x:c>
      <x:c r="J1224" t="str">
        <x:v>https://dl.smwcentral.net/35259/Mycelium.zip</x:v>
      </x:c>
    </x:row>
    <x:row r="1225">
      <x:c r="A1225" t="str">
        <x:v>Mystery of the Seven Orbs</x:v>
      </x:c>
      <x:c r="B1225" t="str">
        <x:v>Mystery of the Seven Orbs</x:v>
      </x:c>
      <x:c r="C1225" t="str">
        <x:v>Kiwisauce</x:v>
      </x:c>
      <x:c r="D1225" t="n">
        <x:v>25</x:v>
      </x:c>
      <x:c r="E1225" t="str">
        <x:v>Casual</x:v>
      </x:c>
      <x:c r="F1225" t="str">
        <x:v>Standard</x:v>
      </x:c>
      <x:c r="G1225" t="n">
        <x:v>42347</x:v>
      </x:c>
      <x:c r="H1225" t="str">
        <x:v>9738</x:v>
      </x:c>
      <x:c r="I1225" t="str">
        <x:v>https://www.smwcentral.net/?a=details&amp;id=9738&amp;p=section</x:v>
      </x:c>
      <x:c r="J1225" t="str">
        <x:v>https://dl.smwcentral.net/9738/MOTSO.zip</x:v>
      </x:c>
    </x:row>
    <x:row r="1226">
      <x:c r="A1226" t="str">
        <x:v>Mystical Island</x:v>
      </x:c>
      <x:c r="B1226" t="str">
        <x:v>Mystical Island</x:v>
      </x:c>
      <x:c r="C1226" t="str">
        <x:v>nicknick293</x:v>
      </x:c>
      <x:c r="D1226" t="n">
        <x:v>4</x:v>
      </x:c>
      <x:c r="E1226" t="str">
        <x:v>Newcomer</x:v>
      </x:c>
      <x:c r="F1226" t="str">
        <x:v>Standard</x:v>
      </x:c>
      <x:c r="G1226" t="n">
        <x:v>42257</x:v>
      </x:c>
      <x:c r="H1226" t="str">
        <x:v>9981</x:v>
      </x:c>
      <x:c r="I1226" t="str">
        <x:v>https://www.smwcentral.net/?a=details&amp;id=9981&amp;p=section</x:v>
      </x:c>
      <x:c r="J1226" t="str">
        <x:v>https://dl.smwcentral.net/9981/Mystical%20island%201.0.2.zip</x:v>
      </x:c>
    </x:row>
    <x:row r="1227">
      <x:c r="A1227" t="str">
        <x:v>Myth of Mana</x:v>
      </x:c>
      <x:c r="B1227" t="str">
        <x:v>Myth of Mana</x:v>
      </x:c>
      <x:c r="C1227" t="str">
        <x:v>Hwailaluta</x:v>
      </x:c>
      <x:c r="D1227" t="n">
        <x:v>1</x:v>
      </x:c>
      <x:c r="E1227" t="str">
        <x:v>Expert</x:v>
      </x:c>
      <x:c r="F1227" t="str">
        <x:v>Standard, Kaizo</x:v>
      </x:c>
      <x:c r="G1227" t="n">
        <x:v>45527</x:v>
      </x:c>
      <x:c r="H1227" t="str">
        <x:v>38186</x:v>
      </x:c>
      <x:c r="I1227" t="str">
        <x:v>https://www.smwcentral.net/?a=details&amp;id=38186&amp;p=section</x:v>
      </x:c>
      <x:c r="J1227" t="str">
        <x:v>https://dl.smwcentral.net/38186/Myth%20of%20Mana%201.2.zip</x:v>
      </x:c>
    </x:row>
    <x:row r="1228">
      <x:c r="A1228" t="str">
        <x:v>N'sane Studios hack</x:v>
      </x:c>
      <x:c r="B1228" t="str">
        <x:v>N'sane Studios hack</x:v>
      </x:c>
      <x:c r="C1228" t="str">
        <x:v>Insanit, Sammmoo, n'sane studios</x:v>
      </x:c>
      <x:c r="D1228" t="n">
        <x:v>11</x:v>
      </x:c>
      <x:c r="E1228" t="str">
        <x:v>Expert</x:v>
      </x:c>
      <x:c r="F1228" t="str">
        <x:v>Kaizo</x:v>
      </x:c>
      <x:c r="G1228" t="n">
        <x:v>44972</x:v>
      </x:c>
      <x:c r="H1228" t="str">
        <x:v>33121</x:v>
      </x:c>
      <x:c r="I1228" t="str">
        <x:v>https://www.smwcentral.net/?a=details&amp;id=33121&amp;p=section</x:v>
      </x:c>
      <x:c r="J1228" t="str">
        <x:v>https://dl.smwcentral.net/33121/n%27sane_studios.zip</x:v>
      </x:c>
    </x:row>
    <x:row r="1229">
      <x:c r="A1229" t="str">
        <x:v>Nabbit Steals Christmas</x:v>
      </x:c>
      <x:c r="B1229" t="str">
        <x:v>Nabbit Steals Christmas</x:v>
      </x:c>
      <x:c r="C1229" t="str">
        <x:v>Idunno</x:v>
      </x:c>
      <x:c r="D1229" t="n">
        <x:v>8</x:v>
      </x:c>
      <x:c r="E1229" t="str">
        <x:v>Casual</x:v>
      </x:c>
      <x:c r="F1229" t="str">
        <x:v>Standard</x:v>
      </x:c>
      <x:c r="G1229" t="n">
        <x:v>45291</x:v>
      </x:c>
      <x:c r="H1229" t="str">
        <x:v>35753</x:v>
      </x:c>
      <x:c r="I1229" t="str">
        <x:v>https://www.smwcentral.net/?a=details&amp;id=35753&amp;p=section</x:v>
      </x:c>
      <x:c r="J1229" t="str">
        <x:v>https://dl.smwcentral.net/35753/NabbitStealsXmas.zip</x:v>
      </x:c>
    </x:row>
    <x:row r="1230">
      <x:c r="A1230" t="str">
        <x:v>Nachos and Fried Oreos</x:v>
      </x:c>
      <x:c r="B1230" t="str">
        <x:v>Nachos and Fried Oreos</x:v>
      </x:c>
      <x:c r="C1230" t="str">
        <x:v>GbreezeSunset, MiracleWater</x:v>
      </x:c>
      <x:c r="D1230" t="n">
        <x:v>15</x:v>
      </x:c>
      <x:c r="E1230" t="str">
        <x:v>Advanced</x:v>
      </x:c>
      <x:c r="F1230" t="str">
        <x:v>Standard</x:v>
      </x:c>
      <x:c r="G1230" t="n">
        <x:v>43521</x:v>
      </x:c>
      <x:c r="H1230" t="str">
        <x:v>19044</x:v>
      </x:c>
      <x:c r="I1230" t="str">
        <x:v>https://www.smwcentral.net/?a=details&amp;id=19044&amp;p=section</x:v>
      </x:c>
      <x:c r="J1230" t="str">
        <x:v>https://dl.smwcentral.net/19044/Nachos%20and%20Fried%20Oreos.zip</x:v>
      </x:c>
    </x:row>
    <x:row r="1231">
      <x:c r="A1231" t="str">
        <x:v>Nador Quest</x:v>
      </x:c>
      <x:c r="B1231" t="str">
        <x:v>Nador Quest</x:v>
      </x:c>
      <x:c r="C1231" t="str">
        <x:v>Lexator</x:v>
      </x:c>
      <x:c r="D1231" t="n">
        <x:v>15</x:v>
      </x:c>
      <x:c r="E1231" t="str">
        <x:v>Casual</x:v>
      </x:c>
      <x:c r="F1231" t="str">
        <x:v>Standard</x:v>
      </x:c>
      <x:c r="G1231" t="n">
        <x:v>41480</x:v>
      </x:c>
      <x:c r="H1231" t="str">
        <x:v>5166</x:v>
      </x:c>
      <x:c r="I1231" t="str">
        <x:v>https://www.smwcentral.net/?a=details&amp;id=5166&amp;p=section</x:v>
      </x:c>
      <x:c r="J1231" t="str">
        <x:v>https://dl.smwcentral.net/5166/Nador%20Quest%20%28demo%202%29.zip</x:v>
      </x:c>
    </x:row>
    <x:row r="1232">
      <x:c r="A1232" t="str">
        <x:v>Nakama</x:v>
      </x:c>
      <x:c r="B1232" t="str">
        <x:v>Nakama</x:v>
      </x:c>
      <x:c r="C1232" t="str">
        <x:v>D_O_M</x:v>
      </x:c>
      <x:c r="D1232" t="n">
        <x:v>34</x:v>
      </x:c>
      <x:c r="E1232" t="str">
        <x:v>Expert</x:v>
      </x:c>
      <x:c r="F1232" t="str">
        <x:v>Kaizo</x:v>
      </x:c>
      <x:c r="G1232" t="n">
        <x:v>46137</x:v>
      </x:c>
      <x:c r="H1232" t="str">
        <x:v>42206</x:v>
      </x:c>
      <x:c r="I1232" t="str">
        <x:v>https://www.smwcentral.net/?a=details&amp;id=42206&amp;p=section</x:v>
      </x:c>
      <x:c r="J1232" t="str">
        <x:v>https://dl.smwcentral.net/42206/Nakama1.1.zip</x:v>
      </x:c>
    </x:row>
    <x:row r="1233">
      <x:c r="A1233" t="str">
        <x:v>Nameless Kaizo World</x:v>
      </x:c>
      <x:c r="B1233" t="str">
        <x:v>Nameless Kaizo World</x:v>
      </x:c>
      <x:c r="C1233" t="str">
        <x:v>TheMURAmatsu</x:v>
      </x:c>
      <x:c r="D1233" t="n">
        <x:v>6</x:v>
      </x:c>
      <x:c r="E1233" t="str">
        <x:v>Expert</x:v>
      </x:c>
      <x:c r="F1233" t="str">
        <x:v>Kaizo</x:v>
      </x:c>
      <x:c r="G1233" t="n">
        <x:v>44745</x:v>
      </x:c>
      <x:c r="H1233" t="str">
        <x:v>31239</x:v>
      </x:c>
      <x:c r="I1233" t="str">
        <x:v>https://www.smwcentral.net/?a=details&amp;id=31239&amp;p=section</x:v>
      </x:c>
      <x:c r="J1233" t="str">
        <x:v>https://dl.smwcentral.net/31239/Nameless_Kaizo_World-V1.1.zip</x:v>
      </x:c>
    </x:row>
    <x:row r="1234">
      <x:c r="A1234" t="str">
        <x:v>Nameless Kaizo World (Light)</x:v>
      </x:c>
      <x:c r="B1234" t="str">
        <x:v>Nameless Kaizo World (Light)</x:v>
      </x:c>
      <x:c r="C1234" t="str">
        <x:v>TheMURAmatsu</x:v>
      </x:c>
      <x:c r="D1234" t="n">
        <x:v>5</x:v>
      </x:c>
      <x:c r="E1234" t="str">
        <x:v>Intermediate</x:v>
      </x:c>
      <x:c r="F1234" t="str">
        <x:v>Kaizo</x:v>
      </x:c>
      <x:c r="G1234" t="n">
        <x:v>44772</x:v>
      </x:c>
      <x:c r="H1234" t="str">
        <x:v>31683</x:v>
      </x:c>
      <x:c r="I1234" t="str">
        <x:v>https://www.smwcentral.net/?a=details&amp;id=31683&amp;p=section</x:v>
      </x:c>
      <x:c r="J1234" t="str">
        <x:v>https://dl.smwcentral.net/31683/Nameless%20Kaizo%20World%20%28Light%29.zip</x:v>
      </x:c>
    </x:row>
    <x:row r="1235">
      <x:c r="A1235" t="str">
        <x:v>Nameless Shells</x:v>
      </x:c>
      <x:c r="B1235" t="str">
        <x:v>Nameless Shells</x:v>
      </x:c>
      <x:c r="C1235" t="str">
        <x:v>TheMURAmatsu</x:v>
      </x:c>
      <x:c r="D1235" t="n">
        <x:v>1</x:v>
      </x:c>
      <x:c r="E1235" t="str">
        <x:v>Advanced</x:v>
      </x:c>
      <x:c r="F1235" t="str">
        <x:v>Kaizo</x:v>
      </x:c>
      <x:c r="G1235" t="n">
        <x:v>44937</x:v>
      </x:c>
      <x:c r="H1235" t="str">
        <x:v>32900</x:v>
      </x:c>
      <x:c r="I1235" t="str">
        <x:v>https://www.smwcentral.net/?a=details&amp;id=32900&amp;p=section</x:v>
      </x:c>
      <x:c r="J1235" t="str">
        <x:v>https://dl.smwcentral.net/32900/Nameless%20Shells.zip</x:v>
      </x:c>
    </x:row>
    <x:row r="1236">
      <x:c r="A1236" t="str">
        <x:v>Natsukashii Mario World</x:v>
      </x:c>
      <x:c r="B1236" t="str">
        <x:v>Natsukashii Mario World</x:v>
      </x:c>
      <x:c r="C1236" t="str">
        <x:v>pixelninetales</x:v>
      </x:c>
      <x:c r="D1236" t="n">
        <x:v>7</x:v>
      </x:c>
      <x:c r="E1236" t="str">
        <x:v>Expert</x:v>
      </x:c>
      <x:c r="F1236" t="str">
        <x:v>Kaizo</x:v>
      </x:c>
      <x:c r="G1236" t="n">
        <x:v>44930</x:v>
      </x:c>
      <x:c r="H1236" t="str">
        <x:v>32847</x:v>
      </x:c>
      <x:c r="I1236" t="str">
        <x:v>https://www.smwcentral.net/?a=details&amp;id=32847&amp;p=section</x:v>
      </x:c>
      <x:c r="J1236" t="str">
        <x:v>https://dl.smwcentral.net/32847/natsukashii.zip</x:v>
      </x:c>
    </x:row>
    <x:row r="1237">
      <x:c r="A1237" t="str">
        <x:v>Naughtyworld</x:v>
      </x:c>
      <x:c r="B1237" t="str">
        <x:v>Naughtyworld</x:v>
      </x:c>
      <x:c r="C1237" t="str">
        <x:v>Christina Hendricks, JUMP Team, Kevin</x:v>
      </x:c>
      <x:c r="D1237" t="n">
        <x:v>116</x:v>
      </x:c>
      <x:c r="E1237" t="str">
        <x:v>Expert</x:v>
      </x:c>
      <x:c r="F1237" t="str">
        <x:v>Standard</x:v>
      </x:c>
      <x:c r="G1237" t="n">
        <x:v>45337</x:v>
      </x:c>
      <x:c r="H1237" t="str">
        <x:v>36680</x:v>
      </x:c>
      <x:c r="I1237" t="str">
        <x:v>https://www.smwcentral.net/?a=details&amp;id=36680&amp;p=section</x:v>
      </x:c>
      <x:c r="J1237" t="str">
        <x:v>https://dl.smwcentral.net/36680/naughtyworld.zip</x:v>
      </x:c>
    </x:row>
    <x:row r="1238">
      <x:c r="A1238" t="str">
        <x:v>Nebula</x:v>
      </x:c>
      <x:c r="B1238" t="str">
        <x:v>Nebula</x:v>
      </x:c>
      <x:c r="C1238" t="str">
        <x:v>Gulaschko</x:v>
      </x:c>
      <x:c r="D1238" t="n">
        <x:v>12</x:v>
      </x:c>
      <x:c r="E1238" t="str">
        <x:v>Expert</x:v>
      </x:c>
      <x:c r="F1238" t="str">
        <x:v>Kaizo</x:v>
      </x:c>
      <x:c r="G1238" t="n">
        <x:v>45042</x:v>
      </x:c>
      <x:c r="H1238" t="str">
        <x:v>33695</x:v>
      </x:c>
      <x:c r="I1238" t="str">
        <x:v>https://www.smwcentral.net/?a=details&amp;id=33695&amp;p=section</x:v>
      </x:c>
      <x:c r="J1238" t="str">
        <x:v>https://dl.smwcentral.net/33695/NebulaVer.1.1.zip</x:v>
      </x:c>
    </x:row>
    <x:row r="1239">
      <x:c r="A1239" t="str">
        <x:v>Neighborhood of Make-Believe</x:v>
      </x:c>
      <x:c r="B1239" t="str">
        <x:v>Neighborhood of Make-Believe</x:v>
      </x:c>
      <x:c r="C1239" t="str">
        <x:v>The_Uber_Camper</x:v>
      </x:c>
      <x:c r="D1239" t="n">
        <x:v>16</x:v>
      </x:c>
      <x:c r="E1239" t="str">
        <x:v>Intermediate</x:v>
      </x:c>
      <x:c r="F1239" t="str">
        <x:v>Kaizo</x:v>
      </x:c>
      <x:c r="G1239" t="n">
        <x:v>45648</x:v>
      </x:c>
      <x:c r="H1239" t="str">
        <x:v>38883</x:v>
      </x:c>
      <x:c r="I1239" t="str">
        <x:v>https://www.smwcentral.net/?a=details&amp;id=38883&amp;p=section</x:v>
      </x:c>
      <x:c r="J1239" t="str">
        <x:v>https://dl.smwcentral.net/38883/Neighborhood%20of%20Make-Believe%20v1.1.zip</x:v>
      </x:c>
    </x:row>
    <x:row r="1240">
      <x:c r="A1240" t="str">
        <x:v>Neko Nightmare</x:v>
      </x:c>
      <x:c r="B1240" t="str">
        <x:v>Neko Nightmare</x:v>
      </x:c>
      <x:c r="C1240" t="str">
        <x:v>YamiRamzaNeko</x:v>
      </x:c>
      <x:c r="D1240" t="n">
        <x:v>8</x:v>
      </x:c>
      <x:c r="E1240" t="str">
        <x:v>Casual</x:v>
      </x:c>
      <x:c r="F1240" t="str">
        <x:v>Standard</x:v>
      </x:c>
      <x:c r="G1240" t="n">
        <x:v>42225</x:v>
      </x:c>
      <x:c r="H1240" t="str">
        <x:v>9850</x:v>
      </x:c>
      <x:c r="I1240" t="str">
        <x:v>https://www.smwcentral.net/?a=details&amp;id=9850&amp;p=section</x:v>
      </x:c>
      <x:c r="J1240" t="str">
        <x:v>https://dl.smwcentral.net/9850/smw.zip</x:v>
      </x:c>
    </x:row>
    <x:row r="1241">
      <x:c r="A1241" t="str">
        <x:v>Nemesis</x:v>
      </x:c>
      <x:c r="B1241" t="str">
        <x:v>Nemesis</x:v>
      </x:c>
      <x:c r="C1241" t="str">
        <x:v>Dennsen86</x:v>
      </x:c>
      <x:c r="D1241" t="n">
        <x:v>16</x:v>
      </x:c>
      <x:c r="E1241" t="str">
        <x:v>Expert</x:v>
      </x:c>
      <x:c r="F1241" t="str">
        <x:v>Kaizo</x:v>
      </x:c>
      <x:c r="G1241" t="n">
        <x:v>44665</x:v>
      </x:c>
      <x:c r="H1241" t="str">
        <x:v>30309</x:v>
      </x:c>
      <x:c r="I1241" t="str">
        <x:v>https://www.smwcentral.net/?a=details&amp;id=30309&amp;p=section</x:v>
      </x:c>
      <x:c r="J1241" t="str">
        <x:v>https://dl.smwcentral.net/30309/Nemesis.zip</x:v>
      </x:c>
    </x:row>
    <x:row r="1242">
      <x:c r="A1242" t="str">
        <x:v>Nerdina's World</x:v>
      </x:c>
      <x:c r="B1242" t="str">
        <x:v>Nerdina's World</x:v>
      </x:c>
      <x:c r="C1242" t="str">
        <x:v>B-Yoshi</x:v>
      </x:c>
      <x:c r="D1242" t="n">
        <x:v>6</x:v>
      </x:c>
      <x:c r="E1242" t="str">
        <x:v>Newcomer</x:v>
      </x:c>
      <x:c r="F1242" t="str">
        <x:v>Standard</x:v>
      </x:c>
      <x:c r="G1242" t="n">
        <x:v>42316</x:v>
      </x:c>
      <x:c r="H1242" t="str">
        <x:v>10198</x:v>
      </x:c>
      <x:c r="I1242" t="str">
        <x:v>https://www.smwcentral.net/?a=details&amp;id=10198&amp;p=section</x:v>
      </x:c>
      <x:c r="J1242" t="str">
        <x:v>https://dl.smwcentral.net/10198/Nerdina%27s%20World%20-%20Demo%20V%201.0.zip</x:v>
      </x:c>
    </x:row>
    <x:row r="1243">
      <x:c r="A1243" t="str">
        <x:v>New Easter World</x:v>
      </x:c>
      <x:c r="B1243" t="str">
        <x:v>New Easter World</x:v>
      </x:c>
      <x:c r="C1243" t="str">
        <x:v>SkywinDragoon</x:v>
      </x:c>
      <x:c r="D1243" t="n">
        <x:v>8</x:v>
      </x:c>
      <x:c r="E1243" t="str">
        <x:v>Casual</x:v>
      </x:c>
      <x:c r="F1243" t="str">
        <x:v>Standard</x:v>
      </x:c>
      <x:c r="G1243" t="n">
        <x:v>42825</x:v>
      </x:c>
      <x:c r="H1243" t="str">
        <x:v>15252</x:v>
      </x:c>
      <x:c r="I1243" t="str">
        <x:v>https://www.smwcentral.net/?a=details&amp;id=15252&amp;p=section</x:v>
      </x:c>
      <x:c r="J1243" t="str">
        <x:v>https://dl.smwcentral.net/15252/New%20Easter%20World%20W1%20DEMO.zip</x:v>
      </x:c>
    </x:row>
    <x:row r="1244">
      <x:c r="A1244" t="str">
        <x:v>New Mario's Adventure</x:v>
      </x:c>
      <x:c r="B1244" t="str">
        <x:v>New Mario's Adventure</x:v>
      </x:c>
      <x:c r="C1244" t="str">
        <x:v>yoshi9429</x:v>
      </x:c>
      <x:c r="D1244" t="n">
        <x:v>94</x:v>
      </x:c>
      <x:c r="E1244" t="str">
        <x:v>Advanced</x:v>
      </x:c>
      <x:c r="F1244" t="str">
        <x:v>Standard</x:v>
      </x:c>
      <x:c r="G1244" t="n">
        <x:v>42840</x:v>
      </x:c>
      <x:c r="H1244" t="str">
        <x:v>15438</x:v>
      </x:c>
      <x:c r="I1244" t="str">
        <x:v>https://www.smwcentral.net/?a=details&amp;id=15438&amp;p=section</x:v>
      </x:c>
      <x:c r="J1244" t="str">
        <x:v>https://dl.smwcentral.net/15438/New%20Mario%27s%20Adventure.zip</x:v>
      </x:c>
    </x:row>
    <x:row r="1245">
      <x:c r="A1245" t="str">
        <x:v>NEW Nightmare cafe</x:v>
      </x:c>
      <x:c r="B1245" t="str">
        <x:v>NEW Nightmare cafe</x:v>
      </x:c>
      <x:c r="C1245" t="str">
        <x:v>Lush_50</x:v>
      </x:c>
      <x:c r="D1245" t="n">
        <x:v>1</x:v>
      </x:c>
      <x:c r="E1245" t="str">
        <x:v>Advanced</x:v>
      </x:c>
      <x:c r="F1245" t="str">
        <x:v>Kaizo</x:v>
      </x:c>
      <x:c r="G1245" t="n">
        <x:v>44992</x:v>
      </x:c>
      <x:c r="H1245" t="str">
        <x:v>33431</x:v>
      </x:c>
      <x:c r="I1245" t="str">
        <x:v>https://www.smwcentral.net/?a=details&amp;id=33431&amp;p=section</x:v>
      </x:c>
      <x:c r="J1245" t="str">
        <x:v>https://dl.smwcentral.net/33431/NEW%20Nightmare%20cafe%20v1.0A.zip</x:v>
      </x:c>
    </x:row>
    <x:row r="1246">
      <x:c r="A1246" t="str">
        <x:v>NEW Nightmare cafe 2</x:v>
      </x:c>
      <x:c r="B1246" t="str">
        <x:v>NEW Nightmare cafe 2</x:v>
      </x:c>
      <x:c r="C1246" t="str">
        <x:v>Lush_50</x:v>
      </x:c>
      <x:c r="D1246" t="n">
        <x:v>2</x:v>
      </x:c>
      <x:c r="E1246" t="str">
        <x:v>Advanced</x:v>
      </x:c>
      <x:c r="F1246" t="str">
        <x:v>Kaizo</x:v>
      </x:c>
      <x:c r="G1246" t="n">
        <x:v>45001</x:v>
      </x:c>
      <x:c r="H1246" t="str">
        <x:v>33555</x:v>
      </x:c>
      <x:c r="I1246" t="str">
        <x:v>https://www.smwcentral.net/?a=details&amp;id=33555&amp;p=section</x:v>
      </x:c>
      <x:c r="J1246" t="str">
        <x:v>https://dl.smwcentral.net/33555/NEW%20Nightmare%20cafe%202%20V1.0A.zip</x:v>
      </x:c>
    </x:row>
    <x:row r="1247">
      <x:c r="A1247" t="str">
        <x:v>NEW Nightmare cafe 3</x:v>
      </x:c>
      <x:c r="B1247" t="str">
        <x:v>NEW Nightmare cafe 3</x:v>
      </x:c>
      <x:c r="C1247" t="str">
        <x:v>Lush_50</x:v>
      </x:c>
      <x:c r="D1247" t="n">
        <x:v>2</x:v>
      </x:c>
      <x:c r="E1247" t="str">
        <x:v>Advanced</x:v>
      </x:c>
      <x:c r="F1247" t="str">
        <x:v>Kaizo</x:v>
      </x:c>
      <x:c r="G1247" t="n">
        <x:v>45014</x:v>
      </x:c>
      <x:c r="H1247" t="str">
        <x:v>33638</x:v>
      </x:c>
      <x:c r="I1247" t="str">
        <x:v>https://www.smwcentral.net/?a=details&amp;id=33638&amp;p=section</x:v>
      </x:c>
      <x:c r="J1247" t="str">
        <x:v>https://dl.smwcentral.net/33638/NEW%20Nightmare%20cafe%203%20V1.0.zip</x:v>
      </x:c>
    </x:row>
    <x:row r="1248">
      <x:c r="A1248" t="str">
        <x:v>NEW Nightmare cafe 4</x:v>
      </x:c>
      <x:c r="B1248" t="str">
        <x:v>NEW Nightmare cafe 4</x:v>
      </x:c>
      <x:c r="C1248" t="str">
        <x:v>Lush_50</x:v>
      </x:c>
      <x:c r="D1248" t="n">
        <x:v>2</x:v>
      </x:c>
      <x:c r="E1248" t="str">
        <x:v>Advanced</x:v>
      </x:c>
      <x:c r="F1248" t="str">
        <x:v>Kaizo</x:v>
      </x:c>
      <x:c r="G1248" t="n">
        <x:v>45035</x:v>
      </x:c>
      <x:c r="H1248" t="str">
        <x:v>33777</x:v>
      </x:c>
      <x:c r="I1248" t="str">
        <x:v>https://www.smwcentral.net/?a=details&amp;id=33777&amp;p=section</x:v>
      </x:c>
      <x:c r="J1248" t="str">
        <x:v>https://dl.smwcentral.net/33777/NEW%20Nightmare%20cafe%204%20V1.0.zip</x:v>
      </x:c>
    </x:row>
    <x:row r="1249">
      <x:c r="A1249" t="str">
        <x:v>NEW Nightmare cafe 5</x:v>
      </x:c>
      <x:c r="B1249" t="str">
        <x:v>NEW Nightmare cafe 5</x:v>
      </x:c>
      <x:c r="C1249" t="str">
        <x:v>Lush_50</x:v>
      </x:c>
      <x:c r="D1249" t="n">
        <x:v>3</x:v>
      </x:c>
      <x:c r="E1249" t="str">
        <x:v>Advanced</x:v>
      </x:c>
      <x:c r="F1249" t="str">
        <x:v>Kaizo</x:v>
      </x:c>
      <x:c r="G1249" t="n">
        <x:v>45205</x:v>
      </x:c>
      <x:c r="H1249" t="str">
        <x:v>35173</x:v>
      </x:c>
      <x:c r="I1249" t="str">
        <x:v>https://www.smwcentral.net/?a=details&amp;id=35173&amp;p=section</x:v>
      </x:c>
      <x:c r="J1249" t="str">
        <x:v>https://dl.smwcentral.net/35173/New%20Nightmare%20Cafe%205%20V1.zip</x:v>
      </x:c>
    </x:row>
    <x:row r="1250">
      <x:c r="A1250" t="str">
        <x:v>New Retro Mario Bros.</x:v>
      </x:c>
      <x:c r="B1250" t="str">
        <x:v>New Retro Mario Bros.</x:v>
      </x:c>
      <x:c r="C1250" t="str">
        <x:v>Dr. Mahatma</x:v>
      </x:c>
      <x:c r="D1250" t="n">
        <x:v>32</x:v>
      </x:c>
      <x:c r="E1250" t="str">
        <x:v>Casual</x:v>
      </x:c>
      <x:c r="F1250" t="str">
        <x:v>Standard</x:v>
      </x:c>
      <x:c r="G1250" t="n">
        <x:v>42226</x:v>
      </x:c>
      <x:c r="H1250" t="str">
        <x:v>9871</x:v>
      </x:c>
      <x:c r="I1250" t="str">
        <x:v>https://www.smwcentral.net/?a=details&amp;id=9871&amp;p=section</x:v>
      </x:c>
      <x:c r="J1250" t="str">
        <x:v>https://dl.smwcentral.net/9871/NRMB.zip</x:v>
      </x:c>
    </x:row>
    <x:row r="1251">
      <x:c r="A1251" t="str">
        <x:v>New Schlitterbahn Yoshi World 1</x:v>
      </x:c>
      <x:c r="B1251" t="str">
        <x:v>New Schlitterbahn Yoshi World 1</x:v>
      </x:c>
      <x:c r="C1251" t="str">
        <x:v>El Cuh Fermin</x:v>
      </x:c>
      <x:c r="D1251" t="n">
        <x:v>9</x:v>
      </x:c>
      <x:c r="E1251" t="str">
        <x:v>Intermediate</x:v>
      </x:c>
      <x:c r="F1251" t="str">
        <x:v>Standard</x:v>
      </x:c>
      <x:c r="G1251" t="n">
        <x:v>43894</x:v>
      </x:c>
      <x:c r="H1251" t="str">
        <x:v>22328</x:v>
      </x:c>
      <x:c r="I1251" t="str">
        <x:v>https://www.smwcentral.net/?a=details&amp;id=22328&amp;p=section</x:v>
      </x:c>
      <x:c r="J1251" t="str">
        <x:v>https://dl.smwcentral.net/22328/New%20Schlitterbahn%20Yoshi%20World%201.zip</x:v>
      </x:c>
    </x:row>
    <x:row r="1252">
      <x:c r="A1252" t="str">
        <x:v>New Sonic Generations</x:v>
      </x:c>
      <x:c r="B1252" t="str">
        <x:v>New Sonic Generations</x:v>
      </x:c>
      <x:c r="C1252" t="str">
        <x:v>sholmes</x:v>
      </x:c>
      <x:c r="D1252" t="n">
        <x:v>14</x:v>
      </x:c>
      <x:c r="E1252" t="str">
        <x:v>Expert</x:v>
      </x:c>
      <x:c r="F1252" t="str">
        <x:v>Kaizo</x:v>
      </x:c>
      <x:c r="G1252" t="n">
        <x:v>45267</x:v>
      </x:c>
      <x:c r="H1252" t="str">
        <x:v>35115</x:v>
      </x:c>
      <x:c r="I1252" t="str">
        <x:v>https://www.smwcentral.net/?a=details&amp;id=35115&amp;p=section</x:v>
      </x:c>
      <x:c r="J1252" t="str">
        <x:v>https://dl.smwcentral.net/35115/New%20Sonic%20Generations.zip</x:v>
      </x:c>
    </x:row>
    <x:row r="1253">
      <x:c r="A1253" t="str">
        <x:v>New Super Kaizo Bros.</x:v>
      </x:c>
      <x:c r="B1253" t="str">
        <x:v>New Super Kaizo Bros.</x:v>
      </x:c>
      <x:c r="C1253" t="str">
        <x:v>Yagami</x:v>
      </x:c>
      <x:c r="D1253" t="n">
        <x:v>24</x:v>
      </x:c>
      <x:c r="E1253" t="str">
        <x:v>Expert</x:v>
      </x:c>
      <x:c r="F1253" t="str">
        <x:v>Kaizo</x:v>
      </x:c>
      <x:c r="G1253" t="n">
        <x:v>43537</x:v>
      </x:c>
      <x:c r="H1253" t="str">
        <x:v>19180</x:v>
      </x:c>
      <x:c r="I1253" t="str">
        <x:v>https://www.smwcentral.net/?a=details&amp;id=19180&amp;p=section</x:v>
      </x:c>
      <x:c r="J1253" t="str">
        <x:v>https://dl.smwcentral.net/19180/New%20Super%20Kaizo%20Bros%201.1.zip</x:v>
      </x:c>
    </x:row>
    <x:row r="1254">
      <x:c r="A1254" t="str">
        <x:v>New Super Mario Bros.</x:v>
      </x:c>
      <x:c r="B1254" t="str">
        <x:v>New Super Mario Bros.</x:v>
      </x:c>
      <x:c r="C1254" t="str">
        <x:v>Juga, icegoom</x:v>
      </x:c>
      <x:c r="D1254" t="n">
        <x:v>9</x:v>
      </x:c>
      <x:c r="E1254" t="str">
        <x:v>Newcomer</x:v>
      </x:c>
      <x:c r="F1254" t="str">
        <x:v>Standard</x:v>
      </x:c>
      <x:c r="G1254" t="n">
        <x:v>42057</x:v>
      </x:c>
      <x:c r="H1254" t="str">
        <x:v>9663</x:v>
      </x:c>
      <x:c r="I1254" t="str">
        <x:v>https://www.smwcentral.net/?a=details&amp;id=9663&amp;p=section</x:v>
      </x:c>
      <x:c r="J1254" t="str">
        <x:v>https://dl.smwcentral.net/9663/nsmb.zip</x:v>
      </x:c>
    </x:row>
    <x:row r="1255">
      <x:c r="A1255" t="str">
        <x:v>New Super Mario Bros. SNES</x:v>
      </x:c>
      <x:c r="B1255" t="str">
        <x:v>New Super Mario Bros. SNES</x:v>
      </x:c>
      <x:c r="C1255" t="str">
        <x:v>Mr. Pixelator</x:v>
      </x:c>
      <x:c r="D1255" t="n">
        <x:v>21</x:v>
      </x:c>
      <x:c r="E1255" t="str">
        <x:v>Casual</x:v>
      </x:c>
      <x:c r="F1255" t="str">
        <x:v>Standard</x:v>
      </x:c>
      <x:c r="G1255" t="n">
        <x:v>43051</x:v>
      </x:c>
      <x:c r="H1255" t="str">
        <x:v>16558</x:v>
      </x:c>
      <x:c r="I1255" t="str">
        <x:v>https://www.smwcentral.net/?a=details&amp;id=16558&amp;p=section</x:v>
      </x:c>
      <x:c r="J1255" t="str">
        <x:v>https://dl.smwcentral.net/16558/New%20Super%20Mario%20Bros.%20SNES%20%28Demo%202%29.zip</x:v>
      </x:c>
    </x:row>
    <x:row r="1256">
      <x:c r="A1256" t="str">
        <x:v>New Super Mario Bros: The Lost Levels</x:v>
      </x:c>
      <x:c r="B1256" t="str">
        <x:v>New Super Mario Bros: The Lost Levels</x:v>
      </x:c>
      <x:c r="C1256" t="str">
        <x:v>RickyMario</x:v>
      </x:c>
      <x:c r="D1256" t="n">
        <x:v>6</x:v>
      </x:c>
      <x:c r="E1256" t="str">
        <x:v>Newcomer</x:v>
      </x:c>
      <x:c r="F1256" t="str">
        <x:v>Standard</x:v>
      </x:c>
      <x:c r="G1256" t="n">
        <x:v>42104</x:v>
      </x:c>
      <x:c r="H1256" t="str">
        <x:v>9763</x:v>
      </x:c>
      <x:c r="I1256" t="str">
        <x:v>https://www.smwcentral.net/?a=details&amp;id=9763&amp;p=section</x:v>
      </x:c>
      <x:c r="J1256" t="str">
        <x:v>https://dl.smwcentral.net/9763/New%20Super%20Mario%20Lost.zip</x:v>
      </x:c>
    </x:row>
    <x:row r="1257">
      <x:c r="A1257" t="str">
        <x:v>New Super Mario Illusion</x:v>
      </x:c>
      <x:c r="B1257" t="str">
        <x:v>New Super Mario Illusion</x:v>
      </x:c>
      <x:c r="C1257" t="str">
        <x:v>K3Blue64</x:v>
      </x:c>
      <x:c r="D1257" t="n">
        <x:v>17</x:v>
      </x:c>
      <x:c r="E1257" t="str">
        <x:v>Newcomer</x:v>
      </x:c>
      <x:c r="F1257" t="str">
        <x:v>Standard</x:v>
      </x:c>
      <x:c r="G1257" t="n">
        <x:v>42252</x:v>
      </x:c>
      <x:c r="H1257" t="str">
        <x:v>9979</x:v>
      </x:c>
      <x:c r="I1257" t="str">
        <x:v>https://www.smwcentral.net/?a=details&amp;id=9979&amp;p=section</x:v>
      </x:c>
      <x:c r="J1257" t="str">
        <x:v>https://dl.smwcentral.net/9979/smi.zip</x:v>
      </x:c>
    </x:row>
    <x:row r="1258">
      <x:c r="A1258" t="str">
        <x:v>New Super Mario Land</x:v>
      </x:c>
      <x:c r="B1258" t="str">
        <x:v>New Super Mario Land</x:v>
      </x:c>
      <x:c r="C1258" t="str">
        <x:v>El Cuh Fermin</x:v>
      </x:c>
      <x:c r="D1258" t="n">
        <x:v>11</x:v>
      </x:c>
      <x:c r="E1258" t="str">
        <x:v>Intermediate</x:v>
      </x:c>
      <x:c r="F1258" t="str">
        <x:v>Standard</x:v>
      </x:c>
      <x:c r="G1258" t="n">
        <x:v>43701</x:v>
      </x:c>
      <x:c r="H1258" t="str">
        <x:v>20885</x:v>
      </x:c>
      <x:c r="I1258" t="str">
        <x:v>https://www.smwcentral.net/?a=details&amp;id=20885&amp;p=section</x:v>
      </x:c>
      <x:c r="J1258" t="str">
        <x:v>https://dl.smwcentral.net/20885/New%20Super%20Mario%20Land.zip</x:v>
      </x:c>
    </x:row>
    <x:row r="1259">
      <x:c r="A1259" t="str">
        <x:v>New Super Mario Pants World</x:v>
      </x:c>
      <x:c r="B1259" t="str">
        <x:v>New Super Mario Pants World</x:v>
      </x:c>
      <x:c r="C1259" t="str">
        <x:v>Romano338</x:v>
      </x:c>
      <x:c r="D1259" t="n">
        <x:v>11</x:v>
      </x:c>
      <x:c r="E1259" t="str">
        <x:v>Expert</x:v>
      </x:c>
      <x:c r="F1259" t="str">
        <x:v>Kaizo</x:v>
      </x:c>
      <x:c r="G1259" t="n">
        <x:v>43679</x:v>
      </x:c>
      <x:c r="H1259" t="str">
        <x:v>20656</x:v>
      </x:c>
      <x:c r="I1259" t="str">
        <x:v>https://www.smwcentral.net/?a=details&amp;id=20656&amp;p=section</x:v>
      </x:c>
      <x:c r="J1259" t="str">
        <x:v>https://dl.smwcentral.net/20656/NSMPW.zip</x:v>
      </x:c>
    </x:row>
    <x:row r="1260">
      <x:c r="A1260" t="str">
        <x:v>New Super Mario World 1: The Twelve Magic Orbs</x:v>
      </x:c>
      <x:c r="B1260" t="str">
        <x:v>New Super Mario World 1: The Twelve Magic Orbs</x:v>
      </x:c>
      <x:c r="C1260" t="str">
        <x:v>Pink Gold Peach</x:v>
      </x:c>
      <x:c r="D1260" t="n">
        <x:v>112</x:v>
      </x:c>
      <x:c r="E1260" t="str">
        <x:v>Intermediate</x:v>
      </x:c>
      <x:c r="F1260" t="str">
        <x:v>Standard</x:v>
      </x:c>
      <x:c r="G1260" t="n">
        <x:v>42610</x:v>
      </x:c>
      <x:c r="H1260" t="str">
        <x:v>14059</x:v>
      </x:c>
      <x:c r="I1260" t="str">
        <x:v>https://www.smwcentral.net/?a=details&amp;id=14059&amp;p=section</x:v>
      </x:c>
      <x:c r="J1260" t="str">
        <x:v>https://dl.smwcentral.net/14059/New%20Super%20Mario%20World%201%20The%2012%20Magic%20Orbs%201.4.zip</x:v>
      </x:c>
    </x:row>
    <x:row r="1261">
      <x:c r="A1261" t="str">
        <x:v>New Super Mario World 1: The Twelve Magic Orbs Powered-Up</x:v>
      </x:c>
      <x:c r="B1261" t="str">
        <x:v>New Super Mario World 1: The Twelve Magic Orbs Powered-Up</x:v>
      </x:c>
      <x:c r="C1261" t="str">
        <x:v>Pink Gold Peach</x:v>
      </x:c>
      <x:c r="D1261" t="n">
        <x:v>112</x:v>
      </x:c>
      <x:c r="E1261" t="str">
        <x:v>Intermediate</x:v>
      </x:c>
      <x:c r="F1261" t="str">
        <x:v>Standard</x:v>
      </x:c>
      <x:c r="G1261" t="n">
        <x:v>45184</x:v>
      </x:c>
      <x:c r="H1261" t="str">
        <x:v>34324</x:v>
      </x:c>
      <x:c r="I1261" t="str">
        <x:v>https://www.smwcentral.net/?a=details&amp;id=34324&amp;p=section</x:v>
      </x:c>
      <x:c r="J1261" t="str">
        <x:v>https://dl.smwcentral.net/34324/New%20Super%20Mario%20World%201%20The%20Twelve%20Magic%20Orbs%20POWERED-UP%20v1.1.zip</x:v>
      </x:c>
    </x:row>
    <x:row r="1262">
      <x:c r="A1262" t="str">
        <x:v>New Super Mario World 2: Around The World</x:v>
      </x:c>
      <x:c r="B1262" t="str">
        <x:v>New Super Mario World 2: Around The World</x:v>
      </x:c>
      <x:c r="C1262" t="str">
        <x:v>Pink Gold Peach</x:v>
      </x:c>
      <x:c r="D1262" t="n">
        <x:v>119</x:v>
      </x:c>
      <x:c r="E1262" t="str">
        <x:v>Advanced</x:v>
      </x:c>
      <x:c r="F1262" t="str">
        <x:v>Standard</x:v>
      </x:c>
      <x:c r="G1262" t="n">
        <x:v>43809</x:v>
      </x:c>
      <x:c r="H1262" t="str">
        <x:v>21541</x:v>
      </x:c>
      <x:c r="I1262" t="str">
        <x:v>https://www.smwcentral.net/?a=details&amp;id=21541&amp;p=section</x:v>
      </x:c>
      <x:c r="J1262" t="str">
        <x:v>https://dl.smwcentral.net/21541/New%20Super%20Mario%20World%202%20Around%20The%20World.zip</x:v>
      </x:c>
    </x:row>
    <x:row r="1263">
      <x:c r="A1263" t="str">
        <x:v>New Super Mario World 2: Luigi's Quest</x:v>
      </x:c>
      <x:c r="B1263" t="str">
        <x:v>New Super Mario World 2: Luigi's Quest</x:v>
      </x:c>
      <x:c r="C1263" t="str">
        <x:v>Bullymario</x:v>
      </x:c>
      <x:c r="D1263" t="n">
        <x:v>100</x:v>
      </x:c>
      <x:c r="E1263" t="str">
        <x:v>Casual</x:v>
      </x:c>
      <x:c r="F1263" t="str">
        <x:v>Standard</x:v>
      </x:c>
      <x:c r="G1263" t="n">
        <x:v>45487</x:v>
      </x:c>
      <x:c r="H1263" t="str">
        <x:v>37998</x:v>
      </x:c>
      <x:c r="I1263" t="str">
        <x:v>https://www.smwcentral.net/?a=details&amp;id=37998&amp;p=section</x:v>
      </x:c>
      <x:c r="J1263" t="str">
        <x:v>https://dl.smwcentral.net/37998/NSMW2%20v2.2.1%20%28update%29.zip</x:v>
      </x:c>
    </x:row>
    <x:row r="1264">
      <x:c r="A1264" t="str">
        <x:v>New Super Mario World Edition 2023</x:v>
      </x:c>
      <x:c r="B1264" t="str">
        <x:v>New Super Mario World Edition 2023</x:v>
      </x:c>
      <x:c r="C1264" t="str">
        <x:v>Teaser</x:v>
      </x:c>
      <x:c r="D1264" t="n">
        <x:v>15</x:v>
      </x:c>
      <x:c r="E1264" t="str">
        <x:v>Casual</x:v>
      </x:c>
      <x:c r="F1264" t="str">
        <x:v>Standard</x:v>
      </x:c>
      <x:c r="G1264" t="n">
        <x:v>45020</x:v>
      </x:c>
      <x:c r="H1264" t="str">
        <x:v>33614</x:v>
      </x:c>
      <x:c r="I1264" t="str">
        <x:v>https://www.smwcentral.net/?a=details&amp;id=33614&amp;p=section</x:v>
      </x:c>
      <x:c r="J1264" t="str">
        <x:v>https://dl.smwcentral.net/33614/NSMWE%202023%20Demo%20Pt-Br%20%2B%20Usa%20Ver%201.1.zip</x:v>
      </x:c>
    </x:row>
    <x:row r="1265">
      <x:c r="A1265" t="str">
        <x:v>New Super Mario World: The Seven Crystals of Peace</x:v>
      </x:c>
      <x:c r="B1265" t="str">
        <x:v>New Super Mario World: The Seven Crystals of Peace</x:v>
      </x:c>
      <x:c r="C1265" t="str">
        <x:v>Zamo</x:v>
      </x:c>
      <x:c r="D1265" t="n">
        <x:v>17</x:v>
      </x:c>
      <x:c r="E1265" t="str">
        <x:v>Casual</x:v>
      </x:c>
      <x:c r="F1265" t="str">
        <x:v>Standard</x:v>
      </x:c>
      <x:c r="G1265" t="n">
        <x:v>41556</x:v>
      </x:c>
      <x:c r="H1265" t="str">
        <x:v>5473</x:v>
      </x:c>
      <x:c r="I1265" t="str">
        <x:v>https://www.smwcentral.net/?a=details&amp;id=5473&amp;p=section</x:v>
      </x:c>
      <x:c r="J1265" t="str">
        <x:v>https://dl.smwcentral.net/5473/hack.zip</x:v>
      </x:c>
    </x:row>
    <x:row r="1266">
      <x:c r="A1266" t="str">
        <x:v>New Territory</x:v>
      </x:c>
      <x:c r="B1266" t="str">
        <x:v>New Territory</x:v>
      </x:c>
      <x:c r="C1266" t="str">
        <x:v>Starboi's Coffee</x:v>
      </x:c>
      <x:c r="D1266" t="n">
        <x:v>8</x:v>
      </x:c>
      <x:c r="E1266" t="str">
        <x:v>Casual</x:v>
      </x:c>
      <x:c r="F1266" t="str">
        <x:v>Standard</x:v>
      </x:c>
      <x:c r="G1266" t="n">
        <x:v>43320</x:v>
      </x:c>
      <x:c r="H1266" t="str">
        <x:v>17987</x:v>
      </x:c>
      <x:c r="I1266" t="str">
        <x:v>https://www.smwcentral.net/?a=details&amp;id=17987&amp;p=section</x:v>
      </x:c>
      <x:c r="J1266" t="str">
        <x:v>https://dl.smwcentral.net/17987/NewTerritory%20v1.2%20DEMO.zip</x:v>
      </x:c>
    </x:row>
    <x:row r="1267">
      <x:c r="A1267" t="str">
        <x:v>NEW! Super Mario Land returns</x:v>
      </x:c>
      <x:c r="B1267" t="str">
        <x:v>NEW! Super Mario Land returns</x:v>
      </x:c>
      <x:c r="C1267" t="str">
        <x:v>Stivi</x:v>
      </x:c>
      <x:c r="D1267" t="n">
        <x:v>11</x:v>
      </x:c>
      <x:c r="E1267" t="str">
        <x:v>Intermediate</x:v>
      </x:c>
      <x:c r="F1267" t="str">
        <x:v>Standard</x:v>
      </x:c>
      <x:c r="G1267" t="n">
        <x:v>42555</x:v>
      </x:c>
      <x:c r="H1267" t="str">
        <x:v>13845</x:v>
      </x:c>
      <x:c r="I1267" t="str">
        <x:v>https://www.smwcentral.net/?a=details&amp;id=13845&amp;p=section</x:v>
      </x:c>
      <x:c r="J1267" t="str">
        <x:v>https://dl.smwcentral.net/13845/NSMLR%20demo.zip</x:v>
      </x:c>
    </x:row>
    <x:row r="1268">
      <x:c r="A1268" t="str">
        <x:v>new.sfc</x:v>
      </x:c>
      <x:c r="B1268" t="str">
        <x:v>new.sfc</x:v>
      </x:c>
      <x:c r="C1268" t="str">
        <x:v>danwaleby</x:v>
      </x:c>
      <x:c r="D1268" t="n">
        <x:v>1</x:v>
      </x:c>
      <x:c r="E1268" t="str">
        <x:v>Intermediate</x:v>
      </x:c>
      <x:c r="F1268" t="str">
        <x:v>Standard</x:v>
      </x:c>
      <x:c r="G1268" t="n">
        <x:v>43841</x:v>
      </x:c>
      <x:c r="H1268" t="str">
        <x:v>21909</x:v>
      </x:c>
      <x:c r="I1268" t="str">
        <x:v>https://www.smwcentral.net/?a=details&amp;id=21909&amp;p=section</x:v>
      </x:c>
      <x:c r="J1268" t="str">
        <x:v>https://dl.smwcentral.net/21909/newDOTsfc.zip</x:v>
      </x:c>
    </x:row>
    <x:row r="1269">
      <x:c r="A1269" t="str">
        <x:v>Newbie Kaizo World</x:v>
      </x:c>
      <x:c r="B1269" t="str">
        <x:v>Newbie Kaizo World</x:v>
      </x:c>
      <x:c r="C1269" t="str">
        <x:v>Azula16</x:v>
      </x:c>
      <x:c r="D1269" t="n">
        <x:v>11</x:v>
      </x:c>
      <x:c r="E1269" t="str">
        <x:v>Advanced</x:v>
      </x:c>
      <x:c r="F1269" t="str">
        <x:v>Kaizo</x:v>
      </x:c>
      <x:c r="G1269" t="n">
        <x:v>44573</x:v>
      </x:c>
      <x:c r="H1269" t="str">
        <x:v>29486</x:v>
      </x:c>
      <x:c r="I1269" t="str">
        <x:v>https://www.smwcentral.net/?a=details&amp;id=29486&amp;p=section</x:v>
      </x:c>
      <x:c r="J1269" t="str">
        <x:v>https://dl.smwcentral.net/29486/Newbie%20Kaizo%20World%20v2.zip</x:v>
      </x:c>
    </x:row>
    <x:row r="1270">
      <x:c r="A1270" t="str">
        <x:v>Nextl - Summer Special Demo</x:v>
      </x:c>
      <x:c r="B1270" t="str">
        <x:v>Nextl - Summer Special Demo</x:v>
      </x:c>
      <x:c r="C1270" t="str">
        <x:v>Yavooti</x:v>
      </x:c>
      <x:c r="D1270" t="n">
        <x:v>7</x:v>
      </x:c>
      <x:c r="E1270" t="str">
        <x:v>Casual</x:v>
      </x:c>
      <x:c r="F1270" t="str">
        <x:v>Standard</x:v>
      </x:c>
      <x:c r="G1270" t="n">
        <x:v>44754</x:v>
      </x:c>
      <x:c r="H1270" t="str">
        <x:v>31323</x:v>
      </x:c>
      <x:c r="I1270" t="str">
        <x:v>https://www.smwcentral.net/?a=details&amp;id=31323&amp;p=section</x:v>
      </x:c>
      <x:c r="J1270" t="str">
        <x:v>https://dl.smwcentral.net/31323/Nextl_-_Summer_Special_Demo_Release_10_juli_22.zip</x:v>
      </x:c>
    </x:row>
    <x:row r="1271">
      <x:c r="A1271" t="str">
        <x:v>Nextl: Christmas Chronicles - Demo</x:v>
      </x:c>
      <x:c r="B1271" t="str">
        <x:v>Nextl: Christmas Chronicles - Demo</x:v>
      </x:c>
      <x:c r="C1271" t="str">
        <x:v>Yavooti</x:v>
      </x:c>
      <x:c r="D1271" t="n">
        <x:v>6</x:v>
      </x:c>
      <x:c r="E1271" t="str">
        <x:v>Casual</x:v>
      </x:c>
      <x:c r="F1271" t="str">
        <x:v>Standard</x:v>
      </x:c>
      <x:c r="G1271" t="n">
        <x:v>44573</x:v>
      </x:c>
      <x:c r="H1271" t="str">
        <x:v>29066</x:v>
      </x:c>
      <x:c r="I1271" t="str">
        <x:v>https://www.smwcentral.net/?a=details&amp;id=29066&amp;p=section</x:v>
      </x:c>
      <x:c r="J1271" t="str">
        <x:v>https://dl.smwcentral.net/29066/Nextl_Christmas_Demo_-_1.1_.zip</x:v>
      </x:c>
    </x:row>
    <x:row r="1272">
      <x:c r="A1272" t="str">
        <x:v>NH World</x:v>
      </x:c>
      <x:c r="B1272" t="str">
        <x:v>NH World</x:v>
      </x:c>
      <x:c r="C1272" t="str">
        <x:v>l337f00l</x:v>
      </x:c>
      <x:c r="D1272" t="n">
        <x:v>6</x:v>
      </x:c>
      <x:c r="E1272" t="str">
        <x:v>Intermediate</x:v>
      </x:c>
      <x:c r="F1272" t="str">
        <x:v>Kaizo</x:v>
      </x:c>
      <x:c r="G1272" t="n">
        <x:v>45975</x:v>
      </x:c>
      <x:c r="H1272" t="str">
        <x:v>41036</x:v>
      </x:c>
      <x:c r="I1272" t="str">
        <x:v>https://www.smwcentral.net/?a=details&amp;id=41036&amp;p=section</x:v>
      </x:c>
      <x:c r="J1272" t="str">
        <x:v>https://dl.smwcentral.net/41036/NHWorld.v1.3.zip</x:v>
      </x:c>
    </x:row>
    <x:row r="1273">
      <x:c r="A1273" t="str">
        <x:v>NH World 2</x:v>
      </x:c>
      <x:c r="B1273" t="str">
        <x:v>NH World 2</x:v>
      </x:c>
      <x:c r="C1273" t="str">
        <x:v>l337f00l</x:v>
      </x:c>
      <x:c r="D1273" t="n">
        <x:v>10</x:v>
      </x:c>
      <x:c r="E1273" t="str">
        <x:v>Expert</x:v>
      </x:c>
      <x:c r="F1273" t="str">
        <x:v>Kaizo</x:v>
      </x:c>
      <x:c r="G1273" t="n">
        <x:v>45761</x:v>
      </x:c>
      <x:c r="H1273" t="str">
        <x:v>39731</x:v>
      </x:c>
      <x:c r="I1273" t="str">
        <x:v>https://www.smwcentral.net/?a=details&amp;id=39731&amp;p=section</x:v>
      </x:c>
      <x:c r="J1273" t="str">
        <x:v>https://dl.smwcentral.net/39731/NH_World_2.zip</x:v>
      </x:c>
    </x:row>
    <x:row r="1274">
      <x:c r="A1274" t="str">
        <x:v>Nightmare cafe</x:v>
      </x:c>
      <x:c r="B1274" t="str">
        <x:v>Nightmare cafe</x:v>
      </x:c>
      <x:c r="C1274" t="str">
        <x:v>Lush_50</x:v>
      </x:c>
      <x:c r="D1274" t="n">
        <x:v>0</x:v>
      </x:c>
      <x:c r="E1274" t="str">
        <x:v>Intermediate</x:v>
      </x:c>
      <x:c r="F1274" t="str">
        <x:v>Kaizo</x:v>
      </x:c>
      <x:c r="G1274" t="n">
        <x:v>44331</x:v>
      </x:c>
      <x:c r="H1274" t="str">
        <x:v>27026</x:v>
      </x:c>
      <x:c r="I1274" t="str">
        <x:v>https://www.smwcentral.net/?a=details&amp;id=27026&amp;p=section</x:v>
      </x:c>
      <x:c r="J1274" t="str">
        <x:v>https://dl.smwcentral.net/27026/Nightmare%20cafe%20v1.1.zip</x:v>
      </x:c>
    </x:row>
    <x:row r="1275">
      <x:c r="A1275" t="str">
        <x:v>Nightmare cafe - Ninji's Adventure</x:v>
      </x:c>
      <x:c r="B1275" t="str">
        <x:v>Nightmare cafe - Ninji's Adventure</x:v>
      </x:c>
      <x:c r="C1275" t="str">
        <x:v>Lush_50</x:v>
      </x:c>
      <x:c r="D1275" t="n">
        <x:v>1</x:v>
      </x:c>
      <x:c r="E1275" t="str">
        <x:v>Advanced</x:v>
      </x:c>
      <x:c r="F1275" t="str">
        <x:v>Kaizo</x:v>
      </x:c>
      <x:c r="G1275" t="n">
        <x:v>45491</x:v>
      </x:c>
      <x:c r="H1275" t="str">
        <x:v>38111</x:v>
      </x:c>
      <x:c r="I1275" t="str">
        <x:v>https://www.smwcentral.net/?a=details&amp;id=38111&amp;p=section</x:v>
      </x:c>
      <x:c r="J1275" t="str">
        <x:v>https://dl.smwcentral.net/38111/Nightmare%20Cafe%20-%20Ninji%27s%20Adventure%20V1.0A.zip</x:v>
      </x:c>
    </x:row>
    <x:row r="1276">
      <x:c r="A1276" t="str">
        <x:v>Nightmare cafe II</x:v>
      </x:c>
      <x:c r="B1276" t="str">
        <x:v>Nightmare cafe II</x:v>
      </x:c>
      <x:c r="C1276" t="str">
        <x:v>Lush_50</x:v>
      </x:c>
      <x:c r="D1276" t="n">
        <x:v>0</x:v>
      </x:c>
      <x:c r="E1276" t="str">
        <x:v>Intermediate</x:v>
      </x:c>
      <x:c r="F1276" t="str">
        <x:v>Kaizo</x:v>
      </x:c>
      <x:c r="G1276" t="n">
        <x:v>44398</x:v>
      </x:c>
      <x:c r="H1276" t="str">
        <x:v>27739</x:v>
      </x:c>
      <x:c r="I1276" t="str">
        <x:v>https://www.smwcentral.net/?a=details&amp;id=27739&amp;p=section</x:v>
      </x:c>
      <x:c r="J1276" t="str">
        <x:v>https://dl.smwcentral.net/27739/Nightmare%20cafe%20II%20v1.3.zip</x:v>
      </x:c>
    </x:row>
    <x:row r="1277">
      <x:c r="A1277" t="str">
        <x:v>Nightmare cafe III</x:v>
      </x:c>
      <x:c r="B1277" t="str">
        <x:v>Nightmare cafe III</x:v>
      </x:c>
      <x:c r="C1277" t="str">
        <x:v>Lush_50</x:v>
      </x:c>
      <x:c r="D1277" t="n">
        <x:v>0</x:v>
      </x:c>
      <x:c r="E1277" t="str">
        <x:v>Intermediate</x:v>
      </x:c>
      <x:c r="F1277" t="str">
        <x:v>Kaizo</x:v>
      </x:c>
      <x:c r="G1277" t="n">
        <x:v>44398</x:v>
      </x:c>
      <x:c r="H1277" t="str">
        <x:v>27737</x:v>
      </x:c>
      <x:c r="I1277" t="str">
        <x:v>https://www.smwcentral.net/?a=details&amp;id=27737&amp;p=section</x:v>
      </x:c>
      <x:c r="J1277" t="str">
        <x:v>https://dl.smwcentral.net/27737/Nightmare%20cafe%20III%20V1.3.zip</x:v>
      </x:c>
    </x:row>
    <x:row r="1278">
      <x:c r="A1278" t="str">
        <x:v>Nightmare cafe IV</x:v>
      </x:c>
      <x:c r="B1278" t="str">
        <x:v>Nightmare cafe IV</x:v>
      </x:c>
      <x:c r="C1278" t="str">
        <x:v>Lush_50</x:v>
      </x:c>
      <x:c r="D1278" t="n">
        <x:v>0</x:v>
      </x:c>
      <x:c r="E1278" t="str">
        <x:v>Intermediate</x:v>
      </x:c>
      <x:c r="F1278" t="str">
        <x:v>Kaizo</x:v>
      </x:c>
      <x:c r="G1278" t="n">
        <x:v>44398</x:v>
      </x:c>
      <x:c r="H1278" t="str">
        <x:v>27735</x:v>
      </x:c>
      <x:c r="I1278" t="str">
        <x:v>https://www.smwcentral.net/?a=details&amp;id=27735&amp;p=section</x:v>
      </x:c>
      <x:c r="J1278" t="str">
        <x:v>https://dl.smwcentral.net/27735/Nightmare%20cafe%20IV%20V1.3.zip</x:v>
      </x:c>
    </x:row>
    <x:row r="1279">
      <x:c r="A1279" t="str">
        <x:v>Nightmare cafe IX</x:v>
      </x:c>
      <x:c r="B1279" t="str">
        <x:v>Nightmare cafe IX</x:v>
      </x:c>
      <x:c r="C1279" t="str">
        <x:v>Lush_50</x:v>
      </x:c>
      <x:c r="D1279" t="n">
        <x:v>0</x:v>
      </x:c>
      <x:c r="E1279" t="str">
        <x:v>Intermediate</x:v>
      </x:c>
      <x:c r="F1279" t="str">
        <x:v>Kaizo</x:v>
      </x:c>
      <x:c r="G1279" t="n">
        <x:v>44398</x:v>
      </x:c>
      <x:c r="H1279" t="str">
        <x:v>27776</x:v>
      </x:c>
      <x:c r="I1279" t="str">
        <x:v>https://www.smwcentral.net/?a=details&amp;id=27776&amp;p=section</x:v>
      </x:c>
      <x:c r="J1279" t="str">
        <x:v>https://dl.smwcentral.net/27776/Nightmare%20cafe%20IX%20v1.0.zip</x:v>
      </x:c>
    </x:row>
    <x:row r="1280">
      <x:c r="A1280" t="str">
        <x:v>Nightmare cafe origins</x:v>
      </x:c>
      <x:c r="B1280" t="str">
        <x:v>Nightmare cafe origins</x:v>
      </x:c>
      <x:c r="C1280" t="str">
        <x:v>Lush_50</x:v>
      </x:c>
      <x:c r="D1280" t="n">
        <x:v>1</x:v>
      </x:c>
      <x:c r="E1280" t="str">
        <x:v>Advanced</x:v>
      </x:c>
      <x:c r="F1280" t="str">
        <x:v>Kaizo</x:v>
      </x:c>
      <x:c r="G1280" t="n">
        <x:v>45458</x:v>
      </x:c>
      <x:c r="H1280" t="str">
        <x:v>37949</x:v>
      </x:c>
      <x:c r="I1280" t="str">
        <x:v>https://www.smwcentral.net/?a=details&amp;id=37949&amp;p=section</x:v>
      </x:c>
      <x:c r="J1280" t="str">
        <x:v>https://dl.smwcentral.net/37949/Nightmare%20Cafe%20Origins%20V1.0.zip</x:v>
      </x:c>
    </x:row>
    <x:row r="1281">
      <x:c r="A1281" t="str">
        <x:v>Nightmare cafe seasons</x:v>
      </x:c>
      <x:c r="B1281" t="str">
        <x:v>Nightmare cafe seasons</x:v>
      </x:c>
      <x:c r="C1281" t="str">
        <x:v>Lush_50</x:v>
      </x:c>
      <x:c r="D1281" t="n">
        <x:v>1</x:v>
      </x:c>
      <x:c r="E1281" t="str">
        <x:v>Advanced</x:v>
      </x:c>
      <x:c r="F1281" t="str">
        <x:v>Kaizo</x:v>
      </x:c>
      <x:c r="G1281" t="n">
        <x:v>45641</x:v>
      </x:c>
      <x:c r="H1281" t="str">
        <x:v>38934</x:v>
      </x:c>
      <x:c r="I1281" t="str">
        <x:v>https://www.smwcentral.net/?a=details&amp;id=38934&amp;p=section</x:v>
      </x:c>
      <x:c r="J1281" t="str">
        <x:v>https://dl.smwcentral.net/38934/Nightmare%20Cafe%20Seasons%20V1.0%20%2B%20Credits.zip</x:v>
      </x:c>
    </x:row>
    <x:row r="1282">
      <x:c r="A1282" t="str">
        <x:v>Nightmare cafe V</x:v>
      </x:c>
      <x:c r="B1282" t="str">
        <x:v>Nightmare cafe V</x:v>
      </x:c>
      <x:c r="C1282" t="str">
        <x:v>Lush_50</x:v>
      </x:c>
      <x:c r="D1282" t="n">
        <x:v>0</x:v>
      </x:c>
      <x:c r="E1282" t="str">
        <x:v>Intermediate</x:v>
      </x:c>
      <x:c r="F1282" t="str">
        <x:v>Kaizo</x:v>
      </x:c>
      <x:c r="G1282" t="n">
        <x:v>44396</x:v>
      </x:c>
      <x:c r="H1282" t="str">
        <x:v>27732</x:v>
      </x:c>
      <x:c r="I1282" t="str">
        <x:v>https://www.smwcentral.net/?a=details&amp;id=27732&amp;p=section</x:v>
      </x:c>
      <x:c r="J1282" t="str">
        <x:v>https://dl.smwcentral.net/27732/Nightmare%20cafe%20V%20v1.3.zip</x:v>
      </x:c>
    </x:row>
    <x:row r="1283">
      <x:c r="A1283" t="str">
        <x:v>Nightmare cafe VI</x:v>
      </x:c>
      <x:c r="B1283" t="str">
        <x:v>Nightmare cafe VI</x:v>
      </x:c>
      <x:c r="C1283" t="str">
        <x:v>Lush_50</x:v>
      </x:c>
      <x:c r="D1283" t="n">
        <x:v>0</x:v>
      </x:c>
      <x:c r="E1283" t="str">
        <x:v>Intermediate</x:v>
      </x:c>
      <x:c r="F1283" t="str">
        <x:v>Kaizo</x:v>
      </x:c>
      <x:c r="G1283" t="n">
        <x:v>44396</x:v>
      </x:c>
      <x:c r="H1283" t="str">
        <x:v>27733</x:v>
      </x:c>
      <x:c r="I1283" t="str">
        <x:v>https://www.smwcentral.net/?a=details&amp;id=27733&amp;p=section</x:v>
      </x:c>
      <x:c r="J1283" t="str">
        <x:v>https://dl.smwcentral.net/27733/Nightmare%20Cafe%20VI%201.3.zip</x:v>
      </x:c>
    </x:row>
    <x:row r="1284">
      <x:c r="A1284" t="str">
        <x:v>Nightmare cafe VII</x:v>
      </x:c>
      <x:c r="B1284" t="str">
        <x:v>Nightmare cafe VII</x:v>
      </x:c>
      <x:c r="C1284" t="str">
        <x:v>Lush_50</x:v>
      </x:c>
      <x:c r="D1284" t="n">
        <x:v>0</x:v>
      </x:c>
      <x:c r="E1284" t="str">
        <x:v>Intermediate</x:v>
      </x:c>
      <x:c r="F1284" t="str">
        <x:v>Kaizo</x:v>
      </x:c>
      <x:c r="G1284" t="n">
        <x:v>44398</x:v>
      </x:c>
      <x:c r="H1284" t="str">
        <x:v>27734</x:v>
      </x:c>
      <x:c r="I1284" t="str">
        <x:v>https://www.smwcentral.net/?a=details&amp;id=27734&amp;p=section</x:v>
      </x:c>
      <x:c r="J1284" t="str">
        <x:v>https://dl.smwcentral.net/27734/Nightmare%20cafe%20VII%20v1.3.zip</x:v>
      </x:c>
    </x:row>
    <x:row r="1285">
      <x:c r="A1285" t="str">
        <x:v>Nightmare cafe VIII</x:v>
      </x:c>
      <x:c r="B1285" t="str">
        <x:v>Nightmare cafe VIII</x:v>
      </x:c>
      <x:c r="C1285" t="str">
        <x:v>Lush_50</x:v>
      </x:c>
      <x:c r="D1285" t="n">
        <x:v>0</x:v>
      </x:c>
      <x:c r="E1285" t="str">
        <x:v>Intermediate</x:v>
      </x:c>
      <x:c r="F1285" t="str">
        <x:v>Kaizo</x:v>
      </x:c>
      <x:c r="G1285" t="n">
        <x:v>44398</x:v>
      </x:c>
      <x:c r="H1285" t="str">
        <x:v>27738</x:v>
      </x:c>
      <x:c r="I1285" t="str">
        <x:v>https://www.smwcentral.net/?a=details&amp;id=27738&amp;p=section</x:v>
      </x:c>
      <x:c r="J1285" t="str">
        <x:v>https://dl.smwcentral.net/27738/Nightmare%20cafe%20VIII%20v1.3.zip</x:v>
      </x:c>
    </x:row>
    <x:row r="1286">
      <x:c r="A1286" t="str">
        <x:v>Nightmare cafe X</x:v>
      </x:c>
      <x:c r="B1286" t="str">
        <x:v>Nightmare cafe X</x:v>
      </x:c>
      <x:c r="C1286" t="str">
        <x:v>Lush_50</x:v>
      </x:c>
      <x:c r="D1286" t="n">
        <x:v>0</x:v>
      </x:c>
      <x:c r="E1286" t="str">
        <x:v>Intermediate</x:v>
      </x:c>
      <x:c r="F1286" t="str">
        <x:v>Kaizo</x:v>
      </x:c>
      <x:c r="G1286" t="n">
        <x:v>44398</x:v>
      </x:c>
      <x:c r="H1286" t="str">
        <x:v>27778</x:v>
      </x:c>
      <x:c r="I1286" t="str">
        <x:v>https://www.smwcentral.net/?a=details&amp;id=27778&amp;p=section</x:v>
      </x:c>
      <x:c r="J1286" t="str">
        <x:v>https://dl.smwcentral.net/27778/Nightmare%20cafe%20X%20v1.0.zip</x:v>
      </x:c>
    </x:row>
    <x:row r="1287">
      <x:c r="A1287" t="str">
        <x:v>Nightmares</x:v>
      </x:c>
      <x:c r="B1287" t="str">
        <x:v>Nightmares</x:v>
      </x:c>
      <x:c r="C1287" t="str">
        <x:v>Panicdream1</x:v>
      </x:c>
      <x:c r="D1287" t="n">
        <x:v>16</x:v>
      </x:c>
      <x:c r="E1287" t="str">
        <x:v>Expert</x:v>
      </x:c>
      <x:c r="F1287" t="str">
        <x:v>Kaizo</x:v>
      </x:c>
      <x:c r="G1287" t="n">
        <x:v>44712</x:v>
      </x:c>
      <x:c r="H1287" t="str">
        <x:v>31053</x:v>
      </x:c>
      <x:c r="I1287" t="str">
        <x:v>https://www.smwcentral.net/?a=details&amp;id=31053&amp;p=section</x:v>
      </x:c>
      <x:c r="J1287" t="str">
        <x:v>https://dl.smwcentral.net/31053/Nightmares.zip</x:v>
      </x:c>
    </x:row>
    <x:row r="1288">
      <x:c r="A1288" t="str">
        <x:v>Ninja World</x:v>
      </x:c>
      <x:c r="B1288" t="str">
        <x:v>Ninja World</x:v>
      </x:c>
      <x:c r="C1288" t="str">
        <x:v>VLSkoot</x:v>
      </x:c>
      <x:c r="D1288" t="n">
        <x:v>16</x:v>
      </x:c>
      <x:c r="E1288" t="str">
        <x:v>Advanced</x:v>
      </x:c>
      <x:c r="F1288" t="str">
        <x:v>Kaizo</x:v>
      </x:c>
      <x:c r="G1288" t="n">
        <x:v>43386</x:v>
      </x:c>
      <x:c r="H1288" t="str">
        <x:v>18284</x:v>
      </x:c>
      <x:c r="I1288" t="str">
        <x:v>https://www.smwcentral.net/?a=details&amp;id=18284&amp;p=section</x:v>
      </x:c>
      <x:c r="J1288" t="str">
        <x:v>https://dl.smwcentral.net/18284/Ninja%20World%20v1.2.zip</x:v>
      </x:c>
    </x:row>
    <x:row r="1289">
      <x:c r="A1289" t="str">
        <x:v>Ninja World 2</x:v>
      </x:c>
      <x:c r="B1289" t="str">
        <x:v>Ninja World 2</x:v>
      </x:c>
      <x:c r="C1289" t="str">
        <x:v>VLSkoot</x:v>
      </x:c>
      <x:c r="D1289" t="n">
        <x:v>20</x:v>
      </x:c>
      <x:c r="E1289" t="str">
        <x:v>Expert</x:v>
      </x:c>
      <x:c r="F1289" t="str">
        <x:v>Kaizo</x:v>
      </x:c>
      <x:c r="G1289" t="n">
        <x:v>43680</x:v>
      </x:c>
      <x:c r="H1289" t="str">
        <x:v>20801</x:v>
      </x:c>
      <x:c r="I1289" t="str">
        <x:v>https://www.smwcentral.net/?a=details&amp;id=20801&amp;p=section</x:v>
      </x:c>
      <x:c r="J1289" t="str">
        <x:v>https://dl.smwcentral.net/20801/Ninja%20World%202.zip</x:v>
      </x:c>
    </x:row>
    <x:row r="1290">
      <x:c r="A1290" t="str">
        <x:v>Ninja World 3</x:v>
      </x:c>
      <x:c r="B1290" t="str">
        <x:v>Ninja World 3</x:v>
      </x:c>
      <x:c r="C1290" t="str">
        <x:v>VLSkoot</x:v>
      </x:c>
      <x:c r="D1290" t="n">
        <x:v>12</x:v>
      </x:c>
      <x:c r="E1290" t="str">
        <x:v>Expert</x:v>
      </x:c>
      <x:c r="F1290" t="str">
        <x:v>Kaizo</x:v>
      </x:c>
      <x:c r="G1290" t="n">
        <x:v>43963</x:v>
      </x:c>
      <x:c r="H1290" t="str">
        <x:v>22901</x:v>
      </x:c>
      <x:c r="I1290" t="str">
        <x:v>https://www.smwcentral.net/?a=details&amp;id=22901&amp;p=section</x:v>
      </x:c>
      <x:c r="J1290" t="str">
        <x:v>https://dl.smwcentral.net/22901/Ninja%20World%203.zip</x:v>
      </x:c>
    </x:row>
    <x:row r="1291">
      <x:c r="A1291" t="str">
        <x:v>Ninji Burst!</x:v>
      </x:c>
      <x:c r="B1291" t="str">
        <x:v>Ninji Burst!</x:v>
      </x:c>
      <x:c r="C1291" t="str">
        <x:v>1UPdudes</x:v>
      </x:c>
      <x:c r="D1291" t="n">
        <x:v>14</x:v>
      </x:c>
      <x:c r="E1291" t="str">
        <x:v>Advanced</x:v>
      </x:c>
      <x:c r="F1291" t="str">
        <x:v>Standard</x:v>
      </x:c>
      <x:c r="G1291" t="n">
        <x:v>46029</x:v>
      </x:c>
      <x:c r="H1291" t="str">
        <x:v>41388</x:v>
      </x:c>
      <x:c r="I1291" t="str">
        <x:v>https://www.smwcentral.net/?a=details&amp;id=41388&amp;p=section</x:v>
      </x:c>
      <x:c r="J1291" t="str">
        <x:v>https://dl.smwcentral.net/41388/NinjiBurstV1.5.zip</x:v>
      </x:c>
    </x:row>
    <x:row r="1292">
      <x:c r="A1292" t="str">
        <x:v>Ninji Story + Mario mode</x:v>
      </x:c>
      <x:c r="B1292" t="str">
        <x:v>Ninji Story + Mario mode</x:v>
      </x:c>
      <x:c r="C1292" t="str">
        <x:v>Lush_50</x:v>
      </x:c>
      <x:c r="D1292" t="n">
        <x:v>27</x:v>
      </x:c>
      <x:c r="E1292" t="str">
        <x:v>Intermediate</x:v>
      </x:c>
      <x:c r="F1292" t="str">
        <x:v>Kaizo</x:v>
      </x:c>
      <x:c r="G1292" t="n">
        <x:v>44405</x:v>
      </x:c>
      <x:c r="H1292" t="str">
        <x:v>27585</x:v>
      </x:c>
      <x:c r="I1292" t="str">
        <x:v>https://www.smwcentral.net/?a=details&amp;id=27585&amp;p=section</x:v>
      </x:c>
      <x:c r="J1292" t="str">
        <x:v>https://dl.smwcentral.net/27585/Ninji%20story%20v1.1%20%2B%20Mario%20mode.zip</x:v>
      </x:c>
    </x:row>
    <x:row r="1293">
      <x:c r="A1293" t="str">
        <x:v>Ninji Story 2</x:v>
      </x:c>
      <x:c r="B1293" t="str">
        <x:v>Ninji Story 2</x:v>
      </x:c>
      <x:c r="C1293" t="str">
        <x:v>Lush_50</x:v>
      </x:c>
      <x:c r="D1293" t="n">
        <x:v>19</x:v>
      </x:c>
      <x:c r="E1293" t="str">
        <x:v>Expert</x:v>
      </x:c>
      <x:c r="F1293" t="str">
        <x:v>Kaizo</x:v>
      </x:c>
      <x:c r="G1293" t="n">
        <x:v>45305</x:v>
      </x:c>
      <x:c r="H1293" t="str">
        <x:v>35775</x:v>
      </x:c>
      <x:c r="I1293" t="str">
        <x:v>https://www.smwcentral.net/?a=details&amp;id=35775&amp;p=section</x:v>
      </x:c>
      <x:c r="J1293" t="str">
        <x:v>https://dl.smwcentral.net/35775/Ninji%20Story%202%20V1.0B.zip</x:v>
      </x:c>
    </x:row>
    <x:row r="1294">
      <x:c r="A1294" t="str">
        <x:v>Ninpp World</x:v>
      </x:c>
      <x:c r="B1294" t="str">
        <x:v>Ninpp World</x:v>
      </x:c>
      <x:c r="C1294" t="str">
        <x:v>TheTrueCommonSense</x:v>
      </x:c>
      <x:c r="D1294" t="n">
        <x:v>20</x:v>
      </x:c>
      <x:c r="E1294" t="str">
        <x:v>Expert</x:v>
      </x:c>
      <x:c r="F1294" t="str">
        <x:v>Kaizo</x:v>
      </x:c>
      <x:c r="G1294" t="n">
        <x:v>46212</x:v>
      </x:c>
      <x:c r="H1294" t="str">
        <x:v>42653</x:v>
      </x:c>
      <x:c r="I1294" t="str">
        <x:v>https://www.smwcentral.net/?a=details&amp;id=42653&amp;p=section</x:v>
      </x:c>
      <x:c r="J1294" t="str">
        <x:v>https://dl.smwcentral.net/42653/Ninpp%20World.zip</x:v>
      </x:c>
    </x:row>
    <x:row r="1295">
      <x:c r="A1295" t="str">
        <x:v>Nintense</x:v>
      </x:c>
      <x:c r="B1295" t="str">
        <x:v>Nintense</x:v>
      </x:c>
      <x:c r="C1295" t="str">
        <x:v>GunmaKuma</x:v>
      </x:c>
      <x:c r="D1295" t="n">
        <x:v>17</x:v>
      </x:c>
      <x:c r="E1295" t="str">
        <x:v>Expert</x:v>
      </x:c>
      <x:c r="F1295" t="str">
        <x:v>Kaizo</x:v>
      </x:c>
      <x:c r="G1295" t="n">
        <x:v>44445</x:v>
      </x:c>
      <x:c r="H1295" t="str">
        <x:v>28233</x:v>
      </x:c>
      <x:c r="I1295" t="str">
        <x:v>https://www.smwcentral.net/?a=details&amp;id=28233&amp;p=section</x:v>
      </x:c>
      <x:c r="J1295" t="str">
        <x:v>https://dl.smwcentral.net/28233/Nintense.zip</x:v>
      </x:c>
    </x:row>
    <x:row r="1296">
      <x:c r="A1296" t="str">
        <x:v>Nissay's beginning</x:v>
      </x:c>
      <x:c r="B1296" t="str">
        <x:v>Nissay's beginning</x:v>
      </x:c>
      <x:c r="C1296" t="str">
        <x:v>NissayTheCat, Yagami</x:v>
      </x:c>
      <x:c r="D1296" t="n">
        <x:v>1</x:v>
      </x:c>
      <x:c r="E1296" t="str">
        <x:v>Advanced</x:v>
      </x:c>
      <x:c r="F1296" t="str">
        <x:v>Kaizo</x:v>
      </x:c>
      <x:c r="G1296" t="n">
        <x:v>44263</x:v>
      </x:c>
      <x:c r="H1296" t="str">
        <x:v>26287</x:v>
      </x:c>
      <x:c r="I1296" t="str">
        <x:v>https://www.smwcentral.net/?a=details&amp;id=26287&amp;p=section</x:v>
      </x:c>
      <x:c r="J1296" t="str">
        <x:v>https://dl.smwcentral.net/26287/NTC_2.0.zip</x:v>
      </x:c>
    </x:row>
    <x:row r="1297">
      <x:c r="A1297" t="str">
        <x:v>No Biggie World</x:v>
      </x:c>
      <x:c r="B1297" t="str">
        <x:v>No Biggie World</x:v>
      </x:c>
      <x:c r="C1297" t="str">
        <x:v>Stunyboy</x:v>
      </x:c>
      <x:c r="D1297" t="n">
        <x:v>12</x:v>
      </x:c>
      <x:c r="E1297" t="str">
        <x:v>Expert</x:v>
      </x:c>
      <x:c r="F1297" t="str">
        <x:v>Kaizo</x:v>
      </x:c>
      <x:c r="G1297" t="n">
        <x:v>44840</x:v>
      </x:c>
      <x:c r="H1297" t="str">
        <x:v>32178</x:v>
      </x:c>
      <x:c r="I1297" t="str">
        <x:v>https://www.smwcentral.net/?a=details&amp;id=32178&amp;p=section</x:v>
      </x:c>
      <x:c r="J1297" t="str">
        <x:v>https://dl.smwcentral.net/32178/NoBiggieWorld1.1.zip</x:v>
      </x:c>
    </x:row>
    <x:row r="1298">
      <x:c r="A1298" t="str">
        <x:v>no name</x:v>
      </x:c>
      <x:c r="B1298" t="str">
        <x:v>no name</x:v>
      </x:c>
      <x:c r="C1298" t="str">
        <x:v>Daizo Dee Von</x:v>
      </x:c>
      <x:c r="D1298" t="n">
        <x:v>9</x:v>
      </x:c>
      <x:c r="E1298" t="str">
        <x:v>Advanced</x:v>
      </x:c>
      <x:c r="F1298" t="str">
        <x:v>Standard, Kaizo</x:v>
      </x:c>
      <x:c r="G1298" t="n">
        <x:v>44586</x:v>
      </x:c>
      <x:c r="H1298" t="str">
        <x:v>29572</x:v>
      </x:c>
      <x:c r="I1298" t="str">
        <x:v>https://www.smwcentral.net/?a=details&amp;id=29572&amp;p=section</x:v>
      </x:c>
      <x:c r="J1298" t="str">
        <x:v>https://dl.smwcentral.net/29572/%5BHack%5D%20no%20name.zip</x:v>
      </x:c>
    </x:row>
    <x:row r="1299">
      <x:c r="A1299" t="str">
        <x:v>No Villains</x:v>
      </x:c>
      <x:c r="B1299" t="str">
        <x:v>No Villains</x:v>
      </x:c>
      <x:c r="C1299" t="str">
        <x:v>Magikey</x:v>
      </x:c>
      <x:c r="D1299" t="n">
        <x:v>4</x:v>
      </x:c>
      <x:c r="E1299" t="str">
        <x:v>Master</x:v>
      </x:c>
      <x:c r="F1299" t="str">
        <x:v>Kaizo, Puzzle, Tool-Assisted</x:v>
      </x:c>
      <x:c r="G1299" t="n">
        <x:v>45799</x:v>
      </x:c>
      <x:c r="H1299" t="str">
        <x:v>39737</x:v>
      </x:c>
      <x:c r="I1299" t="str">
        <x:v>https://www.smwcentral.net/?a=details&amp;id=39737&amp;p=section</x:v>
      </x:c>
      <x:c r="J1299" t="str">
        <x:v>https://dl.smwcentral.net/39737/NoVillains.zip</x:v>
      </x:c>
    </x:row>
    <x:row r="1300">
      <x:c r="A1300" t="str">
        <x:v>Nobody Asked For This</x:v>
      </x:c>
      <x:c r="B1300" t="str">
        <x:v>Nobody Asked For This</x:v>
      </x:c>
      <x:c r="C1300" t="str">
        <x:v>Spirits</x:v>
      </x:c>
      <x:c r="D1300" t="n">
        <x:v>5</x:v>
      </x:c>
      <x:c r="E1300" t="str">
        <x:v>Expert</x:v>
      </x:c>
      <x:c r="F1300" t="str">
        <x:v>Kaizo</x:v>
      </x:c>
      <x:c r="G1300" t="n">
        <x:v>45003</x:v>
      </x:c>
      <x:c r="H1300" t="str">
        <x:v>33562</x:v>
      </x:c>
      <x:c r="I1300" t="str">
        <x:v>https://www.smwcentral.net/?a=details&amp;id=33562&amp;p=section</x:v>
      </x:c>
      <x:c r="J1300" t="str">
        <x:v>https://dl.smwcentral.net/33562/nobodyasked_1.0.zip</x:v>
      </x:c>
    </x:row>
    <x:row r="1301">
      <x:c r="A1301" t="str">
        <x:v>Noise's Fault</x:v>
      </x:c>
      <x:c r="B1301" t="str">
        <x:v>Noise's Fault</x:v>
      </x:c>
      <x:c r="C1301" t="str">
        <x:v>dacin</x:v>
      </x:c>
      <x:c r="D1301" t="n">
        <x:v>1</x:v>
      </x:c>
      <x:c r="E1301" t="str">
        <x:v>Grandmaster</x:v>
      </x:c>
      <x:c r="F1301" t="str">
        <x:v>Tool-Assisted, Pit</x:v>
      </x:c>
      <x:c r="G1301" t="n">
        <x:v>45403</x:v>
      </x:c>
      <x:c r="H1301" t="str">
        <x:v>37560</x:v>
      </x:c>
      <x:c r="I1301" t="str">
        <x:v>https://www.smwcentral.net/?a=details&amp;id=37560&amp;p=section</x:v>
      </x:c>
      <x:c r="J1301" t="str">
        <x:v>https://dl.smwcentral.net/37560/Noise%27s_Fault_1.1.zip</x:v>
      </x:c>
    </x:row>
    <x:row r="1302">
      <x:c r="A1302" t="str">
        <x:v>Nonsense</x:v>
      </x:c>
      <x:c r="B1302" t="str">
        <x:v>Nonsense</x:v>
      </x:c>
      <x:c r="C1302" t="str">
        <x:v>GbreezeSunset, MiracleWater, Various Authors</x:v>
      </x:c>
      <x:c r="D1302" t="n">
        <x:v>119</x:v>
      </x:c>
      <x:c r="E1302" t="str">
        <x:v>Expert</x:v>
      </x:c>
      <x:c r="F1302" t="str">
        <x:v>Standard</x:v>
      </x:c>
      <x:c r="G1302" t="n">
        <x:v>45433</x:v>
      </x:c>
      <x:c r="H1302" t="str">
        <x:v>37734</x:v>
      </x:c>
      <x:c r="I1302" t="str">
        <x:v>https://www.smwcentral.net/?a=details&amp;id=37734&amp;p=section</x:v>
      </x:c>
      <x:c r="J1302" t="str">
        <x:v>https://dl.smwcentral.net/37734/Nonsense%201.1.zip</x:v>
      </x:c>
    </x:row>
    <x:row r="1303">
      <x:c r="A1303" t="str">
        <x:v>Not Another Puzzle Hack</x:v>
      </x:c>
      <x:c r="B1303" t="str">
        <x:v>Not Another Puzzle Hack</x:v>
      </x:c>
      <x:c r="C1303" t="str">
        <x:v>TheBiob</x:v>
      </x:c>
      <x:c r="D1303" t="n">
        <x:v>20</x:v>
      </x:c>
      <x:c r="E1303" t="str">
        <x:v>Intermediate</x:v>
      </x:c>
      <x:c r="F1303" t="str">
        <x:v>Standard</x:v>
      </x:c>
      <x:c r="G1303" t="n">
        <x:v>43136</x:v>
      </x:c>
      <x:c r="H1303" t="str">
        <x:v>17088</x:v>
      </x:c>
      <x:c r="I1303" t="str">
        <x:v>https://www.smwcentral.net/?a=details&amp;id=17088&amp;p=section</x:v>
      </x:c>
      <x:c r="J1303" t="str">
        <x:v>https://dl.smwcentral.net/17088/naph.zip</x:v>
      </x:c>
    </x:row>
    <x:row r="1304">
      <x:c r="A1304" t="str">
        <x:v>Not Dracula's Castle</x:v>
      </x:c>
      <x:c r="B1304" t="str">
        <x:v>Not Dracula's Castle</x:v>
      </x:c>
      <x:c r="C1304" t="str">
        <x:v>Morsel</x:v>
      </x:c>
      <x:c r="D1304" t="n">
        <x:v>0</x:v>
      </x:c>
      <x:c r="E1304" t="str">
        <x:v>Master</x:v>
      </x:c>
      <x:c r="F1304" t="str">
        <x:v>Kaizo</x:v>
      </x:c>
      <x:c r="G1304" t="n">
        <x:v>43774</x:v>
      </x:c>
      <x:c r="H1304" t="str">
        <x:v>21406</x:v>
      </x:c>
      <x:c r="I1304" t="str">
        <x:v>https://www.smwcentral.net/?a=details&amp;id=21406&amp;p=section</x:v>
      </x:c>
      <x:c r="J1304" t="str">
        <x:v>https://dl.smwcentral.net/21406/dracula1.021.zip</x:v>
      </x:c>
    </x:row>
    <x:row r="1305">
      <x:c r="A1305" t="str">
        <x:v>NOT SO SADISTIC MARIO.</x:v>
      </x:c>
      <x:c r="B1305" t="str">
        <x:v>NOT SO SADISTIC MARIO.</x:v>
      </x:c>
      <x:c r="C1305" t="str">
        <x:v>lolyoshi</x:v>
      </x:c>
      <x:c r="D1305" t="n">
        <x:v>22</x:v>
      </x:c>
      <x:c r="E1305" t="str">
        <x:v>Advanced</x:v>
      </x:c>
      <x:c r="F1305" t="str">
        <x:v>Standard</x:v>
      </x:c>
      <x:c r="G1305" t="n">
        <x:v>43114</x:v>
      </x:c>
      <x:c r="H1305" t="str">
        <x:v>16909</x:v>
      </x:c>
      <x:c r="I1305" t="str">
        <x:v>https://www.smwcentral.net/?a=details&amp;id=16909&amp;p=section</x:v>
      </x:c>
      <x:c r="J1305" t="str">
        <x:v>https://dl.smwcentral.net/16909/NSSM_v0.2.zip</x:v>
      </x:c>
    </x:row>
    <x:row r="1306">
      <x:c r="A1306" t="str">
        <x:v>Nothing Crazy</x:v>
      </x:c>
      <x:c r="B1306" t="str">
        <x:v>Nothing Crazy</x:v>
      </x:c>
      <x:c r="C1306" t="str">
        <x:v>callmeCMDR</x:v>
      </x:c>
      <x:c r="D1306" t="n">
        <x:v>19</x:v>
      </x:c>
      <x:c r="E1306" t="str">
        <x:v>Intermediate</x:v>
      </x:c>
      <x:c r="F1306" t="str">
        <x:v>Standard</x:v>
      </x:c>
      <x:c r="G1306" t="n">
        <x:v>44266</x:v>
      </x:c>
      <x:c r="H1306" t="str">
        <x:v>25966</x:v>
      </x:c>
      <x:c r="I1306" t="str">
        <x:v>https://www.smwcentral.net/?a=details&amp;id=25966&amp;p=section</x:v>
      </x:c>
      <x:c r="J1306" t="str">
        <x:v>https://dl.smwcentral.net/25966/Nothing%20Crazy.zip</x:v>
      </x:c>
    </x:row>
    <x:row r="1307">
      <x:c r="A1307" t="str">
        <x:v>Nothing Special</x:v>
      </x:c>
      <x:c r="B1307" t="str">
        <x:v>Nothing Special</x:v>
      </x:c>
      <x:c r="C1307" t="str">
        <x:v>niko</x:v>
      </x:c>
      <x:c r="D1307" t="n">
        <x:v>32</x:v>
      </x:c>
      <x:c r="E1307" t="str">
        <x:v>Intermediate</x:v>
      </x:c>
      <x:c r="F1307" t="str">
        <x:v>Standard</x:v>
      </x:c>
      <x:c r="G1307" t="n">
        <x:v>42699</x:v>
      </x:c>
      <x:c r="H1307" t="str">
        <x:v>14689</x:v>
      </x:c>
      <x:c r="I1307" t="str">
        <x:v>https://www.smwcentral.net/?a=details&amp;id=14689&amp;p=section</x:v>
      </x:c>
      <x:c r="J1307" t="str">
        <x:v>https://dl.smwcentral.net/14689/Nothing%20Special%20Version%200.6.zip</x:v>
      </x:c>
    </x:row>
    <x:row r="1308">
      <x:c r="A1308" t="str">
        <x:v>Nothing Special (Remastered)</x:v>
      </x:c>
      <x:c r="B1308" t="str">
        <x:v>Nothing Special (Remastered)</x:v>
      </x:c>
      <x:c r="C1308" t="str">
        <x:v>niko</x:v>
      </x:c>
      <x:c r="D1308" t="n">
        <x:v>5</x:v>
      </x:c>
      <x:c r="E1308" t="str">
        <x:v>Intermediate</x:v>
      </x:c>
      <x:c r="F1308" t="str">
        <x:v>Standard</x:v>
      </x:c>
      <x:c r="G1308" t="n">
        <x:v>42709</x:v>
      </x:c>
      <x:c r="H1308" t="str">
        <x:v>14704</x:v>
      </x:c>
      <x:c r="I1308" t="str">
        <x:v>https://www.smwcentral.net/?a=details&amp;id=14704&amp;p=section</x:v>
      </x:c>
      <x:c r="J1308" t="str">
        <x:v>https://dl.smwcentral.net/14704/NS%20remastered%20music.zip</x:v>
      </x:c>
    </x:row>
    <x:row r="1309">
      <x:c r="A1309" t="str">
        <x:v>Nova Concept - a love letter to SIG</x:v>
      </x:c>
      <x:c r="B1309" t="str">
        <x:v>Nova Concept - a love letter to SIG</x:v>
      </x:c>
      <x:c r="C1309" t="str">
        <x:v>Nitrogen</x:v>
      </x:c>
      <x:c r="D1309" t="n">
        <x:v>12</x:v>
      </x:c>
      <x:c r="E1309" t="str">
        <x:v>Intermediate</x:v>
      </x:c>
      <x:c r="F1309" t="str">
        <x:v>Standard</x:v>
      </x:c>
      <x:c r="G1309" t="n">
        <x:v>44843</x:v>
      </x:c>
      <x:c r="H1309" t="str">
        <x:v>32303</x:v>
      </x:c>
      <x:c r="I1309" t="str">
        <x:v>https://www.smwcentral.net/?a=details&amp;id=32303&amp;p=section</x:v>
      </x:c>
      <x:c r="J1309" t="str">
        <x:v>https://dl.smwcentral.net/32303/Nova%20Concept%20-%20a%20love%20letter%20to%20SIG.zip</x:v>
      </x:c>
    </x:row>
    <x:row r="1310">
      <x:c r="A1310" t="str">
        <x:v>Nuatepra</x:v>
      </x:c>
      <x:c r="B1310" t="str">
        <x:v>Nuatepra</x:v>
      </x:c>
      <x:c r="C1310" t="str">
        <x:v>Aclais, ocked</x:v>
      </x:c>
      <x:c r="D1310" t="n">
        <x:v>22</x:v>
      </x:c>
      <x:c r="E1310" t="str">
        <x:v>Advanced</x:v>
      </x:c>
      <x:c r="F1310" t="str">
        <x:v>Kaizo</x:v>
      </x:c>
      <x:c r="G1310" t="n">
        <x:v>45399</x:v>
      </x:c>
      <x:c r="H1310" t="str">
        <x:v>37634</x:v>
      </x:c>
      <x:c r="I1310" t="str">
        <x:v>https://www.smwcentral.net/?a=details&amp;id=37634&amp;p=section</x:v>
      </x:c>
      <x:c r="J1310" t="str">
        <x:v>https://dl.smwcentral.net/37634/Nuatepra.zip</x:v>
      </x:c>
    </x:row>
    <x:row r="1311">
      <x:c r="A1311" t="str">
        <x:v>O Ninja Negro</x:v>
      </x:c>
      <x:c r="B1311" t="str">
        <x:v>O Ninja Negro</x:v>
      </x:c>
      <x:c r="C1311" t="str">
        <x:v>darken</x:v>
      </x:c>
      <x:c r="D1311" t="n">
        <x:v>39</x:v>
      </x:c>
      <x:c r="E1311" t="str">
        <x:v>Advanced</x:v>
      </x:c>
      <x:c r="F1311" t="str">
        <x:v>Standard</x:v>
      </x:c>
      <x:c r="G1311" t="n">
        <x:v>42671</x:v>
      </x:c>
      <x:c r="H1311" t="str">
        <x:v>14556</x:v>
      </x:c>
      <x:c r="I1311" t="str">
        <x:v>https://www.smwcentral.net/?a=details&amp;id=14556&amp;p=section</x:v>
      </x:c>
      <x:c r="J1311" t="str">
        <x:v>https://dl.smwcentral.net/14556/ONN.zip</x:v>
      </x:c>
    </x:row>
    <x:row r="1312">
      <x:c r="A1312" t="str">
        <x:v>O'Ghim!</x:v>
      </x:c>
      <x:c r="B1312" t="str">
        <x:v>O'Ghim!</x:v>
      </x:c>
      <x:c r="C1312" t="str">
        <x:v>microwave_brothr</x:v>
      </x:c>
      <x:c r="D1312" t="n">
        <x:v>28</x:v>
      </x:c>
      <x:c r="E1312" t="str">
        <x:v>Expert</x:v>
      </x:c>
      <x:c r="F1312" t="str">
        <x:v>Kaizo</x:v>
      </x:c>
      <x:c r="G1312" t="n">
        <x:v>44425</x:v>
      </x:c>
      <x:c r="H1312" t="str">
        <x:v>27992</x:v>
      </x:c>
      <x:c r="I1312" t="str">
        <x:v>https://www.smwcentral.net/?a=details&amp;id=27992&amp;p=section</x:v>
      </x:c>
      <x:c r="J1312" t="str">
        <x:v>https://dl.smwcentral.net/27992/GhimUpdate.zip</x:v>
      </x:c>
    </x:row>
    <x:row r="1313">
      <x:c r="A1313" t="str">
        <x:v>O'Ghim!: Scholar Of The First Ghim</x:v>
      </x:c>
      <x:c r="B1313" t="str">
        <x:v>O'Ghim!: Scholar Of The First Ghim</x:v>
      </x:c>
      <x:c r="C1313" t="str">
        <x:v>microwave_brothr</x:v>
      </x:c>
      <x:c r="D1313" t="n">
        <x:v>28</x:v>
      </x:c>
      <x:c r="E1313" t="str">
        <x:v>Expert</x:v>
      </x:c>
      <x:c r="F1313" t="str">
        <x:v>Kaizo</x:v>
      </x:c>
      <x:c r="G1313" t="n">
        <x:v>44964</x:v>
      </x:c>
      <x:c r="H1313" t="str">
        <x:v>33041</x:v>
      </x:c>
      <x:c r="I1313" t="str">
        <x:v>https://www.smwcentral.net/?a=details&amp;id=33041&amp;p=section</x:v>
      </x:c>
      <x:c r="J1313" t="str">
        <x:v>https://dl.smwcentral.net/33041/Ghim-Scholar.zip</x:v>
      </x:c>
    </x:row>
    <x:row r="1314">
      <x:c r="A1314" t="str">
        <x:v>Oblivion</x:v>
      </x:c>
      <x:c r="B1314" t="str">
        <x:v>Oblivion</x:v>
      </x:c>
      <x:c r="C1314" t="str">
        <x:v>Bruno_Peixoto</x:v>
      </x:c>
      <x:c r="D1314" t="n">
        <x:v>15</x:v>
      </x:c>
      <x:c r="E1314" t="str">
        <x:v>Expert</x:v>
      </x:c>
      <x:c r="F1314" t="str">
        <x:v>Kaizo</x:v>
      </x:c>
      <x:c r="G1314" t="n">
        <x:v>46173</x:v>
      </x:c>
      <x:c r="H1314" t="str">
        <x:v>42411</x:v>
      </x:c>
      <x:c r="I1314" t="str">
        <x:v>https://www.smwcentral.net/?a=details&amp;id=42411&amp;p=section</x:v>
      </x:c>
      <x:c r="J1314" t="str">
        <x:v>https://dl.smwcentral.net/42411/Oblivion.zip</x:v>
      </x:c>
    </x:row>
    <x:row r="1315">
      <x:c r="A1315" t="str">
        <x:v>Obscure</x:v>
      </x:c>
      <x:c r="B1315" t="str">
        <x:v>Obscure</x:v>
      </x:c>
      <x:c r="C1315" t="str">
        <x:v>Easy Difficulty</x:v>
      </x:c>
      <x:c r="D1315" t="n">
        <x:v>26</x:v>
      </x:c>
      <x:c r="E1315" t="str">
        <x:v>Advanced</x:v>
      </x:c>
      <x:c r="F1315" t="str">
        <x:v>Standard, Kaizo</x:v>
      </x:c>
      <x:c r="G1315" t="n">
        <x:v>44595</x:v>
      </x:c>
      <x:c r="H1315" t="str">
        <x:v>29614</x:v>
      </x:c>
      <x:c r="I1315" t="str">
        <x:v>https://www.smwcentral.net/?a=details&amp;id=29614&amp;p=section</x:v>
      </x:c>
      <x:c r="J1315" t="str">
        <x:v>https://dl.smwcentral.net/29614/Obscure.zip</x:v>
      </x:c>
    </x:row>
    <x:row r="1316">
      <x:c r="A1316" t="str">
        <x:v>Obstinate</x:v>
      </x:c>
      <x:c r="B1316" t="str">
        <x:v>Obstinate</x:v>
      </x:c>
      <x:c r="C1316" t="str">
        <x:v>drkrdnk</x:v>
      </x:c>
      <x:c r="D1316" t="n">
        <x:v>14</x:v>
      </x:c>
      <x:c r="E1316" t="str">
        <x:v>Expert</x:v>
      </x:c>
      <x:c r="F1316" t="str">
        <x:v>Kaizo</x:v>
      </x:c>
      <x:c r="G1316" t="n">
        <x:v>46017</x:v>
      </x:c>
      <x:c r="H1316" t="str">
        <x:v>41331</x:v>
      </x:c>
      <x:c r="I1316" t="str">
        <x:v>https://www.smwcentral.net/?a=details&amp;id=41331&amp;p=section</x:v>
      </x:c>
      <x:c r="J1316" t="str">
        <x:v>https://dl.smwcentral.net/41331/obstinate%20v1.0.zip</x:v>
      </x:c>
    </x:row>
    <x:row r="1317">
      <x:c r="A1317" t="str">
        <x:v>Octopus</x:v>
      </x:c>
      <x:c r="B1317" t="str">
        <x:v>Octopus</x:v>
      </x:c>
      <x:c r="C1317" t="str">
        <x:v>Joosh</x:v>
      </x:c>
      <x:c r="D1317" t="n">
        <x:v>7</x:v>
      </x:c>
      <x:c r="E1317" t="str">
        <x:v>Intermediate</x:v>
      </x:c>
      <x:c r="F1317" t="str">
        <x:v>Kaizo</x:v>
      </x:c>
      <x:c r="G1317" t="n">
        <x:v>45317</x:v>
      </x:c>
      <x:c r="H1317" t="str">
        <x:v>36658</x:v>
      </x:c>
      <x:c r="I1317" t="str">
        <x:v>https://www.smwcentral.net/?a=details&amp;id=36658&amp;p=section</x:v>
      </x:c>
      <x:c r="J1317" t="str">
        <x:v>https://dl.smwcentral.net/36658/Octopus_v3.zip</x:v>
      </x:c>
    </x:row>
    <x:row r="1318">
      <x:c r="A1318" t="str">
        <x:v>Odd Master Mario</x:v>
      </x:c>
      <x:c r="B1318" t="str">
        <x:v>Odd Master Mario</x:v>
      </x:c>
      <x:c r="C1318" t="str">
        <x:v>Youmu Konpaku</x:v>
      </x:c>
      <x:c r="D1318" t="n">
        <x:v>6</x:v>
      </x:c>
      <x:c r="E1318" t="str">
        <x:v>Newcomer</x:v>
      </x:c>
      <x:c r="F1318" t="str">
        <x:v>Standard</x:v>
      </x:c>
      <x:c r="G1318" t="n">
        <x:v>41461</x:v>
      </x:c>
      <x:c r="H1318" t="str">
        <x:v>5060</x:v>
      </x:c>
      <x:c r="I1318" t="str">
        <x:v>https://www.smwcentral.net/?a=details&amp;id=5060&amp;p=section</x:v>
      </x:c>
      <x:c r="J1318" t="str">
        <x:v>https://dl.smwcentral.net/5060/OMM%20with%20overworld%201.zip</x:v>
      </x:c>
    </x:row>
    <x:row r="1319">
      <x:c r="A1319" t="str">
        <x:v>Odd Sands</x:v>
      </x:c>
      <x:c r="B1319" t="str">
        <x:v>Odd Sands</x:v>
      </x:c>
      <x:c r="C1319" t="str">
        <x:v>GbreezeSunset, Lazy, MiracleWater</x:v>
      </x:c>
      <x:c r="D1319" t="n">
        <x:v>28</x:v>
      </x:c>
      <x:c r="E1319" t="str">
        <x:v>Master</x:v>
      </x:c>
      <x:c r="F1319" t="str">
        <x:v>Kaizo</x:v>
      </x:c>
      <x:c r="G1319" t="n">
        <x:v>45202</x:v>
      </x:c>
      <x:c r="H1319" t="str">
        <x:v>35139</x:v>
      </x:c>
      <x:c r="I1319" t="str">
        <x:v>https://www.smwcentral.net/?a=details&amp;id=35139&amp;p=section</x:v>
      </x:c>
      <x:c r="J1319" t="str">
        <x:v>https://dl.smwcentral.net/35139/Odd%20Sands.zip</x:v>
      </x:c>
    </x:row>
    <x:row r="1320">
      <x:c r="A1320" t="str">
        <x:v>Ode To The Original Sin</x:v>
      </x:c>
      <x:c r="B1320" t="str">
        <x:v>Ode To The Original Sin</x:v>
      </x:c>
      <x:c r="C1320" t="str">
        <x:v>Kaizo Literature Club, Selicre</x:v>
      </x:c>
      <x:c r="D1320" t="n">
        <x:v>26</x:v>
      </x:c>
      <x:c r="E1320" t="str">
        <x:v>Master</x:v>
      </x:c>
      <x:c r="F1320" t="str">
        <x:v>Kaizo</x:v>
      </x:c>
      <x:c r="G1320" t="n">
        <x:v>45654</x:v>
      </x:c>
      <x:c r="H1320" t="str">
        <x:v>38848</x:v>
      </x:c>
      <x:c r="I1320" t="str">
        <x:v>https://www.smwcentral.net/?a=details&amp;id=38848&amp;p=section</x:v>
      </x:c>
      <x:c r="J1320" t="str">
        <x:v>https://dl.smwcentral.net/38848/OdeToTheOriginalSin.zip</x:v>
      </x:c>
    </x:row>
    <x:row r="1321">
      <x:c r="A1321" t="str">
        <x:v>Of Heavy Riffs and Awesome Basslines</x:v>
      </x:c>
      <x:c r="B1321" t="str">
        <x:v>Of Heavy Riffs and Awesome Basslines</x:v>
      </x:c>
      <x:c r="C1321" t="str">
        <x:v>grisu</x:v>
      </x:c>
      <x:c r="D1321" t="n">
        <x:v>6</x:v>
      </x:c>
      <x:c r="E1321" t="str">
        <x:v>Intermediate</x:v>
      </x:c>
      <x:c r="F1321" t="str">
        <x:v>Kaizo</x:v>
      </x:c>
      <x:c r="G1321" t="n">
        <x:v>44426</x:v>
      </x:c>
      <x:c r="H1321" t="str">
        <x:v>28027</x:v>
      </x:c>
      <x:c r="I1321" t="str">
        <x:v>https://www.smwcentral.net/?a=details&amp;id=28027&amp;p=section</x:v>
      </x:c>
      <x:c r="J1321" t="str">
        <x:v>https://dl.smwcentral.net/28027/Of%20Heavy%20Riffs%20and%20Awesome%20Basslines.zip</x:v>
      </x:c>
    </x:row>
    <x:row r="1322">
      <x:c r="A1322" t="str">
        <x:v>Of Jumps and Platforms</x:v>
      </x:c>
      <x:c r="B1322" t="str">
        <x:v>Of Jumps and Platforms</x:v>
      </x:c>
      <x:c r="C1322" t="str">
        <x:v>Darolac</x:v>
      </x:c>
      <x:c r="D1322" t="n">
        <x:v>7</x:v>
      </x:c>
      <x:c r="E1322" t="str">
        <x:v>Intermediate</x:v>
      </x:c>
      <x:c r="F1322" t="str">
        <x:v>Standard</x:v>
      </x:c>
      <x:c r="G1322" t="n">
        <x:v>44025</x:v>
      </x:c>
      <x:c r="H1322" t="str">
        <x:v>23814</x:v>
      </x:c>
      <x:c r="I1322" t="str">
        <x:v>https://www.smwcentral.net/?a=details&amp;id=23814&amp;p=section</x:v>
      </x:c>
      <x:c r="J1322" t="str">
        <x:v>https://dl.smwcentral.net/23814/Of_Jumps_and_Platforms.zip</x:v>
      </x:c>
    </x:row>
    <x:row r="1323">
      <x:c r="A1323" t="str">
        <x:v>Of Precision &amp; Style</x:v>
      </x:c>
      <x:c r="B1323" t="str">
        <x:v>Of Precision &amp; Style</x:v>
      </x:c>
      <x:c r="C1323" t="str">
        <x:v>GRIMMKIN</x:v>
      </x:c>
      <x:c r="D1323" t="n">
        <x:v>3</x:v>
      </x:c>
      <x:c r="E1323" t="str">
        <x:v>Master</x:v>
      </x:c>
      <x:c r="F1323" t="str">
        <x:v>Kaizo</x:v>
      </x:c>
      <x:c r="G1323" t="n">
        <x:v>44673</x:v>
      </x:c>
      <x:c r="H1323" t="str">
        <x:v>30560</x:v>
      </x:c>
      <x:c r="I1323" t="str">
        <x:v>https://www.smwcentral.net/?a=details&amp;id=30560&amp;p=section</x:v>
      </x:c>
      <x:c r="J1323" t="str">
        <x:v>https://dl.smwcentral.net/30560/Of%20Style%20and%20Precision.zip</x:v>
      </x:c>
    </x:row>
    <x:row r="1324">
      <x:c r="A1324" t="str">
        <x:v>OK Mario</x:v>
      </x:c>
      <x:c r="B1324" t="str">
        <x:v>OK Mario</x:v>
      </x:c>
      <x:c r="C1324" t="str">
        <x:v>FiveFactor</x:v>
      </x:c>
      <x:c r="D1324" t="n">
        <x:v>15</x:v>
      </x:c>
      <x:c r="E1324" t="str">
        <x:v>Advanced</x:v>
      </x:c>
      <x:c r="F1324" t="str">
        <x:v>Kaizo</x:v>
      </x:c>
      <x:c r="G1324" t="n">
        <x:v>45424</x:v>
      </x:c>
      <x:c r="H1324" t="str">
        <x:v>37764</x:v>
      </x:c>
      <x:c r="I1324" t="str">
        <x:v>https://www.smwcentral.net/?a=details&amp;id=37764&amp;p=section</x:v>
      </x:c>
      <x:c r="J1324" t="str">
        <x:v>https://dl.smwcentral.net/37764/OKMario_1.2.zip</x:v>
      </x:c>
    </x:row>
    <x:row r="1325">
      <x:c r="A1325" t="str">
        <x:v>Olafs Shell Adventure</x:v>
      </x:c>
      <x:c r="B1325" t="str">
        <x:v>Olafs Shell Adventure</x:v>
      </x:c>
      <x:c r="C1325" t="str">
        <x:v>Justepic</x:v>
      </x:c>
      <x:c r="D1325" t="n">
        <x:v>16</x:v>
      </x:c>
      <x:c r="E1325" t="str">
        <x:v>Master</x:v>
      </x:c>
      <x:c r="F1325" t="str">
        <x:v>Kaizo</x:v>
      </x:c>
      <x:c r="G1325" t="n">
        <x:v>45740</x:v>
      </x:c>
      <x:c r="H1325" t="str">
        <x:v>39508</x:v>
      </x:c>
      <x:c r="I1325" t="str">
        <x:v>https://www.smwcentral.net/?a=details&amp;id=39508&amp;p=section</x:v>
      </x:c>
      <x:c r="J1325" t="str">
        <x:v>https://dl.smwcentral.net/39508/Olafs%20Shell%20Adventure.zip</x:v>
      </x:c>
    </x:row>
    <x:row r="1326">
      <x:c r="A1326" t="str">
        <x:v>Old Marine World</x:v>
      </x:c>
      <x:c r="B1326" t="str">
        <x:v>Old Marine World</x:v>
      </x:c>
      <x:c r="C1326" t="str">
        <x:v>MarioFan1337</x:v>
      </x:c>
      <x:c r="D1326" t="n">
        <x:v>6</x:v>
      </x:c>
      <x:c r="E1326" t="str">
        <x:v>Advanced</x:v>
      </x:c>
      <x:c r="F1326" t="str">
        <x:v>Kaizo</x:v>
      </x:c>
      <x:c r="G1326" t="n">
        <x:v>45468</x:v>
      </x:c>
      <x:c r="H1326" t="str">
        <x:v>37912</x:v>
      </x:c>
      <x:c r="I1326" t="str">
        <x:v>https://www.smwcentral.net/?a=details&amp;id=37912&amp;p=section</x:v>
      </x:c>
      <x:c r="J1326" t="str">
        <x:v>https://dl.smwcentral.net/37912/Old%20Marine%20World.zip</x:v>
      </x:c>
    </x:row>
    <x:row r="1327">
      <x:c r="A1327" t="str">
        <x:v>On The Edge</x:v>
      </x:c>
      <x:c r="B1327" t="str">
        <x:v>On The Edge</x:v>
      </x:c>
      <x:c r="C1327" t="str">
        <x:v>naBerada</x:v>
      </x:c>
      <x:c r="D1327" t="n">
        <x:v>8</x:v>
      </x:c>
      <x:c r="E1327" t="str">
        <x:v>Master</x:v>
      </x:c>
      <x:c r="F1327" t="str">
        <x:v>Kaizo</x:v>
      </x:c>
      <x:c r="G1327" t="n">
        <x:v>46117</x:v>
      </x:c>
      <x:c r="H1327" t="str">
        <x:v>42110</x:v>
      </x:c>
      <x:c r="I1327" t="str">
        <x:v>https://www.smwcentral.net/?a=details&amp;id=42110&amp;p=section</x:v>
      </x:c>
      <x:c r="J1327" t="str">
        <x:v>https://dl.smwcentral.net/42110/OnTheEdge.zip</x:v>
      </x:c>
    </x:row>
    <x:row r="1328">
      <x:c r="A1328" t="str">
        <x:v>Once Again</x:v>
      </x:c>
      <x:c r="B1328" t="str">
        <x:v>Once Again</x:v>
      </x:c>
      <x:c r="C1328" t="str">
        <x:v>Daffoxy</x:v>
      </x:c>
      <x:c r="D1328" t="n">
        <x:v>14</x:v>
      </x:c>
      <x:c r="E1328" t="str">
        <x:v>Advanced</x:v>
      </x:c>
      <x:c r="F1328" t="str">
        <x:v>Kaizo</x:v>
      </x:c>
      <x:c r="G1328" t="n">
        <x:v>45336</x:v>
      </x:c>
      <x:c r="H1328" t="str">
        <x:v>36841</x:v>
      </x:c>
      <x:c r="I1328" t="str">
        <x:v>https://www.smwcentral.net/?a=details&amp;id=36841&amp;p=section</x:v>
      </x:c>
      <x:c r="J1328" t="str">
        <x:v>https://dl.smwcentral.net/36841/OnceAgain_1.1.zip</x:v>
      </x:c>
    </x:row>
    <x:row r="1329">
      <x:c r="A1329" t="str">
        <x:v>ONE</x:v>
      </x:c>
      <x:c r="B1329" t="str">
        <x:v>ONE</x:v>
      </x:c>
      <x:c r="C1329" t="str">
        <x:v>Jordan</x:v>
      </x:c>
      <x:c r="D1329" t="n">
        <x:v>14</x:v>
      </x:c>
      <x:c r="E1329" t="str">
        <x:v>Advanced</x:v>
      </x:c>
      <x:c r="F1329" t="str">
        <x:v>Kaizo</x:v>
      </x:c>
      <x:c r="G1329" t="n">
        <x:v>45885</x:v>
      </x:c>
      <x:c r="H1329" t="str">
        <x:v>40252</x:v>
      </x:c>
      <x:c r="I1329" t="str">
        <x:v>https://www.smwcentral.net/?a=details&amp;id=40252&amp;p=section</x:v>
      </x:c>
      <x:c r="J1329" t="str">
        <x:v>https://dl.smwcentral.net/40252/ONE.zip</x:v>
      </x:c>
    </x:row>
    <x:row r="1330">
      <x:c r="A1330" t="str">
        <x:v>One Day The Sadness Will End</x:v>
      </x:c>
      <x:c r="B1330" t="str">
        <x:v>One Day The Sadness Will End</x:v>
      </x:c>
      <x:c r="C1330" t="str">
        <x:v>JUMP Team, Kevin, Koopster</x:v>
      </x:c>
      <x:c r="D1330" t="n">
        <x:v>10</x:v>
      </x:c>
      <x:c r="E1330" t="str">
        <x:v>Expert</x:v>
      </x:c>
      <x:c r="F1330" t="str">
        <x:v>Standard</x:v>
      </x:c>
      <x:c r="G1330" t="n">
        <x:v>45687</x:v>
      </x:c>
      <x:c r="H1330" t="str">
        <x:v>39110</x:v>
      </x:c>
      <x:c r="I1330" t="str">
        <x:v>https://www.smwcentral.net/?a=details&amp;id=39110&amp;p=section</x:v>
      </x:c>
      <x:c r="J1330" t="str">
        <x:v>https://dl.smwcentral.net/39110/sadness.zip</x:v>
      </x:c>
    </x:row>
    <x:row r="1331">
      <x:c r="A1331" t="str">
        <x:v>One screen puzzle N°1</x:v>
      </x:c>
      <x:c r="B1331" t="str">
        <x:v>One screen puzzle N°1</x:v>
      </x:c>
      <x:c r="C1331" t="str">
        <x:v>SwagDePaul</x:v>
      </x:c>
      <x:c r="D1331" t="n">
        <x:v>1</x:v>
      </x:c>
      <x:c r="E1331" t="str">
        <x:v>Intermediate</x:v>
      </x:c>
      <x:c r="F1331" t="str">
        <x:v>Kaizo</x:v>
      </x:c>
      <x:c r="G1331" t="n">
        <x:v>43021</x:v>
      </x:c>
      <x:c r="H1331" t="str">
        <x:v>16348</x:v>
      </x:c>
      <x:c r="I1331" t="str">
        <x:v>https://www.smwcentral.net/?a=details&amp;id=16348&amp;p=section</x:v>
      </x:c>
      <x:c r="J1331" t="str">
        <x:v>https://dl.smwcentral.net/16348/One%20screen%20puzzle%201.zip</x:v>
      </x:c>
    </x:row>
    <x:row r="1332">
      <x:c r="A1332" t="str">
        <x:v>Onegai My Melody - Detour Land Conquest</x:v>
      </x:c>
      <x:c r="B1332" t="str">
        <x:v>Onegai My Melody - Detour Land Conquest</x:v>
      </x:c>
      <x:c r="C1332" t="str">
        <x:v>Big Brawler</x:v>
      </x:c>
      <x:c r="D1332" t="n">
        <x:v>46</x:v>
      </x:c>
      <x:c r="E1332" t="str">
        <x:v>Intermediate</x:v>
      </x:c>
      <x:c r="F1332" t="str">
        <x:v>Standard</x:v>
      </x:c>
      <x:c r="G1332" t="n">
        <x:v>45649</x:v>
      </x:c>
      <x:c r="H1332" t="str">
        <x:v>38931</x:v>
      </x:c>
      <x:c r="I1332" t="str">
        <x:v>https://www.smwcentral.net/?a=details&amp;id=38931&amp;p=section</x:v>
      </x:c>
      <x:c r="J1332" t="str">
        <x:v>https://dl.smwcentral.net/38931/Onegai%20My%20Melody%20-%20Detour%20Land%20Conquest%20v1.1.zip</x:v>
      </x:c>
    </x:row>
    <x:row r="1333">
      <x:c r="A1333" t="str">
        <x:v>Onegai My Melody - My Melody Adventure</x:v>
      </x:c>
      <x:c r="B1333" t="str">
        <x:v>Onegai My Melody - My Melody Adventure</x:v>
      </x:c>
      <x:c r="C1333" t="str">
        <x:v>Big Brawler</x:v>
      </x:c>
      <x:c r="D1333" t="n">
        <x:v>92</x:v>
      </x:c>
      <x:c r="E1333" t="str">
        <x:v>Intermediate</x:v>
      </x:c>
      <x:c r="F1333" t="str">
        <x:v>Standard</x:v>
      </x:c>
      <x:c r="G1333" t="n">
        <x:v>45417</x:v>
      </x:c>
      <x:c r="H1333" t="str">
        <x:v>37004</x:v>
      </x:c>
      <x:c r="I1333" t="str">
        <x:v>https://www.smwcentral.net/?a=details&amp;id=37004&amp;p=section</x:v>
      </x:c>
      <x:c r="J1333" t="str">
        <x:v>https://dl.smwcentral.net/37004/Onegai%20My%20Melody%20Adventure%20v1.1.zip</x:v>
      </x:c>
    </x:row>
    <x:row r="1334">
      <x:c r="A1334" t="str">
        <x:v>ONLY UP</x:v>
      </x:c>
      <x:c r="B1334" t="str">
        <x:v>ONLY UP</x:v>
      </x:c>
      <x:c r="C1334" t="str">
        <x:v>magianegra21</x:v>
      </x:c>
      <x:c r="D1334" t="n">
        <x:v>1</x:v>
      </x:c>
      <x:c r="E1334" t="str">
        <x:v>Intermediate</x:v>
      </x:c>
      <x:c r="F1334" t="str">
        <x:v>Standard</x:v>
      </x:c>
      <x:c r="G1334" t="n">
        <x:v>45146</x:v>
      </x:c>
      <x:c r="H1334" t="str">
        <x:v>34773</x:v>
      </x:c>
      <x:c r="I1334" t="str">
        <x:v>https://www.smwcentral.net/?a=details&amp;id=34773&amp;p=section</x:v>
      </x:c>
      <x:c r="J1334" t="str">
        <x:v>https://dl.smwcentral.net/34773/only%20up.zip</x:v>
      </x:c>
    </x:row>
    <x:row r="1335">
      <x:c r="A1335" t="str">
        <x:v>Oogtar's Quest</x:v>
      </x:c>
      <x:c r="B1335" t="str">
        <x:v>Oogtar's Quest</x:v>
      </x:c>
      <x:c r="C1335" t="str">
        <x:v>Pseudogon</x:v>
      </x:c>
      <x:c r="D1335" t="n">
        <x:v>18</x:v>
      </x:c>
      <x:c r="E1335" t="str">
        <x:v>Newcomer</x:v>
      </x:c>
      <x:c r="F1335" t="str">
        <x:v>Standard</x:v>
      </x:c>
      <x:c r="G1335" t="n">
        <x:v>42381</x:v>
      </x:c>
      <x:c r="H1335" t="str">
        <x:v>13051</x:v>
      </x:c>
      <x:c r="I1335" t="str">
        <x:v>https://www.smwcentral.net/?a=details&amp;id=13051&amp;p=section</x:v>
      </x:c>
      <x:c r="J1335" t="str">
        <x:v>https://dl.smwcentral.net/13051/Oogtar%27s_Quest.zip</x:v>
      </x:c>
    </x:row>
    <x:row r="1336">
      <x:c r="A1336" t="str">
        <x:v>ooooo</x:v>
      </x:c>
      <x:c r="B1336" t="str">
        <x:v>ooooo</x:v>
      </x:c>
      <x:c r="C1336" t="str">
        <x:v>JUMP Team, Kevin</x:v>
      </x:c>
      <x:c r="D1336" t="n">
        <x:v>82</x:v>
      </x:c>
      <x:c r="E1336" t="str">
        <x:v>Master</x:v>
      </x:c>
      <x:c r="F1336" t="str">
        <x:v>Standard, Kaizo</x:v>
      </x:c>
      <x:c r="G1336" t="n">
        <x:v>45403</x:v>
      </x:c>
      <x:c r="H1336" t="str">
        <x:v>37470</x:v>
      </x:c>
      <x:c r="I1336" t="str">
        <x:v>https://www.smwcentral.net/?a=details&amp;id=37470&amp;p=section</x:v>
      </x:c>
      <x:c r="J1336" t="str">
        <x:v>https://dl.smwcentral.net/37470/ooooo.zip</x:v>
      </x:c>
    </x:row>
    <x:row r="1337">
      <x:c r="A1337" t="str">
        <x:v>Oops all keys</x:v>
      </x:c>
      <x:c r="B1337" t="str">
        <x:v>Oops all keys</x:v>
      </x:c>
      <x:c r="C1337" t="str">
        <x:v>Volpey</x:v>
      </x:c>
      <x:c r="D1337" t="n">
        <x:v>4</x:v>
      </x:c>
      <x:c r="E1337" t="str">
        <x:v>Master</x:v>
      </x:c>
      <x:c r="F1337" t="str">
        <x:v>Kaizo</x:v>
      </x:c>
      <x:c r="G1337" t="n">
        <x:v>43426</x:v>
      </x:c>
      <x:c r="H1337" t="str">
        <x:v>18376</x:v>
      </x:c>
      <x:c r="I1337" t="str">
        <x:v>https://www.smwcentral.net/?a=details&amp;id=18376&amp;p=section</x:v>
      </x:c>
      <x:c r="J1337" t="str">
        <x:v>https://dl.smwcentral.net/18376/Oops%20all%20keys.zip</x:v>
      </x:c>
    </x:row>
    <x:row r="1338">
      <x:c r="A1338" t="str">
        <x:v>Oops! All Fortresses</x:v>
      </x:c>
      <x:c r="B1338" t="str">
        <x:v>Oops! All Fortresses</x:v>
      </x:c>
      <x:c r="C1338" t="str">
        <x:v>MarsAmPear</x:v>
      </x:c>
      <x:c r="D1338" t="n">
        <x:v>5</x:v>
      </x:c>
      <x:c r="E1338" t="str">
        <x:v>Casual</x:v>
      </x:c>
      <x:c r="F1338" t="str">
        <x:v>Kaizo</x:v>
      </x:c>
      <x:c r="G1338" t="n">
        <x:v>45060</x:v>
      </x:c>
      <x:c r="H1338" t="str">
        <x:v>33927</x:v>
      </x:c>
      <x:c r="I1338" t="str">
        <x:v>https://www.smwcentral.net/?a=details&amp;id=33927&amp;p=section</x:v>
      </x:c>
      <x:c r="J1338" t="str">
        <x:v>https://dl.smwcentral.net/33927/Oops%21%20All%20Fortresses.zip</x:v>
      </x:c>
    </x:row>
    <x:row r="1339">
      <x:c r="A1339" t="str">
        <x:v>Oops, All Grasslands</x:v>
      </x:c>
      <x:c r="B1339" t="str">
        <x:v>Oops, All Grasslands</x:v>
      </x:c>
      <x:c r="C1339" t="str">
        <x:v>LouisDoucet</x:v>
      </x:c>
      <x:c r="D1339" t="n">
        <x:v>8</x:v>
      </x:c>
      <x:c r="E1339" t="str">
        <x:v>Grandmaster</x:v>
      </x:c>
      <x:c r="F1339" t="str">
        <x:v>Kaizo</x:v>
      </x:c>
      <x:c r="G1339" t="n">
        <x:v>44466</x:v>
      </x:c>
      <x:c r="H1339" t="str">
        <x:v>28356</x:v>
      </x:c>
      <x:c r="I1339" t="str">
        <x:v>https://www.smwcentral.net/?a=details&amp;id=28356&amp;p=section</x:v>
      </x:c>
      <x:c r="J1339" t="str">
        <x:v>https://dl.smwcentral.net/28356/Oops%2C%20All%20Grasslands.zip</x:v>
      </x:c>
    </x:row>
    <x:row r="1340">
      <x:c r="A1340" t="str">
        <x:v>Oops,Trials Mario</x:v>
      </x:c>
      <x:c r="B1340" t="str">
        <x:v>Oops,Trials Mario</x:v>
      </x:c>
      <x:c r="C1340" t="str">
        <x:v>Anonymous</x:v>
      </x:c>
      <x:c r="D1340" t="n">
        <x:v>7</x:v>
      </x:c>
      <x:c r="E1340" t="str">
        <x:v>Advanced</x:v>
      </x:c>
      <x:c r="F1340" t="str">
        <x:v>Kaizo</x:v>
      </x:c>
      <x:c r="G1340" t="n">
        <x:v>45779</x:v>
      </x:c>
      <x:c r="H1340" t="str">
        <x:v>39798</x:v>
      </x:c>
      <x:c r="I1340" t="str">
        <x:v>https://www.smwcentral.net/?a=details&amp;id=39798&amp;p=section</x:v>
      </x:c>
      <x:c r="J1340" t="str">
        <x:v>https://dl.smwcentral.net/39798/Oops%2CTrials%20Mario.zip</x:v>
      </x:c>
    </x:row>
    <x:row r="1341">
      <x:c r="A1341" t="str">
        <x:v>Oozitgarn</x:v>
      </x:c>
      <x:c r="B1341" t="str">
        <x:v>Oozitgarn</x:v>
      </x:c>
      <x:c r="C1341" t="str">
        <x:v>Kamikaizo</x:v>
      </x:c>
      <x:c r="D1341" t="n">
        <x:v>7</x:v>
      </x:c>
      <x:c r="E1341" t="str">
        <x:v>Master</x:v>
      </x:c>
      <x:c r="F1341" t="str">
        <x:v>Kaizo</x:v>
      </x:c>
      <x:c r="G1341" t="n">
        <x:v>45135</x:v>
      </x:c>
      <x:c r="H1341" t="str">
        <x:v>34381</x:v>
      </x:c>
      <x:c r="I1341" t="str">
        <x:v>https://www.smwcentral.net/?a=details&amp;id=34381&amp;p=section</x:v>
      </x:c>
      <x:c r="J1341" t="str">
        <x:v>https://dl.smwcentral.net/34381/Oozitgarn%20v1.0.zip</x:v>
      </x:c>
    </x:row>
    <x:row r="1342">
      <x:c r="A1342" t="str">
        <x:v>Orcus</x:v>
      </x:c>
      <x:c r="B1342" t="str">
        <x:v>Orcus</x:v>
      </x:c>
      <x:c r="C1342" t="str">
        <x:v>Jordan</x:v>
      </x:c>
      <x:c r="D1342" t="n">
        <x:v>25</x:v>
      </x:c>
      <x:c r="E1342" t="str">
        <x:v>Advanced</x:v>
      </x:c>
      <x:c r="F1342" t="str">
        <x:v>Kaizo</x:v>
      </x:c>
      <x:c r="G1342" t="n">
        <x:v>44400</x:v>
      </x:c>
      <x:c r="H1342" t="str">
        <x:v>27800</x:v>
      </x:c>
      <x:c r="I1342" t="str">
        <x:v>https://www.smwcentral.net/?a=details&amp;id=27800&amp;p=section</x:v>
      </x:c>
      <x:c r="J1342" t="str">
        <x:v>https://dl.smwcentral.net/27800/Orcus%20v1.1.zip</x:v>
      </x:c>
    </x:row>
    <x:row r="1343">
      <x:c r="A1343" t="str">
        <x:v>Our Wonderful Planet</x:v>
      </x:c>
      <x:c r="B1343" t="str">
        <x:v>Our Wonderful Planet</x:v>
      </x:c>
      <x:c r="C1343" t="str">
        <x:v>ChrisTheAussie</x:v>
      </x:c>
      <x:c r="D1343" t="n">
        <x:v>15</x:v>
      </x:c>
      <x:c r="E1343" t="str">
        <x:v>Advanced</x:v>
      </x:c>
      <x:c r="F1343" t="str">
        <x:v>Kaizo</x:v>
      </x:c>
      <x:c r="G1343" t="n">
        <x:v>44417</x:v>
      </x:c>
      <x:c r="H1343" t="str">
        <x:v>27912</x:v>
      </x:c>
      <x:c r="I1343" t="str">
        <x:v>https://www.smwcentral.net/?a=details&amp;id=27912&amp;p=section</x:v>
      </x:c>
      <x:c r="J1343" t="str">
        <x:v>https://dl.smwcentral.net/27912/Our%20Wonderful%20Planet.zip</x:v>
      </x:c>
    </x:row>
    <x:row r="1344">
      <x:c r="A1344" t="str">
        <x:v>Out of Ideas!</x:v>
      </x:c>
      <x:c r="B1344" t="str">
        <x:v>Out of Ideas!</x:v>
      </x:c>
      <x:c r="C1344" t="str">
        <x:v>AmazingChest</x:v>
      </x:c>
      <x:c r="D1344" t="n">
        <x:v>4</x:v>
      </x:c>
      <x:c r="E1344" t="str">
        <x:v>Expert</x:v>
      </x:c>
      <x:c r="F1344" t="str">
        <x:v>Kaizo</x:v>
      </x:c>
      <x:c r="G1344" t="n">
        <x:v>44972</x:v>
      </x:c>
      <x:c r="H1344" t="str">
        <x:v>33078</x:v>
      </x:c>
      <x:c r="I1344" t="str">
        <x:v>https://www.smwcentral.net/?a=details&amp;id=33078&amp;p=section</x:v>
      </x:c>
      <x:c r="J1344" t="str">
        <x:v>https://dl.smwcentral.net/33078/out-of-ideas.zip</x:v>
      </x:c>
    </x:row>
    <x:row r="1345">
      <x:c r="A1345" t="str">
        <x:v>Outrageous Mario World</x:v>
      </x:c>
      <x:c r="B1345" t="str">
        <x:v>Outrageous Mario World</x:v>
      </x:c>
      <x:c r="C1345" t="str">
        <x:v>AnybodyAgrees</x:v>
      </x:c>
      <x:c r="D1345" t="n">
        <x:v>12</x:v>
      </x:c>
      <x:c r="E1345" t="str">
        <x:v>Casual</x:v>
      </x:c>
      <x:c r="F1345" t="str">
        <x:v>Standard</x:v>
      </x:c>
      <x:c r="G1345" t="n">
        <x:v>42314</x:v>
      </x:c>
      <x:c r="H1345" t="str">
        <x:v>10283</x:v>
      </x:c>
      <x:c r="I1345" t="str">
        <x:v>https://www.smwcentral.net/?a=details&amp;id=10283&amp;p=section</x:v>
      </x:c>
      <x:c r="J1345" t="str">
        <x:v>https://dl.smwcentral.net/10283/Outrageous%20Mario%20World%206_2.zip</x:v>
      </x:c>
    </x:row>
    <x:row r="1346">
      <x:c r="A1346" t="str">
        <x:v>OWLVABOX</x:v>
      </x:c>
      <x:c r="B1346" t="str">
        <x:v>OWLVABOX</x:v>
      </x:c>
      <x:c r="C1346" t="str">
        <x:v>Daizo Dee Von</x:v>
      </x:c>
      <x:c r="D1346" t="n">
        <x:v>1</x:v>
      </x:c>
      <x:c r="E1346" t="str">
        <x:v>Casual</x:v>
      </x:c>
      <x:c r="F1346" t="str">
        <x:v>Standard, Puzzle, Tool-Assisted</x:v>
      </x:c>
      <x:c r="G1346" t="n">
        <x:v>45512</x:v>
      </x:c>
      <x:c r="H1346" t="str">
        <x:v>37926</x:v>
      </x:c>
      <x:c r="I1346" t="str">
        <x:v>https://www.smwcentral.net/?a=details&amp;id=37926&amp;p=section</x:v>
      </x:c>
      <x:c r="J1346" t="str">
        <x:v>https://dl.smwcentral.net/37926/OWLVABOX.zip</x:v>
      </x:c>
    </x:row>
    <x:row r="1347">
      <x:c r="A1347" t="str">
        <x:v>Oxworm</x:v>
      </x:c>
      <x:c r="B1347" t="str">
        <x:v>Oxworm</x:v>
      </x:c>
      <x:c r="C1347" t="str">
        <x:v>H3nt4ik4m3n, Maw, Twiced_, neidoodle, ocked</x:v>
      </x:c>
      <x:c r="D1347" t="n">
        <x:v>16</x:v>
      </x:c>
      <x:c r="E1347" t="str">
        <x:v>Expert</x:v>
      </x:c>
      <x:c r="F1347" t="str">
        <x:v>Kaizo</x:v>
      </x:c>
      <x:c r="G1347" t="n">
        <x:v>45035</x:v>
      </x:c>
      <x:c r="H1347" t="str">
        <x:v>33774</x:v>
      </x:c>
      <x:c r="I1347" t="str">
        <x:v>https://www.smwcentral.net/?a=details&amp;id=33774&amp;p=section</x:v>
      </x:c>
      <x:c r="J1347" t="str">
        <x:v>https://dl.smwcentral.net/33774/Oxworm.zip</x:v>
      </x:c>
    </x:row>
    <x:row r="1348">
      <x:c r="A1348" t="str">
        <x:v>Oxworm 2</x:v>
      </x:c>
      <x:c r="B1348" t="str">
        <x:v>Oxworm 2</x:v>
      </x:c>
      <x:c r="C1348" t="str">
        <x:v>ocked, thefoxx87</x:v>
      </x:c>
      <x:c r="D1348" t="n">
        <x:v>29</x:v>
      </x:c>
      <x:c r="E1348" t="str">
        <x:v>Expert</x:v>
      </x:c>
      <x:c r="F1348" t="str">
        <x:v>Kaizo</x:v>
      </x:c>
      <x:c r="G1348" t="n">
        <x:v>46206</x:v>
      </x:c>
      <x:c r="H1348" t="str">
        <x:v>42588</x:v>
      </x:c>
      <x:c r="I1348" t="str">
        <x:v>https://www.smwcentral.net/?a=details&amp;id=42588&amp;p=section</x:v>
      </x:c>
      <x:c r="J1348" t="str">
        <x:v>https://dl.smwcentral.net/42588/Oxworm2.zip</x:v>
      </x:c>
    </x:row>
    <x:row r="1349">
      <x:c r="A1349" t="str">
        <x:v>P-switch... The Legendary P-switch Void</x:v>
      </x:c>
      <x:c r="B1349" t="str">
        <x:v>P-switch... The Legendary P-switch Void</x:v>
      </x:c>
      <x:c r="C1349" t="str">
        <x:v>Daizo Dee Von</x:v>
      </x:c>
      <x:c r="D1349" t="n">
        <x:v>5</x:v>
      </x:c>
      <x:c r="E1349" t="str">
        <x:v>Casual</x:v>
      </x:c>
      <x:c r="F1349" t="str">
        <x:v>Standard</x:v>
      </x:c>
      <x:c r="G1349" t="n">
        <x:v>41856</x:v>
      </x:c>
      <x:c r="H1349" t="str">
        <x:v>6969</x:v>
      </x:c>
      <x:c r="I1349" t="str">
        <x:v>https://www.smwcentral.net/?a=details&amp;id=6969&amp;p=section</x:v>
      </x:c>
      <x:c r="J1349" t="str">
        <x:v>https://dl.smwcentral.net/6969/pswitch_v2.0.zip</x:v>
      </x:c>
    </x:row>
    <x:row r="1350">
      <x:c r="A1350" t="str">
        <x:v>P.A.U.L. (2022 Polished Edition)</x:v>
      </x:c>
      <x:c r="B1350" t="str">
        <x:v>P.A.U.L. (2022 Polished Edition)</x:v>
      </x:c>
      <x:c r="C1350" t="str">
        <x:v>danwaleby</x:v>
      </x:c>
      <x:c r="D1350" t="n">
        <x:v>41</x:v>
      </x:c>
      <x:c r="E1350" t="str">
        <x:v>Intermediate</x:v>
      </x:c>
      <x:c r="F1350" t="str">
        <x:v>Standard</x:v>
      </x:c>
      <x:c r="G1350" t="n">
        <x:v>44863</x:v>
      </x:c>
      <x:c r="H1350" t="str">
        <x:v>32445</x:v>
      </x:c>
      <x:c r="I1350" t="str">
        <x:v>https://www.smwcentral.net/?a=details&amp;id=32445&amp;p=section</x:v>
      </x:c>
      <x:c r="J1350" t="str">
        <x:v>https://dl.smwcentral.net/32445/Paul%20Remastered.zip</x:v>
      </x:c>
    </x:row>
    <x:row r="1351">
      <x:c r="A1351" t="str">
        <x:v>P1JDS World</x:v>
      </x:c>
      <x:c r="B1351" t="str">
        <x:v>P1JDS World</x:v>
      </x:c>
      <x:c r="C1351" t="str">
        <x:v>RicardoDeMelo</x:v>
      </x:c>
      <x:c r="D1351" t="n">
        <x:v>11</x:v>
      </x:c>
      <x:c r="E1351" t="str">
        <x:v>Advanced</x:v>
      </x:c>
      <x:c r="F1351" t="str">
        <x:v>Kaizo</x:v>
      </x:c>
      <x:c r="G1351" t="n">
        <x:v>44708</x:v>
      </x:c>
      <x:c r="H1351" t="str">
        <x:v>30972</x:v>
      </x:c>
      <x:c r="I1351" t="str">
        <x:v>https://www.smwcentral.net/?a=details&amp;id=30972&amp;p=section</x:v>
      </x:c>
      <x:c r="J1351" t="str">
        <x:v>https://dl.smwcentral.net/30972/P1JDS%20World.zip</x:v>
      </x:c>
    </x:row>
    <x:row r="1352">
      <x:c r="A1352" t="str">
        <x:v>Pac's Hac Demo</x:v>
      </x:c>
      <x:c r="B1352" t="str">
        <x:v>Pac's Hac Demo</x:v>
      </x:c>
      <x:c r="C1352" t="str">
        <x:v>pacmanboss256</x:v>
      </x:c>
      <x:c r="D1352" t="n">
        <x:v>7</x:v>
      </x:c>
      <x:c r="E1352" t="str">
        <x:v>Master</x:v>
      </x:c>
      <x:c r="F1352" t="str">
        <x:v>Kaizo</x:v>
      </x:c>
      <x:c r="G1352" t="n">
        <x:v>45699</x:v>
      </x:c>
      <x:c r="H1352" t="str">
        <x:v>39183</x:v>
      </x:c>
      <x:c r="I1352" t="str">
        <x:v>https://www.smwcentral.net/?a=details&amp;id=39183&amp;p=section</x:v>
      </x:c>
      <x:c r="J1352" t="str">
        <x:v>https://dl.smwcentral.net/39183/pacshacagain.zip</x:v>
      </x:c>
    </x:row>
    <x:row r="1353">
      <x:c r="A1353" t="str">
        <x:v>Pactos</x:v>
      </x:c>
      <x:c r="B1353" t="str">
        <x:v>Pactos</x:v>
      </x:c>
      <x:c r="C1353" t="str">
        <x:v>Deivid Borba</x:v>
      </x:c>
      <x:c r="D1353" t="n">
        <x:v>2</x:v>
      </x:c>
      <x:c r="E1353" t="str">
        <x:v>Master</x:v>
      </x:c>
      <x:c r="F1353" t="str">
        <x:v>Kaizo</x:v>
      </x:c>
      <x:c r="G1353" t="n">
        <x:v>45740</x:v>
      </x:c>
      <x:c r="H1353" t="str">
        <x:v>39513</x:v>
      </x:c>
      <x:c r="I1353" t="str">
        <x:v>https://www.smwcentral.net/?a=details&amp;id=39513&amp;p=section</x:v>
      </x:c>
      <x:c r="J1353" t="str">
        <x:v>https://dl.smwcentral.net/39513/Pactos%20v1.0.zip</x:v>
      </x:c>
    </x:row>
    <x:row r="1354">
      <x:c r="A1354" t="str">
        <x:v>Pandarosa</x:v>
      </x:c>
      <x:c r="B1354" t="str">
        <x:v>Pandarosa</x:v>
      </x:c>
      <x:c r="C1354" t="str">
        <x:v>YouTibbles</x:v>
      </x:c>
      <x:c r="D1354" t="n">
        <x:v>14</x:v>
      </x:c>
      <x:c r="E1354" t="str">
        <x:v>Expert</x:v>
      </x:c>
      <x:c r="F1354" t="str">
        <x:v>Kaizo</x:v>
      </x:c>
      <x:c r="G1354" t="n">
        <x:v>45709</x:v>
      </x:c>
      <x:c r="H1354" t="str">
        <x:v>39148</x:v>
      </x:c>
      <x:c r="I1354" t="str">
        <x:v>https://www.smwcentral.net/?a=details&amp;id=39148&amp;p=section</x:v>
      </x:c>
      <x:c r="J1354" t="str">
        <x:v>https://dl.smwcentral.net/39148/Pandarosa%20v1.6.zip</x:v>
      </x:c>
    </x:row>
    <x:row r="1355">
      <x:c r="A1355" t="str">
        <x:v>Pandemonium Fortress</x:v>
      </x:c>
      <x:c r="B1355" t="str">
        <x:v>Pandemonium Fortress</x:v>
      </x:c>
      <x:c r="C1355" t="str">
        <x:v>Caracc</x:v>
      </x:c>
      <x:c r="D1355" t="n">
        <x:v>20</x:v>
      </x:c>
      <x:c r="E1355" t="str">
        <x:v>Casual</x:v>
      </x:c>
      <x:c r="F1355" t="str">
        <x:v>Standard</x:v>
      </x:c>
      <x:c r="G1355" t="n">
        <x:v>42044</x:v>
      </x:c>
      <x:c r="H1355" t="str">
        <x:v>9691</x:v>
      </x:c>
      <x:c r="I1355" t="str">
        <x:v>https://www.smwcentral.net/?a=details&amp;id=9691&amp;p=section</x:v>
      </x:c>
      <x:c r="J1355" t="str">
        <x:v>https://dl.smwcentral.net/9691/Pandemonium%20Fortress.zip</x:v>
      </x:c>
    </x:row>
    <x:row r="1356">
      <x:c r="A1356" t="str">
        <x:v>Pandemonium Fortress 2</x:v>
      </x:c>
      <x:c r="B1356" t="str">
        <x:v>Pandemonium Fortress 2</x:v>
      </x:c>
      <x:c r="C1356" t="str">
        <x:v>Caracc</x:v>
      </x:c>
      <x:c r="D1356" t="n">
        <x:v>42</x:v>
      </x:c>
      <x:c r="E1356" t="str">
        <x:v>Intermediate</x:v>
      </x:c>
      <x:c r="F1356" t="str">
        <x:v>Standard</x:v>
      </x:c>
      <x:c r="G1356" t="n">
        <x:v>42224</x:v>
      </x:c>
      <x:c r="H1356" t="str">
        <x:v>9641</x:v>
      </x:c>
      <x:c r="I1356" t="str">
        <x:v>https://www.smwcentral.net/?a=details&amp;id=9641&amp;p=section</x:v>
      </x:c>
      <x:c r="J1356" t="str">
        <x:v>https://dl.smwcentral.net/9641/Pandemonium%20Fortress%202%20v1.02.zip</x:v>
      </x:c>
    </x:row>
    <x:row r="1357">
      <x:c r="A1357" t="str">
        <x:v>Pandora's Box (Legacy)</x:v>
      </x:c>
      <x:c r="B1357" t="str">
        <x:v>Pandora's Box (Legacy)</x:v>
      </x:c>
      <x:c r="C1357" t="str">
        <x:v>Samantha</x:v>
      </x:c>
      <x:c r="D1357" t="n">
        <x:v>1</x:v>
      </x:c>
      <x:c r="E1357" t="str">
        <x:v>Advanced</x:v>
      </x:c>
      <x:c r="F1357" t="str">
        <x:v>Kaizo, Tool-Assisted</x:v>
      </x:c>
      <x:c r="G1357" t="n">
        <x:v>42560</x:v>
      </x:c>
      <x:c r="H1357" t="str">
        <x:v>13941</x:v>
      </x:c>
      <x:c r="I1357" t="str">
        <x:v>https://www.smwcentral.net/?a=details&amp;id=13941&amp;p=section</x:v>
      </x:c>
      <x:c r="J1357" t="str">
        <x:v>https://dl.smwcentral.net/13941/Pandora%27s%20Box%20C3%20Demo.zip</x:v>
      </x:c>
    </x:row>
    <x:row r="1358">
      <x:c r="A1358" t="str">
        <x:v>Panga's Kaizo Kindergarten (For Dummies)</x:v>
      </x:c>
      <x:c r="B1358" t="str">
        <x:v>Panga's Kaizo Kindergarten (For Dummies)</x:v>
      </x:c>
      <x:c r="C1358" t="str">
        <x:v>PangaeaPanga</x:v>
      </x:c>
      <x:c r="D1358" t="n">
        <x:v>40</x:v>
      </x:c>
      <x:c r="E1358" t="str">
        <x:v>Expert</x:v>
      </x:c>
      <x:c r="F1358" t="str">
        <x:v>Kaizo</x:v>
      </x:c>
      <x:c r="G1358" t="n">
        <x:v>43630</x:v>
      </x:c>
      <x:c r="H1358" t="str">
        <x:v>20091</x:v>
      </x:c>
      <x:c r="I1358" t="str">
        <x:v>https://www.smwcentral.net/?a=details&amp;id=20091&amp;p=section</x:v>
      </x:c>
      <x:c r="J1358" t="str">
        <x:v>https://dl.smwcentral.net/20091/Kaizo%20Kindergarten%20v1.09.zip</x:v>
      </x:c>
    </x:row>
    <x:row r="1359">
      <x:c r="A1359" t="str">
        <x:v>Panic in the Mushroom Kingdom</x:v>
      </x:c>
      <x:c r="B1359" t="str">
        <x:v>Panic in the Mushroom Kingdom</x:v>
      </x:c>
      <x:c r="C1359" t="str">
        <x:v>ghettoyouth</x:v>
      </x:c>
      <x:c r="D1359" t="n">
        <x:v>58</x:v>
      </x:c>
      <x:c r="E1359" t="str">
        <x:v>Casual</x:v>
      </x:c>
      <x:c r="F1359" t="str">
        <x:v>Standard</x:v>
      </x:c>
      <x:c r="G1359" t="n">
        <x:v>43882</x:v>
      </x:c>
      <x:c r="H1359" t="str">
        <x:v>22045</x:v>
      </x:c>
      <x:c r="I1359" t="str">
        <x:v>https://www.smwcentral.net/?a=details&amp;id=22045&amp;p=section</x:v>
      </x:c>
      <x:c r="J1359" t="str">
        <x:v>https://dl.smwcentral.net/22045/PITMK-bothversions.zip</x:v>
      </x:c>
    </x:row>
    <x:row r="1360">
      <x:c r="A1360" t="str">
        <x:v>Panic in the Mushroom Kingdom 2</x:v>
      </x:c>
      <x:c r="B1360" t="str">
        <x:v>Panic in the Mushroom Kingdom 2</x:v>
      </x:c>
      <x:c r="C1360" t="str">
        <x:v>ghettoyouth</x:v>
      </x:c>
      <x:c r="D1360" t="n">
        <x:v>66</x:v>
      </x:c>
      <x:c r="E1360" t="str">
        <x:v>Casual</x:v>
      </x:c>
      <x:c r="F1360" t="str">
        <x:v>Standard</x:v>
      </x:c>
      <x:c r="G1360" t="n">
        <x:v>44435</x:v>
      </x:c>
      <x:c r="H1360" t="str">
        <x:v>27799</x:v>
      </x:c>
      <x:c r="I1360" t="str">
        <x:v>https://www.smwcentral.net/?a=details&amp;id=27799&amp;p=section</x:v>
      </x:c>
      <x:c r="J1360" t="str">
        <x:v>https://dl.smwcentral.net/27799/Pitmk2v1.03.zip</x:v>
      </x:c>
    </x:row>
    <x:row r="1361">
      <x:c r="A1361" t="str">
        <x:v>Papaya Mountain</x:v>
      </x:c>
      <x:c r="B1361" t="str">
        <x:v>Papaya Mountain</x:v>
      </x:c>
      <x:c r="C1361" t="str">
        <x:v>VLSkoot</x:v>
      </x:c>
      <x:c r="D1361" t="n">
        <x:v>14</x:v>
      </x:c>
      <x:c r="E1361" t="str">
        <x:v>Expert</x:v>
      </x:c>
      <x:c r="F1361" t="str">
        <x:v>Kaizo</x:v>
      </x:c>
      <x:c r="G1361" t="n">
        <x:v>44409</x:v>
      </x:c>
      <x:c r="H1361" t="str">
        <x:v>27854</x:v>
      </x:c>
      <x:c r="I1361" t="str">
        <x:v>https://www.smwcentral.net/?a=details&amp;id=27854&amp;p=section</x:v>
      </x:c>
      <x:c r="J1361" t="str">
        <x:v>https://dl.smwcentral.net/27854/Papaya%20Mountain.zip</x:v>
      </x:c>
    </x:row>
    <x:row r="1362">
      <x:c r="A1362" t="str">
        <x:v>Paper Mario: The Plasma Star</x:v>
      </x:c>
      <x:c r="B1362" t="str">
        <x:v>Paper Mario: The Plasma Star</x:v>
      </x:c>
      <x:c r="C1362" t="str">
        <x:v>7 up, Andyana Jonseph, TheJullasicFox, TheOrangeToad, tmauri</x:v>
      </x:c>
      <x:c r="D1362" t="n">
        <x:v>6</x:v>
      </x:c>
      <x:c r="E1362" t="str">
        <x:v>Casual</x:v>
      </x:c>
      <x:c r="F1362" t="str">
        <x:v>Standard</x:v>
      </x:c>
      <x:c r="G1362" t="n">
        <x:v>43109</x:v>
      </x:c>
      <x:c r="H1362" t="str">
        <x:v>16891</x:v>
      </x:c>
      <x:c r="I1362" t="str">
        <x:v>https://www.smwcentral.net/?a=details&amp;id=16891&amp;p=section</x:v>
      </x:c>
      <x:c r="J1362" t="str">
        <x:v>https://dl.smwcentral.net/16891/pmtps.zip</x:v>
      </x:c>
    </x:row>
    <x:row r="1363">
      <x:c r="A1363" t="str">
        <x:v>Paralysis</x:v>
      </x:c>
      <x:c r="B1363" t="str">
        <x:v>Paralysis</x:v>
      </x:c>
      <x:c r="C1363" t="str">
        <x:v>RandomType</x:v>
      </x:c>
      <x:c r="D1363" t="n">
        <x:v>16</x:v>
      </x:c>
      <x:c r="E1363" t="str">
        <x:v>Expert</x:v>
      </x:c>
      <x:c r="F1363" t="str">
        <x:v>Kaizo</x:v>
      </x:c>
      <x:c r="G1363" t="n">
        <x:v>45158</x:v>
      </x:c>
      <x:c r="H1363" t="str">
        <x:v>34888</x:v>
      </x:c>
      <x:c r="I1363" t="str">
        <x:v>https://www.smwcentral.net/?a=details&amp;id=34888&amp;p=section</x:v>
      </x:c>
      <x:c r="J1363" t="str">
        <x:v>https://dl.smwcentral.net/34888/Paralysis.zip</x:v>
      </x:c>
    </x:row>
    <x:row r="1364">
      <x:c r="A1364" t="str">
        <x:v>Paranormal Saga</x:v>
      </x:c>
      <x:c r="B1364" t="str">
        <x:v>Paranormal Saga</x:v>
      </x:c>
      <x:c r="C1364" t="str">
        <x:v>DrAnas</x:v>
      </x:c>
      <x:c r="D1364" t="n">
        <x:v>22</x:v>
      </x:c>
      <x:c r="E1364" t="str">
        <x:v>Advanced</x:v>
      </x:c>
      <x:c r="F1364" t="str">
        <x:v>Standard</x:v>
      </x:c>
      <x:c r="G1364" t="n">
        <x:v>45898</x:v>
      </x:c>
      <x:c r="H1364" t="str">
        <x:v>40444</x:v>
      </x:c>
      <x:c r="I1364" t="str">
        <x:v>https://www.smwcentral.net/?a=details&amp;id=40444&amp;p=section</x:v>
      </x:c>
      <x:c r="J1364" t="str">
        <x:v>https://dl.smwcentral.net/40444/pns_official_demo.zip</x:v>
      </x:c>
    </x:row>
    <x:row r="1365">
      <x:c r="A1365" t="str">
        <x:v>PATHMAKER</x:v>
      </x:c>
      <x:c r="B1365" t="str">
        <x:v>PATHMAKER</x:v>
      </x:c>
      <x:c r="C1365" t="str">
        <x:v>Tob</x:v>
      </x:c>
      <x:c r="D1365" t="n">
        <x:v>5</x:v>
      </x:c>
      <x:c r="E1365" t="str">
        <x:v>Intermediate</x:v>
      </x:c>
      <x:c r="F1365" t="str">
        <x:v>Puzzle</x:v>
      </x:c>
      <x:c r="G1365" t="n">
        <x:v>46092</x:v>
      </x:c>
      <x:c r="H1365" t="str">
        <x:v>41839</x:v>
      </x:c>
      <x:c r="I1365" t="str">
        <x:v>https://www.smwcentral.net/?a=details&amp;id=41839&amp;p=section</x:v>
      </x:c>
      <x:c r="J1365" t="str">
        <x:v>https://dl.smwcentral.net/41839/PATHMAKERv1.1.zip</x:v>
      </x:c>
    </x:row>
    <x:row r="1366">
      <x:c r="A1366" t="str">
        <x:v>Paths</x:v>
      </x:c>
      <x:c r="B1366" t="str">
        <x:v>Paths</x:v>
      </x:c>
      <x:c r="C1366" t="str">
        <x:v>FiveFactor</x:v>
      </x:c>
      <x:c r="D1366" t="n">
        <x:v>18</x:v>
      </x:c>
      <x:c r="E1366" t="str">
        <x:v>Expert</x:v>
      </x:c>
      <x:c r="F1366" t="str">
        <x:v>Kaizo</x:v>
      </x:c>
      <x:c r="G1366" t="n">
        <x:v>46136</x:v>
      </x:c>
      <x:c r="H1366" t="str">
        <x:v>42230</x:v>
      </x:c>
      <x:c r="I1366" t="str">
        <x:v>https://www.smwcentral.net/?a=details&amp;id=42230&amp;p=section</x:v>
      </x:c>
      <x:c r="J1366" t="str">
        <x:v>https://dl.smwcentral.net/42230/Paths%201.2.zip</x:v>
      </x:c>
    </x:row>
    <x:row r="1367">
      <x:c r="A1367" t="str">
        <x:v>Paul '96</x:v>
      </x:c>
      <x:c r="B1367" t="str">
        <x:v>Paul '96</x:v>
      </x:c>
      <x:c r="C1367" t="str">
        <x:v>danwaleby</x:v>
      </x:c>
      <x:c r="D1367" t="n">
        <x:v>12</x:v>
      </x:c>
      <x:c r="E1367" t="str">
        <x:v>Casual</x:v>
      </x:c>
      <x:c r="F1367" t="str">
        <x:v>Standard</x:v>
      </x:c>
      <x:c r="G1367" t="n">
        <x:v>43372</x:v>
      </x:c>
      <x:c r="H1367" t="str">
        <x:v>18146</x:v>
      </x:c>
      <x:c r="I1367" t="str">
        <x:v>https://www.smwcentral.net/?a=details&amp;id=18146&amp;p=section</x:v>
      </x:c>
      <x:c r="J1367" t="str">
        <x:v>https://dl.smwcentral.net/18146/Paul%20%2796%20final%20demo.zip</x:v>
      </x:c>
    </x:row>
    <x:row r="1368">
      <x:c r="A1368" t="str">
        <x:v>Peach and Daisy in Luigi's Rescue</x:v>
      </x:c>
      <x:c r="B1368" t="str">
        <x:v>Peach and Daisy in Luigi's Rescue</x:v>
      </x:c>
      <x:c r="C1368" t="str">
        <x:v>Marisa</x:v>
      </x:c>
      <x:c r="D1368" t="n">
        <x:v>7</x:v>
      </x:c>
      <x:c r="E1368" t="str">
        <x:v>Casual</x:v>
      </x:c>
      <x:c r="F1368" t="str">
        <x:v>Standard</x:v>
      </x:c>
      <x:c r="G1368" t="n">
        <x:v>42255</x:v>
      </x:c>
      <x:c r="H1368" t="str">
        <x:v>9961</x:v>
      </x:c>
      <x:c r="I1368" t="str">
        <x:v>https://www.smwcentral.net/?a=details&amp;id=9961&amp;p=section</x:v>
      </x:c>
      <x:c r="J1368" t="str">
        <x:v>https://dl.smwcentral.net/9961/PADILR.zip</x:v>
      </x:c>
    </x:row>
    <x:row r="1369">
      <x:c r="A1369" t="str">
        <x:v>Peach is Missing</x:v>
      </x:c>
      <x:c r="B1369" t="str">
        <x:v>Peach is Missing</x:v>
      </x:c>
      <x:c r="C1369" t="str">
        <x:v>Aurel509</x:v>
      </x:c>
      <x:c r="D1369" t="n">
        <x:v>77</x:v>
      </x:c>
      <x:c r="E1369" t="str">
        <x:v>Intermediate</x:v>
      </x:c>
      <x:c r="F1369" t="str">
        <x:v>Standard</x:v>
      </x:c>
      <x:c r="G1369" t="n">
        <x:v>42764</x:v>
      </x:c>
      <x:c r="H1369" t="str">
        <x:v>15088</x:v>
      </x:c>
      <x:c r="I1369" t="str">
        <x:v>https://www.smwcentral.net/?a=details&amp;id=15088&amp;p=section</x:v>
      </x:c>
      <x:c r="J1369" t="str">
        <x:v>https://dl.smwcentral.net/15088/PIM%20v1.4.1.zip</x:v>
      </x:c>
    </x:row>
    <x:row r="1370">
      <x:c r="A1370" t="str">
        <x:v>Peach Melba</x:v>
      </x:c>
      <x:c r="B1370" t="str">
        <x:v>Peach Melba</x:v>
      </x:c>
      <x:c r="C1370" t="str">
        <x:v>shrine</x:v>
      </x:c>
      <x:c r="D1370" t="n">
        <x:v>12</x:v>
      </x:c>
      <x:c r="E1370" t="str">
        <x:v>Casual</x:v>
      </x:c>
      <x:c r="F1370" t="str">
        <x:v>Standard</x:v>
      </x:c>
      <x:c r="G1370" t="n">
        <x:v>42309</x:v>
      </x:c>
      <x:c r="H1370" t="str">
        <x:v>9766</x:v>
      </x:c>
      <x:c r="I1370" t="str">
        <x:v>https://www.smwcentral.net/?a=details&amp;id=9766&amp;p=section</x:v>
      </x:c>
      <x:c r="J1370" t="str">
        <x:v>https://dl.smwcentral.net/9766/Peach%20Melba.zip</x:v>
      </x:c>
    </x:row>
    <x:row r="1371">
      <x:c r="A1371" t="str">
        <x:v>Peachy Moat World</x:v>
      </x:c>
      <x:c r="B1371" t="str">
        <x:v>Peachy Moat World</x:v>
      </x:c>
      <x:c r="C1371" t="str">
        <x:v>Dan2point5, Sparkysie</x:v>
      </x:c>
      <x:c r="D1371" t="n">
        <x:v>29</x:v>
      </x:c>
      <x:c r="E1371" t="str">
        <x:v>Expert</x:v>
      </x:c>
      <x:c r="F1371" t="str">
        <x:v>Kaizo</x:v>
      </x:c>
      <x:c r="G1371" t="n">
        <x:v>44054</x:v>
      </x:c>
      <x:c r="H1371" t="str">
        <x:v>24148</x:v>
      </x:c>
      <x:c r="I1371" t="str">
        <x:v>https://www.smwcentral.net/?a=details&amp;id=24148&amp;p=section</x:v>
      </x:c>
      <x:c r="J1371" t="str">
        <x:v>https://dl.smwcentral.net/24148/Peachy_Moat_World.zip</x:v>
      </x:c>
    </x:row>
    <x:row r="1372">
      <x:c r="A1372" t="str">
        <x:v>Peachy Moat World 2</x:v>
      </x:c>
      <x:c r="B1372" t="str">
        <x:v>Peachy Moat World 2</x:v>
      </x:c>
      <x:c r="C1372" t="str">
        <x:v>Dan2point5, Sparkysie</x:v>
      </x:c>
      <x:c r="D1372" t="n">
        <x:v>44</x:v>
      </x:c>
      <x:c r="E1372" t="str">
        <x:v>Expert</x:v>
      </x:c>
      <x:c r="F1372" t="str">
        <x:v>Kaizo</x:v>
      </x:c>
      <x:c r="G1372" t="n">
        <x:v>45857</x:v>
      </x:c>
      <x:c r="H1372" t="str">
        <x:v>40112</x:v>
      </x:c>
      <x:c r="I1372" t="str">
        <x:v>https://www.smwcentral.net/?a=details&amp;id=40112&amp;p=section</x:v>
      </x:c>
      <x:c r="J1372" t="str">
        <x:v>https://dl.smwcentral.net/40112/Peachy%20Moat%20World%202.zip</x:v>
      </x:c>
    </x:row>
    <x:row r="1373">
      <x:c r="A1373" t="str">
        <x:v>Perchance</x:v>
      </x:c>
      <x:c r="B1373" t="str">
        <x:v>Perchance</x:v>
      </x:c>
      <x:c r="C1373" t="str">
        <x:v>papanug</x:v>
      </x:c>
      <x:c r="D1373" t="n">
        <x:v>36</x:v>
      </x:c>
      <x:c r="E1373" t="str">
        <x:v>Master</x:v>
      </x:c>
      <x:c r="F1373" t="str">
        <x:v>Kaizo</x:v>
      </x:c>
      <x:c r="G1373" t="n">
        <x:v>45664</x:v>
      </x:c>
      <x:c r="H1373" t="str">
        <x:v>38173</x:v>
      </x:c>
      <x:c r="I1373" t="str">
        <x:v>https://www.smwcentral.net/?a=details&amp;id=38173&amp;p=section</x:v>
      </x:c>
      <x:c r="J1373" t="str">
        <x:v>https://dl.smwcentral.net/38173/Perchance.zip</x:v>
      </x:c>
    </x:row>
    <x:row r="1374">
      <x:c r="A1374" t="str">
        <x:v>Perfect theorem</x:v>
      </x:c>
      <x:c r="B1374" t="str">
        <x:v>Perfect theorem</x:v>
      </x:c>
      <x:c r="C1374" t="str">
        <x:v>TS_N</x:v>
      </x:c>
      <x:c r="D1374" t="n">
        <x:v>8</x:v>
      </x:c>
      <x:c r="E1374" t="str">
        <x:v>Master</x:v>
      </x:c>
      <x:c r="F1374" t="str">
        <x:v>Kaizo, Tool-Assisted</x:v>
      </x:c>
      <x:c r="G1374" t="n">
        <x:v>44561</x:v>
      </x:c>
      <x:c r="H1374" t="str">
        <x:v>28945</x:v>
      </x:c>
      <x:c r="I1374" t="str">
        <x:v>https://www.smwcentral.net/?a=details&amp;id=28945&amp;p=section</x:v>
      </x:c>
      <x:c r="J1374" t="str">
        <x:v>https://dl.smwcentral.net/28945/perfect%20theorem.zip</x:v>
      </x:c>
    </x:row>
    <x:row r="1375">
      <x:c r="A1375" t="str">
        <x:v>Persona Non Grata</x:v>
      </x:c>
      <x:c r="B1375" t="str">
        <x:v>Persona Non Grata</x:v>
      </x:c>
      <x:c r="C1375" t="str">
        <x:v>bluesaint</x:v>
      </x:c>
      <x:c r="D1375" t="n">
        <x:v>12</x:v>
      </x:c>
      <x:c r="E1375" t="str">
        <x:v>Expert</x:v>
      </x:c>
      <x:c r="F1375" t="str">
        <x:v>Kaizo</x:v>
      </x:c>
      <x:c r="G1375" t="n">
        <x:v>43493</x:v>
      </x:c>
      <x:c r="H1375" t="str">
        <x:v>18794</x:v>
      </x:c>
      <x:c r="I1375" t="str">
        <x:v>https://www.smwcentral.net/?a=details&amp;id=18794&amp;p=section</x:v>
      </x:c>
      <x:c r="J1375" t="str">
        <x:v>https://dl.smwcentral.net/18794/Persona%20Non%20Grata.zip</x:v>
      </x:c>
    </x:row>
    <x:row r="1376">
      <x:c r="A1376" t="str">
        <x:v>Persus: A Toad Adventure</x:v>
      </x:c>
      <x:c r="B1376" t="str">
        <x:v>Persus: A Toad Adventure</x:v>
      </x:c>
      <x:c r="C1376" t="str">
        <x:v>Fyord</x:v>
      </x:c>
      <x:c r="D1376" t="n">
        <x:v>1</x:v>
      </x:c>
      <x:c r="E1376" t="str">
        <x:v>Newcomer</x:v>
      </x:c>
      <x:c r="F1376" t="str">
        <x:v>Standard</x:v>
      </x:c>
      <x:c r="G1376" t="n">
        <x:v>41814</x:v>
      </x:c>
      <x:c r="H1376" t="str">
        <x:v>6763</x:v>
      </x:c>
      <x:c r="I1376" t="str">
        <x:v>https://www.smwcentral.net/?a=details&amp;id=6763&amp;p=section</x:v>
      </x:c>
      <x:c r="J1376" t="str">
        <x:v>https://dl.smwcentral.net/6763/Persus.zip</x:v>
      </x:c>
    </x:row>
    <x:row r="1377">
      <x:c r="A1377" t="str">
        <x:v>Phenomenal Mario World</x:v>
      </x:c>
      <x:c r="B1377" t="str">
        <x:v>Phenomenal Mario World</x:v>
      </x:c>
      <x:c r="C1377" t="str">
        <x:v>Stivi</x:v>
      </x:c>
      <x:c r="D1377" t="n">
        <x:v>11</x:v>
      </x:c>
      <x:c r="E1377" t="str">
        <x:v>Casual</x:v>
      </x:c>
      <x:c r="F1377" t="str">
        <x:v>Standard</x:v>
      </x:c>
      <x:c r="G1377" t="n">
        <x:v>42728</x:v>
      </x:c>
      <x:c r="H1377" t="str">
        <x:v>14791</x:v>
      </x:c>
      <x:c r="I1377" t="str">
        <x:v>https://www.smwcentral.net/?a=details&amp;id=14791&amp;p=section</x:v>
      </x:c>
      <x:c r="J1377" t="str">
        <x:v>https://dl.smwcentral.net/14791/Phenomenal%20Mario%20World%20Demo.zip</x:v>
      </x:c>
    </x:row>
    <x:row r="1378">
      <x:c r="A1378" t="str">
        <x:v>Pin's Grand Adventure ; The Real Deal</x:v>
      </x:c>
      <x:c r="B1378" t="str">
        <x:v>Pin's Grand Adventure ; The Real Deal</x:v>
      </x:c>
      <x:c r="C1378" t="str">
        <x:v>DougieBomber12</x:v>
      </x:c>
      <x:c r="D1378" t="n">
        <x:v>19</x:v>
      </x:c>
      <x:c r="E1378" t="str">
        <x:v>Casual</x:v>
      </x:c>
      <x:c r="F1378" t="str">
        <x:v>Standard</x:v>
      </x:c>
      <x:c r="G1378" t="n">
        <x:v>42855</x:v>
      </x:c>
      <x:c r="H1378" t="str">
        <x:v>15521</x:v>
      </x:c>
      <x:c r="I1378" t="str">
        <x:v>https://www.smwcentral.net/?a=details&amp;id=15521&amp;p=section</x:v>
      </x:c>
      <x:c r="J1378" t="str">
        <x:v>https://dl.smwcentral.net/15521/Pin%27s%20Grand%20Adventure.zip</x:v>
      </x:c>
    </x:row>
    <x:row r="1379">
      <x:c r="A1379" t="str">
        <x:v>Pineapple Porcupine</x:v>
      </x:c>
      <x:c r="B1379" t="str">
        <x:v>Pineapple Porcupine</x:v>
      </x:c>
      <x:c r="C1379" t="str">
        <x:v>Dan2point5</x:v>
      </x:c>
      <x:c r="D1379" t="n">
        <x:v>14</x:v>
      </x:c>
      <x:c r="E1379" t="str">
        <x:v>Expert</x:v>
      </x:c>
      <x:c r="F1379" t="str">
        <x:v>Kaizo</x:v>
      </x:c>
      <x:c r="G1379" t="n">
        <x:v>44991</x:v>
      </x:c>
      <x:c r="H1379" t="str">
        <x:v>33410</x:v>
      </x:c>
      <x:c r="I1379" t="str">
        <x:v>https://www.smwcentral.net/?a=details&amp;id=33410&amp;p=section</x:v>
      </x:c>
      <x:c r="J1379" t="str">
        <x:v>https://dl.smwcentral.net/33410/Pineapple%20Porcupine%20v1.1.zip</x:v>
      </x:c>
    </x:row>
    <x:row r="1380">
      <x:c r="A1380" t="str">
        <x:v>Pineapple Porcupine 2</x:v>
      </x:c>
      <x:c r="B1380" t="str">
        <x:v>Pineapple Porcupine 2</x:v>
      </x:c>
      <x:c r="C1380" t="str">
        <x:v>Dan2point5</x:v>
      </x:c>
      <x:c r="D1380" t="n">
        <x:v>25</x:v>
      </x:c>
      <x:c r="E1380" t="str">
        <x:v>Expert</x:v>
      </x:c>
      <x:c r="F1380" t="str">
        <x:v>Kaizo</x:v>
      </x:c>
      <x:c r="G1380" t="n">
        <x:v>46143</x:v>
      </x:c>
      <x:c r="H1380" t="str">
        <x:v>42291</x:v>
      </x:c>
      <x:c r="I1380" t="str">
        <x:v>https://www.smwcentral.net/?a=details&amp;id=42291&amp;p=section</x:v>
      </x:c>
      <x:c r="J1380" t="str">
        <x:v>https://dl.smwcentral.net/42291/Pineapple%20Porcupine%202.zip</x:v>
      </x:c>
    </x:row>
    <x:row r="1381">
      <x:c r="A1381" t="str">
        <x:v>Pipe City</x:v>
      </x:c>
      <x:c r="B1381" t="str">
        <x:v>Pipe City</x:v>
      </x:c>
      <x:c r="C1381" t="str">
        <x:v>Graystripe</x:v>
      </x:c>
      <x:c r="D1381" t="n">
        <x:v>4</x:v>
      </x:c>
      <x:c r="E1381" t="str">
        <x:v>Intermediate</x:v>
      </x:c>
      <x:c r="F1381" t="str">
        <x:v>Kaizo</x:v>
      </x:c>
      <x:c r="G1381" t="n">
        <x:v>45690</x:v>
      </x:c>
      <x:c r="H1381" t="str">
        <x:v>39132</x:v>
      </x:c>
      <x:c r="I1381" t="str">
        <x:v>https://www.smwcentral.net/?a=details&amp;id=39132&amp;p=section</x:v>
      </x:c>
      <x:c r="J1381" t="str">
        <x:v>https://dl.smwcentral.net/39132/Pipe_City_v1.1.zip</x:v>
      </x:c>
    </x:row>
    <x:row r="1382">
      <x:c r="A1382" t="str">
        <x:v>Pipetastic</x:v>
      </x:c>
      <x:c r="B1382" t="str">
        <x:v>Pipetastic</x:v>
      </x:c>
      <x:c r="C1382" t="str">
        <x:v>RandomType</x:v>
      </x:c>
      <x:c r="D1382" t="n">
        <x:v>8</x:v>
      </x:c>
      <x:c r="E1382" t="str">
        <x:v>Expert</x:v>
      </x:c>
      <x:c r="F1382" t="str">
        <x:v>Kaizo</x:v>
      </x:c>
      <x:c r="G1382" t="n">
        <x:v>45998</x:v>
      </x:c>
      <x:c r="H1382" t="str">
        <x:v>41226</x:v>
      </x:c>
      <x:c r="I1382" t="str">
        <x:v>https://www.smwcentral.net/?a=details&amp;id=41226&amp;p=section</x:v>
      </x:c>
      <x:c r="J1382" t="str">
        <x:v>https://dl.smwcentral.net/41226/Pipetastic1.1.zip</x:v>
      </x:c>
    </x:row>
    <x:row r="1383">
      <x:c r="A1383" t="str">
        <x:v>Piranhatopia</x:v>
      </x:c>
      <x:c r="B1383" t="str">
        <x:v>Piranhatopia</x:v>
      </x:c>
      <x:c r="C1383" t="str">
        <x:v>Vamperumbra</x:v>
      </x:c>
      <x:c r="D1383" t="n">
        <x:v>21</x:v>
      </x:c>
      <x:c r="E1383" t="str">
        <x:v>Intermediate</x:v>
      </x:c>
      <x:c r="F1383" t="str">
        <x:v>Standard</x:v>
      </x:c>
      <x:c r="G1383" t="n">
        <x:v>42784</x:v>
      </x:c>
      <x:c r="H1383" t="str">
        <x:v>15170</x:v>
      </x:c>
      <x:c r="I1383" t="str">
        <x:v>https://www.smwcentral.net/?a=details&amp;id=15170&amp;p=section</x:v>
      </x:c>
      <x:c r="J1383" t="str">
        <x:v>https://dl.smwcentral.net/15170/Piranhatopia.zip</x:v>
      </x:c>
    </x:row>
    <x:row r="1384">
      <x:c r="A1384" t="str">
        <x:v>Pirate Hack (Demo)</x:v>
      </x:c>
      <x:c r="B1384" t="str">
        <x:v>Pirate Hack (Demo)</x:v>
      </x:c>
      <x:c r="C1384" t="str">
        <x:v>Ziz</x:v>
      </x:c>
      <x:c r="D1384" t="n">
        <x:v>10</x:v>
      </x:c>
      <x:c r="E1384" t="str">
        <x:v>Intermediate</x:v>
      </x:c>
      <x:c r="F1384" t="str">
        <x:v>Standard</x:v>
      </x:c>
      <x:c r="G1384" t="n">
        <x:v>44766</x:v>
      </x:c>
      <x:c r="H1384" t="str">
        <x:v>31373</x:v>
      </x:c>
      <x:c r="I1384" t="str">
        <x:v>https://www.smwcentral.net/?a=details&amp;id=31373&amp;p=section</x:v>
      </x:c>
      <x:c r="J1384" t="str">
        <x:v>https://dl.smwcentral.net/31373/Pirate%20Hack%20Demo.zip</x:v>
      </x:c>
    </x:row>
    <x:row r="1385">
      <x:c r="A1385" t="str">
        <x:v>Pit of Abuse</x:v>
      </x:c>
      <x:c r="B1385" t="str">
        <x:v>Pit of Abuse</x:v>
      </x:c>
      <x:c r="C1385" t="str">
        <x:v>51690</x:v>
      </x:c>
      <x:c r="D1385" t="n">
        <x:v>1</x:v>
      </x:c>
      <x:c r="E1385" t="str">
        <x:v>Expert</x:v>
      </x:c>
      <x:c r="F1385" t="str">
        <x:v>Tool-Assisted, Pit</x:v>
      </x:c>
      <x:c r="G1385" t="n">
        <x:v>44912</x:v>
      </x:c>
      <x:c r="H1385" t="str">
        <x:v>32328</x:v>
      </x:c>
      <x:c r="I1385" t="str">
        <x:v>https://www.smwcentral.net/?a=details&amp;id=32328&amp;p=section</x:v>
      </x:c>
      <x:c r="J1385" t="str">
        <x:v>https://dl.smwcentral.net/32328/pit%20of%20abuse.zip</x:v>
      </x:c>
    </x:row>
    <x:row r="1386">
      <x:c r="A1386" t="str">
        <x:v>Pit of God</x:v>
      </x:c>
      <x:c r="B1386" t="str">
        <x:v>Pit of God</x:v>
      </x:c>
      <x:c r="C1386" t="str">
        <x:v>HKSo051</x:v>
      </x:c>
      <x:c r="D1386" t="n">
        <x:v>1</x:v>
      </x:c>
      <x:c r="E1386" t="str">
        <x:v>Grandmaster</x:v>
      </x:c>
      <x:c r="F1386" t="str">
        <x:v>Tool-Assisted, Pit</x:v>
      </x:c>
      <x:c r="G1386" t="n">
        <x:v>43458</x:v>
      </x:c>
      <x:c r="H1386" t="str">
        <x:v>18608</x:v>
      </x:c>
      <x:c r="I1386" t="str">
        <x:v>https://www.smwcentral.net/?a=details&amp;id=18608&amp;p=section</x:v>
      </x:c>
      <x:c r="J1386" t="str">
        <x:v>https://dl.smwcentral.net/18608/Pit%20Of%20God.zip</x:v>
      </x:c>
    </x:row>
    <x:row r="1387">
      <x:c r="A1387" t="str">
        <x:v>Pit of Gui!! (Reformulated Version)</x:v>
      </x:c>
      <x:c r="B1387" t="str">
        <x:v>Pit of Gui!! (Reformulated Version)</x:v>
      </x:c>
      <x:c r="C1387" t="str">
        <x:v>GuilhermeYT</x:v>
      </x:c>
      <x:c r="D1387" t="n">
        <x:v>1</x:v>
      </x:c>
      <x:c r="E1387" t="str">
        <x:v>Expert</x:v>
      </x:c>
      <x:c r="F1387" t="str">
        <x:v>Tool-Assisted, Pit</x:v>
      </x:c>
      <x:c r="G1387" t="n">
        <x:v>46211</x:v>
      </x:c>
      <x:c r="H1387" t="str">
        <x:v>42546</x:v>
      </x:c>
      <x:c r="I1387" t="str">
        <x:v>https://www.smwcentral.net/?a=details&amp;id=42546&amp;p=section</x:v>
      </x:c>
      <x:c r="J1387" t="str">
        <x:v>https://dl.smwcentral.net/42546/Pit%20of%20Gui%21%21%20V1.4%20%28Reformulated%20Version%29.zip</x:v>
      </x:c>
    </x:row>
    <x:row r="1388">
      <x:c r="A1388" t="str">
        <x:v>Pit of Insaneness</x:v>
      </x:c>
      <x:c r="B1388" t="str">
        <x:v>Pit of Insaneness</x:v>
      </x:c>
      <x:c r="C1388" t="str">
        <x:v>NBKevin98</x:v>
      </x:c>
      <x:c r="D1388" t="n">
        <x:v>1</x:v>
      </x:c>
      <x:c r="E1388" t="str">
        <x:v>Master</x:v>
      </x:c>
      <x:c r="F1388" t="str">
        <x:v>Tool-Assisted, Pit</x:v>
      </x:c>
      <x:c r="G1388" t="n">
        <x:v>43155</x:v>
      </x:c>
      <x:c r="H1388" t="str">
        <x:v>16829</x:v>
      </x:c>
      <x:c r="I1388" t="str">
        <x:v>https://www.smwcentral.net/?a=details&amp;id=16829&amp;p=section</x:v>
      </x:c>
      <x:c r="J1388" t="str">
        <x:v>https://dl.smwcentral.net/16829/Pit%20of%20Insaneness%20v.1.0.zip</x:v>
      </x:c>
    </x:row>
    <x:row r="1389">
      <x:c r="A1389" t="str">
        <x:v>Pit of Insaneness 2</x:v>
      </x:c>
      <x:c r="B1389" t="str">
        <x:v>Pit of Insaneness 2</x:v>
      </x:c>
      <x:c r="C1389" t="str">
        <x:v>NBKevin98</x:v>
      </x:c>
      <x:c r="D1389" t="n">
        <x:v>1</x:v>
      </x:c>
      <x:c r="E1389" t="str">
        <x:v>Grandmaster</x:v>
      </x:c>
      <x:c r="F1389" t="str">
        <x:v>Tool-Assisted, Pit</x:v>
      </x:c>
      <x:c r="G1389" t="n">
        <x:v>43109</x:v>
      </x:c>
      <x:c r="H1389" t="str">
        <x:v>16765</x:v>
      </x:c>
      <x:c r="I1389" t="str">
        <x:v>https://www.smwcentral.net/?a=details&amp;id=16765&amp;p=section</x:v>
      </x:c>
      <x:c r="J1389" t="str">
        <x:v>https://dl.smwcentral.net/16765/Pit%20of%20Insaneness%202.zip</x:v>
      </x:c>
    </x:row>
    <x:row r="1390">
      <x:c r="A1390" t="str">
        <x:v>Pit Of RTA</x:v>
      </x:c>
      <x:c r="B1390" t="str">
        <x:v>Pit Of RTA</x:v>
      </x:c>
      <x:c r="C1390" t="str">
        <x:v>Nowieso</x:v>
      </x:c>
      <x:c r="D1390" t="n">
        <x:v>6</x:v>
      </x:c>
      <x:c r="E1390" t="str">
        <x:v>Expert</x:v>
      </x:c>
      <x:c r="F1390" t="str">
        <x:v>Kaizo</x:v>
      </x:c>
      <x:c r="G1390" t="n">
        <x:v>45222</x:v>
      </x:c>
      <x:c r="H1390" t="str">
        <x:v>35328</x:v>
      </x:c>
      <x:c r="I1390" t="str">
        <x:v>https://www.smwcentral.net/?a=details&amp;id=35328&amp;p=section</x:v>
      </x:c>
      <x:c r="J1390" t="str">
        <x:v>https://dl.smwcentral.net/35328/Pit_Of_RTA.zip</x:v>
      </x:c>
    </x:row>
    <x:row r="1391">
      <x:c r="A1391" t="str">
        <x:v>Pizza of challenges</x:v>
      </x:c>
      <x:c r="B1391" t="str">
        <x:v>Pizza of challenges</x:v>
      </x:c>
      <x:c r="C1391" t="str">
        <x:v>Pizzagamer9791</x:v>
      </x:c>
      <x:c r="D1391" t="n">
        <x:v>9</x:v>
      </x:c>
      <x:c r="E1391" t="str">
        <x:v>Expert</x:v>
      </x:c>
      <x:c r="F1391" t="str">
        <x:v>Kaizo</x:v>
      </x:c>
      <x:c r="G1391" t="n">
        <x:v>45420</x:v>
      </x:c>
      <x:c r="H1391" t="str">
        <x:v>37733</x:v>
      </x:c>
      <x:c r="I1391" t="str">
        <x:v>https://www.smwcentral.net/?a=details&amp;id=37733&amp;p=section</x:v>
      </x:c>
      <x:c r="J1391" t="str">
        <x:v>https://dl.smwcentral.net/37733/Pizza%20of%20challenges.zip</x:v>
      </x:c>
    </x:row>
    <x:row r="1392">
      <x:c r="A1392" t="str">
        <x:v>Plain Cheese Pizza</x:v>
      </x:c>
      <x:c r="B1392" t="str">
        <x:v>Plain Cheese Pizza</x:v>
      </x:c>
      <x:c r="C1392" t="str">
        <x:v>MistaX88</x:v>
      </x:c>
      <x:c r="D1392" t="n">
        <x:v>24</x:v>
      </x:c>
      <x:c r="E1392" t="str">
        <x:v>Expert</x:v>
      </x:c>
      <x:c r="F1392" t="str">
        <x:v>Kaizo</x:v>
      </x:c>
      <x:c r="G1392" t="n">
        <x:v>45089</x:v>
      </x:c>
      <x:c r="H1392" t="str">
        <x:v>34061</x:v>
      </x:c>
      <x:c r="I1392" t="str">
        <x:v>https://www.smwcentral.net/?a=details&amp;id=34061&amp;p=section</x:v>
      </x:c>
      <x:c r="J1392" t="str">
        <x:v>https://dl.smwcentral.net/34061/PlainCheesePizza1.1.zip</x:v>
      </x:c>
    </x:row>
    <x:row r="1393">
      <x:c r="A1393" t="str">
        <x:v>planets</x:v>
      </x:c>
      <x:c r="B1393" t="str">
        <x:v>planets</x:v>
      </x:c>
      <x:c r="C1393" t="str">
        <x:v>VLSkoot</x:v>
      </x:c>
      <x:c r="D1393" t="n">
        <x:v>9</x:v>
      </x:c>
      <x:c r="E1393" t="str">
        <x:v>Expert</x:v>
      </x:c>
      <x:c r="F1393" t="str">
        <x:v>Kaizo</x:v>
      </x:c>
      <x:c r="G1393" t="n">
        <x:v>44901</x:v>
      </x:c>
      <x:c r="H1393" t="str">
        <x:v>32693</x:v>
      </x:c>
      <x:c r="I1393" t="str">
        <x:v>https://www.smwcentral.net/?a=details&amp;id=32693&amp;p=section</x:v>
      </x:c>
      <x:c r="J1393" t="str">
        <x:v>https://dl.smwcentral.net/32693/Planets.zip</x:v>
      </x:c>
    </x:row>
    <x:row r="1394">
      <x:c r="A1394" t="str">
        <x:v>Play To Win</x:v>
      </x:c>
      <x:c r="B1394" t="str">
        <x:v>Play To Win</x:v>
      </x:c>
      <x:c r="C1394" t="str">
        <x:v>Mr. MS</x:v>
      </x:c>
      <x:c r="D1394" t="n">
        <x:v>32</x:v>
      </x:c>
      <x:c r="E1394" t="str">
        <x:v>Casual</x:v>
      </x:c>
      <x:c r="F1394" t="str">
        <x:v>Standard</x:v>
      </x:c>
      <x:c r="G1394" t="n">
        <x:v>45232</x:v>
      </x:c>
      <x:c r="H1394" t="str">
        <x:v>35230</x:v>
      </x:c>
      <x:c r="I1394" t="str">
        <x:v>https://www.smwcentral.net/?a=details&amp;id=35230&amp;p=section</x:v>
      </x:c>
      <x:c r="J1394" t="str">
        <x:v>https://dl.smwcentral.net/35230/PlayToWin_1_6_0.zip</x:v>
      </x:c>
    </x:row>
    <x:row r="1395">
      <x:c r="A1395" t="str">
        <x:v>Playground Kaizo</x:v>
      </x:c>
      <x:c r="B1395" t="str">
        <x:v>Playground Kaizo</x:v>
      </x:c>
      <x:c r="C1395" t="str">
        <x:v>RicardoDeMelo</x:v>
      </x:c>
      <x:c r="D1395" t="n">
        <x:v>6</x:v>
      </x:c>
      <x:c r="E1395" t="str">
        <x:v>Casual</x:v>
      </x:c>
      <x:c r="F1395" t="str">
        <x:v>Kaizo</x:v>
      </x:c>
      <x:c r="G1395" t="n">
        <x:v>46066</x:v>
      </x:c>
      <x:c r="H1395" t="str">
        <x:v>41584</x:v>
      </x:c>
      <x:c r="I1395" t="str">
        <x:v>https://www.smwcentral.net/?a=details&amp;id=41584&amp;p=section</x:v>
      </x:c>
      <x:c r="J1395" t="str">
        <x:v>https://dl.smwcentral.net/41584/Playground%20Kaizo.zip</x:v>
      </x:c>
    </x:row>
    <x:row r="1396">
      <x:c r="A1396" t="str">
        <x:v>Playground Kaizo 2</x:v>
      </x:c>
      <x:c r="B1396" t="str">
        <x:v>Playground Kaizo 2</x:v>
      </x:c>
      <x:c r="C1396" t="str">
        <x:v>RicardoDeMelo</x:v>
      </x:c>
      <x:c r="D1396" t="n">
        <x:v>8</x:v>
      </x:c>
      <x:c r="E1396" t="str">
        <x:v>Casual</x:v>
      </x:c>
      <x:c r="F1396" t="str">
        <x:v>Kaizo</x:v>
      </x:c>
      <x:c r="G1396" t="n">
        <x:v>46126</x:v>
      </x:c>
      <x:c r="H1396" t="str">
        <x:v>42098</x:v>
      </x:c>
      <x:c r="I1396" t="str">
        <x:v>https://www.smwcentral.net/?a=details&amp;id=42098&amp;p=section</x:v>
      </x:c>
      <x:c r="J1396" t="str">
        <x:v>https://dl.smwcentral.net/42098/Playground%20Kaizo%202.zip</x:v>
      </x:c>
    </x:row>
    <x:row r="1397">
      <x:c r="A1397" t="str">
        <x:v>PLAYTIME</x:v>
      </x:c>
      <x:c r="B1397" t="str">
        <x:v>PLAYTIME</x:v>
      </x:c>
      <x:c r="C1397" t="str">
        <x:v>Insanit</x:v>
      </x:c>
      <x:c r="D1397" t="n">
        <x:v>17</x:v>
      </x:c>
      <x:c r="E1397" t="str">
        <x:v>Expert</x:v>
      </x:c>
      <x:c r="F1397" t="str">
        <x:v>Kaizo</x:v>
      </x:c>
      <x:c r="G1397" t="n">
        <x:v>46196</x:v>
      </x:c>
      <x:c r="H1397" t="str">
        <x:v>42543</x:v>
      </x:c>
      <x:c r="I1397" t="str">
        <x:v>https://www.smwcentral.net/?a=details&amp;id=42543&amp;p=section</x:v>
      </x:c>
      <x:c r="J1397" t="str">
        <x:v>https://dl.smwcentral.net/42543/playtime_1.11.zip</x:v>
      </x:c>
    </x:row>
    <x:row r="1398">
      <x:c r="A1398" t="str">
        <x:v>Plombier du Fromage</x:v>
      </x:c>
      <x:c r="B1398" t="str">
        <x:v>Plombier du Fromage</x:v>
      </x:c>
      <x:c r="C1398" t="str">
        <x:v>Fumu</x:v>
      </x:c>
      <x:c r="D1398" t="n">
        <x:v>8</x:v>
      </x:c>
      <x:c r="E1398" t="str">
        <x:v>Advanced</x:v>
      </x:c>
      <x:c r="F1398" t="str">
        <x:v>Standard</x:v>
      </x:c>
      <x:c r="G1398" t="n">
        <x:v>44068</x:v>
      </x:c>
      <x:c r="H1398" t="str">
        <x:v>24373</x:v>
      </x:c>
      <x:c r="I1398" t="str">
        <x:v>https://www.smwcentral.net/?a=details&amp;id=24373&amp;p=section</x:v>
      </x:c>
      <x:c r="J1398" t="str">
        <x:v>https://dl.smwcentral.net/24373/plombier%20du%20fromage.zip</x:v>
      </x:c>
    </x:row>
    <x:row r="1399">
      <x:c r="A1399" t="str">
        <x:v>Po's adventure neko burst</x:v>
      </x:c>
      <x:c r="B1399" t="str">
        <x:v>Po's adventure neko burst</x:v>
      </x:c>
      <x:c r="C1399" t="str">
        <x:v>nathanx365</x:v>
      </x:c>
      <x:c r="D1399" t="n">
        <x:v>12</x:v>
      </x:c>
      <x:c r="E1399" t="str">
        <x:v>Newcomer</x:v>
      </x:c>
      <x:c r="F1399" t="str">
        <x:v>Standard</x:v>
      </x:c>
      <x:c r="G1399" t="n">
        <x:v>42742</x:v>
      </x:c>
      <x:c r="H1399" t="str">
        <x:v>14907</x:v>
      </x:c>
      <x:c r="I1399" t="str">
        <x:v>https://www.smwcentral.net/?a=details&amp;id=14907&amp;p=section</x:v>
      </x:c>
      <x:c r="J1399" t="str">
        <x:v>https://dl.smwcentral.net/14907/Po%27s%20adventure%20neko%20burst.zip</x:v>
      </x:c>
    </x:row>
    <x:row r="1400">
      <x:c r="A1400" t="str">
        <x:v>Pointless</x:v>
      </x:c>
      <x:c r="B1400" t="str">
        <x:v>Pointless</x:v>
      </x:c>
      <x:c r="C1400" t="str">
        <x:v>SonofSolaire</x:v>
      </x:c>
      <x:c r="D1400" t="n">
        <x:v>12</x:v>
      </x:c>
      <x:c r="E1400" t="str">
        <x:v>Advanced</x:v>
      </x:c>
      <x:c r="F1400" t="str">
        <x:v>Kaizo</x:v>
      </x:c>
      <x:c r="G1400" t="n">
        <x:v>46219</x:v>
      </x:c>
      <x:c r="H1400" t="str">
        <x:v>42699</x:v>
      </x:c>
      <x:c r="I1400" t="str">
        <x:v>https://www.smwcentral.net/?a=details&amp;id=42699&amp;p=section</x:v>
      </x:c>
      <x:c r="J1400" t="str">
        <x:v>https://dl.smwcentral.net/42699/Pointless%201.0.zip</x:v>
      </x:c>
    </x:row>
    <x:row r="1401">
      <x:c r="A1401" t="str">
        <x:v>Poked</x:v>
      </x:c>
      <x:c r="B1401" t="str">
        <x:v>Poked</x:v>
      </x:c>
      <x:c r="C1401" t="str">
        <x:v>akseliv</x:v>
      </x:c>
      <x:c r="D1401" t="n">
        <x:v>3</x:v>
      </x:c>
      <x:c r="E1401" t="str">
        <x:v>Intermediate</x:v>
      </x:c>
      <x:c r="F1401" t="str">
        <x:v>Standard, Kaizo</x:v>
      </x:c>
      <x:c r="G1401" t="n">
        <x:v>45699</x:v>
      </x:c>
      <x:c r="H1401" t="str">
        <x:v>39121</x:v>
      </x:c>
      <x:c r="I1401" t="str">
        <x:v>https://www.smwcentral.net/?a=details&amp;id=39121&amp;p=section</x:v>
      </x:c>
      <x:c r="J1401" t="str">
        <x:v>https://dl.smwcentral.net/39121/Poked.zip</x:v>
      </x:c>
    </x:row>
    <x:row r="1402">
      <x:c r="A1402" t="str">
        <x:v>Pokey's Adventure</x:v>
      </x:c>
      <x:c r="B1402" t="str">
        <x:v>Pokey's Adventure</x:v>
      </x:c>
      <x:c r="C1402" t="str">
        <x:v>wye</x:v>
      </x:c>
      <x:c r="D1402" t="n">
        <x:v>7</x:v>
      </x:c>
      <x:c r="E1402" t="str">
        <x:v>Newcomer</x:v>
      </x:c>
      <x:c r="F1402" t="str">
        <x:v>Standard</x:v>
      </x:c>
      <x:c r="G1402" t="n">
        <x:v>41464</x:v>
      </x:c>
      <x:c r="H1402" t="str">
        <x:v>5131</x:v>
      </x:c>
      <x:c r="I1402" t="str">
        <x:v>https://www.smwcentral.net/?a=details&amp;id=5131&amp;p=section</x:v>
      </x:c>
      <x:c r="J1402" t="str">
        <x:v>https://dl.smwcentral.net/5131/Pokeys_Adventure_Demo1_v11.zip</x:v>
      </x:c>
    </x:row>
    <x:row r="1403">
      <x:c r="A1403" t="str">
        <x:v>Pokémon Darkness</x:v>
      </x:c>
      <x:c r="B1403" t="str">
        <x:v>Pokémon Darkness</x:v>
      </x:c>
      <x:c r="C1403" t="str">
        <x:v>Lexator</x:v>
      </x:c>
      <x:c r="D1403" t="n">
        <x:v>50</x:v>
      </x:c>
      <x:c r="E1403" t="str">
        <x:v>Casual</x:v>
      </x:c>
      <x:c r="F1403" t="str">
        <x:v>Standard</x:v>
      </x:c>
      <x:c r="G1403" t="n">
        <x:v>42286</x:v>
      </x:c>
      <x:c r="H1403" t="str">
        <x:v>9998</x:v>
      </x:c>
      <x:c r="I1403" t="str">
        <x:v>https://www.smwcentral.net/?a=details&amp;id=9998&amp;p=section</x:v>
      </x:c>
      <x:c r="J1403" t="str">
        <x:v>https://dl.smwcentral.net/9998/Pok%C3%A9mon%20Darkness%20final%20version.zip</x:v>
      </x:c>
    </x:row>
    <x:row r="1404">
      <x:c r="A1404" t="str">
        <x:v>Polyphony</x:v>
      </x:c>
      <x:c r="B1404" t="str">
        <x:v>Polyphony</x:v>
      </x:c>
      <x:c r="C1404" t="str">
        <x:v>TomatoPhalanges</x:v>
      </x:c>
      <x:c r="D1404" t="n">
        <x:v>24</x:v>
      </x:c>
      <x:c r="E1404" t="str">
        <x:v>Advanced</x:v>
      </x:c>
      <x:c r="F1404" t="str">
        <x:v>Standard, Kaizo</x:v>
      </x:c>
      <x:c r="G1404" t="n">
        <x:v>44423</x:v>
      </x:c>
      <x:c r="H1404" t="str">
        <x:v>27893</x:v>
      </x:c>
      <x:c r="I1404" t="str">
        <x:v>https://www.smwcentral.net/?a=details&amp;id=27893&amp;p=section</x:v>
      </x:c>
      <x:c r="J1404" t="str">
        <x:v>https://dl.smwcentral.net/27893/POLYPHONY_1.1.1.zip</x:v>
      </x:c>
    </x:row>
    <x:row r="1405">
      <x:c r="A1405" t="str">
        <x:v>poop jump</x:v>
      </x:c>
      <x:c r="B1405" t="str">
        <x:v>poop jump</x:v>
      </x:c>
      <x:c r="C1405" t="str">
        <x:v>Blaagon, Poop Team</x:v>
      </x:c>
      <x:c r="D1405" t="n">
        <x:v>75</x:v>
      </x:c>
      <x:c r="E1405" t="str">
        <x:v>Grandmaster</x:v>
      </x:c>
      <x:c r="F1405" t="str">
        <x:v>Kaizo</x:v>
      </x:c>
      <x:c r="G1405" t="n">
        <x:v>45474</x:v>
      </x:c>
      <x:c r="H1405" t="str">
        <x:v>37953</x:v>
      </x:c>
      <x:c r="I1405" t="str">
        <x:v>https://www.smwcentral.net/?a=details&amp;id=37953&amp;p=section</x:v>
      </x:c>
      <x:c r="J1405" t="str">
        <x:v>https://dl.smwcentral.net/37953/pj.zip</x:v>
      </x:c>
    </x:row>
    <x:row r="1406">
      <x:c r="A1406" t="str">
        <x:v>poop jump cafe</x:v>
      </x:c>
      <x:c r="B1406" t="str">
        <x:v>poop jump cafe</x:v>
      </x:c>
      <x:c r="C1406" t="str">
        <x:v>Blaagon, deported</x:v>
      </x:c>
      <x:c r="D1406" t="n">
        <x:v>1</x:v>
      </x:c>
      <x:c r="E1406" t="str">
        <x:v>Master</x:v>
      </x:c>
      <x:c r="F1406" t="str">
        <x:v>Kaizo</x:v>
      </x:c>
      <x:c r="G1406" t="n">
        <x:v>45500</x:v>
      </x:c>
      <x:c r="H1406" t="str">
        <x:v>38118</x:v>
      </x:c>
      <x:c r="I1406" t="str">
        <x:v>https://www.smwcentral.net/?a=details&amp;id=38118&amp;p=section</x:v>
      </x:c>
      <x:c r="J1406" t="str">
        <x:v>https://dl.smwcentral.net/38118/pjcafe.zip</x:v>
      </x:c>
    </x:row>
    <x:row r="1407">
      <x:c r="A1407" t="str">
        <x:v>popi world</x:v>
      </x:c>
      <x:c r="B1407" t="str">
        <x:v>popi world</x:v>
      </x:c>
      <x:c r="C1407" t="str">
        <x:v>alvinluis</x:v>
      </x:c>
      <x:c r="D1407" t="n">
        <x:v>5</x:v>
      </x:c>
      <x:c r="E1407" t="str">
        <x:v>Advanced</x:v>
      </x:c>
      <x:c r="F1407" t="str">
        <x:v>Kaizo</x:v>
      </x:c>
      <x:c r="G1407" t="n">
        <x:v>44628</x:v>
      </x:c>
      <x:c r="H1407" t="str">
        <x:v>30068</x:v>
      </x:c>
      <x:c r="I1407" t="str">
        <x:v>https://www.smwcentral.net/?a=details&amp;id=30068&amp;p=section</x:v>
      </x:c>
      <x:c r="J1407" t="str">
        <x:v>https://dl.smwcentral.net/30068/popi%20world.zip</x:v>
      </x:c>
    </x:row>
    <x:row r="1408">
      <x:c r="A1408" t="str">
        <x:v>popi world 2</x:v>
      </x:c>
      <x:c r="B1408" t="str">
        <x:v>popi world 2</x:v>
      </x:c>
      <x:c r="C1408" t="str">
        <x:v>alvinluis</x:v>
      </x:c>
      <x:c r="D1408" t="n">
        <x:v>10</x:v>
      </x:c>
      <x:c r="E1408" t="str">
        <x:v>Advanced</x:v>
      </x:c>
      <x:c r="F1408" t="str">
        <x:v>Kaizo</x:v>
      </x:c>
      <x:c r="G1408" t="n">
        <x:v>44677</x:v>
      </x:c>
      <x:c r="H1408" t="str">
        <x:v>30609</x:v>
      </x:c>
      <x:c r="I1408" t="str">
        <x:v>https://www.smwcentral.net/?a=details&amp;id=30609&amp;p=section</x:v>
      </x:c>
      <x:c r="J1408" t="str">
        <x:v>https://dl.smwcentral.net/30609/popi%20world%202.zip</x:v>
      </x:c>
    </x:row>
    <x:row r="1409">
      <x:c r="A1409" t="str">
        <x:v>Post Traumatic Stress Disorder</x:v>
      </x:c>
      <x:c r="B1409" t="str">
        <x:v>Post Traumatic Stress Disorder</x:v>
      </x:c>
      <x:c r="C1409" t="str">
        <x:v>fanfan21</x:v>
      </x:c>
      <x:c r="D1409" t="n">
        <x:v>9</x:v>
      </x:c>
      <x:c r="E1409" t="str">
        <x:v>Advanced</x:v>
      </x:c>
      <x:c r="F1409" t="str">
        <x:v>Kaizo</x:v>
      </x:c>
      <x:c r="G1409" t="n">
        <x:v>45673</x:v>
      </x:c>
      <x:c r="H1409" t="str">
        <x:v>38956</x:v>
      </x:c>
      <x:c r="I1409" t="str">
        <x:v>https://www.smwcentral.net/?a=details&amp;id=38956&amp;p=section</x:v>
      </x:c>
      <x:c r="J1409" t="str">
        <x:v>https://dl.smwcentral.net/38956/SMW%20-%20PTSD%20%281.1%29.zip</x:v>
      </x:c>
    </x:row>
    <x:row r="1410">
      <x:c r="A1410" t="str">
        <x:v>Power Guy World</x:v>
      </x:c>
      <x:c r="B1410" t="str">
        <x:v>Power Guy World</x:v>
      </x:c>
      <x:c r="C1410" t="str">
        <x:v>LucasMegaStriker</x:v>
      </x:c>
      <x:c r="D1410" t="n">
        <x:v>30</x:v>
      </x:c>
      <x:c r="E1410" t="str">
        <x:v>Intermediate</x:v>
      </x:c>
      <x:c r="F1410" t="str">
        <x:v>Standard</x:v>
      </x:c>
      <x:c r="G1410" t="n">
        <x:v>45153</x:v>
      </x:c>
      <x:c r="H1410" t="str">
        <x:v>34843</x:v>
      </x:c>
      <x:c r="I1410" t="str">
        <x:v>https://www.smwcentral.net/?a=details&amp;id=34843&amp;p=section</x:v>
      </x:c>
      <x:c r="J1410" t="str">
        <x:v>https://dl.smwcentral.net/34843/PowerGuyWorld.zip</x:v>
      </x:c>
    </x:row>
    <x:row r="1411">
      <x:c r="A1411" t="str">
        <x:v>Power Journey</x:v>
      </x:c>
      <x:c r="B1411" t="str">
        <x:v>Power Journey</x:v>
      </x:c>
      <x:c r="C1411" t="str">
        <x:v>BlueSkye209</x:v>
      </x:c>
      <x:c r="D1411" t="n">
        <x:v>12</x:v>
      </x:c>
      <x:c r="E1411" t="str">
        <x:v>Intermediate</x:v>
      </x:c>
      <x:c r="F1411" t="str">
        <x:v>Standard</x:v>
      </x:c>
      <x:c r="G1411" t="n">
        <x:v>44173</x:v>
      </x:c>
      <x:c r="H1411" t="str">
        <x:v>24866</x:v>
      </x:c>
      <x:c r="I1411" t="str">
        <x:v>https://www.smwcentral.net/?a=details&amp;id=24866&amp;p=section</x:v>
      </x:c>
      <x:c r="J1411" t="str">
        <x:v>https://dl.smwcentral.net/24866/PowerJourney.zip</x:v>
      </x:c>
    </x:row>
    <x:row r="1412">
      <x:c r="A1412" t="str">
        <x:v>Powerup Party</x:v>
      </x:c>
      <x:c r="B1412" t="str">
        <x:v>Powerup Party</x:v>
      </x:c>
      <x:c r="C1412" t="str">
        <x:v>Spedinja</x:v>
      </x:c>
      <x:c r="D1412" t="n">
        <x:v>2</x:v>
      </x:c>
      <x:c r="E1412" t="str">
        <x:v>Intermediate</x:v>
      </x:c>
      <x:c r="F1412" t="str">
        <x:v>Kaizo</x:v>
      </x:c>
      <x:c r="G1412" t="n">
        <x:v>45397</x:v>
      </x:c>
      <x:c r="H1412" t="str">
        <x:v>37624</x:v>
      </x:c>
      <x:c r="I1412" t="str">
        <x:v>https://www.smwcentral.net/?a=details&amp;id=37624&amp;p=section</x:v>
      </x:c>
      <x:c r="J1412" t="str">
        <x:v>https://dl.smwcentral.net/37624/PowerupParty.zip</x:v>
      </x:c>
    </x:row>
    <x:row r="1413">
      <x:c r="A1413" t="str">
        <x:v>Practice Makes Purrfect</x:v>
      </x:c>
      <x:c r="B1413" t="str">
        <x:v>Practice Makes Purrfect</x:v>
      </x:c>
      <x:c r="C1413" t="str">
        <x:v>sunwarrior25</x:v>
      </x:c>
      <x:c r="D1413" t="n">
        <x:v>15</x:v>
      </x:c>
      <x:c r="E1413" t="str">
        <x:v>Casual</x:v>
      </x:c>
      <x:c r="F1413" t="str">
        <x:v>Standard</x:v>
      </x:c>
      <x:c r="G1413" t="n">
        <x:v>42288</x:v>
      </x:c>
      <x:c r="H1413" t="str">
        <x:v>9654</x:v>
      </x:c>
      <x:c r="I1413" t="str">
        <x:v>https://www.smwcentral.net/?a=details&amp;id=9654&amp;p=section</x:v>
      </x:c>
      <x:c r="J1413" t="str">
        <x:v>https://dl.smwcentral.net/9654/PMPc3demo.zip</x:v>
      </x:c>
    </x:row>
    <x:row r="1414">
      <x:c r="A1414" t="str">
        <x:v>Precise Perfection</x:v>
      </x:c>
      <x:c r="B1414" t="str">
        <x:v>Precise Perfection</x:v>
      </x:c>
      <x:c r="C1414" t="str">
        <x:v>HoorayForJay</x:v>
      </x:c>
      <x:c r="D1414" t="n">
        <x:v>1</x:v>
      </x:c>
      <x:c r="E1414" t="str">
        <x:v>Grandmaster</x:v>
      </x:c>
      <x:c r="F1414" t="str">
        <x:v>Tool-Assisted, Pit</x:v>
      </x:c>
      <x:c r="G1414" t="n">
        <x:v>42839</x:v>
      </x:c>
      <x:c r="H1414" t="str">
        <x:v>15341</x:v>
      </x:c>
      <x:c r="I1414" t="str">
        <x:v>https://www.smwcentral.net/?a=details&amp;id=15341&amp;p=section</x:v>
      </x:c>
      <x:c r="J1414" t="str">
        <x:v>https://dl.smwcentral.net/15341/PrecisePerfection.zip</x:v>
      </x:c>
    </x:row>
    <x:row r="1415">
      <x:c r="A1415" t="str">
        <x:v>Precision86</x:v>
      </x:c>
      <x:c r="B1415" t="str">
        <x:v>Precision86</x:v>
      </x:c>
      <x:c r="C1415" t="str">
        <x:v>Nowieso</x:v>
      </x:c>
      <x:c r="D1415" t="n">
        <x:v>3</x:v>
      </x:c>
      <x:c r="E1415" t="str">
        <x:v>Master</x:v>
      </x:c>
      <x:c r="F1415" t="str">
        <x:v>Kaizo</x:v>
      </x:c>
      <x:c r="G1415" t="n">
        <x:v>43892</x:v>
      </x:c>
      <x:c r="H1415" t="str">
        <x:v>22240</x:v>
      </x:c>
      <x:c r="I1415" t="str">
        <x:v>https://www.smwcentral.net/?a=details&amp;id=22240&amp;p=section</x:v>
      </x:c>
      <x:c r="J1415" t="str">
        <x:v>https://dl.smwcentral.net/22240/Precision86%20Demo.zip</x:v>
      </x:c>
    </x:row>
    <x:row r="1416">
      <x:c r="A1416" t="str">
        <x:v>Precision86 Part II : The Forgotten Kingdom (DEMO)</x:v>
      </x:c>
      <x:c r="B1416" t="str">
        <x:v>Precision86 Part II : The Forgotten Kingdom (DEMO)</x:v>
      </x:c>
      <x:c r="C1416" t="str">
        <x:v>Nowieso</x:v>
      </x:c>
      <x:c r="D1416" t="n">
        <x:v>7</x:v>
      </x:c>
      <x:c r="E1416" t="str">
        <x:v>Master</x:v>
      </x:c>
      <x:c r="F1416" t="str">
        <x:v>Kaizo</x:v>
      </x:c>
      <x:c r="G1416" t="n">
        <x:v>46137</x:v>
      </x:c>
      <x:c r="H1416" t="str">
        <x:v>42028</x:v>
      </x:c>
      <x:c r="I1416" t="str">
        <x:v>https://www.smwcentral.net/?a=details&amp;id=42028&amp;p=section</x:v>
      </x:c>
      <x:c r="J1416" t="str">
        <x:v>https://dl.smwcentral.net/42028/Precision86%20Part%20II%20Demo%20V1_2.zip</x:v>
      </x:c>
    </x:row>
    <x:row r="1417">
      <x:c r="A1417" t="str">
        <x:v>Prickly Goo to the Rescue</x:v>
      </x:c>
      <x:c r="B1417" t="str">
        <x:v>Prickly Goo to the Rescue</x:v>
      </x:c>
      <x:c r="C1417" t="str">
        <x:v>LashLaRue24</x:v>
      </x:c>
      <x:c r="D1417" t="n">
        <x:v>9</x:v>
      </x:c>
      <x:c r="E1417" t="str">
        <x:v>Advanced</x:v>
      </x:c>
      <x:c r="F1417" t="str">
        <x:v>Kaizo</x:v>
      </x:c>
      <x:c r="G1417" t="n">
        <x:v>45334</x:v>
      </x:c>
      <x:c r="H1417" t="str">
        <x:v>36836</x:v>
      </x:c>
      <x:c r="I1417" t="str">
        <x:v>https://www.smwcentral.net/?a=details&amp;id=36836&amp;p=section</x:v>
      </x:c>
      <x:c r="J1417" t="str">
        <x:v>https://dl.smwcentral.net/36836/PricklyGoo.zip</x:v>
      </x:c>
    </x:row>
    <x:row r="1418">
      <x:c r="A1418" t="str">
        <x:v>Primal Mario World</x:v>
      </x:c>
      <x:c r="B1418" t="str">
        <x:v>Primal Mario World</x:v>
      </x:c>
      <x:c r="C1418" t="str">
        <x:v>PineappleProducer</x:v>
      </x:c>
      <x:c r="D1418" t="n">
        <x:v>44</x:v>
      </x:c>
      <x:c r="E1418" t="str">
        <x:v>Newcomer</x:v>
      </x:c>
      <x:c r="F1418" t="str">
        <x:v>Standard</x:v>
      </x:c>
      <x:c r="G1418" t="n">
        <x:v>42275</x:v>
      </x:c>
      <x:c r="H1418" t="str">
        <x:v>10042</x:v>
      </x:c>
      <x:c r="I1418" t="str">
        <x:v>https://www.smwcentral.net/?a=details&amp;id=10042&amp;p=section</x:v>
      </x:c>
      <x:c r="J1418" t="str">
        <x:v>https://dl.smwcentral.net/10042/PMW%20%28Demo%202%29.zip</x:v>
      </x:c>
    </x:row>
    <x:row r="1419">
      <x:c r="A1419" t="str">
        <x:v>Primal Shells</x:v>
      </x:c>
      <x:c r="B1419" t="str">
        <x:v>Primal Shells</x:v>
      </x:c>
      <x:c r="C1419" t="str">
        <x:v>Eryck</x:v>
      </x:c>
      <x:c r="D1419" t="n">
        <x:v>18</x:v>
      </x:c>
      <x:c r="E1419" t="str">
        <x:v>Master</x:v>
      </x:c>
      <x:c r="F1419" t="str">
        <x:v>Kaizo</x:v>
      </x:c>
      <x:c r="G1419" t="n">
        <x:v>44870</x:v>
      </x:c>
      <x:c r="H1419" t="str">
        <x:v>32472</x:v>
      </x:c>
      <x:c r="I1419" t="str">
        <x:v>https://www.smwcentral.net/?a=details&amp;id=32472&amp;p=section</x:v>
      </x:c>
      <x:c r="J1419" t="str">
        <x:v>https://dl.smwcentral.net/32472/Primal%20Shells.zip</x:v>
      </x:c>
    </x:row>
    <x:row r="1420">
      <x:c r="A1420" t="str">
        <x:v>Princess Kaizo Land</x:v>
      </x:c>
      <x:c r="B1420" t="str">
        <x:v>Princess Kaizo Land</x:v>
      </x:c>
      <x:c r="C1420" t="str">
        <x:v>ChaosComposer</x:v>
      </x:c>
      <x:c r="D1420" t="n">
        <x:v>14</x:v>
      </x:c>
      <x:c r="E1420" t="str">
        <x:v>Advanced</x:v>
      </x:c>
      <x:c r="F1420" t="str">
        <x:v>Kaizo</x:v>
      </x:c>
      <x:c r="G1420" t="n">
        <x:v>43274</x:v>
      </x:c>
      <x:c r="H1420" t="str">
        <x:v>17633</x:v>
      </x:c>
      <x:c r="I1420" t="str">
        <x:v>https://www.smwcentral.net/?a=details&amp;id=17633&amp;p=section</x:v>
      </x:c>
      <x:c r="J1420" t="str">
        <x:v>https://dl.smwcentral.net/17633/PrincessKaizoLand.zip</x:v>
      </x:c>
    </x:row>
    <x:row r="1421">
      <x:c r="A1421" t="str">
        <x:v>Project Brutality</x:v>
      </x:c>
      <x:c r="B1421" t="str">
        <x:v>Project Brutality</x:v>
      </x:c>
      <x:c r="C1421" t="str">
        <x:v>Sweetdude</x:v>
      </x:c>
      <x:c r="D1421" t="n">
        <x:v>1</x:v>
      </x:c>
      <x:c r="E1421" t="str">
        <x:v>Master</x:v>
      </x:c>
      <x:c r="F1421" t="str">
        <x:v>Kaizo</x:v>
      </x:c>
      <x:c r="G1421" t="n">
        <x:v>43775</x:v>
      </x:c>
      <x:c r="H1421" t="str">
        <x:v>21331</x:v>
      </x:c>
      <x:c r="I1421" t="str">
        <x:v>https://www.smwcentral.net/?a=details&amp;id=21331&amp;p=section</x:v>
      </x:c>
      <x:c r="J1421" t="str">
        <x:v>https://dl.smwcentral.net/21331/Death%20and%20Despair.zip</x:v>
      </x:c>
    </x:row>
    <x:row r="1422">
      <x:c r="A1422" t="str">
        <x:v>Project Frick 2019</x:v>
      </x:c>
      <x:c r="B1422" t="str">
        <x:v>Project Frick 2019</x:v>
      </x:c>
      <x:c r="C1422" t="str">
        <x:v>DynastyLobster</x:v>
      </x:c>
      <x:c r="D1422" t="n">
        <x:v>8</x:v>
      </x:c>
      <x:c r="E1422" t="str">
        <x:v>Casual</x:v>
      </x:c>
      <x:c r="F1422" t="str">
        <x:v>Standard</x:v>
      </x:c>
      <x:c r="G1422" t="n">
        <x:v>44509</x:v>
      </x:c>
      <x:c r="H1422" t="str">
        <x:v>28751</x:v>
      </x:c>
      <x:c r="I1422" t="str">
        <x:v>https://www.smwcentral.net/?a=details&amp;id=28751&amp;p=section</x:v>
      </x:c>
      <x:c r="J1422" t="str">
        <x:v>https://dl.smwcentral.net/28751/project%20frick.zip</x:v>
      </x:c>
    </x:row>
    <x:row r="1423">
      <x:c r="A1423" t="str">
        <x:v>Project Jonny Hacks 2 - Yoshi´s Journey of Justice</x:v>
      </x:c>
      <x:c r="B1423" t="str">
        <x:v>Project Jonny Hacks 2 - Yoshi´s Journey of Justice</x:v>
      </x:c>
      <x:c r="C1423" t="str">
        <x:v>T-Jonny</x:v>
      </x:c>
      <x:c r="D1423" t="n">
        <x:v>16</x:v>
      </x:c>
      <x:c r="E1423" t="str">
        <x:v>Casual</x:v>
      </x:c>
      <x:c r="F1423" t="str">
        <x:v>Standard</x:v>
      </x:c>
      <x:c r="G1423" t="n">
        <x:v>43464</x:v>
      </x:c>
      <x:c r="H1423" t="str">
        <x:v>18695</x:v>
      </x:c>
      <x:c r="I1423" t="str">
        <x:v>https://www.smwcentral.net/?a=details&amp;id=18695&amp;p=section</x:v>
      </x:c>
      <x:c r="J1423" t="str">
        <x:v>https://dl.smwcentral.net/18695/PJH%202%20-%20YJoJ.zip</x:v>
      </x:c>
    </x:row>
    <x:row r="1424">
      <x:c r="A1424" t="str">
        <x:v>Project Jonny Hacks 3 - My Last Mission</x:v>
      </x:c>
      <x:c r="B1424" t="str">
        <x:v>Project Jonny Hacks 3 - My Last Mission</x:v>
      </x:c>
      <x:c r="C1424" t="str">
        <x:v>T-Jonny</x:v>
      </x:c>
      <x:c r="D1424" t="n">
        <x:v>39</x:v>
      </x:c>
      <x:c r="E1424" t="str">
        <x:v>Intermediate</x:v>
      </x:c>
      <x:c r="F1424" t="str">
        <x:v>Standard</x:v>
      </x:c>
      <x:c r="G1424" t="n">
        <x:v>43308</x:v>
      </x:c>
      <x:c r="H1424" t="str">
        <x:v>17956</x:v>
      </x:c>
      <x:c r="I1424" t="str">
        <x:v>https://www.smwcentral.net/?a=details&amp;id=17956&amp;p=section</x:v>
      </x:c>
      <x:c r="J1424" t="str">
        <x:v>https://dl.smwcentral.net/17956/PJH%203%20-%20MLM.zip</x:v>
      </x:c>
    </x:row>
    <x:row r="1425">
      <x:c r="A1425" t="str">
        <x:v>Project L 1.0B</x:v>
      </x:c>
      <x:c r="B1425" t="str">
        <x:v>Project L 1.0B</x:v>
      </x:c>
      <x:c r="C1425" t="str">
        <x:v>DanTheCreator</x:v>
      </x:c>
      <x:c r="D1425" t="n">
        <x:v>5</x:v>
      </x:c>
      <x:c r="E1425" t="str">
        <x:v>Casual</x:v>
      </x:c>
      <x:c r="F1425" t="str">
        <x:v>Standard</x:v>
      </x:c>
      <x:c r="G1425" t="n">
        <x:v>43081</x:v>
      </x:c>
      <x:c r="H1425" t="str">
        <x:v>16709</x:v>
      </x:c>
      <x:c r="I1425" t="str">
        <x:v>https://www.smwcentral.net/?a=details&amp;id=16709&amp;p=section</x:v>
      </x:c>
      <x:c r="J1425" t="str">
        <x:v>https://dl.smwcentral.net/16709/ProjectL.zip</x:v>
      </x:c>
    </x:row>
    <x:row r="1426">
      <x:c r="A1426" t="str">
        <x:v>Project Underscore</x:v>
      </x:c>
      <x:c r="B1426" t="str">
        <x:v>Project Underscore</x:v>
      </x:c>
      <x:c r="C1426" t="str">
        <x:v>Teyla</x:v>
      </x:c>
      <x:c r="D1426" t="n">
        <x:v>10</x:v>
      </x:c>
      <x:c r="E1426" t="str">
        <x:v>Casual</x:v>
      </x:c>
      <x:c r="F1426" t="str">
        <x:v>Standard</x:v>
      </x:c>
      <x:c r="G1426" t="n">
        <x:v>44446</x:v>
      </x:c>
      <x:c r="H1426" t="str">
        <x:v>28223</x:v>
      </x:c>
      <x:c r="I1426" t="str">
        <x:v>https://www.smwcentral.net/?a=details&amp;id=28223&amp;p=section</x:v>
      </x:c>
      <x:c r="J1426" t="str">
        <x:v>https://dl.smwcentral.net/28223/Teyla%20-%20Project%20Underscore.zip</x:v>
      </x:c>
    </x:row>
    <x:row r="1427">
      <x:c r="A1427" t="str">
        <x:v>Project_Bonestorm.tar.gz (A Mega Man/X-Styled SMW ROM Hack)</x:v>
      </x:c>
      <x:c r="B1427" t="str">
        <x:v>Project_Bonestorm.tar.gz (A Mega Man/X-Styled SMW ROM Hack)</x:v>
      </x:c>
      <x:c r="C1427" t="str">
        <x:v>EE_02.tar.gz</x:v>
      </x:c>
      <x:c r="D1427" t="n">
        <x:v>17</x:v>
      </x:c>
      <x:c r="E1427" t="str">
        <x:v>Intermediate</x:v>
      </x:c>
      <x:c r="F1427" t="str">
        <x:v>Standard</x:v>
      </x:c>
      <x:c r="G1427" t="n">
        <x:v>45731</x:v>
      </x:c>
      <x:c r="H1427" t="str">
        <x:v>38743</x:v>
      </x:c>
      <x:c r="I1427" t="str">
        <x:v>https://www.smwcentral.net/?a=details&amp;id=38743&amp;p=section</x:v>
      </x:c>
      <x:c r="J1427" t="str">
        <x:v>https://dl.smwcentral.net/38743/Project_Bonestorm.tar.gz_.zip</x:v>
      </x:c>
    </x:row>
    <x:row r="1428">
      <x:c r="A1428" t="str">
        <x:v>PropL\R Block</x:v>
      </x:c>
      <x:c r="B1428" t="str">
        <x:v>PropL\R Block</x:v>
      </x:c>
      <x:c r="C1428" t="str">
        <x:v>MarsAmPear</x:v>
      </x:c>
      <x:c r="D1428" t="n">
        <x:v>0</x:v>
      </x:c>
      <x:c r="E1428" t="str">
        <x:v>Master</x:v>
      </x:c>
      <x:c r="F1428" t="str">
        <x:v>Kaizo</x:v>
      </x:c>
      <x:c r="G1428" t="n">
        <x:v>45307</x:v>
      </x:c>
      <x:c r="H1428" t="str">
        <x:v>35878</x:v>
      </x:c>
      <x:c r="I1428" t="str">
        <x:v>https://www.smwcentral.net/?a=details&amp;id=35878&amp;p=section</x:v>
      </x:c>
      <x:c r="J1428" t="str">
        <x:v>https://dl.smwcentral.net/35878/PropL-R%20Block.zip</x:v>
      </x:c>
    </x:row>
    <x:row r="1429">
      <x:c r="A1429" t="str">
        <x:v>Pumpkins and Slaughter</x:v>
      </x:c>
      <x:c r="B1429" t="str">
        <x:v>Pumpkins and Slaughter</x:v>
      </x:c>
      <x:c r="C1429" t="str">
        <x:v>HLXY</x:v>
      </x:c>
      <x:c r="D1429" t="n">
        <x:v>1</x:v>
      </x:c>
      <x:c r="E1429" t="str">
        <x:v>Expert</x:v>
      </x:c>
      <x:c r="F1429" t="str">
        <x:v>Kaizo</x:v>
      </x:c>
      <x:c r="G1429" t="n">
        <x:v>43404</x:v>
      </x:c>
      <x:c r="H1429" t="str">
        <x:v>18384</x:v>
      </x:c>
      <x:c r="I1429" t="str">
        <x:v>https://www.smwcentral.net/?a=details&amp;id=18384&amp;p=section</x:v>
      </x:c>
      <x:c r="J1429" t="str">
        <x:v>https://dl.smwcentral.net/18384/P%26S.zip</x:v>
      </x:c>
    </x:row>
    <x:row r="1430">
      <x:c r="A1430" t="str">
        <x:v>Punishing Pothole 2</x:v>
      </x:c>
      <x:c r="B1430" t="str">
        <x:v>Punishing Pothole 2</x:v>
      </x:c>
      <x:c r="C1430" t="str">
        <x:v>Sokobansolver</x:v>
      </x:c>
      <x:c r="D1430" t="n">
        <x:v>2</x:v>
      </x:c>
      <x:c r="E1430" t="str">
        <x:v>Advanced</x:v>
      </x:c>
      <x:c r="F1430" t="str">
        <x:v>Kaizo, Tool-Assisted</x:v>
      </x:c>
      <x:c r="G1430" t="n">
        <x:v>42199</x:v>
      </x:c>
      <x:c r="H1430" t="str">
        <x:v>11350</x:v>
      </x:c>
      <x:c r="I1430" t="str">
        <x:v>https://www.smwcentral.net/?a=details&amp;id=11350&amp;p=section</x:v>
      </x:c>
      <x:c r="J1430" t="str">
        <x:v>https://dl.smwcentral.net/11350/PunishingPothole2.zip</x:v>
      </x:c>
    </x:row>
    <x:row r="1431">
      <x:c r="A1431" t="str">
        <x:v>Punishing Pothole 3</x:v>
      </x:c>
      <x:c r="B1431" t="str">
        <x:v>Punishing Pothole 3</x:v>
      </x:c>
      <x:c r="C1431" t="str">
        <x:v>Sokobansolver</x:v>
      </x:c>
      <x:c r="D1431" t="n">
        <x:v>1</x:v>
      </x:c>
      <x:c r="E1431" t="str">
        <x:v>Advanced</x:v>
      </x:c>
      <x:c r="F1431" t="str">
        <x:v>Kaizo, Tool-Assisted</x:v>
      </x:c>
      <x:c r="G1431" t="n">
        <x:v>45158</x:v>
      </x:c>
      <x:c r="H1431" t="str">
        <x:v>34156</x:v>
      </x:c>
      <x:c r="I1431" t="str">
        <x:v>https://www.smwcentral.net/?a=details&amp;id=34156&amp;p=section</x:v>
      </x:c>
      <x:c r="J1431" t="str">
        <x:v>https://dl.smwcentral.net/34156/PunishingPothole3.zip</x:v>
      </x:c>
    </x:row>
    <x:row r="1432">
      <x:c r="A1432" t="str">
        <x:v>Purgatory</x:v>
      </x:c>
      <x:c r="B1432" t="str">
        <x:v>Purgatory</x:v>
      </x:c>
      <x:c r="C1432" t="str">
        <x:v>Fyre150</x:v>
      </x:c>
      <x:c r="D1432" t="n">
        <x:v>21</x:v>
      </x:c>
      <x:c r="E1432" t="str">
        <x:v>Expert</x:v>
      </x:c>
      <x:c r="F1432" t="str">
        <x:v>Kaizo</x:v>
      </x:c>
      <x:c r="G1432" t="n">
        <x:v>44462</x:v>
      </x:c>
      <x:c r="H1432" t="str">
        <x:v>28386</x:v>
      </x:c>
      <x:c r="I1432" t="str">
        <x:v>https://www.smwcentral.net/?a=details&amp;id=28386&amp;p=section</x:v>
      </x:c>
      <x:c r="J1432" t="str">
        <x:v>https://dl.smwcentral.net/28386/Purgatory.zip</x:v>
      </x:c>
    </x:row>
    <x:row r="1433">
      <x:c r="A1433" t="str">
        <x:v>Quest for Corgi Butts</x:v>
      </x:c>
      <x:c r="B1433" t="str">
        <x:v>Quest for Corgi Butts</x:v>
      </x:c>
      <x:c r="C1433" t="str">
        <x:v>TDWarrior</x:v>
      </x:c>
      <x:c r="D1433" t="n">
        <x:v>18</x:v>
      </x:c>
      <x:c r="E1433" t="str">
        <x:v>Advanced</x:v>
      </x:c>
      <x:c r="F1433" t="str">
        <x:v>Kaizo</x:v>
      </x:c>
      <x:c r="G1433" t="n">
        <x:v>44168</x:v>
      </x:c>
      <x:c r="H1433" t="str">
        <x:v>25307</x:v>
      </x:c>
      <x:c r="I1433" t="str">
        <x:v>https://www.smwcentral.net/?a=details&amp;id=25307&amp;p=section</x:v>
      </x:c>
      <x:c r="J1433" t="str">
        <x:v>https://dl.smwcentral.net/25307/QuestforCorgiButtsv1.1.zip</x:v>
      </x:c>
    </x:row>
    <x:row r="1434">
      <x:c r="A1434" t="str">
        <x:v>Quest for milk</x:v>
      </x:c>
      <x:c r="B1434" t="str">
        <x:v>Quest for milk</x:v>
      </x:c>
      <x:c r="C1434" t="str">
        <x:v>Lush_50</x:v>
      </x:c>
      <x:c r="D1434" t="n">
        <x:v>6</x:v>
      </x:c>
      <x:c r="E1434" t="str">
        <x:v>Intermediate</x:v>
      </x:c>
      <x:c r="F1434" t="str">
        <x:v>Kaizo</x:v>
      </x:c>
      <x:c r="G1434" t="n">
        <x:v>44868</x:v>
      </x:c>
      <x:c r="H1434" t="str">
        <x:v>32480</x:v>
      </x:c>
      <x:c r="I1434" t="str">
        <x:v>https://www.smwcentral.net/?a=details&amp;id=32480&amp;p=section</x:v>
      </x:c>
      <x:c r="J1434" t="str">
        <x:v>https://dl.smwcentral.net/32480/QUEST%20FOR%20MILK%20%28v1.2%29.zip</x:v>
      </x:c>
    </x:row>
    <x:row r="1435">
      <x:c r="A1435" t="str">
        <x:v>Quest for the Dragon Coins</x:v>
      </x:c>
      <x:c r="B1435" t="str">
        <x:v>Quest for the Dragon Coins</x:v>
      </x:c>
      <x:c r="C1435" t="str">
        <x:v>s4ys</x:v>
      </x:c>
      <x:c r="D1435" t="n">
        <x:v>4</x:v>
      </x:c>
      <x:c r="E1435" t="str">
        <x:v>Advanced</x:v>
      </x:c>
      <x:c r="F1435" t="str">
        <x:v>Kaizo</x:v>
      </x:c>
      <x:c r="G1435" t="n">
        <x:v>44196</x:v>
      </x:c>
      <x:c r="H1435" t="str">
        <x:v>25582</x:v>
      </x:c>
      <x:c r="I1435" t="str">
        <x:v>https://www.smwcentral.net/?a=details&amp;id=25582&amp;p=section</x:v>
      </x:c>
      <x:c r="J1435" t="str">
        <x:v>https://dl.smwcentral.net/25582/Quest_for_the_Dragon_Coins_%28DEMO%29.zip</x:v>
      </x:c>
    </x:row>
    <x:row r="1436">
      <x:c r="A1436" t="str">
        <x:v>Quest in the Mushroom Kingdom</x:v>
      </x:c>
      <x:c r="B1436" t="str">
        <x:v>Quest in the Mushroom Kingdom</x:v>
      </x:c>
      <x:c r="C1436" t="str">
        <x:v>pieguy1372</x:v>
      </x:c>
      <x:c r="D1436" t="n">
        <x:v>23</x:v>
      </x:c>
      <x:c r="E1436" t="str">
        <x:v>Intermediate</x:v>
      </x:c>
      <x:c r="F1436" t="str">
        <x:v>Standard</x:v>
      </x:c>
      <x:c r="G1436" t="n">
        <x:v>42227</x:v>
      </x:c>
      <x:c r="H1436" t="str">
        <x:v>9795</x:v>
      </x:c>
      <x:c r="I1436" t="str">
        <x:v>https://www.smwcentral.net/?a=details&amp;id=9795&amp;p=section</x:v>
      </x:c>
      <x:c r="J1436" t="str">
        <x:v>https://dl.smwcentral.net/9795/qimk_demo2.zip</x:v>
      </x:c>
    </x:row>
    <x:row r="1437">
      <x:c r="A1437" t="str">
        <x:v>Quest on Full Moon Island</x:v>
      </x:c>
      <x:c r="B1437" t="str">
        <x:v>Quest on Full Moon Island</x:v>
      </x:c>
      <x:c r="C1437" t="str">
        <x:v>Stormkyleis</x:v>
      </x:c>
      <x:c r="D1437" t="n">
        <x:v>32</x:v>
      </x:c>
      <x:c r="E1437" t="str">
        <x:v>Intermediate</x:v>
      </x:c>
      <x:c r="F1437" t="str">
        <x:v>Standard</x:v>
      </x:c>
      <x:c r="G1437" t="n">
        <x:v>41530</x:v>
      </x:c>
      <x:c r="H1437" t="str">
        <x:v>5399</x:v>
      </x:c>
      <x:c r="I1437" t="str">
        <x:v>https://www.smwcentral.net/?a=details&amp;id=5399&amp;p=section</x:v>
      </x:c>
      <x:c r="J1437" t="str">
        <x:v>https://dl.smwcentral.net/5399/Quest%20on%20Full%20Moon%20Island%20v1.2.zip</x:v>
      </x:c>
    </x:row>
    <x:row r="1438">
      <x:c r="A1438" t="str">
        <x:v>Quest on Full Moon Island v1.3 ita</x:v>
      </x:c>
      <x:c r="B1438" t="str">
        <x:v>Quest on Full Moon Island v1.3 ita</x:v>
      </x:c>
      <x:c r="C1438" t="str">
        <x:v>Gio Gio, Stormkyleis</x:v>
      </x:c>
      <x:c r="D1438" t="n">
        <x:v>32</x:v>
      </x:c>
      <x:c r="E1438" t="str">
        <x:v>Intermediate</x:v>
      </x:c>
      <x:c r="F1438" t="str">
        <x:v>Standard</x:v>
      </x:c>
      <x:c r="G1438" t="n">
        <x:v>45138</x:v>
      </x:c>
      <x:c r="H1438" t="str">
        <x:v>34164</x:v>
      </x:c>
      <x:c r="I1438" t="str">
        <x:v>https://www.smwcentral.net/?a=details&amp;id=34164&amp;p=section</x:v>
      </x:c>
      <x:c r="J1438" t="str">
        <x:v>https://dl.smwcentral.net/34164/Quest%20on%20Full%20Moon%20Island%20v1.3%20ita.zip</x:v>
      </x:c>
    </x:row>
    <x:row r="1439">
      <x:c r="A1439" t="str">
        <x:v>Quick Delivery</x:v>
      </x:c>
      <x:c r="B1439" t="str">
        <x:v>Quick Delivery</x:v>
      </x:c>
      <x:c r="C1439" t="str">
        <x:v>superman6791</x:v>
      </x:c>
      <x:c r="D1439" t="n">
        <x:v>4</x:v>
      </x:c>
      <x:c r="E1439" t="str">
        <x:v>Casual</x:v>
      </x:c>
      <x:c r="F1439" t="str">
        <x:v>Standard</x:v>
      </x:c>
      <x:c r="G1439" t="n">
        <x:v>42276</x:v>
      </x:c>
      <x:c r="H1439" t="str">
        <x:v>9985</x:v>
      </x:c>
      <x:c r="I1439" t="str">
        <x:v>https://www.smwcentral.net/?a=details&amp;id=9985&amp;p=section</x:v>
      </x:c>
      <x:c r="J1439" t="str">
        <x:v>https://dl.smwcentral.net/9985/Quick%20Delivery%5BDemo%5D.zip</x:v>
      </x:c>
    </x:row>
    <x:row r="1440">
      <x:c r="A1440" t="str">
        <x:v>Quickie World</x:v>
      </x:c>
      <x:c r="B1440" t="str">
        <x:v>Quickie World</x:v>
      </x:c>
      <x:c r="C1440" t="str">
        <x:v>Valdio</x:v>
      </x:c>
      <x:c r="D1440" t="n">
        <x:v>14</x:v>
      </x:c>
      <x:c r="E1440" t="str">
        <x:v>Advanced</x:v>
      </x:c>
      <x:c r="F1440" t="str">
        <x:v>Kaizo</x:v>
      </x:c>
      <x:c r="G1440" t="n">
        <x:v>43214</x:v>
      </x:c>
      <x:c r="H1440" t="str">
        <x:v>17441</x:v>
      </x:c>
      <x:c r="I1440" t="str">
        <x:v>https://www.smwcentral.net/?a=details&amp;id=17441&amp;p=section</x:v>
      </x:c>
      <x:c r="J1440" t="str">
        <x:v>https://dl.smwcentral.net/17441/QuickieWorld1.12.zip</x:v>
      </x:c>
    </x:row>
    <x:row r="1441">
      <x:c r="A1441" t="str">
        <x:v>Quickie World 2</x:v>
      </x:c>
      <x:c r="B1441" t="str">
        <x:v>Quickie World 2</x:v>
      </x:c>
      <x:c r="C1441" t="str">
        <x:v>Valdio</x:v>
      </x:c>
      <x:c r="D1441" t="n">
        <x:v>22</x:v>
      </x:c>
      <x:c r="E1441" t="str">
        <x:v>Intermediate</x:v>
      </x:c>
      <x:c r="F1441" t="str">
        <x:v>Kaizo</x:v>
      </x:c>
      <x:c r="G1441" t="n">
        <x:v>43532</x:v>
      </x:c>
      <x:c r="H1441" t="str">
        <x:v>19279</x:v>
      </x:c>
      <x:c r="I1441" t="str">
        <x:v>https://www.smwcentral.net/?a=details&amp;id=19279&amp;p=section</x:v>
      </x:c>
      <x:c r="J1441" t="str">
        <x:v>https://dl.smwcentral.net/19279/Quickie%20World%202.zip</x:v>
      </x:c>
    </x:row>
    <x:row r="1442">
      <x:c r="A1442" t="str">
        <x:v>Quickie World: With a Vengeance</x:v>
      </x:c>
      <x:c r="B1442" t="str">
        <x:v>Quickie World: With a Vengeance</x:v>
      </x:c>
      <x:c r="C1442" t="str">
        <x:v>Valdio</x:v>
      </x:c>
      <x:c r="D1442" t="n">
        <x:v>9</x:v>
      </x:c>
      <x:c r="E1442" t="str">
        <x:v>Advanced</x:v>
      </x:c>
      <x:c r="F1442" t="str">
        <x:v>Kaizo</x:v>
      </x:c>
      <x:c r="G1442" t="n">
        <x:v>44599</x:v>
      </x:c>
      <x:c r="H1442" t="str">
        <x:v>29695</x:v>
      </x:c>
      <x:c r="I1442" t="str">
        <x:v>https://www.smwcentral.net/?a=details&amp;id=29695&amp;p=section</x:v>
      </x:c>
      <x:c r="J1442" t="str">
        <x:v>https://dl.smwcentral.net/29695/QWwav.zip</x:v>
      </x:c>
    </x:row>
    <x:row r="1443">
      <x:c r="A1443" t="str">
        <x:v>Qzeq Pls Download Game</x:v>
      </x:c>
      <x:c r="B1443" t="str">
        <x:v>Qzeq Pls Download Game</x:v>
      </x:c>
      <x:c r="C1443" t="str">
        <x:v>PurpleShiny</x:v>
      </x:c>
      <x:c r="D1443" t="n">
        <x:v>20</x:v>
      </x:c>
      <x:c r="E1443" t="str">
        <x:v>Casual</x:v>
      </x:c>
      <x:c r="F1443" t="str">
        <x:v>Standard</x:v>
      </x:c>
      <x:c r="G1443" t="n">
        <x:v>45379</x:v>
      </x:c>
      <x:c r="H1443" t="str">
        <x:v>36598</x:v>
      </x:c>
      <x:c r="I1443" t="str">
        <x:v>https://www.smwcentral.net/?a=details&amp;id=36598&amp;p=section</x:v>
      </x:c>
      <x:c r="J1443" t="str">
        <x:v>https://dl.smwcentral.net/36598/QZEQ%20PLS%20DOWNLOAD%20GAME%20%28v1.3%29.zip</x:v>
      </x:c>
    </x:row>
    <x:row r="1444">
      <x:c r="A1444" t="str">
        <x:v>R-ACK</x:v>
      </x:c>
      <x:c r="B1444" t="str">
        <x:v>R-ACK</x:v>
      </x:c>
      <x:c r="C1444" t="str">
        <x:v>Daizo Dee Von, Team JANK</x:v>
      </x:c>
      <x:c r="D1444" t="n">
        <x:v>50</x:v>
      </x:c>
      <x:c r="E1444" t="str">
        <x:v>Advanced</x:v>
      </x:c>
      <x:c r="F1444" t="str">
        <x:v>Standard</x:v>
      </x:c>
      <x:c r="G1444" t="n">
        <x:v>44334</x:v>
      </x:c>
      <x:c r="H1444" t="str">
        <x:v>27001</x:v>
      </x:c>
      <x:c r="I1444" t="str">
        <x:v>https://www.smwcentral.net/?a=details&amp;id=27001&amp;p=section</x:v>
      </x:c>
      <x:c r="J1444" t="str">
        <x:v>https://dl.smwcentral.net/27001/R-ACK.zip</x:v>
      </x:c>
    </x:row>
    <x:row r="1445">
      <x:c r="A1445" t="str">
        <x:v>Race to the finish</x:v>
      </x:c>
      <x:c r="B1445" t="str">
        <x:v>Race to the finish</x:v>
      </x:c>
      <x:c r="C1445" t="str">
        <x:v>Lush_50</x:v>
      </x:c>
      <x:c r="D1445" t="n">
        <x:v>0</x:v>
      </x:c>
      <x:c r="E1445" t="str">
        <x:v>Advanced</x:v>
      </x:c>
      <x:c r="F1445" t="str">
        <x:v>Kaizo</x:v>
      </x:c>
      <x:c r="G1445" t="n">
        <x:v>44894</x:v>
      </x:c>
      <x:c r="H1445" t="str">
        <x:v>32644</x:v>
      </x:c>
      <x:c r="I1445" t="str">
        <x:v>https://www.smwcentral.net/?a=details&amp;id=32644&amp;p=section</x:v>
      </x:c>
      <x:c r="J1445" t="str">
        <x:v>https://dl.smwcentral.net/32644/Race%20to%20the%20finish%20V1.0.zip</x:v>
      </x:c>
    </x:row>
    <x:row r="1446">
      <x:c r="A1446" t="str">
        <x:v>Rachell's Melin Rescue!</x:v>
      </x:c>
      <x:c r="B1446" t="str">
        <x:v>Rachell's Melin Rescue!</x:v>
      </x:c>
      <x:c r="C1446" t="str">
        <x:v>ZG STAFF</x:v>
      </x:c>
      <x:c r="D1446" t="n">
        <x:v>13</x:v>
      </x:c>
      <x:c r="E1446" t="str">
        <x:v>Casual</x:v>
      </x:c>
      <x:c r="F1446" t="str">
        <x:v>Standard</x:v>
      </x:c>
      <x:c r="G1446" t="n">
        <x:v>42293</x:v>
      </x:c>
      <x:c r="H1446" t="str">
        <x:v>10108</x:v>
      </x:c>
      <x:c r="I1446" t="str">
        <x:v>https://www.smwcentral.net/?a=details&amp;id=10108&amp;p=section</x:v>
      </x:c>
      <x:c r="J1446" t="str">
        <x:v>https://dl.smwcentral.net/10108/MelinRescue.zip</x:v>
      </x:c>
    </x:row>
    <x:row r="1447">
      <x:c r="A1447" t="str">
        <x:v>Rakugaki Mario</x:v>
      </x:c>
      <x:c r="B1447" t="str">
        <x:v>Rakugaki Mario</x:v>
      </x:c>
      <x:c r="C1447" t="str">
        <x:v>Various Authors</x:v>
      </x:c>
      <x:c r="D1447" t="n">
        <x:v>85</x:v>
      </x:c>
      <x:c r="E1447" t="str">
        <x:v>Grandmaster</x:v>
      </x:c>
      <x:c r="F1447" t="str">
        <x:v>Standard, Kaizo</x:v>
      </x:c>
      <x:c r="G1447" t="n">
        <x:v>44722</x:v>
      </x:c>
      <x:c r="H1447" t="str">
        <x:v>30623</x:v>
      </x:c>
      <x:c r="I1447" t="str">
        <x:v>https://www.smwcentral.net/?a=details&amp;id=30623&amp;p=section</x:v>
      </x:c>
      <x:c r="J1447" t="str">
        <x:v>https://dl.smwcentral.net/30623/Rakugaki_Mario_1.11.zip</x:v>
      </x:c>
    </x:row>
    <x:row r="1448">
      <x:c r="A1448" t="str">
        <x:v>RamzaNeko</x:v>
      </x:c>
      <x:c r="B1448" t="str">
        <x:v>RamzaNeko</x:v>
      </x:c>
      <x:c r="C1448" t="str">
        <x:v>YamiRamzaNeko</x:v>
      </x:c>
      <x:c r="D1448" t="n">
        <x:v>8</x:v>
      </x:c>
      <x:c r="E1448" t="str">
        <x:v>Casual</x:v>
      </x:c>
      <x:c r="F1448" t="str">
        <x:v>Standard</x:v>
      </x:c>
      <x:c r="G1448" t="n">
        <x:v>42104</x:v>
      </x:c>
      <x:c r="H1448" t="str">
        <x:v>9711</x:v>
      </x:c>
      <x:c r="I1448" t="str">
        <x:v>https://www.smwcentral.net/?a=details&amp;id=9711&amp;p=section</x:v>
      </x:c>
      <x:c r="J1448" t="str">
        <x:v>https://dl.smwcentral.net/9711/NekoNeko.zip</x:v>
      </x:c>
    </x:row>
    <x:row r="1449">
      <x:c r="A1449" t="str">
        <x:v>Random Access Memoby</x:v>
      </x:c>
      <x:c r="B1449" t="str">
        <x:v>Random Access Memoby</x:v>
      </x:c>
      <x:c r="C1449" t="str">
        <x:v>Alex, Lazy, Mellonpizza, snoruntpyro</x:v>
      </x:c>
      <x:c r="D1449" t="n">
        <x:v>5</x:v>
      </x:c>
      <x:c r="E1449" t="str">
        <x:v>Master</x:v>
      </x:c>
      <x:c r="F1449" t="str">
        <x:v>Standard</x:v>
      </x:c>
      <x:c r="G1449" t="n">
        <x:v>45450</x:v>
      </x:c>
      <x:c r="H1449" t="str">
        <x:v>37882</x:v>
      </x:c>
      <x:c r="I1449" t="str">
        <x:v>https://www.smwcentral.net/?a=details&amp;id=37882&amp;p=section</x:v>
      </x:c>
      <x:c r="J1449" t="str">
        <x:v>https://dl.smwcentral.net/37882/Random%20Access%20Memoby.zip</x:v>
      </x:c>
    </x:row>
    <x:row r="1450">
      <x:c r="A1450" t="str">
        <x:v>Random BS Go</x:v>
      </x:c>
      <x:c r="B1450" t="str">
        <x:v>Random BS Go</x:v>
      </x:c>
      <x:c r="C1450" t="str">
        <x:v>l337f00l</x:v>
      </x:c>
      <x:c r="D1450" t="n">
        <x:v>12</x:v>
      </x:c>
      <x:c r="E1450" t="str">
        <x:v>Master</x:v>
      </x:c>
      <x:c r="F1450" t="str">
        <x:v>Kaizo</x:v>
      </x:c>
      <x:c r="G1450" t="n">
        <x:v>45219</x:v>
      </x:c>
      <x:c r="H1450" t="str">
        <x:v>35284</x:v>
      </x:c>
      <x:c r="I1450" t="str">
        <x:v>https://www.smwcentral.net/?a=details&amp;id=35284&amp;p=section</x:v>
      </x:c>
      <x:c r="J1450" t="str">
        <x:v>https://dl.smwcentral.net/35284/Random_BS_Go.zip</x:v>
      </x:c>
    </x:row>
    <x:row r="1451">
      <x:c r="A1451" t="str">
        <x:v>Raphael's Revenge</x:v>
      </x:c>
      <x:c r="B1451" t="str">
        <x:v>Raphael's Revenge</x:v>
      </x:c>
      <x:c r="C1451" t="str">
        <x:v>Arity, manadream</x:v>
      </x:c>
      <x:c r="D1451" t="n">
        <x:v>10</x:v>
      </x:c>
      <x:c r="E1451" t="str">
        <x:v>Expert</x:v>
      </x:c>
      <x:c r="F1451" t="str">
        <x:v>Kaizo</x:v>
      </x:c>
      <x:c r="G1451" t="n">
        <x:v>45092</x:v>
      </x:c>
      <x:c r="H1451" t="str">
        <x:v>33916</x:v>
      </x:c>
      <x:c r="I1451" t="str">
        <x:v>https://www.smwcentral.net/?a=details&amp;id=33916&amp;p=section</x:v>
      </x:c>
      <x:c r="J1451" t="str">
        <x:v>https://dl.smwcentral.net/33916/RaphaelsRevengeV1.1.zip</x:v>
      </x:c>
    </x:row>
    <x:row r="1452">
      <x:c r="A1452" t="str">
        <x:v>Really Neat Gimmicks</x:v>
      </x:c>
      <x:c r="B1452" t="str">
        <x:v>Really Neat Gimmicks</x:v>
      </x:c>
      <x:c r="C1452" t="str">
        <x:v>Jeffw</x:v>
      </x:c>
      <x:c r="D1452" t="n">
        <x:v>14</x:v>
      </x:c>
      <x:c r="E1452" t="str">
        <x:v>Grandmaster</x:v>
      </x:c>
      <x:c r="F1452" t="str">
        <x:v>Standard, Kaizo</x:v>
      </x:c>
      <x:c r="G1452" t="n">
        <x:v>46099</x:v>
      </x:c>
      <x:c r="H1452" t="str">
        <x:v>40631</x:v>
      </x:c>
      <x:c r="I1452" t="str">
        <x:v>https://www.smwcentral.net/?a=details&amp;id=40631&amp;p=section</x:v>
      </x:c>
      <x:c r="J1452" t="str">
        <x:v>https://dl.smwcentral.net/40631/gimmicks.zip</x:v>
      </x:c>
    </x:row>
    <x:row r="1453">
      <x:c r="A1453" t="str">
        <x:v>Red City</x:v>
      </x:c>
      <x:c r="B1453" t="str">
        <x:v>Red City</x:v>
      </x:c>
      <x:c r="C1453" t="str">
        <x:v>redkiller</x:v>
      </x:c>
      <x:c r="D1453" t="n">
        <x:v>7</x:v>
      </x:c>
      <x:c r="E1453" t="str">
        <x:v>Master</x:v>
      </x:c>
      <x:c r="F1453" t="str">
        <x:v>Kaizo</x:v>
      </x:c>
      <x:c r="G1453" t="n">
        <x:v>45279</x:v>
      </x:c>
      <x:c r="H1453" t="str">
        <x:v>35680</x:v>
      </x:c>
      <x:c r="I1453" t="str">
        <x:v>https://www.smwcentral.net/?a=details&amp;id=35680&amp;p=section</x:v>
      </x:c>
      <x:c r="J1453" t="str">
        <x:v>https://dl.smwcentral.net/35680/RedCity.zip</x:v>
      </x:c>
    </x:row>
    <x:row r="1454">
      <x:c r="A1454" t="str">
        <x:v>Red Hero Endgame</x:v>
      </x:c>
      <x:c r="B1454" t="str">
        <x:v>Red Hero Endgame</x:v>
      </x:c>
      <x:c r="C1454" t="str">
        <x:v>Jukeboxi_</x:v>
      </x:c>
      <x:c r="D1454" t="n">
        <x:v>29</x:v>
      </x:c>
      <x:c r="E1454" t="str">
        <x:v>Expert</x:v>
      </x:c>
      <x:c r="F1454" t="str">
        <x:v>Kaizo</x:v>
      </x:c>
      <x:c r="G1454" t="n">
        <x:v>45348</x:v>
      </x:c>
      <x:c r="H1454" t="str">
        <x:v>36825</x:v>
      </x:c>
      <x:c r="I1454" t="str">
        <x:v>https://www.smwcentral.net/?a=details&amp;id=36825&amp;p=section</x:v>
      </x:c>
      <x:c r="J1454" t="str">
        <x:v>https://dl.smwcentral.net/36825/Red%20Hero%20Endgame%20V1.1.zip</x:v>
      </x:c>
    </x:row>
    <x:row r="1455">
      <x:c r="A1455" t="str">
        <x:v>Red Hero's Journey</x:v>
      </x:c>
      <x:c r="B1455" t="str">
        <x:v>Red Hero's Journey</x:v>
      </x:c>
      <x:c r="C1455" t="str">
        <x:v>Jukeboxi_</x:v>
      </x:c>
      <x:c r="D1455" t="n">
        <x:v>20</x:v>
      </x:c>
      <x:c r="E1455" t="str">
        <x:v>Expert</x:v>
      </x:c>
      <x:c r="F1455" t="str">
        <x:v>Kaizo</x:v>
      </x:c>
      <x:c r="G1455" t="n">
        <x:v>45007</x:v>
      </x:c>
      <x:c r="H1455" t="str">
        <x:v>33491</x:v>
      </x:c>
      <x:c r="I1455" t="str">
        <x:v>https://www.smwcentral.net/?a=details&amp;id=33491&amp;p=section</x:v>
      </x:c>
      <x:c r="J1455" t="str">
        <x:v>https://dl.smwcentral.net/33491/Red%20Hero%27s%20Journey.zip</x:v>
      </x:c>
    </x:row>
    <x:row r="1456">
      <x:c r="A1456" t="str">
        <x:v>Red Hero's Legacy</x:v>
      </x:c>
      <x:c r="B1456" t="str">
        <x:v>Red Hero's Legacy</x:v>
      </x:c>
      <x:c r="C1456" t="str">
        <x:v>Jukeboxi_</x:v>
      </x:c>
      <x:c r="D1456" t="n">
        <x:v>17</x:v>
      </x:c>
      <x:c r="E1456" t="str">
        <x:v>Expert</x:v>
      </x:c>
      <x:c r="F1456" t="str">
        <x:v>Kaizo</x:v>
      </x:c>
      <x:c r="G1456" t="n">
        <x:v>45152</x:v>
      </x:c>
      <x:c r="H1456" t="str">
        <x:v>34786</x:v>
      </x:c>
      <x:c r="I1456" t="str">
        <x:v>https://www.smwcentral.net/?a=details&amp;id=34786&amp;p=section</x:v>
      </x:c>
      <x:c r="J1456" t="str">
        <x:v>https://dl.smwcentral.net/34786/redheroslegacy.zip</x:v>
      </x:c>
    </x:row>
    <x:row r="1457">
      <x:c r="A1457" t="str">
        <x:v>Red Wario</x:v>
      </x:c>
      <x:c r="B1457" t="str">
        <x:v>Red Wario</x:v>
      </x:c>
      <x:c r="C1457" t="str">
        <x:v>SMWHackedHACK</x:v>
      </x:c>
      <x:c r="D1457" t="n">
        <x:v>4</x:v>
      </x:c>
      <x:c r="E1457" t="str">
        <x:v>Casual</x:v>
      </x:c>
      <x:c r="F1457" t="str">
        <x:v>Standard</x:v>
      </x:c>
      <x:c r="G1457" t="n">
        <x:v>42333</x:v>
      </x:c>
      <x:c r="H1457" t="str">
        <x:v>12691</x:v>
      </x:c>
      <x:c r="I1457" t="str">
        <x:v>https://www.smwcentral.net/?a=details&amp;id=12691&amp;p=section</x:v>
      </x:c>
      <x:c r="J1457" t="str">
        <x:v>https://dl.smwcentral.net/12691/rwario.zip</x:v>
      </x:c>
    </x:row>
    <x:row r="1458">
      <x:c r="A1458" t="str">
        <x:v>Red's Christmas Party!</x:v>
      </x:c>
      <x:c r="B1458" t="str">
        <x:v>Red's Christmas Party!</x:v>
      </x:c>
      <x:c r="C1458" t="str">
        <x:v>RedToonLink</x:v>
      </x:c>
      <x:c r="D1458" t="n">
        <x:v>1</x:v>
      </x:c>
      <x:c r="E1458" t="str">
        <x:v>Intermediate</x:v>
      </x:c>
      <x:c r="F1458" t="str">
        <x:v>Standard</x:v>
      </x:c>
      <x:c r="G1458" t="n">
        <x:v>45291</x:v>
      </x:c>
      <x:c r="H1458" t="str">
        <x:v>35559</x:v>
      </x:c>
      <x:c r="I1458" t="str">
        <x:v>https://www.smwcentral.net/?a=details&amp;id=35559&amp;p=section</x:v>
      </x:c>
      <x:c r="J1458" t="str">
        <x:v>https://dl.smwcentral.net/35559/Red%27s%20Christmas%20Party_fixed.zip</x:v>
      </x:c>
    </x:row>
    <x:row r="1459">
      <x:c r="A1459" t="str">
        <x:v>Redeeming Peach</x:v>
      </x:c>
      <x:c r="B1459" t="str">
        <x:v>Redeeming Peach</x:v>
      </x:c>
      <x:c r="C1459" t="str">
        <x:v>AntoineG782</x:v>
      </x:c>
      <x:c r="D1459" t="n">
        <x:v>1</x:v>
      </x:c>
      <x:c r="E1459" t="str">
        <x:v>Intermediate</x:v>
      </x:c>
      <x:c r="F1459" t="str">
        <x:v>Standard</x:v>
      </x:c>
      <x:c r="G1459" t="n">
        <x:v>42057</x:v>
      </x:c>
      <x:c r="H1459" t="str">
        <x:v>10173</x:v>
      </x:c>
      <x:c r="I1459" t="str">
        <x:v>https://www.smwcentral.net/?a=details&amp;id=10173&amp;p=section</x:v>
      </x:c>
      <x:c r="J1459" t="str">
        <x:v>https://dl.smwcentral.net/10173/Redeeming%20Peach%20%28V.%201.2%29.zip</x:v>
      </x:c>
    </x:row>
    <x:row r="1460">
      <x:c r="A1460" t="str">
        <x:v>Remember ALF!?</x:v>
      </x:c>
      <x:c r="B1460" t="str">
        <x:v>Remember ALF!?</x:v>
      </x:c>
      <x:c r="C1460" t="str">
        <x:v>shovda</x:v>
      </x:c>
      <x:c r="D1460" t="n">
        <x:v>1</x:v>
      </x:c>
      <x:c r="E1460" t="str">
        <x:v>Master</x:v>
      </x:c>
      <x:c r="F1460" t="str">
        <x:v>Kaizo</x:v>
      </x:c>
      <x:c r="G1460" t="n">
        <x:v>44317</x:v>
      </x:c>
      <x:c r="H1460" t="str">
        <x:v>26873</x:v>
      </x:c>
      <x:c r="I1460" t="str">
        <x:v>https://www.smwcentral.net/?a=details&amp;id=26873&amp;p=section</x:v>
      </x:c>
      <x:c r="J1460" t="str">
        <x:v>https://dl.smwcentral.net/26873/Remember%20ALF.zip</x:v>
      </x:c>
    </x:row>
    <x:row r="1461">
      <x:c r="A1461" t="str">
        <x:v>REMIX</x:v>
      </x:c>
      <x:c r="B1461" t="str">
        <x:v>REMIX</x:v>
      </x:c>
      <x:c r="C1461" t="str">
        <x:v>Prestinator13</x:v>
      </x:c>
      <x:c r="D1461" t="n">
        <x:v>12</x:v>
      </x:c>
      <x:c r="E1461" t="str">
        <x:v>Expert</x:v>
      </x:c>
      <x:c r="F1461" t="str">
        <x:v>Kaizo</x:v>
      </x:c>
      <x:c r="G1461" t="n">
        <x:v>45532</x:v>
      </x:c>
      <x:c r="H1461" t="str">
        <x:v>38314</x:v>
      </x:c>
      <x:c r="I1461" t="str">
        <x:v>https://www.smwcentral.net/?a=details&amp;id=38314&amp;p=section</x:v>
      </x:c>
      <x:c r="J1461" t="str">
        <x:v>https://dl.smwcentral.net/38314/REMIX_FINAL1.1.zip</x:v>
      </x:c>
    </x:row>
    <x:row r="1462">
      <x:c r="A1462" t="str">
        <x:v>Repeat Offender</x:v>
      </x:c>
      <x:c r="B1462" t="str">
        <x:v>Repeat Offender</x:v>
      </x:c>
      <x:c r="C1462" t="str">
        <x:v>Multibella</x:v>
      </x:c>
      <x:c r="D1462" t="n">
        <x:v>10</x:v>
      </x:c>
      <x:c r="E1462" t="str">
        <x:v>Casual</x:v>
      </x:c>
      <x:c r="F1462" t="str">
        <x:v>Standard</x:v>
      </x:c>
      <x:c r="G1462" t="n">
        <x:v>42010</x:v>
      </x:c>
      <x:c r="H1462" t="str">
        <x:v>10233</x:v>
      </x:c>
      <x:c r="I1462" t="str">
        <x:v>https://www.smwcentral.net/?a=details&amp;id=10233&amp;p=section</x:v>
      </x:c>
      <x:c r="J1462" t="str">
        <x:v>https://dl.smwcentral.net/10233/RepOff%20patch.zip</x:v>
      </x:c>
    </x:row>
    <x:row r="1463">
      <x:c r="A1463" t="str">
        <x:v>Replica</x:v>
      </x:c>
      <x:c r="B1463" t="str">
        <x:v>Replica</x:v>
      </x:c>
      <x:c r="C1463" t="str">
        <x:v>Saela</x:v>
      </x:c>
      <x:c r="D1463" t="n">
        <x:v>11</x:v>
      </x:c>
      <x:c r="E1463" t="str">
        <x:v>Expert</x:v>
      </x:c>
      <x:c r="F1463" t="str">
        <x:v>Kaizo</x:v>
      </x:c>
      <x:c r="G1463" t="n">
        <x:v>45993</x:v>
      </x:c>
      <x:c r="H1463" t="str">
        <x:v>41191</x:v>
      </x:c>
      <x:c r="I1463" t="str">
        <x:v>https://www.smwcentral.net/?a=details&amp;id=41191&amp;p=section</x:v>
      </x:c>
      <x:c r="J1463" t="str">
        <x:v>https://dl.smwcentral.net/41191/Replica.zip</x:v>
      </x:c>
    </x:row>
    <x:row r="1464">
      <x:c r="A1464" t="str">
        <x:v>Rescue of Rochie</x:v>
      </x:c>
      <x:c r="B1464" t="str">
        <x:v>Rescue of Rochie</x:v>
      </x:c>
      <x:c r="C1464" t="str">
        <x:v>Alexis</x:v>
      </x:c>
      <x:c r="D1464" t="n">
        <x:v>80</x:v>
      </x:c>
      <x:c r="E1464" t="str">
        <x:v>Casual</x:v>
      </x:c>
      <x:c r="F1464" t="str">
        <x:v>Standard</x:v>
      </x:c>
      <x:c r="G1464" t="n">
        <x:v>42217</x:v>
      </x:c>
      <x:c r="H1464" t="str">
        <x:v>11902</x:v>
      </x:c>
      <x:c r="I1464" t="str">
        <x:v>https://www.smwcentral.net/?a=details&amp;id=11902&amp;p=section</x:v>
      </x:c>
      <x:c r="J1464" t="str">
        <x:v>https://dl.smwcentral.net/11902/rescue.v1.0.zip</x:v>
      </x:c>
    </x:row>
    <x:row r="1465">
      <x:c r="A1465" t="str">
        <x:v>ReSMW</x:v>
      </x:c>
      <x:c r="B1465" t="str">
        <x:v>ReSMW</x:v>
      </x:c>
      <x:c r="C1465" t="str">
        <x:v>coolhack</x:v>
      </x:c>
      <x:c r="D1465" t="n">
        <x:v>5</x:v>
      </x:c>
      <x:c r="E1465" t="str">
        <x:v>Newcomer</x:v>
      </x:c>
      <x:c r="F1465" t="str">
        <x:v>Standard</x:v>
      </x:c>
      <x:c r="G1465" t="n">
        <x:v>42280</x:v>
      </x:c>
      <x:c r="H1465" t="str">
        <x:v>10180</x:v>
      </x:c>
      <x:c r="I1465" t="str">
        <x:v>https://www.smwcentral.net/?a=details&amp;id=10180&amp;p=section</x:v>
      </x:c>
      <x:c r="J1465" t="str">
        <x:v>https://dl.smwcentral.net/10180/RESMW.zip</x:v>
      </x:c>
    </x:row>
    <x:row r="1466">
      <x:c r="A1466" t="str">
        <x:v>Retro Mario World - Super Mario Bros.</x:v>
      </x:c>
      <x:c r="B1466" t="str">
        <x:v>Retro Mario World - Super Mario Bros.</x:v>
      </x:c>
      <x:c r="C1466" t="str">
        <x:v>GameGuy10</x:v>
      </x:c>
      <x:c r="D1466" t="n">
        <x:v>32</x:v>
      </x:c>
      <x:c r="E1466" t="str">
        <x:v>Newcomer</x:v>
      </x:c>
      <x:c r="F1466" t="str">
        <x:v>Standard</x:v>
      </x:c>
      <x:c r="G1466" t="n">
        <x:v>42384</x:v>
      </x:c>
      <x:c r="H1466" t="str">
        <x:v>13087</x:v>
      </x:c>
      <x:c r="I1466" t="str">
        <x:v>https://www.smwcentral.net/?a=details&amp;id=13087&amp;p=section</x:v>
      </x:c>
      <x:c r="J1466" t="str">
        <x:v>https://dl.smwcentral.net/13087/SMB%20REMAKE.zip</x:v>
      </x:c>
    </x:row>
    <x:row r="1467">
      <x:c r="A1467" t="str">
        <x:v>Retro Marioland</x:v>
      </x:c>
      <x:c r="B1467" t="str">
        <x:v>Retro Marioland</x:v>
      </x:c>
      <x:c r="C1467" t="str">
        <x:v>LocoFuzzyPants</x:v>
      </x:c>
      <x:c r="D1467" t="n">
        <x:v>10</x:v>
      </x:c>
      <x:c r="E1467" t="str">
        <x:v>Advanced</x:v>
      </x:c>
      <x:c r="F1467" t="str">
        <x:v>Kaizo</x:v>
      </x:c>
      <x:c r="G1467" t="n">
        <x:v>45572</x:v>
      </x:c>
      <x:c r="H1467" t="str">
        <x:v>38510</x:v>
      </x:c>
      <x:c r="I1467" t="str">
        <x:v>https://www.smwcentral.net/?a=details&amp;id=38510&amp;p=section</x:v>
      </x:c>
      <x:c r="J1467" t="str">
        <x:v>https://dl.smwcentral.net/38510/Retro%20Marioland%20v1.2.zip</x:v>
      </x:c>
    </x:row>
    <x:row r="1468">
      <x:c r="A1468" t="str">
        <x:v>Retrograde Nine</x:v>
      </x:c>
      <x:c r="B1468" t="str">
        <x:v>Retrograde Nine</x:v>
      </x:c>
      <x:c r="C1468" t="str">
        <x:v>MarsAmPear</x:v>
      </x:c>
      <x:c r="D1468" t="n">
        <x:v>0</x:v>
      </x:c>
      <x:c r="E1468" t="str">
        <x:v>Expert</x:v>
      </x:c>
      <x:c r="F1468" t="str">
        <x:v>Kaizo</x:v>
      </x:c>
      <x:c r="G1468" t="n">
        <x:v>45198</x:v>
      </x:c>
      <x:c r="H1468" t="str">
        <x:v>35107</x:v>
      </x:c>
      <x:c r="I1468" t="str">
        <x:v>https://www.smwcentral.net/?a=details&amp;id=35107&amp;p=section</x:v>
      </x:c>
      <x:c r="J1468" t="str">
        <x:v>https://dl.smwcentral.net/35107/Retrograde%20Nine%201.02.zip</x:v>
      </x:c>
    </x:row>
    <x:row r="1469">
      <x:c r="A1469" t="str">
        <x:v>Return Mario World Luner Editon</x:v>
      </x:c>
      <x:c r="B1469" t="str">
        <x:v>Return Mario World Luner Editon</x:v>
      </x:c>
      <x:c r="C1469" t="str">
        <x:v>TheOrangeToad</x:v>
      </x:c>
      <x:c r="D1469" t="n">
        <x:v>5</x:v>
      </x:c>
      <x:c r="E1469" t="str">
        <x:v>Newcomer</x:v>
      </x:c>
      <x:c r="F1469" t="str">
        <x:v>Standard</x:v>
      </x:c>
      <x:c r="G1469" t="n">
        <x:v>42565</x:v>
      </x:c>
      <x:c r="H1469" t="str">
        <x:v>14000</x:v>
      </x:c>
      <x:c r="I1469" t="str">
        <x:v>https://www.smwcentral.net/?a=details&amp;id=14000&amp;p=section</x:v>
      </x:c>
      <x:c r="J1469" t="str">
        <x:v>https://dl.smwcentral.net/14000/Hack%20demo%202.zip</x:v>
      </x:c>
    </x:row>
    <x:row r="1470">
      <x:c r="A1470" t="str">
        <x:v>Return Of Shadower</x:v>
      </x:c>
      <x:c r="B1470" t="str">
        <x:v>Return Of Shadower</x:v>
      </x:c>
      <x:c r="C1470" t="str">
        <x:v>darken</x:v>
      </x:c>
      <x:c r="D1470" t="n">
        <x:v>28</x:v>
      </x:c>
      <x:c r="E1470" t="str">
        <x:v>Intermediate</x:v>
      </x:c>
      <x:c r="F1470" t="str">
        <x:v>Standard</x:v>
      </x:c>
      <x:c r="G1470" t="n">
        <x:v>42614</x:v>
      </x:c>
      <x:c r="H1470" t="str">
        <x:v>14026</x:v>
      </x:c>
      <x:c r="I1470" t="str">
        <x:v>https://www.smwcentral.net/?a=details&amp;id=14026&amp;p=section</x:v>
      </x:c>
      <x:c r="J1470" t="str">
        <x:v>https://dl.smwcentral.net/14026/ROS.zip</x:v>
      </x:c>
    </x:row>
    <x:row r="1471">
      <x:c r="A1471" t="str">
        <x:v>Return Trip</x:v>
      </x:c>
      <x:c r="B1471" t="str">
        <x:v>Return Trip</x:v>
      </x:c>
      <x:c r="C1471" t="str">
        <x:v>levelengine</x:v>
      </x:c>
      <x:c r="D1471" t="n">
        <x:v>33</x:v>
      </x:c>
      <x:c r="E1471" t="str">
        <x:v>Intermediate</x:v>
      </x:c>
      <x:c r="F1471" t="str">
        <x:v>Standard</x:v>
      </x:c>
      <x:c r="G1471" t="n">
        <x:v>43896</x:v>
      </x:c>
      <x:c r="H1471" t="str">
        <x:v>21865</x:v>
      </x:c>
      <x:c r="I1471" t="str">
        <x:v>https://www.smwcentral.net/?a=details&amp;id=21865&amp;p=section</x:v>
      </x:c>
      <x:c r="J1471" t="str">
        <x:v>https://dl.smwcentral.net/21865/Return_Trip_%283rd%29.zip</x:v>
      </x:c>
    </x:row>
    <x:row r="1472">
      <x:c r="A1472" t="str">
        <x:v>Revenge of Bowser - Legend of the Seven Eggs</x:v>
      </x:c>
      <x:c r="B1472" t="str">
        <x:v>Revenge of Bowser - Legend of the Seven Eggs</x:v>
      </x:c>
      <x:c r="C1472" t="str">
        <x:v>omegaLakitu</x:v>
      </x:c>
      <x:c r="D1472" t="n">
        <x:v>9</x:v>
      </x:c>
      <x:c r="E1472" t="str">
        <x:v>Newcomer</x:v>
      </x:c>
      <x:c r="F1472" t="str">
        <x:v>Standard</x:v>
      </x:c>
      <x:c r="G1472" t="n">
        <x:v>41501</x:v>
      </x:c>
      <x:c r="H1472" t="str">
        <x:v>4964</x:v>
      </x:c>
      <x:c r="I1472" t="str">
        <x:v>https://www.smwcentral.net/?a=details&amp;id=4964&amp;p=section</x:v>
      </x:c>
      <x:c r="J1472" t="str">
        <x:v>https://dl.smwcentral.net/4964/revenge%20of%20bowser%20and%20the%20legend%20of%20the%20seven%20eggs.zip</x:v>
      </x:c>
    </x:row>
    <x:row r="1473">
      <x:c r="A1473" t="str">
        <x:v>REVENGE OF SWITCHES PRESSED</x:v>
      </x:c>
      <x:c r="B1473" t="str">
        <x:v>REVENGE OF SWITCHES PRESSED</x:v>
      </x:c>
      <x:c r="C1473" t="str">
        <x:v>GbreezeSunset, Lazy, MiracleWater, lolyoshi</x:v>
      </x:c>
      <x:c r="D1473" t="n">
        <x:v>4</x:v>
      </x:c>
      <x:c r="E1473" t="str">
        <x:v>Advanced</x:v>
      </x:c>
      <x:c r="F1473" t="str">
        <x:v>Standard</x:v>
      </x:c>
      <x:c r="G1473" t="n">
        <x:v>45702</x:v>
      </x:c>
      <x:c r="H1473" t="str">
        <x:v>39161</x:v>
      </x:c>
      <x:c r="I1473" t="str">
        <x:v>https://www.smwcentral.net/?a=details&amp;id=39161&amp;p=section</x:v>
      </x:c>
      <x:c r="J1473" t="str">
        <x:v>https://dl.smwcentral.net/39161/ROSP.zip</x:v>
      </x:c>
    </x:row>
    <x:row r="1474">
      <x:c r="A1474" t="str">
        <x:v>Reverie</x:v>
      </x:c>
      <x:c r="B1474" t="str">
        <x:v>Reverie</x:v>
      </x:c>
      <x:c r="C1474" t="str">
        <x:v>Abdu, Fyre150</x:v>
      </x:c>
      <x:c r="D1474" t="n">
        <x:v>2</x:v>
      </x:c>
      <x:c r="E1474" t="str">
        <x:v>Casual</x:v>
      </x:c>
      <x:c r="F1474" t="str">
        <x:v>Standard, Puzzle</x:v>
      </x:c>
      <x:c r="G1474" t="n">
        <x:v>46005</x:v>
      </x:c>
      <x:c r="H1474" t="str">
        <x:v>40108</x:v>
      </x:c>
      <x:c r="I1474" t="str">
        <x:v>https://www.smwcentral.net/?a=details&amp;id=40108&amp;p=section</x:v>
      </x:c>
      <x:c r="J1474" t="str">
        <x:v>https://dl.smwcentral.net/40108/Reverie.zip</x:v>
      </x:c>
    </x:row>
    <x:row r="1475">
      <x:c r="A1475" t="str">
        <x:v>Riff World 2</x:v>
      </x:c>
      <x:c r="B1475" t="str">
        <x:v>Riff World 2</x:v>
      </x:c>
      <x:c r="C1475" t="str">
        <x:v>Freakin_HA</x:v>
      </x:c>
      <x:c r="D1475" t="n">
        <x:v>32</x:v>
      </x:c>
      <x:c r="E1475" t="str">
        <x:v>Master</x:v>
      </x:c>
      <x:c r="F1475" t="str">
        <x:v>Kaizo</x:v>
      </x:c>
      <x:c r="G1475" t="n">
        <x:v>44226</x:v>
      </x:c>
      <x:c r="H1475" t="str">
        <x:v>26042</x:v>
      </x:c>
      <x:c r="I1475" t="str">
        <x:v>https://www.smwcentral.net/?a=details&amp;id=26042&amp;p=section</x:v>
      </x:c>
      <x:c r="J1475" t="str">
        <x:v>https://dl.smwcentral.net/26042/Riff%20World%202.zip</x:v>
      </x:c>
    </x:row>
    <x:row r="1476">
      <x:c r="A1476" t="str">
        <x:v>Rikaizo Shells</x:v>
      </x:c>
      <x:c r="B1476" t="str">
        <x:v>Rikaizo Shells</x:v>
      </x:c>
      <x:c r="C1476" t="str">
        <x:v>arantes</x:v>
      </x:c>
      <x:c r="D1476" t="n">
        <x:v>12</x:v>
      </x:c>
      <x:c r="E1476" t="str">
        <x:v>Master</x:v>
      </x:c>
      <x:c r="F1476" t="str">
        <x:v>Kaizo</x:v>
      </x:c>
      <x:c r="G1476" t="n">
        <x:v>44859</x:v>
      </x:c>
      <x:c r="H1476" t="str">
        <x:v>32290</x:v>
      </x:c>
      <x:c r="I1476" t="str">
        <x:v>https://www.smwcentral.net/?a=details&amp;id=32290&amp;p=section</x:v>
      </x:c>
      <x:c r="J1476" t="str">
        <x:v>https://dl.smwcentral.net/32290/Rikaizo%20Shells%201.1.zip</x:v>
      </x:c>
    </x:row>
    <x:row r="1477">
      <x:c r="A1477" t="str">
        <x:v>Rise of Horst: Baby Park</x:v>
      </x:c>
      <x:c r="B1477" t="str">
        <x:v>Rise of Horst: Baby Park</x:v>
      </x:c>
      <x:c r="C1477" t="str">
        <x:v>Hannes37</x:v>
      </x:c>
      <x:c r="D1477" t="n">
        <x:v>2</x:v>
      </x:c>
      <x:c r="E1477" t="str">
        <x:v>Intermediate</x:v>
      </x:c>
      <x:c r="F1477" t="str">
        <x:v>Kaizo, Tool-Assisted</x:v>
      </x:c>
      <x:c r="G1477" t="n">
        <x:v>44802</x:v>
      </x:c>
      <x:c r="H1477" t="str">
        <x:v>31374</x:v>
      </x:c>
      <x:c r="I1477" t="str">
        <x:v>https://www.smwcentral.net/?a=details&amp;id=31374&amp;p=section</x:v>
      </x:c>
      <x:c r="J1477" t="str">
        <x:v>https://dl.smwcentral.net/31374/Rise%20of%20Horst%20BabyPark.zip</x:v>
      </x:c>
    </x:row>
    <x:row r="1478">
      <x:c r="A1478" t="str">
        <x:v>Rise to the Challenge</x:v>
      </x:c>
      <x:c r="B1478" t="str">
        <x:v>Rise to the Challenge</x:v>
      </x:c>
      <x:c r="C1478" t="str">
        <x:v>AxemJinx</x:v>
      </x:c>
      <x:c r="D1478" t="n">
        <x:v>53</x:v>
      </x:c>
      <x:c r="E1478" t="str">
        <x:v>Intermediate</x:v>
      </x:c>
      <x:c r="F1478" t="str">
        <x:v>Standard</x:v>
      </x:c>
      <x:c r="G1478" t="n">
        <x:v>41870</x:v>
      </x:c>
      <x:c r="H1478" t="str">
        <x:v>9029</x:v>
      </x:c>
      <x:c r="I1478" t="str">
        <x:v>https://www.smwcentral.net/?a=details&amp;id=9029&amp;p=section</x:v>
      </x:c>
      <x:c r="J1478" t="str">
        <x:v>https://dl.smwcentral.net/9029/RttC-1.3.zip</x:v>
      </x:c>
    </x:row>
    <x:row r="1479">
      <x:c r="A1479" t="str">
        <x:v>River Song</x:v>
      </x:c>
      <x:c r="B1479" t="str">
        <x:v>River Song</x:v>
      </x:c>
      <x:c r="C1479" t="str">
        <x:v>Monkeyfist</x:v>
      </x:c>
      <x:c r="D1479" t="n">
        <x:v>18</x:v>
      </x:c>
      <x:c r="E1479" t="str">
        <x:v>Advanced</x:v>
      </x:c>
      <x:c r="F1479" t="str">
        <x:v>Kaizo</x:v>
      </x:c>
      <x:c r="G1479" t="n">
        <x:v>43921</x:v>
      </x:c>
      <x:c r="H1479" t="str">
        <x:v>22513</x:v>
      </x:c>
      <x:c r="I1479" t="str">
        <x:v>https://www.smwcentral.net/?a=details&amp;id=22513&amp;p=section</x:v>
      </x:c>
      <x:c r="J1479" t="str">
        <x:v>https://dl.smwcentral.net/22513/Riversong.zip</x:v>
      </x:c>
    </x:row>
    <x:row r="1480">
      <x:c r="A1480" t="str">
        <x:v>Road to New Haven</x:v>
      </x:c>
      <x:c r="B1480" t="str">
        <x:v>Road to New Haven</x:v>
      </x:c>
      <x:c r="C1480" t="str">
        <x:v>DashGamer</x:v>
      </x:c>
      <x:c r="D1480" t="n">
        <x:v>5</x:v>
      </x:c>
      <x:c r="E1480" t="str">
        <x:v>Intermediate</x:v>
      </x:c>
      <x:c r="F1480" t="str">
        <x:v>Kaizo</x:v>
      </x:c>
      <x:c r="G1480" t="n">
        <x:v>44821</x:v>
      </x:c>
      <x:c r="H1480" t="str">
        <x:v>32137</x:v>
      </x:c>
      <x:c r="I1480" t="str">
        <x:v>https://www.smwcentral.net/?a=details&amp;id=32137&amp;p=section</x:v>
      </x:c>
      <x:c r="J1480" t="str">
        <x:v>https://dl.smwcentral.net/32137/Road%20to%20New%20Haven.zip</x:v>
      </x:c>
    </x:row>
    <x:row r="1481">
      <x:c r="A1481" t="str">
        <x:v>Rob-omb's Quest: Easy</x:v>
      </x:c>
      <x:c r="B1481" t="str">
        <x:v>Rob-omb's Quest: Easy</x:v>
      </x:c>
      <x:c r="C1481" t="str">
        <x:v>videogamerpat</x:v>
      </x:c>
      <x:c r="D1481" t="n">
        <x:v>84</x:v>
      </x:c>
      <x:c r="E1481" t="str">
        <x:v>Casual</x:v>
      </x:c>
      <x:c r="F1481" t="str">
        <x:v>Standard</x:v>
      </x:c>
      <x:c r="G1481" t="n">
        <x:v>42221</x:v>
      </x:c>
      <x:c r="H1481" t="str">
        <x:v>9736</x:v>
      </x:c>
      <x:c r="I1481" t="str">
        <x:v>https://www.smwcentral.net/?a=details&amp;id=9736&amp;p=section</x:v>
      </x:c>
      <x:c r="J1481" t="str">
        <x:v>https://dl.smwcentral.net/9736/Rob-omb%27s%20Quest%20Easy.zip</x:v>
      </x:c>
    </x:row>
    <x:row r="1482">
      <x:c r="A1482" t="str">
        <x:v>Rob-omb's Quest: Hard</x:v>
      </x:c>
      <x:c r="B1482" t="str">
        <x:v>Rob-omb's Quest: Hard</x:v>
      </x:c>
      <x:c r="C1482" t="str">
        <x:v>videogamerpat</x:v>
      </x:c>
      <x:c r="D1482" t="n">
        <x:v>84</x:v>
      </x:c>
      <x:c r="E1482" t="str">
        <x:v>Casual</x:v>
      </x:c>
      <x:c r="F1482" t="str">
        <x:v>Standard</x:v>
      </x:c>
      <x:c r="G1482" t="n">
        <x:v>42221</x:v>
      </x:c>
      <x:c r="H1482" t="str">
        <x:v>9735</x:v>
      </x:c>
      <x:c r="I1482" t="str">
        <x:v>https://www.smwcentral.net/?a=details&amp;id=9735&amp;p=section</x:v>
      </x:c>
      <x:c r="J1482" t="str">
        <x:v>https://dl.smwcentral.net/9735/Rob-omb%27s%20Quest%20Hard.zip</x:v>
      </x:c>
    </x:row>
    <x:row r="1483">
      <x:c r="A1483" t="str">
        <x:v>Robfather World</x:v>
      </x:c>
      <x:c r="B1483" t="str">
        <x:v>Robfather World</x:v>
      </x:c>
      <x:c r="C1483" t="str">
        <x:v>DanOfMostTrades</x:v>
      </x:c>
      <x:c r="D1483" t="n">
        <x:v>14</x:v>
      </x:c>
      <x:c r="E1483" t="str">
        <x:v>Intermediate</x:v>
      </x:c>
      <x:c r="F1483" t="str">
        <x:v>Kaizo</x:v>
      </x:c>
      <x:c r="G1483" t="n">
        <x:v>43629</x:v>
      </x:c>
      <x:c r="H1483" t="str">
        <x:v>20190</x:v>
      </x:c>
      <x:c r="I1483" t="str">
        <x:v>https://www.smwcentral.net/?a=details&amp;id=20190&amp;p=section</x:v>
      </x:c>
      <x:c r="J1483" t="str">
        <x:v>https://dl.smwcentral.net/20190/Robfather_World_v1_1.zip</x:v>
      </x:c>
    </x:row>
    <x:row r="1484">
      <x:c r="A1484" t="str">
        <x:v>Roger Gang Vol 1</x:v>
      </x:c>
      <x:c r="B1484" t="str">
        <x:v>Roger Gang Vol 1</x:v>
      </x:c>
      <x:c r="C1484" t="str">
        <x:v>BigDeutsch, BoozeWash, Brakkie, Daffoxy, Fryinb, Ixitxachitl, Jenboo, KatMakes, TDWarrior, TacosTheCasual, The4thBackpack, ViviMeowerson, l337f00l, shaoshao, xamexer</x:v>
      </x:c>
      <x:c r="D1484" t="n">
        <x:v>15</x:v>
      </x:c>
      <x:c r="E1484" t="str">
        <x:v>Expert</x:v>
      </x:c>
      <x:c r="F1484" t="str">
        <x:v>Kaizo</x:v>
      </x:c>
      <x:c r="G1484" t="n">
        <x:v>44369</x:v>
      </x:c>
      <x:c r="H1484" t="str">
        <x:v>27312</x:v>
      </x:c>
      <x:c r="I1484" t="str">
        <x:v>https://www.smwcentral.net/?a=details&amp;id=27312&amp;p=section</x:v>
      </x:c>
      <x:c r="J1484" t="str">
        <x:v>https://dl.smwcentral.net/27312/Roger%20Gang%20Vol%201.zip</x:v>
      </x:c>
    </x:row>
    <x:row r="1485">
      <x:c r="A1485" t="str">
        <x:v>ROKE HELL</x:v>
      </x:c>
      <x:c r="B1485" t="str">
        <x:v>ROKE HELL</x:v>
      </x:c>
      <x:c r="C1485" t="str">
        <x:v>alvinluis</x:v>
      </x:c>
      <x:c r="D1485" t="n">
        <x:v>14</x:v>
      </x:c>
      <x:c r="E1485" t="str">
        <x:v>Expert</x:v>
      </x:c>
      <x:c r="F1485" t="str">
        <x:v>Kaizo</x:v>
      </x:c>
      <x:c r="G1485" t="n">
        <x:v>45079</x:v>
      </x:c>
      <x:c r="H1485" t="str">
        <x:v>33959</x:v>
      </x:c>
      <x:c r="I1485" t="str">
        <x:v>https://www.smwcentral.net/?a=details&amp;id=33959&amp;p=section</x:v>
      </x:c>
      <x:c r="J1485" t="str">
        <x:v>https://dl.smwcentral.net/33959/ROKE%20HELL.zip</x:v>
      </x:c>
    </x:row>
    <x:row r="1486">
      <x:c r="A1486" t="str">
        <x:v>Roke Shell</x:v>
      </x:c>
      <x:c r="B1486" t="str">
        <x:v>Roke Shell</x:v>
      </x:c>
      <x:c r="C1486" t="str">
        <x:v>magianegra21</x:v>
      </x:c>
      <x:c r="D1486" t="n">
        <x:v>14</x:v>
      </x:c>
      <x:c r="E1486" t="str">
        <x:v>Advanced</x:v>
      </x:c>
      <x:c r="F1486" t="str">
        <x:v>Kaizo</x:v>
      </x:c>
      <x:c r="G1486" t="n">
        <x:v>45343</x:v>
      </x:c>
      <x:c r="H1486" t="str">
        <x:v>36801</x:v>
      </x:c>
      <x:c r="I1486" t="str">
        <x:v>https://www.smwcentral.net/?a=details&amp;id=36801&amp;p=section</x:v>
      </x:c>
      <x:c r="J1486" t="str">
        <x:v>https://dl.smwcentral.net/36801/roke%20shell.zip</x:v>
      </x:c>
    </x:row>
    <x:row r="1487">
      <x:c r="A1487" t="str">
        <x:v>rokeshell 2</x:v>
      </x:c>
      <x:c r="B1487" t="str">
        <x:v>rokeshell 2</x:v>
      </x:c>
      <x:c r="C1487" t="str">
        <x:v>elwawa</x:v>
      </x:c>
      <x:c r="D1487" t="n">
        <x:v>13</x:v>
      </x:c>
      <x:c r="E1487" t="str">
        <x:v>Expert</x:v>
      </x:c>
      <x:c r="F1487" t="str">
        <x:v>Kaizo</x:v>
      </x:c>
      <x:c r="G1487" t="n">
        <x:v>46213</x:v>
      </x:c>
      <x:c r="H1487" t="str">
        <x:v>42671</x:v>
      </x:c>
      <x:c r="I1487" t="str">
        <x:v>https://www.smwcentral.net/?a=details&amp;id=42671&amp;p=section</x:v>
      </x:c>
      <x:c r="J1487" t="str">
        <x:v>https://dl.smwcentral.net/42671/rokeshell2.zip</x:v>
      </x:c>
    </x:row>
    <x:row r="1488">
      <x:c r="A1488" t="str">
        <x:v>Romhack Races - Season 1 Compilation</x:v>
      </x:c>
      <x:c r="B1488" t="str">
        <x:v>Romhack Races - Season 1 Compilation</x:v>
      </x:c>
      <x:c r="C1488" t="str">
        <x:v>Romhack Races Team</x:v>
      </x:c>
      <x:c r="D1488" t="n">
        <x:v>15</x:v>
      </x:c>
      <x:c r="E1488" t="str">
        <x:v>Expert</x:v>
      </x:c>
      <x:c r="F1488" t="str">
        <x:v>Kaizo</x:v>
      </x:c>
      <x:c r="G1488" t="n">
        <x:v>43573</x:v>
      </x:c>
      <x:c r="H1488" t="str">
        <x:v>19683</x:v>
      </x:c>
      <x:c r="I1488" t="str">
        <x:v>https://www.smwcentral.net/?a=details&amp;id=19683&amp;p=section</x:v>
      </x:c>
      <x:c r="J1488" t="str">
        <x:v>https://dl.smwcentral.net/19683/RHRS1.zip</x:v>
      </x:c>
    </x:row>
    <x:row r="1489">
      <x:c r="A1489" t="str">
        <x:v>Romhack Races - Season 2 Compilation</x:v>
      </x:c>
      <x:c r="B1489" t="str">
        <x:v>Romhack Races - Season 2 Compilation</x:v>
      </x:c>
      <x:c r="C1489" t="str">
        <x:v>Romhack Races Team</x:v>
      </x:c>
      <x:c r="D1489" t="n">
        <x:v>13</x:v>
      </x:c>
      <x:c r="E1489" t="str">
        <x:v>Expert</x:v>
      </x:c>
      <x:c r="F1489" t="str">
        <x:v>Kaizo</x:v>
      </x:c>
      <x:c r="G1489" t="n">
        <x:v>43573</x:v>
      </x:c>
      <x:c r="H1489" t="str">
        <x:v>19684</x:v>
      </x:c>
      <x:c r="I1489" t="str">
        <x:v>https://www.smwcentral.net/?a=details&amp;id=19684&amp;p=section</x:v>
      </x:c>
      <x:c r="J1489" t="str">
        <x:v>https://dl.smwcentral.net/19684/RHRS2.zip</x:v>
      </x:c>
    </x:row>
    <x:row r="1490">
      <x:c r="A1490" t="str">
        <x:v>Romhack Races - Season 3 Compilation</x:v>
      </x:c>
      <x:c r="B1490" t="str">
        <x:v>Romhack Races - Season 3 Compilation</x:v>
      </x:c>
      <x:c r="C1490" t="str">
        <x:v>Romhack Races Team</x:v>
      </x:c>
      <x:c r="D1490" t="n">
        <x:v>13</x:v>
      </x:c>
      <x:c r="E1490" t="str">
        <x:v>Expert</x:v>
      </x:c>
      <x:c r="F1490" t="str">
        <x:v>Kaizo</x:v>
      </x:c>
      <x:c r="G1490" t="n">
        <x:v>43703</x:v>
      </x:c>
      <x:c r="H1490" t="str">
        <x:v>20845</x:v>
      </x:c>
      <x:c r="I1490" t="str">
        <x:v>https://www.smwcentral.net/?a=details&amp;id=20845&amp;p=section</x:v>
      </x:c>
      <x:c r="J1490" t="str">
        <x:v>https://dl.smwcentral.net/20845/RHR%20Season%203%20Collaboration.zip</x:v>
      </x:c>
    </x:row>
    <x:row r="1491">
      <x:c r="A1491" t="str">
        <x:v>Romhack Races - Season 4 Compilation</x:v>
      </x:c>
      <x:c r="B1491" t="str">
        <x:v>Romhack Races - Season 4 Compilation</x:v>
      </x:c>
      <x:c r="C1491" t="str">
        <x:v>Romhack Races Team</x:v>
      </x:c>
      <x:c r="D1491" t="n">
        <x:v>12</x:v>
      </x:c>
      <x:c r="E1491" t="str">
        <x:v>Expert</x:v>
      </x:c>
      <x:c r="F1491" t="str">
        <x:v>Kaizo</x:v>
      </x:c>
      <x:c r="G1491" t="n">
        <x:v>43875</x:v>
      </x:c>
      <x:c r="H1491" t="str">
        <x:v>22112</x:v>
      </x:c>
      <x:c r="I1491" t="str">
        <x:v>https://www.smwcentral.net/?a=details&amp;id=22112&amp;p=section</x:v>
      </x:c>
      <x:c r="J1491" t="str">
        <x:v>https://dl.smwcentral.net/22112/RHRS4C.zip</x:v>
      </x:c>
    </x:row>
    <x:row r="1492">
      <x:c r="A1492" t="str">
        <x:v>Romp of Otters</x:v>
      </x:c>
      <x:c r="B1492" t="str">
        <x:v>Romp of Otters</x:v>
      </x:c>
      <x:c r="C1492" t="str">
        <x:v>JonnyManjiro</x:v>
      </x:c>
      <x:c r="D1492" t="n">
        <x:v>23</x:v>
      </x:c>
      <x:c r="E1492" t="str">
        <x:v>Expert</x:v>
      </x:c>
      <x:c r="F1492" t="str">
        <x:v>Kaizo</x:v>
      </x:c>
      <x:c r="G1492" t="n">
        <x:v>44366</x:v>
      </x:c>
      <x:c r="H1492" t="str">
        <x:v>27140</x:v>
      </x:c>
      <x:c r="I1492" t="str">
        <x:v>https://www.smwcentral.net/?a=details&amp;id=27140&amp;p=section</x:v>
      </x:c>
      <x:c r="J1492" t="str">
        <x:v>https://dl.smwcentral.net/27140/Romp%20of%20Otters%201.1.zip</x:v>
      </x:c>
    </x:row>
    <x:row r="1493">
      <x:c r="A1493" t="str">
        <x:v>Rooms for Kids</x:v>
      </x:c>
      <x:c r="B1493" t="str">
        <x:v>Rooms for Kids</x:v>
      </x:c>
      <x:c r="C1493" t="str">
        <x:v>Saphros</x:v>
      </x:c>
      <x:c r="D1493" t="n">
        <x:v>1</x:v>
      </x:c>
      <x:c r="E1493" t="str">
        <x:v>Intermediate</x:v>
      </x:c>
      <x:c r="F1493" t="str">
        <x:v>Kaizo</x:v>
      </x:c>
      <x:c r="G1493" t="n">
        <x:v>46060</x:v>
      </x:c>
      <x:c r="H1493" t="str">
        <x:v>41533</x:v>
      </x:c>
      <x:c r="I1493" t="str">
        <x:v>https://www.smwcentral.net/?a=details&amp;id=41533&amp;p=section</x:v>
      </x:c>
      <x:c r="J1493" t="str">
        <x:v>https://dl.smwcentral.net/41533/Rooms%20for%20Kids.zip</x:v>
      </x:c>
    </x:row>
    <x:row r="1494">
      <x:c r="A1494" t="str">
        <x:v>Rooms of Despair</x:v>
      </x:c>
      <x:c r="B1494" t="str">
        <x:v>Rooms of Despair</x:v>
      </x:c>
      <x:c r="C1494" t="str">
        <x:v>Nowieso</x:v>
      </x:c>
      <x:c r="D1494" t="n">
        <x:v>1</x:v>
      </x:c>
      <x:c r="E1494" t="str">
        <x:v>Expert</x:v>
      </x:c>
      <x:c r="F1494" t="str">
        <x:v>Kaizo</x:v>
      </x:c>
      <x:c r="G1494" t="n">
        <x:v>45216</x:v>
      </x:c>
      <x:c r="H1494" t="str">
        <x:v>35290</x:v>
      </x:c>
      <x:c r="I1494" t="str">
        <x:v>https://www.smwcentral.net/?a=details&amp;id=35290&amp;p=section</x:v>
      </x:c>
      <x:c r="J1494" t="str">
        <x:v>https://dl.smwcentral.net/35290/Rooms%20of%20Despair.zip</x:v>
      </x:c>
    </x:row>
    <x:row r="1495">
      <x:c r="A1495" t="str">
        <x:v>Rosalina's Gold Saga</x:v>
      </x:c>
      <x:c r="B1495" t="str">
        <x:v>Rosalina's Gold Saga</x:v>
      </x:c>
      <x:c r="C1495" t="str">
        <x:v>Tiozinho</x:v>
      </x:c>
      <x:c r="D1495" t="n">
        <x:v>44</x:v>
      </x:c>
      <x:c r="E1495" t="str">
        <x:v>Intermediate</x:v>
      </x:c>
      <x:c r="F1495" t="str">
        <x:v>Standard</x:v>
      </x:c>
      <x:c r="G1495" t="n">
        <x:v>46146</x:v>
      </x:c>
      <x:c r="H1495" t="str">
        <x:v>42259</x:v>
      </x:c>
      <x:c r="I1495" t="str">
        <x:v>https://www.smwcentral.net/?a=details&amp;id=42259&amp;p=section</x:v>
      </x:c>
      <x:c r="J1495" t="str">
        <x:v>https://dl.smwcentral.net/42259/Rosalina%27s%20Gold%20Saga.zip</x:v>
      </x:c>
    </x:row>
    <x:row r="1496">
      <x:c r="A1496" t="str">
        <x:v>Rose Tinted Glasses</x:v>
      </x:c>
      <x:c r="B1496" t="str">
        <x:v>Rose Tinted Glasses</x:v>
      </x:c>
      <x:c r="C1496" t="str">
        <x:v>ponypowerboi</x:v>
      </x:c>
      <x:c r="D1496" t="n">
        <x:v>5</x:v>
      </x:c>
      <x:c r="E1496" t="str">
        <x:v>Intermediate</x:v>
      </x:c>
      <x:c r="F1496" t="str">
        <x:v>Kaizo</x:v>
      </x:c>
      <x:c r="G1496" t="n">
        <x:v>45214</x:v>
      </x:c>
      <x:c r="H1496" t="str">
        <x:v>35251</x:v>
      </x:c>
      <x:c r="I1496" t="str">
        <x:v>https://www.smwcentral.net/?a=details&amp;id=35251&amp;p=section</x:v>
      </x:c>
      <x:c r="J1496" t="str">
        <x:v>https://dl.smwcentral.net/35251/Rose%20Tinted%20Glasses.zip</x:v>
      </x:c>
    </x:row>
    <x:row r="1497">
      <x:c r="A1497" t="str">
        <x:v>Roy's Armada</x:v>
      </x:c>
      <x:c r="B1497" t="str">
        <x:v>Roy's Armada</x:v>
      </x:c>
      <x:c r="C1497" t="str">
        <x:v>Atma</x:v>
      </x:c>
      <x:c r="D1497" t="n">
        <x:v>18</x:v>
      </x:c>
      <x:c r="E1497" t="str">
        <x:v>Casual</x:v>
      </x:c>
      <x:c r="F1497" t="str">
        <x:v>Standard</x:v>
      </x:c>
      <x:c r="G1497" t="n">
        <x:v>42284</x:v>
      </x:c>
      <x:c r="H1497" t="str">
        <x:v>10119</x:v>
      </x:c>
      <x:c r="I1497" t="str">
        <x:v>https://www.smwcentral.net/?a=details&amp;id=10119&amp;p=section</x:v>
      </x:c>
      <x:c r="J1497" t="str">
        <x:v>https://dl.smwcentral.net/10119/Armada.zip</x:v>
      </x:c>
    </x:row>
    <x:row r="1498">
      <x:c r="A1498" t="str">
        <x:v>Rozen Maiden: The Lapislazuri Travel</x:v>
      </x:c>
      <x:c r="B1498" t="str">
        <x:v>Rozen Maiden: The Lapislazuri Travel</x:v>
      </x:c>
      <x:c r="C1498" t="str">
        <x:v>BokuNES</x:v>
      </x:c>
      <x:c r="D1498" t="n">
        <x:v>5</x:v>
      </x:c>
      <x:c r="E1498" t="str">
        <x:v>Casual</x:v>
      </x:c>
      <x:c r="F1498" t="str">
        <x:v>Standard</x:v>
      </x:c>
      <x:c r="G1498" t="n">
        <x:v>42057</x:v>
      </x:c>
      <x:c r="H1498" t="str">
        <x:v>10272</x:v>
      </x:c>
      <x:c r="I1498" t="str">
        <x:v>https://www.smwcentral.net/?a=details&amp;id=10272&amp;p=section</x:v>
      </x:c>
      <x:c r="J1498" t="str">
        <x:v>https://dl.smwcentral.net/10272/Rozen%20Maiden%20%28The%20Lapislazuri%20Travel%29%20%28Demo%29.zip</x:v>
      </x:c>
    </x:row>
    <x:row r="1499">
      <x:c r="A1499" t="str">
        <x:v>RTA Abuse</x:v>
      </x:c>
      <x:c r="B1499" t="str">
        <x:v>RTA Abuse</x:v>
      </x:c>
      <x:c r="C1499" t="str">
        <x:v>51690</x:v>
      </x:c>
      <x:c r="D1499" t="n">
        <x:v>1</x:v>
      </x:c>
      <x:c r="E1499" t="str">
        <x:v>Master</x:v>
      </x:c>
      <x:c r="F1499" t="str">
        <x:v>Kaizo</x:v>
      </x:c>
      <x:c r="G1499" t="n">
        <x:v>44683</x:v>
      </x:c>
      <x:c r="H1499" t="str">
        <x:v>30649</x:v>
      </x:c>
      <x:c r="I1499" t="str">
        <x:v>https://www.smwcentral.net/?a=details&amp;id=30649&amp;p=section</x:v>
      </x:c>
      <x:c r="J1499" t="str">
        <x:v>https://dl.smwcentral.net/30649/rta%20abuse%201.1.zip</x:v>
      </x:c>
    </x:row>
    <x:row r="1500">
      <x:c r="A1500" t="str">
        <x:v>RTA Abuse 2</x:v>
      </x:c>
      <x:c r="B1500" t="str">
        <x:v>RTA Abuse 2</x:v>
      </x:c>
      <x:c r="C1500" t="str">
        <x:v>51690</x:v>
      </x:c>
      <x:c r="D1500" t="n">
        <x:v>0</x:v>
      </x:c>
      <x:c r="E1500" t="str">
        <x:v>Master</x:v>
      </x:c>
      <x:c r="F1500" t="str">
        <x:v>Kaizo</x:v>
      </x:c>
      <x:c r="G1500" t="n">
        <x:v>44736</x:v>
      </x:c>
      <x:c r="H1500" t="str">
        <x:v>31185</x:v>
      </x:c>
      <x:c r="I1500" t="str">
        <x:v>https://www.smwcentral.net/?a=details&amp;id=31185&amp;p=section</x:v>
      </x:c>
      <x:c r="J1500" t="str">
        <x:v>https://dl.smwcentral.net/31185/rta%20abuse%202.zip</x:v>
      </x:c>
    </x:row>
    <x:row r="1501">
      <x:c r="A1501" t="str">
        <x:v>RTA Abuse 3</x:v>
      </x:c>
      <x:c r="B1501" t="str">
        <x:v>RTA Abuse 3</x:v>
      </x:c>
      <x:c r="C1501" t="str">
        <x:v>51690</x:v>
      </x:c>
      <x:c r="D1501" t="n">
        <x:v>1</x:v>
      </x:c>
      <x:c r="E1501" t="str">
        <x:v>Master</x:v>
      </x:c>
      <x:c r="F1501" t="str">
        <x:v>Kaizo</x:v>
      </x:c>
      <x:c r="G1501" t="n">
        <x:v>44739</x:v>
      </x:c>
      <x:c r="H1501" t="str">
        <x:v>31184</x:v>
      </x:c>
      <x:c r="I1501" t="str">
        <x:v>https://www.smwcentral.net/?a=details&amp;id=31184&amp;p=section</x:v>
      </x:c>
      <x:c r="J1501" t="str">
        <x:v>https://dl.smwcentral.net/31184/rta%20abuse%203.zip</x:v>
      </x:c>
    </x:row>
    <x:row r="1502">
      <x:c r="A1502" t="str">
        <x:v>Run Away from Mario's Past</x:v>
      </x:c>
      <x:c r="B1502" t="str">
        <x:v>Run Away from Mario's Past</x:v>
      </x:c>
      <x:c r="C1502" t="str">
        <x:v>Green Jerry</x:v>
      </x:c>
      <x:c r="D1502" t="n">
        <x:v>10</x:v>
      </x:c>
      <x:c r="E1502" t="str">
        <x:v>Intermediate</x:v>
      </x:c>
      <x:c r="F1502" t="str">
        <x:v>Standard</x:v>
      </x:c>
      <x:c r="G1502" t="n">
        <x:v>46101</x:v>
      </x:c>
      <x:c r="H1502" t="str">
        <x:v>41900</x:v>
      </x:c>
      <x:c r="I1502" t="str">
        <x:v>https://www.smwcentral.net/?a=details&amp;id=41900&amp;p=section</x:v>
      </x:c>
      <x:c r="J1502" t="str">
        <x:v>https://dl.smwcentral.net/41900/Run%20Away%20from%20Mario%27s%20Past%20v1.4.zip</x:v>
      </x:c>
    </x:row>
    <x:row r="1503">
      <x:c r="A1503" t="str">
        <x:v>Run the Gauntlet</x:v>
      </x:c>
      <x:c r="B1503" t="str">
        <x:v>Run the Gauntlet</x:v>
      </x:c>
      <x:c r="C1503" t="str">
        <x:v>MiracleWater</x:v>
      </x:c>
      <x:c r="D1503" t="n">
        <x:v>5</x:v>
      </x:c>
      <x:c r="E1503" t="str">
        <x:v>Grandmaster</x:v>
      </x:c>
      <x:c r="F1503" t="str">
        <x:v>Standard</x:v>
      </x:c>
      <x:c r="G1503" t="n">
        <x:v>46074</x:v>
      </x:c>
      <x:c r="H1503" t="str">
        <x:v>41539</x:v>
      </x:c>
      <x:c r="I1503" t="str">
        <x:v>https://www.smwcentral.net/?a=details&amp;id=41539&amp;p=section</x:v>
      </x:c>
      <x:c r="J1503" t="str">
        <x:v>https://dl.smwcentral.net/41539/RTG%201.0.zip</x:v>
      </x:c>
    </x:row>
    <x:row r="1504">
      <x:c r="A1504" t="str">
        <x:v>Run!</x:v>
      </x:c>
      <x:c r="B1504" t="str">
        <x:v>Run!</x:v>
      </x:c>
      <x:c r="C1504" t="str">
        <x:v>NaxciS</x:v>
      </x:c>
      <x:c r="D1504" t="n">
        <x:v>11</x:v>
      </x:c>
      <x:c r="E1504" t="str">
        <x:v>Expert</x:v>
      </x:c>
      <x:c r="F1504" t="str">
        <x:v>Kaizo</x:v>
      </x:c>
      <x:c r="G1504" t="n">
        <x:v>44384</x:v>
      </x:c>
      <x:c r="H1504" t="str">
        <x:v>27430</x:v>
      </x:c>
      <x:c r="I1504" t="str">
        <x:v>https://www.smwcentral.net/?a=details&amp;id=27430&amp;p=section</x:v>
      </x:c>
      <x:c r="J1504" t="str">
        <x:v>https://dl.smwcentral.net/27430/Run%21.zip</x:v>
      </x:c>
    </x:row>
    <x:row r="1505">
      <x:c r="A1505" t="str">
        <x:v>Run! 2 - Don't Stop Running</x:v>
      </x:c>
      <x:c r="B1505" t="str">
        <x:v>Run! 2 - Don't Stop Running</x:v>
      </x:c>
      <x:c r="C1505" t="str">
        <x:v>NaxciS</x:v>
      </x:c>
      <x:c r="D1505" t="n">
        <x:v>14</x:v>
      </x:c>
      <x:c r="E1505" t="str">
        <x:v>Expert</x:v>
      </x:c>
      <x:c r="F1505" t="str">
        <x:v>Kaizo</x:v>
      </x:c>
      <x:c r="G1505" t="n">
        <x:v>45026</x:v>
      </x:c>
      <x:c r="H1505" t="str">
        <x:v>33634</x:v>
      </x:c>
      <x:c r="I1505" t="str">
        <x:v>https://www.smwcentral.net/?a=details&amp;id=33634&amp;p=section</x:v>
      </x:c>
      <x:c r="J1505" t="str">
        <x:v>https://dl.smwcentral.net/33634/Run%21%202%20Don%27t%20Stop%20Running.zip</x:v>
      </x:c>
    </x:row>
    <x:row r="1506">
      <x:c r="A1506" t="str">
        <x:v>S.O.B mario world</x:v>
      </x:c>
      <x:c r="B1506" t="str">
        <x:v>S.O.B mario world</x:v>
      </x:c>
      <x:c r="C1506" t="str">
        <x:v>ageVerrly</x:v>
      </x:c>
      <x:c r="D1506" t="n">
        <x:v>14</x:v>
      </x:c>
      <x:c r="E1506" t="str">
        <x:v>Master</x:v>
      </x:c>
      <x:c r="F1506" t="str">
        <x:v>Kaizo</x:v>
      </x:c>
      <x:c r="G1506" t="n">
        <x:v>44515</x:v>
      </x:c>
      <x:c r="H1506" t="str">
        <x:v>28308</x:v>
      </x:c>
      <x:c r="I1506" t="str">
        <x:v>https://www.smwcentral.net/?a=details&amp;id=28308&amp;p=section</x:v>
      </x:c>
      <x:c r="J1506" t="str">
        <x:v>https://dl.smwcentral.net/28308/S.O.B.zip</x:v>
      </x:c>
    </x:row>
    <x:row r="1507">
      <x:c r="A1507" t="str">
        <x:v>SA-1: Special Adventure - 1</x:v>
      </x:c>
      <x:c r="B1507" t="str">
        <x:v>SA-1: Special Adventure - 1</x:v>
      </x:c>
      <x:c r="C1507" t="str">
        <x:v>Hayashi Neru</x:v>
      </x:c>
      <x:c r="D1507" t="n">
        <x:v>118</x:v>
      </x:c>
      <x:c r="E1507" t="str">
        <x:v>Intermediate</x:v>
      </x:c>
      <x:c r="F1507" t="str">
        <x:v>Standard</x:v>
      </x:c>
      <x:c r="G1507" t="n">
        <x:v>45416</x:v>
      </x:c>
      <x:c r="H1507" t="str">
        <x:v>37596</x:v>
      </x:c>
      <x:c r="I1507" t="str">
        <x:v>https://www.smwcentral.net/?a=details&amp;id=37596&amp;p=section</x:v>
      </x:c>
      <x:c r="J1507" t="str">
        <x:v>https://dl.smwcentral.net/37596/SA-1%EF%BC%9A%20Special%20Adventure%20-%201.zip</x:v>
      </x:c>
    </x:row>
    <x:row r="1508">
      <x:c r="A1508" t="str">
        <x:v>Safespace Challenge</x:v>
      </x:c>
      <x:c r="B1508" t="str">
        <x:v>Safespace Challenge</x:v>
      </x:c>
      <x:c r="C1508" t="str">
        <x:v>MarsAmPear</x:v>
      </x:c>
      <x:c r="D1508" t="n">
        <x:v>1</x:v>
      </x:c>
      <x:c r="E1508" t="str">
        <x:v>Grandmaster</x:v>
      </x:c>
      <x:c r="F1508" t="str">
        <x:v>Kaizo</x:v>
      </x:c>
      <x:c r="G1508" t="n">
        <x:v>45483</x:v>
      </x:c>
      <x:c r="H1508" t="str">
        <x:v>38077</x:v>
      </x:c>
      <x:c r="I1508" t="str">
        <x:v>https://www.smwcentral.net/?a=details&amp;id=38077&amp;p=section</x:v>
      </x:c>
      <x:c r="J1508" t="str">
        <x:v>https://dl.smwcentral.net/38077/Safespace%20Challenge.zip</x:v>
      </x:c>
    </x:row>
    <x:row r="1509">
      <x:c r="A1509" t="str">
        <x:v>Sakaya Sanctuary</x:v>
      </x:c>
      <x:c r="B1509" t="str">
        <x:v>Sakaya Sanctuary</x:v>
      </x:c>
      <x:c r="C1509" t="str">
        <x:v>Jeff2342, JinRokhZenobi, RandomType, Saphros, Spedinja, TheTrueCommonSense, neidoodle, ocked</x:v>
      </x:c>
      <x:c r="D1509" t="n">
        <x:v>20</x:v>
      </x:c>
      <x:c r="E1509" t="str">
        <x:v>Expert</x:v>
      </x:c>
      <x:c r="F1509" t="str">
        <x:v>Kaizo</x:v>
      </x:c>
      <x:c r="G1509" t="n">
        <x:v>46141</x:v>
      </x:c>
      <x:c r="H1509" t="str">
        <x:v>42274</x:v>
      </x:c>
      <x:c r="I1509" t="str">
        <x:v>https://www.smwcentral.net/?a=details&amp;id=42274&amp;p=section</x:v>
      </x:c>
      <x:c r="J1509" t="str">
        <x:v>https://dl.smwcentral.net/42274/Sakaya%20Sanctuary%201.2.zip</x:v>
      </x:c>
    </x:row>
    <x:row r="1510">
      <x:c r="A1510" t="str">
        <x:v>Salty Sagan World</x:v>
      </x:c>
      <x:c r="B1510" t="str">
        <x:v>Salty Sagan World</x:v>
      </x:c>
      <x:c r="C1510" t="str">
        <x:v>Oskise</x:v>
      </x:c>
      <x:c r="D1510" t="n">
        <x:v>22</x:v>
      </x:c>
      <x:c r="E1510" t="str">
        <x:v>Master</x:v>
      </x:c>
      <x:c r="F1510" t="str">
        <x:v>Kaizo</x:v>
      </x:c>
      <x:c r="G1510" t="n">
        <x:v>43210</x:v>
      </x:c>
      <x:c r="H1510" t="str">
        <x:v>17384</x:v>
      </x:c>
      <x:c r="I1510" t="str">
        <x:v>https://www.smwcentral.net/?a=details&amp;id=17384&amp;p=section</x:v>
      </x:c>
      <x:c r="J1510" t="str">
        <x:v>https://dl.smwcentral.net/17384/Salty%20Sagan%20World%201.11.zip</x:v>
      </x:c>
    </x:row>
    <x:row r="1511">
      <x:c r="A1511" t="str">
        <x:v>Same Sprites, Different Levels</x:v>
      </x:c>
      <x:c r="B1511" t="str">
        <x:v>Same Sprites, Different Levels</x:v>
      </x:c>
      <x:c r="C1511" t="str">
        <x:v>eltiolavara9</x:v>
      </x:c>
      <x:c r="D1511" t="n">
        <x:v>92</x:v>
      </x:c>
      <x:c r="E1511" t="str">
        <x:v>Intermediate</x:v>
      </x:c>
      <x:c r="F1511" t="str">
        <x:v>Standard</x:v>
      </x:c>
      <x:c r="G1511" t="n">
        <x:v>44062</x:v>
      </x:c>
      <x:c r="H1511" t="str">
        <x:v>24141</x:v>
      </x:c>
      <x:c r="I1511" t="str">
        <x:v>https://www.smwcentral.net/?a=details&amp;id=24141&amp;p=section</x:v>
      </x:c>
      <x:c r="J1511" t="str">
        <x:v>https://dl.smwcentral.net/24141/Same%20Sprites%2C%20Different%20Levels.zip</x:v>
      </x:c>
    </x:row>
    <x:row r="1512">
      <x:c r="A1512" t="str">
        <x:v>Samsara Mario World</x:v>
      </x:c>
      <x:c r="B1512" t="str">
        <x:v>Samsara Mario World</x:v>
      </x:c>
      <x:c r="C1512" t="str">
        <x:v>margot</x:v>
      </x:c>
      <x:c r="D1512" t="n">
        <x:v>22</x:v>
      </x:c>
      <x:c r="E1512" t="str">
        <x:v>Expert</x:v>
      </x:c>
      <x:c r="F1512" t="str">
        <x:v>Kaizo</x:v>
      </x:c>
      <x:c r="G1512" t="n">
        <x:v>43884</x:v>
      </x:c>
      <x:c r="H1512" t="str">
        <x:v>22102</x:v>
      </x:c>
      <x:c r="I1512" t="str">
        <x:v>https://www.smwcentral.net/?a=details&amp;id=22102&amp;p=section</x:v>
      </x:c>
      <x:c r="J1512" t="str">
        <x:v>https://dl.smwcentral.net/22102/Samsara%20Mario%20World.zip</x:v>
      </x:c>
    </x:row>
    <x:row r="1513">
      <x:c r="A1513" t="str">
        <x:v>Saphros Blind Races #1</x:v>
      </x:c>
      <x:c r="B1513" t="str">
        <x:v>Saphros Blind Races #1</x:v>
      </x:c>
      <x:c r="C1513" t="str">
        <x:v>Saphros</x:v>
      </x:c>
      <x:c r="D1513" t="n">
        <x:v>4</x:v>
      </x:c>
      <x:c r="E1513" t="str">
        <x:v>Advanced</x:v>
      </x:c>
      <x:c r="F1513" t="str">
        <x:v>Kaizo</x:v>
      </x:c>
      <x:c r="G1513" t="n">
        <x:v>45679</x:v>
      </x:c>
      <x:c r="H1513" t="str">
        <x:v>39086</x:v>
      </x:c>
      <x:c r="I1513" t="str">
        <x:v>https://www.smwcentral.net/?a=details&amp;id=39086&amp;p=section</x:v>
      </x:c>
      <x:c r="J1513" t="str">
        <x:v>https://dl.smwcentral.net/39086/Saphros_Blindrace_1.zip</x:v>
      </x:c>
    </x:row>
    <x:row r="1514">
      <x:c r="A1514" t="str">
        <x:v>Saphros Blindrace #2</x:v>
      </x:c>
      <x:c r="B1514" t="str">
        <x:v>Saphros Blindrace #2</x:v>
      </x:c>
      <x:c r="C1514" t="str">
        <x:v>Saphros</x:v>
      </x:c>
      <x:c r="D1514" t="n">
        <x:v>4</x:v>
      </x:c>
      <x:c r="E1514" t="str">
        <x:v>Expert</x:v>
      </x:c>
      <x:c r="F1514" t="str">
        <x:v>Kaizo</x:v>
      </x:c>
      <x:c r="G1514" t="n">
        <x:v>45754</x:v>
      </x:c>
      <x:c r="H1514" t="str">
        <x:v>39701</x:v>
      </x:c>
      <x:c r="I1514" t="str">
        <x:v>https://www.smwcentral.net/?a=details&amp;id=39701&amp;p=section</x:v>
      </x:c>
      <x:c r="J1514" t="str">
        <x:v>https://dl.smwcentral.net/39701/Saphros_Blindrace_2.zip</x:v>
      </x:c>
    </x:row>
    <x:row r="1515">
      <x:c r="A1515" t="str">
        <x:v>Sauna Mario World</x:v>
      </x:c>
      <x:c r="B1515" t="str">
        <x:v>Sauna Mario World</x:v>
      </x:c>
      <x:c r="C1515" t="str">
        <x:v>pnaha</x:v>
      </x:c>
      <x:c r="D1515" t="n">
        <x:v>15</x:v>
      </x:c>
      <x:c r="E1515" t="str">
        <x:v>Advanced</x:v>
      </x:c>
      <x:c r="F1515" t="str">
        <x:v>Kaizo</x:v>
      </x:c>
      <x:c r="G1515" t="n">
        <x:v>45335</x:v>
      </x:c>
      <x:c r="H1515" t="str">
        <x:v>36760</x:v>
      </x:c>
      <x:c r="I1515" t="str">
        <x:v>https://www.smwcentral.net/?a=details&amp;id=36760&amp;p=section</x:v>
      </x:c>
      <x:c r="J1515" t="str">
        <x:v>https://dl.smwcentral.net/36760/Sauna%20Mario%20World%201.5.zip</x:v>
      </x:c>
    </x:row>
    <x:row r="1516">
      <x:c r="A1516" t="str">
        <x:v>Sauna Mario World 2</x:v>
      </x:c>
      <x:c r="B1516" t="str">
        <x:v>Sauna Mario World 2</x:v>
      </x:c>
      <x:c r="C1516" t="str">
        <x:v>pnaha</x:v>
      </x:c>
      <x:c r="D1516" t="n">
        <x:v>21</x:v>
      </x:c>
      <x:c r="E1516" t="str">
        <x:v>Expert</x:v>
      </x:c>
      <x:c r="F1516" t="str">
        <x:v>Kaizo</x:v>
      </x:c>
      <x:c r="G1516" t="n">
        <x:v>46081</x:v>
      </x:c>
      <x:c r="H1516" t="str">
        <x:v>41690</x:v>
      </x:c>
      <x:c r="I1516" t="str">
        <x:v>https://www.smwcentral.net/?a=details&amp;id=41690&amp;p=section</x:v>
      </x:c>
      <x:c r="J1516" t="str">
        <x:v>https://dl.smwcentral.net/41690/Sauna%20Mario%20World%202%20v1.31.zip</x:v>
      </x:c>
    </x:row>
    <x:row r="1517">
      <x:c r="A1517" t="str">
        <x:v>Save Luigi</x:v>
      </x:c>
      <x:c r="B1517" t="str">
        <x:v>Save Luigi</x:v>
      </x:c>
      <x:c r="C1517" t="str">
        <x:v>Overcomon7</x:v>
      </x:c>
      <x:c r="D1517" t="n">
        <x:v>30</x:v>
      </x:c>
      <x:c r="E1517" t="str">
        <x:v>Expert</x:v>
      </x:c>
      <x:c r="F1517" t="str">
        <x:v>Kaizo</x:v>
      </x:c>
      <x:c r="G1517" t="n">
        <x:v>44260</x:v>
      </x:c>
      <x:c r="H1517" t="str">
        <x:v>26096</x:v>
      </x:c>
      <x:c r="I1517" t="str">
        <x:v>https://www.smwcentral.net/?a=details&amp;id=26096&amp;p=section</x:v>
      </x:c>
      <x:c r="J1517" t="str">
        <x:v>https://dl.smwcentral.net/26096/SaveLuigiV5.1.zip</x:v>
      </x:c>
    </x:row>
    <x:row r="1518">
      <x:c r="A1518" t="str">
        <x:v>Saving Libertys Kaizo Adventure</x:v>
      </x:c>
      <x:c r="B1518" t="str">
        <x:v>Saving Libertys Kaizo Adventure</x:v>
      </x:c>
      <x:c r="C1518" t="str">
        <x:v>Savingliberty</x:v>
      </x:c>
      <x:c r="D1518" t="n">
        <x:v>13</x:v>
      </x:c>
      <x:c r="E1518" t="str">
        <x:v>Advanced</x:v>
      </x:c>
      <x:c r="F1518" t="str">
        <x:v>Kaizo</x:v>
      </x:c>
      <x:c r="G1518" t="n">
        <x:v>45114</x:v>
      </x:c>
      <x:c r="H1518" t="str">
        <x:v>34245</x:v>
      </x:c>
      <x:c r="I1518" t="str">
        <x:v>https://www.smwcentral.net/?a=details&amp;id=34245&amp;p=section</x:v>
      </x:c>
      <x:c r="J1518" t="str">
        <x:v>https://dl.smwcentral.net/34245/Saving_Libertys_Kaizo_Adventure.zip</x:v>
      </x:c>
    </x:row>
    <x:row r="1519">
      <x:c r="A1519" t="str">
        <x:v>Sayonara Mario World</x:v>
      </x:c>
      <x:c r="B1519" t="str">
        <x:v>Sayonara Mario World</x:v>
      </x:c>
      <x:c r="C1519" t="str">
        <x:v>margot</x:v>
      </x:c>
      <x:c r="D1519" t="n">
        <x:v>13</x:v>
      </x:c>
      <x:c r="E1519" t="str">
        <x:v>Expert</x:v>
      </x:c>
      <x:c r="F1519" t="str">
        <x:v>Kaizo</x:v>
      </x:c>
      <x:c r="G1519" t="n">
        <x:v>44108</x:v>
      </x:c>
      <x:c r="H1519" t="str">
        <x:v>24739</x:v>
      </x:c>
      <x:c r="I1519" t="str">
        <x:v>https://www.smwcentral.net/?a=details&amp;id=24739&amp;p=section</x:v>
      </x:c>
      <x:c r="J1519" t="str">
        <x:v>https://dl.smwcentral.net/24739/Sayonara%201.1.zip</x:v>
      </x:c>
    </x:row>
    <x:row r="1520">
      <x:c r="A1520" t="str">
        <x:v>Sayonara Mario World 2</x:v>
      </x:c>
      <x:c r="B1520" t="str">
        <x:v>Sayonara Mario World 2</x:v>
      </x:c>
      <x:c r="C1520" t="str">
        <x:v>margot</x:v>
      </x:c>
      <x:c r="D1520" t="n">
        <x:v>16</x:v>
      </x:c>
      <x:c r="E1520" t="str">
        <x:v>Master</x:v>
      </x:c>
      <x:c r="F1520" t="str">
        <x:v>Kaizo</x:v>
      </x:c>
      <x:c r="G1520" t="n">
        <x:v>44749</x:v>
      </x:c>
      <x:c r="H1520" t="str">
        <x:v>31276</x:v>
      </x:c>
      <x:c r="I1520" t="str">
        <x:v>https://www.smwcentral.net/?a=details&amp;id=31276&amp;p=section</x:v>
      </x:c>
      <x:c r="J1520" t="str">
        <x:v>https://dl.smwcentral.net/31276/Sayonara%20Mario%20World%202.zip</x:v>
      </x:c>
    </x:row>
    <x:row r="1521">
      <x:c r="A1521" t="str">
        <x:v>Scary Bosses and Nice Sprites</x:v>
      </x:c>
      <x:c r="B1521" t="str">
        <x:v>Scary Bosses and Nice Sprites</x:v>
      </x:c>
      <x:c r="C1521" t="str">
        <x:v>Darolac</x:v>
      </x:c>
      <x:c r="D1521" t="n">
        <x:v>10</x:v>
      </x:c>
      <x:c r="E1521" t="str">
        <x:v>Advanced</x:v>
      </x:c>
      <x:c r="F1521" t="str">
        <x:v>Standard, Kaizo</x:v>
      </x:c>
      <x:c r="G1521" t="n">
        <x:v>44585</x:v>
      </x:c>
      <x:c r="H1521" t="str">
        <x:v>29498</x:v>
      </x:c>
      <x:c r="I1521" t="str">
        <x:v>https://www.smwcentral.net/?a=details&amp;id=29498&amp;p=section</x:v>
      </x:c>
      <x:c r="J1521" t="str">
        <x:v>https://dl.smwcentral.net/29498/Scary_Bosses_and_Nice_Sprites.zip</x:v>
      </x:c>
    </x:row>
    <x:row r="1522">
      <x:c r="A1522" t="str">
        <x:v>Scyther Our Savior</x:v>
      </x:c>
      <x:c r="B1522" t="str">
        <x:v>Scyther Our Savior</x:v>
      </x:c>
      <x:c r="C1522" t="str">
        <x:v>Gamet2004</x:v>
      </x:c>
      <x:c r="D1522" t="n">
        <x:v>32</x:v>
      </x:c>
      <x:c r="E1522" t="str">
        <x:v>Intermediate</x:v>
      </x:c>
      <x:c r="F1522" t="str">
        <x:v>Standard</x:v>
      </x:c>
      <x:c r="G1522" t="n">
        <x:v>45655</x:v>
      </x:c>
      <x:c r="H1522" t="str">
        <x:v>38971</x:v>
      </x:c>
      <x:c r="I1522" t="str">
        <x:v>https://www.smwcentral.net/?a=details&amp;id=38971&amp;p=section</x:v>
      </x:c>
      <x:c r="J1522" t="str">
        <x:v>https://dl.smwcentral.net/38971/AWildScytherAppeared.zip</x:v>
      </x:c>
    </x:row>
    <x:row r="1523">
      <x:c r="A1523" t="str">
        <x:v>Season of Ice</x:v>
      </x:c>
      <x:c r="B1523" t="str">
        <x:v>Season of Ice</x:v>
      </x:c>
      <x:c r="C1523" t="str">
        <x:v>PercentN</x:v>
      </x:c>
      <x:c r="D1523" t="n">
        <x:v>7</x:v>
      </x:c>
      <x:c r="E1523" t="str">
        <x:v>Newcomer</x:v>
      </x:c>
      <x:c r="F1523" t="str">
        <x:v>Standard</x:v>
      </x:c>
      <x:c r="G1523" t="n">
        <x:v>42246</x:v>
      </x:c>
      <x:c r="H1523" t="str">
        <x:v>9924</x:v>
      </x:c>
      <x:c r="I1523" t="str">
        <x:v>https://www.smwcentral.net/?a=details&amp;id=9924&amp;p=section</x:v>
      </x:c>
      <x:c r="J1523" t="str">
        <x:v>https://dl.smwcentral.net/9924/Season%20of%20ice.zip</x:v>
      </x:c>
    </x:row>
    <x:row r="1524">
      <x:c r="A1524" t="str">
        <x:v>Second Nature</x:v>
      </x:c>
      <x:c r="B1524" t="str">
        <x:v>Second Nature</x:v>
      </x:c>
      <x:c r="C1524" t="str">
        <x:v>VLSkoot</x:v>
      </x:c>
      <x:c r="D1524" t="n">
        <x:v>19</x:v>
      </x:c>
      <x:c r="E1524" t="str">
        <x:v>Expert</x:v>
      </x:c>
      <x:c r="F1524" t="str">
        <x:v>Kaizo</x:v>
      </x:c>
      <x:c r="G1524" t="n">
        <x:v>45389</x:v>
      </x:c>
      <x:c r="H1524" t="str">
        <x:v>37602</x:v>
      </x:c>
      <x:c r="I1524" t="str">
        <x:v>https://www.smwcentral.net/?a=details&amp;id=37602&amp;p=section</x:v>
      </x:c>
      <x:c r="J1524" t="str">
        <x:v>https://dl.smwcentral.net/37602/Second%20Nature.zip</x:v>
      </x:c>
    </x:row>
    <x:row r="1525">
      <x:c r="A1525" t="str">
        <x:v>Secret of Mario</x:v>
      </x:c>
      <x:c r="B1525" t="str">
        <x:v>Secret of Mario</x:v>
      </x:c>
      <x:c r="C1525" t="str">
        <x:v>dtothefourth</x:v>
      </x:c>
      <x:c r="D1525" t="n">
        <x:v>0</x:v>
      </x:c>
      <x:c r="E1525" t="str">
        <x:v>Advanced</x:v>
      </x:c>
      <x:c r="F1525" t="str">
        <x:v>Kaizo</x:v>
      </x:c>
      <x:c r="G1525" t="n">
        <x:v>43641</x:v>
      </x:c>
      <x:c r="H1525" t="str">
        <x:v>20200</x:v>
      </x:c>
      <x:c r="I1525" t="str">
        <x:v>https://www.smwcentral.net/?a=details&amp;id=20200&amp;p=section</x:v>
      </x:c>
      <x:c r="J1525" t="str">
        <x:v>https://dl.smwcentral.net/20200/Secret_Of_Mario.zip</x:v>
      </x:c>
    </x:row>
    <x:row r="1526">
      <x:c r="A1526" t="str">
        <x:v>Seek the Discrepancy</x:v>
      </x:c>
      <x:c r="B1526" t="str">
        <x:v>Seek the Discrepancy</x:v>
      </x:c>
      <x:c r="C1526" t="str">
        <x:v>Fyre150</x:v>
      </x:c>
      <x:c r="D1526" t="n">
        <x:v>15</x:v>
      </x:c>
      <x:c r="E1526" t="str">
        <x:v>Casual</x:v>
      </x:c>
      <x:c r="F1526" t="str">
        <x:v>Standard, Puzzle</x:v>
      </x:c>
      <x:c r="G1526" t="n">
        <x:v>45049</x:v>
      </x:c>
      <x:c r="H1526" t="str">
        <x:v>33861</x:v>
      </x:c>
      <x:c r="I1526" t="str">
        <x:v>https://www.smwcentral.net/?a=details&amp;id=33861&amp;p=section</x:v>
      </x:c>
      <x:c r="J1526" t="str">
        <x:v>https://dl.smwcentral.net/33861/SeekTheDiscrepancy.zip</x:v>
      </x:c>
    </x:row>
    <x:row r="1527">
      <x:c r="A1527" t="str">
        <x:v>Send Your Regrets to the Czar</x:v>
      </x:c>
      <x:c r="B1527" t="str">
        <x:v>Send Your Regrets to the Czar</x:v>
      </x:c>
      <x:c r="C1527" t="str">
        <x:v>JUMP Team, Koopster</x:v>
      </x:c>
      <x:c r="D1527" t="n">
        <x:v>24</x:v>
      </x:c>
      <x:c r="E1527" t="str">
        <x:v>Master</x:v>
      </x:c>
      <x:c r="F1527" t="str">
        <x:v>Kaizo</x:v>
      </x:c>
      <x:c r="G1527" t="n">
        <x:v>44592</x:v>
      </x:c>
      <x:c r="H1527" t="str">
        <x:v>29645</x:v>
      </x:c>
      <x:c r="I1527" t="str">
        <x:v>https://www.smwcentral.net/?a=details&amp;id=29645&amp;p=section</x:v>
      </x:c>
      <x:c r="J1527" t="str">
        <x:v>https://dl.smwcentral.net/29645/Send%20Your%20Regrets%20to%20the%20Czar%20v1.2.zip</x:v>
      </x:c>
    </x:row>
    <x:row r="1528">
      <x:c r="A1528" t="str">
        <x:v>Sendy's World</x:v>
      </x:c>
      <x:c r="B1528" t="str">
        <x:v>Sendy's World</x:v>
      </x:c>
      <x:c r="C1528" t="str">
        <x:v>Sendy</x:v>
      </x:c>
      <x:c r="D1528" t="n">
        <x:v>27</x:v>
      </x:c>
      <x:c r="E1528" t="str">
        <x:v>Intermediate</x:v>
      </x:c>
      <x:c r="F1528" t="str">
        <x:v>Standard</x:v>
      </x:c>
      <x:c r="G1528" t="n">
        <x:v>41580</x:v>
      </x:c>
      <x:c r="H1528" t="str">
        <x:v>5074</x:v>
      </x:c>
      <x:c r="I1528" t="str">
        <x:v>https://www.smwcentral.net/?a=details&amp;id=5074&amp;p=section</x:v>
      </x:c>
      <x:c r="J1528" t="str">
        <x:v>https://dl.smwcentral.net/5074/sendysworldv0.3.zip</x:v>
      </x:c>
    </x:row>
    <x:row r="1529">
      <x:c r="A1529" t="str">
        <x:v>Separate Ways Remastered</x:v>
      </x:c>
      <x:c r="B1529" t="str">
        <x:v>Separate Ways Remastered</x:v>
      </x:c>
      <x:c r="C1529" t="str">
        <x:v>mmmdoggy</x:v>
      </x:c>
      <x:c r="D1529" t="n">
        <x:v>14</x:v>
      </x:c>
      <x:c r="E1529" t="str">
        <x:v>Advanced</x:v>
      </x:c>
      <x:c r="F1529" t="str">
        <x:v>Kaizo</x:v>
      </x:c>
      <x:c r="G1529" t="n">
        <x:v>45634</x:v>
      </x:c>
      <x:c r="H1529" t="str">
        <x:v>38878</x:v>
      </x:c>
      <x:c r="I1529" t="str">
        <x:v>https://www.smwcentral.net/?a=details&amp;id=38878&amp;p=section</x:v>
      </x:c>
      <x:c r="J1529" t="str">
        <x:v>https://dl.smwcentral.net/38878/Separate%20Ways%20Remastered.zip</x:v>
      </x:c>
    </x:row>
    <x:row r="1530">
      <x:c r="A1530" t="str">
        <x:v>Seven Cursed Eggs</x:v>
      </x:c>
      <x:c r="B1530" t="str">
        <x:v>Seven Cursed Eggs</x:v>
      </x:c>
      <x:c r="C1530" t="str">
        <x:v>SyStemkraSh</x:v>
      </x:c>
      <x:c r="D1530" t="n">
        <x:v>10</x:v>
      </x:c>
      <x:c r="E1530" t="str">
        <x:v>Casual</x:v>
      </x:c>
      <x:c r="F1530" t="str">
        <x:v>Standard</x:v>
      </x:c>
      <x:c r="G1530" t="n">
        <x:v>41451</x:v>
      </x:c>
      <x:c r="H1530" t="str">
        <x:v>5099</x:v>
      </x:c>
      <x:c r="I1530" t="str">
        <x:v>https://www.smwcentral.net/?a=details&amp;id=5099&amp;p=section</x:v>
      </x:c>
      <x:c r="J1530" t="str">
        <x:v>https://dl.smwcentral.net/5099/Seven%20Cursed%20Eggs.zip</x:v>
      </x:c>
    </x:row>
    <x:row r="1531">
      <x:c r="A1531" t="str">
        <x:v>Seven Vanilla Levels</x:v>
      </x:c>
      <x:c r="B1531" t="str">
        <x:v>Seven Vanilla Levels</x:v>
      </x:c>
      <x:c r="C1531" t="str">
        <x:v>Stivi</x:v>
      </x:c>
      <x:c r="D1531" t="n">
        <x:v>9</x:v>
      </x:c>
      <x:c r="E1531" t="str">
        <x:v>Intermediate</x:v>
      </x:c>
      <x:c r="F1531" t="str">
        <x:v>Standard</x:v>
      </x:c>
      <x:c r="G1531" t="n">
        <x:v>45352</x:v>
      </x:c>
      <x:c r="H1531" t="str">
        <x:v>37146</x:v>
      </x:c>
      <x:c r="I1531" t="str">
        <x:v>https://www.smwcentral.net/?a=details&amp;id=37146&amp;p=section</x:v>
      </x:c>
      <x:c r="J1531" t="str">
        <x:v>https://dl.smwcentral.net/37146/Seven_Vanilla_Levels.zip</x:v>
      </x:c>
    </x:row>
    <x:row r="1532">
      <x:c r="A1532" t="str">
        <x:v>Shadow of the Mountain</x:v>
      </x:c>
      <x:c r="B1532" t="str">
        <x:v>Shadow of the Mountain</x:v>
      </x:c>
      <x:c r="C1532" t="str">
        <x:v>Firstnamebutt</x:v>
      </x:c>
      <x:c r="D1532" t="n">
        <x:v>17</x:v>
      </x:c>
      <x:c r="E1532" t="str">
        <x:v>Advanced</x:v>
      </x:c>
      <x:c r="F1532" t="str">
        <x:v>Kaizo</x:v>
      </x:c>
      <x:c r="G1532" t="n">
        <x:v>45938</x:v>
      </x:c>
      <x:c r="H1532" t="str">
        <x:v>40746</x:v>
      </x:c>
      <x:c r="I1532" t="str">
        <x:v>https://www.smwcentral.net/?a=details&amp;id=40746&amp;p=section</x:v>
      </x:c>
      <x:c r="J1532" t="str">
        <x:v>https://dl.smwcentral.net/40746/SOTM.zip</x:v>
      </x:c>
    </x:row>
    <x:row r="1533">
      <x:c r="A1533" t="str">
        <x:v>Shallow and Pedantic</x:v>
      </x:c>
      <x:c r="B1533" t="str">
        <x:v>Shallow and Pedantic</x:v>
      </x:c>
      <x:c r="C1533" t="str">
        <x:v>cur, detdu</x:v>
      </x:c>
      <x:c r="D1533" t="n">
        <x:v>5</x:v>
      </x:c>
      <x:c r="E1533" t="str">
        <x:v>Expert</x:v>
      </x:c>
      <x:c r="F1533" t="str">
        <x:v>Kaizo</x:v>
      </x:c>
      <x:c r="G1533" t="n">
        <x:v>44565</x:v>
      </x:c>
      <x:c r="H1533" t="str">
        <x:v>29143</x:v>
      </x:c>
      <x:c r="I1533" t="str">
        <x:v>https://www.smwcentral.net/?a=details&amp;id=29143&amp;p=section</x:v>
      </x:c>
      <x:c r="J1533" t="str">
        <x:v>https://dl.smwcentral.net/29143/Shallow%20and%20Pedantic.zip</x:v>
      </x:c>
    </x:row>
    <x:row r="1534">
      <x:c r="A1534" t="str">
        <x:v>Shallow Pits</x:v>
      </x:c>
      <x:c r="B1534" t="str">
        <x:v>Shallow Pits</x:v>
      </x:c>
      <x:c r="C1534" t="str">
        <x:v>AmperSam</x:v>
      </x:c>
      <x:c r="D1534" t="n">
        <x:v>1</x:v>
      </x:c>
      <x:c r="E1534" t="str">
        <x:v>Master</x:v>
      </x:c>
      <x:c r="F1534" t="str">
        <x:v>Kaizo</x:v>
      </x:c>
      <x:c r="G1534" t="n">
        <x:v>44412</x:v>
      </x:c>
      <x:c r="H1534" t="str">
        <x:v>27874</x:v>
      </x:c>
      <x:c r="I1534" t="str">
        <x:v>https://www.smwcentral.net/?a=details&amp;id=27874&amp;p=section</x:v>
      </x:c>
      <x:c r="J1534" t="str">
        <x:v>https://dl.smwcentral.net/27874/ShallowPits.v1.1.zip</x:v>
      </x:c>
    </x:row>
    <x:row r="1535">
      <x:c r="A1535" t="str">
        <x:v>Shallow Pits 2</x:v>
      </x:c>
      <x:c r="B1535" t="str">
        <x:v>Shallow Pits 2</x:v>
      </x:c>
      <x:c r="C1535" t="str">
        <x:v>AmperSam</x:v>
      </x:c>
      <x:c r="D1535" t="n">
        <x:v>1</x:v>
      </x:c>
      <x:c r="E1535" t="str">
        <x:v>Expert</x:v>
      </x:c>
      <x:c r="F1535" t="str">
        <x:v>Kaizo</x:v>
      </x:c>
      <x:c r="G1535" t="n">
        <x:v>44853</x:v>
      </x:c>
      <x:c r="H1535" t="str">
        <x:v>32256</x:v>
      </x:c>
      <x:c r="I1535" t="str">
        <x:v>https://www.smwcentral.net/?a=details&amp;id=32256&amp;p=section</x:v>
      </x:c>
      <x:c r="J1535" t="str">
        <x:v>https://dl.smwcentral.net/32256/Pits2_v1.1.zip</x:v>
      </x:c>
    </x:row>
    <x:row r="1536">
      <x:c r="A1536" t="str">
        <x:v>Shattered Land</x:v>
      </x:c>
      <x:c r="B1536" t="str">
        <x:v>Shattered Land</x:v>
      </x:c>
      <x:c r="C1536" t="str">
        <x:v>random_box</x:v>
      </x:c>
      <x:c r="D1536" t="n">
        <x:v>5</x:v>
      </x:c>
      <x:c r="E1536" t="str">
        <x:v>Expert</x:v>
      </x:c>
      <x:c r="F1536" t="str">
        <x:v>Kaizo</x:v>
      </x:c>
      <x:c r="G1536" t="n">
        <x:v>44557</x:v>
      </x:c>
      <x:c r="H1536" t="str">
        <x:v>28509</x:v>
      </x:c>
      <x:c r="I1536" t="str">
        <x:v>https://www.smwcentral.net/?a=details&amp;id=28509&amp;p=section</x:v>
      </x:c>
      <x:c r="J1536" t="str">
        <x:v>https://dl.smwcentral.net/28509/Shattered%20Land%201.3.zip</x:v>
      </x:c>
    </x:row>
    <x:row r="1537">
      <x:c r="A1537" t="str">
        <x:v>SHATTERED PLAINS</x:v>
      </x:c>
      <x:c r="B1537" t="str">
        <x:v>SHATTERED PLAINS</x:v>
      </x:c>
      <x:c r="C1537" t="str">
        <x:v>ageVerrly</x:v>
      </x:c>
      <x:c r="D1537" t="n">
        <x:v>0</x:v>
      </x:c>
      <x:c r="E1537" t="str">
        <x:v>Master</x:v>
      </x:c>
      <x:c r="F1537" t="str">
        <x:v>Standard</x:v>
      </x:c>
      <x:c r="G1537" t="n">
        <x:v>45182</x:v>
      </x:c>
      <x:c r="H1537" t="str">
        <x:v>34840</x:v>
      </x:c>
      <x:c r="I1537" t="str">
        <x:v>https://www.smwcentral.net/?a=details&amp;id=34840&amp;p=section</x:v>
      </x:c>
      <x:c r="J1537" t="str">
        <x:v>https://dl.smwcentral.net/34840/plains.zip</x:v>
      </x:c>
    </x:row>
    <x:row r="1538">
      <x:c r="A1538" t="str">
        <x:v>Sheffy 99</x:v>
      </x:c>
      <x:c r="B1538" t="str">
        <x:v>Sheffy 99</x:v>
      </x:c>
      <x:c r="C1538" t="str">
        <x:v>51690</x:v>
      </x:c>
      <x:c r="D1538" t="n">
        <x:v>8</x:v>
      </x:c>
      <x:c r="E1538" t="str">
        <x:v>Master</x:v>
      </x:c>
      <x:c r="F1538" t="str">
        <x:v>Kaizo</x:v>
      </x:c>
      <x:c r="G1538" t="n">
        <x:v>44613</x:v>
      </x:c>
      <x:c r="H1538" t="str">
        <x:v>29776</x:v>
      </x:c>
      <x:c r="I1538" t="str">
        <x:v>https://www.smwcentral.net/?a=details&amp;id=29776&amp;p=section</x:v>
      </x:c>
      <x:c r="J1538" t="str">
        <x:v>https://dl.smwcentral.net/29776/sheffy%2099%20v1.1.zip</x:v>
      </x:c>
    </x:row>
    <x:row r="1539">
      <x:c r="A1539" t="str">
        <x:v>Shell is Cool</x:v>
      </x:c>
      <x:c r="B1539" t="str">
        <x:v>Shell is Cool</x:v>
      </x:c>
      <x:c r="C1539" t="str">
        <x:v>Deivid Borba</x:v>
      </x:c>
      <x:c r="D1539" t="n">
        <x:v>8</x:v>
      </x:c>
      <x:c r="E1539" t="str">
        <x:v>Expert</x:v>
      </x:c>
      <x:c r="F1539" t="str">
        <x:v>Kaizo</x:v>
      </x:c>
      <x:c r="G1539" t="n">
        <x:v>44216</x:v>
      </x:c>
      <x:c r="H1539" t="str">
        <x:v>25999</x:v>
      </x:c>
      <x:c r="I1539" t="str">
        <x:v>https://www.smwcentral.net/?a=details&amp;id=25999&amp;p=section</x:v>
      </x:c>
      <x:c r="J1539" t="str">
        <x:v>https://dl.smwcentral.net/25999/Shell%20is%20Cool.zip</x:v>
      </x:c>
    </x:row>
    <x:row r="1540">
      <x:c r="A1540" t="str">
        <x:v>Shell Motel</x:v>
      </x:c>
      <x:c r="B1540" t="str">
        <x:v>Shell Motel</x:v>
      </x:c>
      <x:c r="C1540" t="str">
        <x:v>Riu_69</x:v>
      </x:c>
      <x:c r="D1540" t="n">
        <x:v>1</x:v>
      </x:c>
      <x:c r="E1540" t="str">
        <x:v>Advanced</x:v>
      </x:c>
      <x:c r="F1540" t="str">
        <x:v>Kaizo</x:v>
      </x:c>
      <x:c r="G1540" t="n">
        <x:v>46004</x:v>
      </x:c>
      <x:c r="H1540" t="str">
        <x:v>41263</x:v>
      </x:c>
      <x:c r="I1540" t="str">
        <x:v>https://www.smwcentral.net/?a=details&amp;id=41263&amp;p=section</x:v>
      </x:c>
      <x:c r="J1540" t="str">
        <x:v>https://dl.smwcentral.net/41263/Shell%20Motel.zip</x:v>
      </x:c>
    </x:row>
    <x:row r="1541">
      <x:c r="A1541" t="str">
        <x:v>Shell Or Die</x:v>
      </x:c>
      <x:c r="B1541" t="str">
        <x:v>Shell Or Die</x:v>
      </x:c>
      <x:c r="C1541" t="str">
        <x:v>BielDusty</x:v>
      </x:c>
      <x:c r="D1541" t="n">
        <x:v>15</x:v>
      </x:c>
      <x:c r="E1541" t="str">
        <x:v>Master</x:v>
      </x:c>
      <x:c r="F1541" t="str">
        <x:v>Kaizo</x:v>
      </x:c>
      <x:c r="G1541" t="n">
        <x:v>46157</x:v>
      </x:c>
      <x:c r="H1541" t="str">
        <x:v>42160</x:v>
      </x:c>
      <x:c r="I1541" t="str">
        <x:v>https://www.smwcentral.net/?a=details&amp;id=42160&amp;p=section</x:v>
      </x:c>
      <x:c r="J1541" t="str">
        <x:v>https://dl.smwcentral.net/42160/ShellOrDie.zip</x:v>
      </x:c>
    </x:row>
    <x:row r="1542">
      <x:c r="A1542" t="str">
        <x:v>Shell Out</x:v>
      </x:c>
      <x:c r="B1542" t="str">
        <x:v>Shell Out</x:v>
      </x:c>
      <x:c r="C1542" t="str">
        <x:v>kaigem</x:v>
      </x:c>
      <x:c r="D1542" t="n">
        <x:v>1</x:v>
      </x:c>
      <x:c r="E1542" t="str">
        <x:v>Expert</x:v>
      </x:c>
      <x:c r="F1542" t="str">
        <x:v>Kaizo</x:v>
      </x:c>
      <x:c r="G1542" t="n">
        <x:v>44198</x:v>
      </x:c>
      <x:c r="H1542" t="str">
        <x:v>25586</x:v>
      </x:c>
      <x:c r="I1542" t="str">
        <x:v>https://www.smwcentral.net/?a=details&amp;id=25586&amp;p=section</x:v>
      </x:c>
      <x:c r="J1542" t="str">
        <x:v>https://dl.smwcentral.net/25586/Shell%20Out.zip</x:v>
      </x:c>
    </x:row>
    <x:row r="1543">
      <x:c r="A1543" t="str">
        <x:v>Shell Reaper</x:v>
      </x:c>
      <x:c r="B1543" t="str">
        <x:v>Shell Reaper</x:v>
      </x:c>
      <x:c r="C1543" t="str">
        <x:v>Ryuoxel, mtheordinarygamer</x:v>
      </x:c>
      <x:c r="D1543" t="n">
        <x:v>6</x:v>
      </x:c>
      <x:c r="E1543" t="str">
        <x:v>Master</x:v>
      </x:c>
      <x:c r="F1543" t="str">
        <x:v>Kaizo</x:v>
      </x:c>
      <x:c r="G1543" t="n">
        <x:v>45492</x:v>
      </x:c>
      <x:c r="H1543" t="str">
        <x:v>38108</x:v>
      </x:c>
      <x:c r="I1543" t="str">
        <x:v>https://www.smwcentral.net/?a=details&amp;id=38108&amp;p=section</x:v>
      </x:c>
      <x:c r="J1543" t="str">
        <x:v>https://dl.smwcentral.net/38108/Shell%20Reaper.zip</x:v>
      </x:c>
    </x:row>
    <x:row r="1544">
      <x:c r="A1544" t="str">
        <x:v>Shell'S 4 KidUlt'S</x:v>
      </x:c>
      <x:c r="B1544" t="str">
        <x:v>Shell'S 4 KidUlt'S</x:v>
      </x:c>
      <x:c r="C1544" t="str">
        <x:v>nets</x:v>
      </x:c>
      <x:c r="D1544" t="n">
        <x:v>4</x:v>
      </x:c>
      <x:c r="E1544" t="str">
        <x:v>Expert</x:v>
      </x:c>
      <x:c r="F1544" t="str">
        <x:v>Kaizo</x:v>
      </x:c>
      <x:c r="G1544" t="n">
        <x:v>46041</x:v>
      </x:c>
      <x:c r="H1544" t="str">
        <x:v>41448</x:v>
      </x:c>
      <x:c r="I1544" t="str">
        <x:v>https://www.smwcentral.net/?a=details&amp;id=41448&amp;p=section</x:v>
      </x:c>
      <x:c r="J1544" t="str">
        <x:v>https://dl.smwcentral.net/41448/SHELLS%204%20KIDULTS%20BY%20N3TS.zip</x:v>
      </x:c>
    </x:row>
    <x:row r="1545">
      <x:c r="A1545" t="str">
        <x:v>Shell's Redeemer</x:v>
      </x:c>
      <x:c r="B1545" t="str">
        <x:v>Shell's Redeemer</x:v>
      </x:c>
      <x:c r="C1545" t="str">
        <x:v>Cartesius</x:v>
      </x:c>
      <x:c r="D1545" t="n">
        <x:v>12</x:v>
      </x:c>
      <x:c r="E1545" t="str">
        <x:v>Expert</x:v>
      </x:c>
      <x:c r="F1545" t="str">
        <x:v>Kaizo</x:v>
      </x:c>
      <x:c r="G1545" t="n">
        <x:v>44096</x:v>
      </x:c>
      <x:c r="H1545" t="str">
        <x:v>24544</x:v>
      </x:c>
      <x:c r="I1545" t="str">
        <x:v>https://www.smwcentral.net/?a=details&amp;id=24544&amp;p=section</x:v>
      </x:c>
      <x:c r="J1545" t="str">
        <x:v>https://dl.smwcentral.net/24544/redeemer.zip</x:v>
      </x:c>
    </x:row>
    <x:row r="1546">
      <x:c r="A1546" t="str">
        <x:v>Shell's Retriever</x:v>
      </x:c>
      <x:c r="B1546" t="str">
        <x:v>Shell's Retriever</x:v>
      </x:c>
      <x:c r="C1546" t="str">
        <x:v>Cartesius</x:v>
      </x:c>
      <x:c r="D1546" t="n">
        <x:v>7</x:v>
      </x:c>
      <x:c r="E1546" t="str">
        <x:v>Expert</x:v>
      </x:c>
      <x:c r="F1546" t="str">
        <x:v>Kaizo</x:v>
      </x:c>
      <x:c r="G1546" t="n">
        <x:v>43486</x:v>
      </x:c>
      <x:c r="H1546" t="str">
        <x:v>18729</x:v>
      </x:c>
      <x:c r="I1546" t="str">
        <x:v>https://www.smwcentral.net/?a=details&amp;id=18729&amp;p=section</x:v>
      </x:c>
      <x:c r="J1546" t="str">
        <x:v>https://dl.smwcentral.net/18729/shellsretriever.zip</x:v>
      </x:c>
    </x:row>
    <x:row r="1547">
      <x:c r="A1547" t="str">
        <x:v>Shella Sick (A Hella Sick Shell Hack)</x:v>
      </x:c>
      <x:c r="B1547" t="str">
        <x:v>Shella Sick (A Hella Sick Shell Hack)</x:v>
      </x:c>
      <x:c r="C1547" t="str">
        <x:v>JeepySol</x:v>
      </x:c>
      <x:c r="D1547" t="n">
        <x:v>14</x:v>
      </x:c>
      <x:c r="E1547" t="str">
        <x:v>Expert</x:v>
      </x:c>
      <x:c r="F1547" t="str">
        <x:v>Kaizo</x:v>
      </x:c>
      <x:c r="G1547" t="n">
        <x:v>46180</x:v>
      </x:c>
      <x:c r="H1547" t="str">
        <x:v>42489</x:v>
      </x:c>
      <x:c r="I1547" t="str">
        <x:v>https://www.smwcentral.net/?a=details&amp;id=42489&amp;p=section</x:v>
      </x:c>
      <x:c r="J1547" t="str">
        <x:v>https://dl.smwcentral.net/42489/Shella%20Sick%20%28A%20Hella%20Sick%20Shell%20Hack%29%20v1_1.zip</x:v>
      </x:c>
    </x:row>
    <x:row r="1548">
      <x:c r="A1548" t="str">
        <x:v>Shellab</x:v>
      </x:c>
      <x:c r="B1548" t="str">
        <x:v>Shellab</x:v>
      </x:c>
      <x:c r="C1548" t="str">
        <x:v>Cracka, Firstnamebutt, Inflagrandy, Saphros, SwiggittyWiggitty, bald_ridge, l337f00l, mtheordinarygamer, neidoodle, xMANGRAVYx</x:v>
      </x:c>
      <x:c r="D1548" t="n">
        <x:v>10</x:v>
      </x:c>
      <x:c r="E1548" t="str">
        <x:v>Expert</x:v>
      </x:c>
      <x:c r="F1548" t="str">
        <x:v>Kaizo</x:v>
      </x:c>
      <x:c r="G1548" t="n">
        <x:v>45977</x:v>
      </x:c>
      <x:c r="H1548" t="str">
        <x:v>41048</x:v>
      </x:c>
      <x:c r="I1548" t="str">
        <x:v>https://www.smwcentral.net/?a=details&amp;id=41048&amp;p=section</x:v>
      </x:c>
      <x:c r="J1548" t="str">
        <x:v>https://dl.smwcentral.net/41048/Shellab.zip</x:v>
      </x:c>
    </x:row>
    <x:row r="1549">
      <x:c r="A1549" t="str">
        <x:v>Shellax</x:v>
      </x:c>
      <x:c r="B1549" t="str">
        <x:v>Shellax</x:v>
      </x:c>
      <x:c r="C1549" t="str">
        <x:v>Fryinb</x:v>
      </x:c>
      <x:c r="D1549" t="n">
        <x:v>7</x:v>
      </x:c>
      <x:c r="E1549" t="str">
        <x:v>Expert</x:v>
      </x:c>
      <x:c r="F1549" t="str">
        <x:v>Kaizo</x:v>
      </x:c>
      <x:c r="G1549" t="n">
        <x:v>44317</x:v>
      </x:c>
      <x:c r="H1549" t="str">
        <x:v>26886</x:v>
      </x:c>
      <x:c r="I1549" t="str">
        <x:v>https://www.smwcentral.net/?a=details&amp;id=26886&amp;p=section</x:v>
      </x:c>
      <x:c r="J1549" t="str">
        <x:v>https://dl.smwcentral.net/26886/Shellax1.1.zip</x:v>
      </x:c>
    </x:row>
    <x:row r="1550">
      <x:c r="A1550" t="str">
        <x:v>Shellenge</x:v>
      </x:c>
      <x:c r="B1550" t="str">
        <x:v>Shellenge</x:v>
      </x:c>
      <x:c r="C1550" t="str">
        <x:v>Saphros</x:v>
      </x:c>
      <x:c r="D1550" t="n">
        <x:v>11</x:v>
      </x:c>
      <x:c r="E1550" t="str">
        <x:v>Advanced</x:v>
      </x:c>
      <x:c r="F1550" t="str">
        <x:v>Kaizo</x:v>
      </x:c>
      <x:c r="G1550" t="n">
        <x:v>45935</x:v>
      </x:c>
      <x:c r="H1550" t="str">
        <x:v>40736</x:v>
      </x:c>
      <x:c r="I1550" t="str">
        <x:v>https://www.smwcentral.net/?a=details&amp;id=40736&amp;p=section</x:v>
      </x:c>
      <x:c r="J1550" t="str">
        <x:v>https://dl.smwcentral.net/40736/Shellenge.zip</x:v>
      </x:c>
    </x:row>
    <x:row r="1551">
      <x:c r="A1551" t="str">
        <x:v>Shello</x:v>
      </x:c>
      <x:c r="B1551" t="str">
        <x:v>Shello</x:v>
      </x:c>
      <x:c r="C1551" t="str">
        <x:v>Inflagrandy</x:v>
      </x:c>
      <x:c r="D1551" t="n">
        <x:v>12</x:v>
      </x:c>
      <x:c r="E1551" t="str">
        <x:v>Expert</x:v>
      </x:c>
      <x:c r="F1551" t="str">
        <x:v>Kaizo</x:v>
      </x:c>
      <x:c r="G1551" t="n">
        <x:v>45516</x:v>
      </x:c>
      <x:c r="H1551" t="str">
        <x:v>38203</x:v>
      </x:c>
      <x:c r="I1551" t="str">
        <x:v>https://www.smwcentral.net/?a=details&amp;id=38203&amp;p=section</x:v>
      </x:c>
      <x:c r="J1551" t="str">
        <x:v>https://dl.smwcentral.net/38203/Shello.zip</x:v>
      </x:c>
    </x:row>
    <x:row r="1552">
      <x:c r="A1552" t="str">
        <x:v>Shelloween</x:v>
      </x:c>
      <x:c r="B1552" t="str">
        <x:v>Shelloween</x:v>
      </x:c>
      <x:c r="C1552" t="str">
        <x:v>Steffi4689Lol</x:v>
      </x:c>
      <x:c r="D1552" t="n">
        <x:v>10</x:v>
      </x:c>
      <x:c r="E1552" t="str">
        <x:v>Advanced</x:v>
      </x:c>
      <x:c r="F1552" t="str">
        <x:v>Kaizo</x:v>
      </x:c>
      <x:c r="G1552" t="n">
        <x:v>44900</x:v>
      </x:c>
      <x:c r="H1552" t="str">
        <x:v>32697</x:v>
      </x:c>
      <x:c r="I1552" t="str">
        <x:v>https://www.smwcentral.net/?a=details&amp;id=32697&amp;p=section</x:v>
      </x:c>
      <x:c r="J1552" t="str">
        <x:v>https://dl.smwcentral.net/32697/Shelloween.zip</x:v>
      </x:c>
    </x:row>
    <x:row r="1553">
      <x:c r="A1553" t="str">
        <x:v>Shells 3 &amp; Knuckles</x:v>
      </x:c>
      <x:c r="B1553" t="str">
        <x:v>Shells 3 &amp; Knuckles</x:v>
      </x:c>
      <x:c r="C1553" t="str">
        <x:v>TheGremlin</x:v>
      </x:c>
      <x:c r="D1553" t="n">
        <x:v>8</x:v>
      </x:c>
      <x:c r="E1553" t="str">
        <x:v>Expert</x:v>
      </x:c>
      <x:c r="F1553" t="str">
        <x:v>Kaizo</x:v>
      </x:c>
      <x:c r="G1553" t="n">
        <x:v>45079</x:v>
      </x:c>
      <x:c r="H1553" t="str">
        <x:v>34009</x:v>
      </x:c>
      <x:c r="I1553" t="str">
        <x:v>https://www.smwcentral.net/?a=details&amp;id=34009&amp;p=section</x:v>
      </x:c>
      <x:c r="J1553" t="str">
        <x:v>https://dl.smwcentral.net/34009/Shells3AndKnuckles.zip</x:v>
      </x:c>
    </x:row>
    <x:row r="1554">
      <x:c r="A1554" t="str">
        <x:v>Shells Delivery Deluxe</x:v>
      </x:c>
      <x:c r="B1554" t="str">
        <x:v>Shells Delivery Deluxe</x:v>
      </x:c>
      <x:c r="C1554" t="str">
        <x:v>TheMURAmatsu</x:v>
      </x:c>
      <x:c r="D1554" t="n">
        <x:v>8</x:v>
      </x:c>
      <x:c r="E1554" t="str">
        <x:v>Advanced</x:v>
      </x:c>
      <x:c r="F1554" t="str">
        <x:v>Kaizo</x:v>
      </x:c>
      <x:c r="G1554" t="n">
        <x:v>44185</x:v>
      </x:c>
      <x:c r="H1554" t="str">
        <x:v>25495</x:v>
      </x:c>
      <x:c r="I1554" t="str">
        <x:v>https://www.smwcentral.net/?a=details&amp;id=25495&amp;p=section</x:v>
      </x:c>
      <x:c r="J1554" t="str">
        <x:v>https://dl.smwcentral.net/25495/ShellsDeliveryDeluxe.zip</x:v>
      </x:c>
    </x:row>
    <x:row r="1555">
      <x:c r="A1555" t="str">
        <x:v>Shells Kitchen: Leos Journey</x:v>
      </x:c>
      <x:c r="B1555" t="str">
        <x:v>Shells Kitchen: Leos Journey</x:v>
      </x:c>
      <x:c r="C1555" t="str">
        <x:v>Saphros</x:v>
      </x:c>
      <x:c r="D1555" t="n">
        <x:v>10</x:v>
      </x:c>
      <x:c r="E1555" t="str">
        <x:v>Intermediate</x:v>
      </x:c>
      <x:c r="F1555" t="str">
        <x:v>Kaizo</x:v>
      </x:c>
      <x:c r="G1555" t="n">
        <x:v>45436</x:v>
      </x:c>
      <x:c r="H1555" t="str">
        <x:v>37822</x:v>
      </x:c>
      <x:c r="I1555" t="str">
        <x:v>https://www.smwcentral.net/?a=details&amp;id=37822&amp;p=section</x:v>
      </x:c>
      <x:c r="J1555" t="str">
        <x:v>https://dl.smwcentral.net/37822/ShellsKitchen_Leos_Journey.zip</x:v>
      </x:c>
    </x:row>
    <x:row r="1556">
      <x:c r="A1556" t="str">
        <x:v>Shells Kitchen: Nicos Journey</x:v>
      </x:c>
      <x:c r="B1556" t="str">
        <x:v>Shells Kitchen: Nicos Journey</x:v>
      </x:c>
      <x:c r="C1556" t="str">
        <x:v>Saphros</x:v>
      </x:c>
      <x:c r="D1556" t="n">
        <x:v>10</x:v>
      </x:c>
      <x:c r="E1556" t="str">
        <x:v>Advanced</x:v>
      </x:c>
      <x:c r="F1556" t="str">
        <x:v>Kaizo</x:v>
      </x:c>
      <x:c r="G1556" t="n">
        <x:v>45429</x:v>
      </x:c>
      <x:c r="H1556" t="str">
        <x:v>37792</x:v>
      </x:c>
      <x:c r="I1556" t="str">
        <x:v>https://www.smwcentral.net/?a=details&amp;id=37792&amp;p=section</x:v>
      </x:c>
      <x:c r="J1556" t="str">
        <x:v>https://dl.smwcentral.net/37792/ShellsKitchen_Nicos_Journey_v1.0.zip</x:v>
      </x:c>
    </x:row>
    <x:row r="1557">
      <x:c r="A1557" t="str">
        <x:v>Shellshock</x:v>
      </x:c>
      <x:c r="B1557" t="str">
        <x:v>Shellshock</x:v>
      </x:c>
      <x:c r="C1557" t="str">
        <x:v>Riu_69</x:v>
      </x:c>
      <x:c r="D1557" t="n">
        <x:v>9</x:v>
      </x:c>
      <x:c r="E1557" t="str">
        <x:v>Grandmaster</x:v>
      </x:c>
      <x:c r="F1557" t="str">
        <x:v>Kaizo</x:v>
      </x:c>
      <x:c r="G1557" t="n">
        <x:v>46083</x:v>
      </x:c>
      <x:c r="H1557" t="str">
        <x:v>41542</x:v>
      </x:c>
      <x:c r="I1557" t="str">
        <x:v>https://www.smwcentral.net/?a=details&amp;id=41542&amp;p=section</x:v>
      </x:c>
      <x:c r="J1557" t="str">
        <x:v>https://dl.smwcentral.net/41542/Shellshock%20V%201.3.zip</x:v>
      </x:c>
    </x:row>
    <x:row r="1558">
      <x:c r="A1558" t="str">
        <x:v>Shelltopia</x:v>
      </x:c>
      <x:c r="B1558" t="str">
        <x:v>Shelltopia</x:v>
      </x:c>
      <x:c r="C1558" t="str">
        <x:v>Vidli</x:v>
      </x:c>
      <x:c r="D1558" t="n">
        <x:v>9</x:v>
      </x:c>
      <x:c r="E1558" t="str">
        <x:v>Advanced</x:v>
      </x:c>
      <x:c r="F1558" t="str">
        <x:v>Kaizo</x:v>
      </x:c>
      <x:c r="G1558" t="n">
        <x:v>44991</x:v>
      </x:c>
      <x:c r="H1558" t="str">
        <x:v>33434</x:v>
      </x:c>
      <x:c r="I1558" t="str">
        <x:v>https://www.smwcentral.net/?a=details&amp;id=33434&amp;p=section</x:v>
      </x:c>
      <x:c r="J1558" t="str">
        <x:v>https://dl.smwcentral.net/33434/Shelltopia.zip</x:v>
      </x:c>
    </x:row>
    <x:row r="1559">
      <x:c r="A1559" t="str">
        <x:v>Shellventure</x:v>
      </x:c>
      <x:c r="B1559" t="str">
        <x:v>Shellventure</x:v>
      </x:c>
      <x:c r="C1559" t="str">
        <x:v>mikeeeeee83</x:v>
      </x:c>
      <x:c r="D1559" t="n">
        <x:v>9</x:v>
      </x:c>
      <x:c r="E1559" t="str">
        <x:v>Expert</x:v>
      </x:c>
      <x:c r="F1559" t="str">
        <x:v>Kaizo</x:v>
      </x:c>
      <x:c r="G1559" t="n">
        <x:v>45698</x:v>
      </x:c>
      <x:c r="H1559" t="str">
        <x:v>39179</x:v>
      </x:c>
      <x:c r="I1559" t="str">
        <x:v>https://www.smwcentral.net/?a=details&amp;id=39179&amp;p=section</x:v>
      </x:c>
      <x:c r="J1559" t="str">
        <x:v>https://dl.smwcentral.net/39179/shellventure10.zip</x:v>
      </x:c>
    </x:row>
    <x:row r="1560">
      <x:c r="A1560" t="str">
        <x:v>Shellz</x:v>
      </x:c>
      <x:c r="B1560" t="str">
        <x:v>Shellz</x:v>
      </x:c>
      <x:c r="C1560" t="str">
        <x:v>Bodacious_snail</x:v>
      </x:c>
      <x:c r="D1560" t="n">
        <x:v>9</x:v>
      </x:c>
      <x:c r="E1560" t="str">
        <x:v>Expert</x:v>
      </x:c>
      <x:c r="F1560" t="str">
        <x:v>Kaizo</x:v>
      </x:c>
      <x:c r="G1560" t="n">
        <x:v>44931</x:v>
      </x:c>
      <x:c r="H1560" t="str">
        <x:v>32877</x:v>
      </x:c>
      <x:c r="I1560" t="str">
        <x:v>https://www.smwcentral.net/?a=details&amp;id=32877&amp;p=section</x:v>
      </x:c>
      <x:c r="J1560" t="str">
        <x:v>https://dl.smwcentral.net/32877/Shellz.zip</x:v>
      </x:c>
    </x:row>
    <x:row r="1561">
      <x:c r="A1561" t="str">
        <x:v>SHINE</x:v>
      </x:c>
      <x:c r="B1561" t="str">
        <x:v>SHINE</x:v>
      </x:c>
      <x:c r="C1561" t="str">
        <x:v>Doopu</x:v>
      </x:c>
      <x:c r="D1561" t="n">
        <x:v>12</x:v>
      </x:c>
      <x:c r="E1561" t="str">
        <x:v>Expert</x:v>
      </x:c>
      <x:c r="F1561" t="str">
        <x:v>Kaizo</x:v>
      </x:c>
      <x:c r="G1561" t="n">
        <x:v>45749</x:v>
      </x:c>
      <x:c r="H1561" t="str">
        <x:v>39649</x:v>
      </x:c>
      <x:c r="I1561" t="str">
        <x:v>https://www.smwcentral.net/?a=details&amp;id=39649&amp;p=section</x:v>
      </x:c>
      <x:c r="J1561" t="str">
        <x:v>https://dl.smwcentral.net/39649/SHINE%20v1.1.zip</x:v>
      </x:c>
    </x:row>
    <x:row r="1562">
      <x:c r="A1562" t="str">
        <x:v>Shipwrecked</x:v>
      </x:c>
      <x:c r="B1562" t="str">
        <x:v>Shipwrecked</x:v>
      </x:c>
      <x:c r="C1562" t="str">
        <x:v>GloriousWater</x:v>
      </x:c>
      <x:c r="D1562" t="n">
        <x:v>24</x:v>
      </x:c>
      <x:c r="E1562" t="str">
        <x:v>Casual</x:v>
      </x:c>
      <x:c r="F1562" t="str">
        <x:v>Standard</x:v>
      </x:c>
      <x:c r="G1562" t="n">
        <x:v>41629</x:v>
      </x:c>
      <x:c r="H1562" t="str">
        <x:v>5997</x:v>
      </x:c>
      <x:c r="I1562" t="str">
        <x:v>https://www.smwcentral.net/?a=details&amp;id=5997&amp;p=section</x:v>
      </x:c>
      <x:c r="J1562" t="str">
        <x:v>https://dl.smwcentral.net/5997/Shipwrecked_V1.21.zip</x:v>
      </x:c>
    </x:row>
    <x:row r="1563">
      <x:c r="A1563" t="str">
        <x:v>Shooey</x:v>
      </x:c>
      <x:c r="B1563" t="str">
        <x:v>Shooey</x:v>
      </x:c>
      <x:c r="C1563" t="str">
        <x:v>bald_ridge</x:v>
      </x:c>
      <x:c r="D1563" t="n">
        <x:v>10</x:v>
      </x:c>
      <x:c r="E1563" t="str">
        <x:v>Expert</x:v>
      </x:c>
      <x:c r="F1563" t="str">
        <x:v>Kaizo</x:v>
      </x:c>
      <x:c r="G1563" t="n">
        <x:v>45484</x:v>
      </x:c>
      <x:c r="H1563" t="str">
        <x:v>38084</x:v>
      </x:c>
      <x:c r="I1563" t="str">
        <x:v>https://www.smwcentral.net/?a=details&amp;id=38084&amp;p=section</x:v>
      </x:c>
      <x:c r="J1563" t="str">
        <x:v>https://dl.smwcentral.net/38084/Shooey.zip</x:v>
      </x:c>
    </x:row>
    <x:row r="1564">
      <x:c r="A1564" t="str">
        <x:v>Short 'n Sweet</x:v>
      </x:c>
      <x:c r="B1564" t="str">
        <x:v>Short 'n Sweet</x:v>
      </x:c>
      <x:c r="C1564" t="str">
        <x:v>Anonymous</x:v>
      </x:c>
      <x:c r="D1564" t="n">
        <x:v>7</x:v>
      </x:c>
      <x:c r="E1564" t="str">
        <x:v>Intermediate</x:v>
      </x:c>
      <x:c r="F1564" t="str">
        <x:v>Kaizo</x:v>
      </x:c>
      <x:c r="G1564" t="n">
        <x:v>44409</x:v>
      </x:c>
      <x:c r="H1564" t="str">
        <x:v>27802</x:v>
      </x:c>
      <x:c r="I1564" t="str">
        <x:v>https://www.smwcentral.net/?a=details&amp;id=27802&amp;p=section</x:v>
      </x:c>
      <x:c r="J1564" t="str">
        <x:v>https://dl.smwcentral.net/27802/Short%20%27n%20Sweet%20DemoAnon.zip</x:v>
      </x:c>
    </x:row>
    <x:row r="1565">
      <x:c r="A1565" t="str">
        <x:v>Short and Hard: A midair Shellhack</x:v>
      </x:c>
      <x:c r="B1565" t="str">
        <x:v>Short and Hard: A midair Shellhack</x:v>
      </x:c>
      <x:c r="C1565" t="str">
        <x:v>kurtistrydiz</x:v>
      </x:c>
      <x:c r="D1565" t="n">
        <x:v>19</x:v>
      </x:c>
      <x:c r="E1565" t="str">
        <x:v>Master</x:v>
      </x:c>
      <x:c r="F1565" t="str">
        <x:v>Kaizo</x:v>
      </x:c>
      <x:c r="G1565" t="n">
        <x:v>44933</x:v>
      </x:c>
      <x:c r="H1565" t="str">
        <x:v>32716</x:v>
      </x:c>
      <x:c r="I1565" t="str">
        <x:v>https://www.smwcentral.net/?a=details&amp;id=32716&amp;p=section</x:v>
      </x:c>
      <x:c r="J1565" t="str">
        <x:v>https://dl.smwcentral.net/32716/ShortnHard%20v1.3.zip</x:v>
      </x:c>
    </x:row>
    <x:row r="1566">
      <x:c r="A1566" t="str">
        <x:v>Short and Sweet</x:v>
      </x:c>
      <x:c r="B1566" t="str">
        <x:v>Short and Sweet</x:v>
      </x:c>
      <x:c r="C1566" t="str">
        <x:v>Hiroki</x:v>
      </x:c>
      <x:c r="D1566" t="n">
        <x:v>11</x:v>
      </x:c>
      <x:c r="E1566" t="str">
        <x:v>Advanced</x:v>
      </x:c>
      <x:c r="F1566" t="str">
        <x:v>Kaizo</x:v>
      </x:c>
      <x:c r="G1566" t="n">
        <x:v>44502</x:v>
      </x:c>
      <x:c r="H1566" t="str">
        <x:v>28657</x:v>
      </x:c>
      <x:c r="I1566" t="str">
        <x:v>https://www.smwcentral.net/?a=details&amp;id=28657&amp;p=section</x:v>
      </x:c>
      <x:c r="J1566" t="str">
        <x:v>https://dl.smwcentral.net/28657/short%20and%20sweet%20v1.2.zip</x:v>
      </x:c>
    </x:row>
    <x:row r="1567">
      <x:c r="A1567" t="str">
        <x:v>Short but Savage</x:v>
      </x:c>
      <x:c r="B1567" t="str">
        <x:v>Short but Savage</x:v>
      </x:c>
      <x:c r="C1567" t="str">
        <x:v>H3nt4ik4m3n</x:v>
      </x:c>
      <x:c r="D1567" t="n">
        <x:v>5</x:v>
      </x:c>
      <x:c r="E1567" t="str">
        <x:v>Master</x:v>
      </x:c>
      <x:c r="F1567" t="str">
        <x:v>Kaizo</x:v>
      </x:c>
      <x:c r="G1567" t="n">
        <x:v>45240</x:v>
      </x:c>
      <x:c r="H1567" t="str">
        <x:v>35462</x:v>
      </x:c>
      <x:c r="I1567" t="str">
        <x:v>https://www.smwcentral.net/?a=details&amp;id=35462&amp;p=section</x:v>
      </x:c>
      <x:c r="J1567" t="str">
        <x:v>https://dl.smwcentral.net/35462/Short%20but%20Savage.zip</x:v>
      </x:c>
    </x:row>
    <x:row r="1568">
      <x:c r="A1568" t="str">
        <x:v>short mario adventure</x:v>
      </x:c>
      <x:c r="B1568" t="str">
        <x:v>short mario adventure</x:v>
      </x:c>
      <x:c r="C1568" t="str">
        <x:v>Verliezer18</x:v>
      </x:c>
      <x:c r="D1568" t="n">
        <x:v>7</x:v>
      </x:c>
      <x:c r="E1568" t="str">
        <x:v>Newcomer</x:v>
      </x:c>
      <x:c r="F1568" t="str">
        <x:v>Standard</x:v>
      </x:c>
      <x:c r="G1568" t="n">
        <x:v>43305</x:v>
      </x:c>
      <x:c r="H1568" t="str">
        <x:v>17922</x:v>
      </x:c>
      <x:c r="I1568" t="str">
        <x:v>https://www.smwcentral.net/?a=details&amp;id=17922&amp;p=section</x:v>
      </x:c>
      <x:c r="J1568" t="str">
        <x:v>https://dl.smwcentral.net/17922/ShortMarioAdventure.zip</x:v>
      </x:c>
    </x:row>
    <x:row r="1569">
      <x:c r="A1569" t="str">
        <x:v>Showtime</x:v>
      </x:c>
      <x:c r="B1569" t="str">
        <x:v>Showtime</x:v>
      </x:c>
      <x:c r="C1569" t="str">
        <x:v>TheMorganah</x:v>
      </x:c>
      <x:c r="D1569" t="n">
        <x:v>30</x:v>
      </x:c>
      <x:c r="E1569" t="str">
        <x:v>Advanced</x:v>
      </x:c>
      <x:c r="F1569" t="str">
        <x:v>Standard</x:v>
      </x:c>
      <x:c r="G1569" t="n">
        <x:v>45929</x:v>
      </x:c>
      <x:c r="H1569" t="str">
        <x:v>40687</x:v>
      </x:c>
      <x:c r="I1569" t="str">
        <x:v>https://www.smwcentral.net/?a=details&amp;id=40687&amp;p=section</x:v>
      </x:c>
      <x:c r="J1569" t="str">
        <x:v>https://dl.smwcentral.net/40687/%5B2025%5D%20Showtime%20v1.7%20%28U%29.zip</x:v>
      </x:c>
    </x:row>
    <x:row r="1570">
      <x:c r="A1570" t="str">
        <x:v>Shy Guy's Adventure</x:v>
      </x:c>
      <x:c r="B1570" t="str">
        <x:v>Shy Guy's Adventure</x:v>
      </x:c>
      <x:c r="C1570" t="str">
        <x:v>K3fka</x:v>
      </x:c>
      <x:c r="D1570" t="n">
        <x:v>5</x:v>
      </x:c>
      <x:c r="E1570" t="str">
        <x:v>Casual</x:v>
      </x:c>
      <x:c r="F1570" t="str">
        <x:v>Standard</x:v>
      </x:c>
      <x:c r="G1570" t="n">
        <x:v>41527</x:v>
      </x:c>
      <x:c r="H1570" t="str">
        <x:v>5533</x:v>
      </x:c>
      <x:c r="I1570" t="str">
        <x:v>https://www.smwcentral.net/?a=details&amp;id=5533&amp;p=section</x:v>
      </x:c>
      <x:c r="J1570" t="str">
        <x:v>https://dl.smwcentral.net/5533/Shy%20Guy%27s%20Adventure%20C3%20Demo.zip</x:v>
      </x:c>
    </x:row>
    <x:row r="1571">
      <x:c r="A1571" t="str">
        <x:v>Shy-Guy Quest</x:v>
      </x:c>
      <x:c r="B1571" t="str">
        <x:v>Shy-Guy Quest</x:v>
      </x:c>
      <x:c r="C1571" t="str">
        <x:v>DgBarca</x:v>
      </x:c>
      <x:c r="D1571" t="n">
        <x:v>6</x:v>
      </x:c>
      <x:c r="E1571" t="str">
        <x:v>Casual</x:v>
      </x:c>
      <x:c r="F1571" t="str">
        <x:v>Standard</x:v>
      </x:c>
      <x:c r="G1571" t="n">
        <x:v>42329</x:v>
      </x:c>
      <x:c r="H1571" t="str">
        <x:v>9651</x:v>
      </x:c>
      <x:c r="I1571" t="str">
        <x:v>https://www.smwcentral.net/?a=details&amp;id=9651&amp;p=section</x:v>
      </x:c>
      <x:c r="J1571" t="str">
        <x:v>https://dl.smwcentral.net/9651/Shy-Guy_Quest_C3.zip</x:v>
      </x:c>
    </x:row>
    <x:row r="1572">
      <x:c r="A1572" t="str">
        <x:v>ShyGuy Kaizo Dream</x:v>
      </x:c>
      <x:c r="B1572" t="str">
        <x:v>ShyGuy Kaizo Dream</x:v>
      </x:c>
      <x:c r="C1572" t="str">
        <x:v>P1JDS</x:v>
      </x:c>
      <x:c r="D1572" t="n">
        <x:v>8</x:v>
      </x:c>
      <x:c r="E1572" t="str">
        <x:v>Expert</x:v>
      </x:c>
      <x:c r="F1572" t="str">
        <x:v>Kaizo</x:v>
      </x:c>
      <x:c r="G1572" t="n">
        <x:v>44211</x:v>
      </x:c>
      <x:c r="H1572" t="str">
        <x:v>25911</x:v>
      </x:c>
      <x:c r="I1572" t="str">
        <x:v>https://www.smwcentral.net/?a=details&amp;id=25911&amp;p=section</x:v>
      </x:c>
      <x:c r="J1572" t="str">
        <x:v>https://dl.smwcentral.net/25911/ShyGuyKaizoDream1.2.zip</x:v>
      </x:c>
    </x:row>
    <x:row r="1573">
      <x:c r="A1573" t="str">
        <x:v>ShyGuy Kaizo Dream 2 - Shy Guy's Awakening</x:v>
      </x:c>
      <x:c r="B1573" t="str">
        <x:v>ShyGuy Kaizo Dream 2 - Shy Guy's Awakening</x:v>
      </x:c>
      <x:c r="C1573" t="str">
        <x:v>P1JDS</x:v>
      </x:c>
      <x:c r="D1573" t="n">
        <x:v>20</x:v>
      </x:c>
      <x:c r="E1573" t="str">
        <x:v>Expert</x:v>
      </x:c>
      <x:c r="F1573" t="str">
        <x:v>Kaizo</x:v>
      </x:c>
      <x:c r="G1573" t="n">
        <x:v>44593</x:v>
      </x:c>
      <x:c r="H1573" t="str">
        <x:v>29653</x:v>
      </x:c>
      <x:c r="I1573" t="str">
        <x:v>https://www.smwcentral.net/?a=details&amp;id=29653&amp;p=section</x:v>
      </x:c>
      <x:c r="J1573" t="str">
        <x:v>https://dl.smwcentral.net/29653/ShyGuy%20Kaizo%20Dream%202%20-%20Shy%20Guy%27s%20Awakening%201.1.zip</x:v>
      </x:c>
    </x:row>
    <x:row r="1574">
      <x:c r="A1574" t="str">
        <x:v>Sicari</x:v>
      </x:c>
      <x:c r="B1574" t="str">
        <x:v>Sicari</x:v>
      </x:c>
      <x:c r="C1574" t="str">
        <x:v>Eevee</x:v>
      </x:c>
      <x:c r="D1574" t="n">
        <x:v>35</x:v>
      </x:c>
      <x:c r="E1574" t="str">
        <x:v>Casual</x:v>
      </x:c>
      <x:c r="F1574" t="str">
        <x:v>Standard</x:v>
      </x:c>
      <x:c r="G1574" t="n">
        <x:v>41609</x:v>
      </x:c>
      <x:c r="H1574" t="str">
        <x:v>5950</x:v>
      </x:c>
      <x:c r="I1574" t="str">
        <x:v>https://www.smwcentral.net/?a=details&amp;id=5950&amp;p=section</x:v>
      </x:c>
      <x:c r="J1574" t="str">
        <x:v>https://dl.smwcentral.net/5950/Sicari.zip</x:v>
      </x:c>
    </x:row>
    <x:row r="1575">
      <x:c r="A1575" t="str">
        <x:v>Sicari 2 - The Brink of Time</x:v>
      </x:c>
      <x:c r="B1575" t="str">
        <x:v>Sicari 2 - The Brink of Time</x:v>
      </x:c>
      <x:c r="C1575" t="str">
        <x:v>Eevee</x:v>
      </x:c>
      <x:c r="D1575" t="n">
        <x:v>46</x:v>
      </x:c>
      <x:c r="E1575" t="str">
        <x:v>Intermediate</x:v>
      </x:c>
      <x:c r="F1575" t="str">
        <x:v>Standard</x:v>
      </x:c>
      <x:c r="G1575" t="n">
        <x:v>44862</x:v>
      </x:c>
      <x:c r="H1575" t="str">
        <x:v>32095</x:v>
      </x:c>
      <x:c r="I1575" t="str">
        <x:v>https://www.smwcentral.net/?a=details&amp;id=32095&amp;p=section</x:v>
      </x:c>
      <x:c r="J1575" t="str">
        <x:v>https://dl.smwcentral.net/32095/Sicari2%201.61.zip</x:v>
      </x:c>
    </x:row>
    <x:row r="1576">
      <x:c r="A1576" t="str">
        <x:v>Sicari Remastered</x:v>
      </x:c>
      <x:c r="B1576" t="str">
        <x:v>Sicari Remastered</x:v>
      </x:c>
      <x:c r="C1576" t="str">
        <x:v>Eevee</x:v>
      </x:c>
      <x:c r="D1576" t="n">
        <x:v>68</x:v>
      </x:c>
      <x:c r="E1576" t="str">
        <x:v>Intermediate</x:v>
      </x:c>
      <x:c r="F1576" t="str">
        <x:v>Standard</x:v>
      </x:c>
      <x:c r="G1576" t="n">
        <x:v>44236</x:v>
      </x:c>
      <x:c r="H1576" t="str">
        <x:v>25665</x:v>
      </x:c>
      <x:c r="I1576" t="str">
        <x:v>https://www.smwcentral.net/?a=details&amp;id=25665&amp;p=section</x:v>
      </x:c>
      <x:c r="J1576" t="str">
        <x:v>https://dl.smwcentral.net/25665/SRUpdate.zip</x:v>
      </x:c>
    </x:row>
    <x:row r="1577">
      <x:c r="A1577" t="str">
        <x:v>Sif World</x:v>
      </x:c>
      <x:c r="B1577" t="str">
        <x:v>Sif World</x:v>
      </x:c>
      <x:c r="C1577" t="str">
        <x:v>Erik_The_Swift</x:v>
      </x:c>
      <x:c r="D1577" t="n">
        <x:v>17</x:v>
      </x:c>
      <x:c r="E1577" t="str">
        <x:v>Expert</x:v>
      </x:c>
      <x:c r="F1577" t="str">
        <x:v>Kaizo</x:v>
      </x:c>
      <x:c r="G1577" t="n">
        <x:v>44643</x:v>
      </x:c>
      <x:c r="H1577" t="str">
        <x:v>30144</x:v>
      </x:c>
      <x:c r="I1577" t="str">
        <x:v>https://www.smwcentral.net/?a=details&amp;id=30144&amp;p=section</x:v>
      </x:c>
      <x:c r="J1577" t="str">
        <x:v>https://dl.smwcentral.net/30144/Sif%20World.zip</x:v>
      </x:c>
    </x:row>
    <x:row r="1578">
      <x:c r="A1578" t="str">
        <x:v>Signals</x:v>
      </x:c>
      <x:c r="B1578" t="str">
        <x:v>Signals</x:v>
      </x:c>
      <x:c r="C1578" t="str">
        <x:v>LightAligns, Saela</x:v>
      </x:c>
      <x:c r="D1578" t="n">
        <x:v>6</x:v>
      </x:c>
      <x:c r="E1578" t="str">
        <x:v>Expert</x:v>
      </x:c>
      <x:c r="F1578" t="str">
        <x:v>Kaizo</x:v>
      </x:c>
      <x:c r="G1578" t="n">
        <x:v>45597</x:v>
      </x:c>
      <x:c r="H1578" t="str">
        <x:v>38720</x:v>
      </x:c>
      <x:c r="I1578" t="str">
        <x:v>https://www.smwcentral.net/?a=details&amp;id=38720&amp;p=section</x:v>
      </x:c>
      <x:c r="J1578" t="str">
        <x:v>https://dl.smwcentral.net/38720/Signals.zip</x:v>
      </x:c>
    </x:row>
    <x:row r="1579">
      <x:c r="A1579" t="str">
        <x:v>Silencio</x:v>
      </x:c>
      <x:c r="B1579" t="str">
        <x:v>Silencio</x:v>
      </x:c>
      <x:c r="C1579" t="str">
        <x:v>Saela</x:v>
      </x:c>
      <x:c r="D1579" t="n">
        <x:v>20</x:v>
      </x:c>
      <x:c r="E1579" t="str">
        <x:v>Expert</x:v>
      </x:c>
      <x:c r="F1579" t="str">
        <x:v>Kaizo</x:v>
      </x:c>
      <x:c r="G1579" t="n">
        <x:v>44354</x:v>
      </x:c>
      <x:c r="H1579" t="str">
        <x:v>27199</x:v>
      </x:c>
      <x:c r="I1579" t="str">
        <x:v>https://www.smwcentral.net/?a=details&amp;id=27199&amp;p=section</x:v>
      </x:c>
      <x:c r="J1579" t="str">
        <x:v>https://dl.smwcentral.net/27199/Silencio1.1.zip</x:v>
      </x:c>
    </x:row>
    <x:row r="1580">
      <x:c r="A1580" t="str">
        <x:v>Silver level pack</x:v>
      </x:c>
      <x:c r="B1580" t="str">
        <x:v>Silver level pack</x:v>
      </x:c>
      <x:c r="C1580" t="str">
        <x:v>Silver Wind</x:v>
      </x:c>
      <x:c r="D1580" t="n">
        <x:v>7</x:v>
      </x:c>
      <x:c r="E1580" t="str">
        <x:v>Casual</x:v>
      </x:c>
      <x:c r="F1580" t="str">
        <x:v>Standard</x:v>
      </x:c>
      <x:c r="G1580" t="n">
        <x:v>44782</x:v>
      </x:c>
      <x:c r="H1580" t="str">
        <x:v>31747</x:v>
      </x:c>
      <x:c r="I1580" t="str">
        <x:v>https://www.smwcentral.net/?a=details&amp;id=31747&amp;p=section</x:v>
      </x:c>
      <x:c r="J1580" t="str">
        <x:v>https://dl.smwcentral.net/31747/Silver%20level%20pack.zip</x:v>
      </x:c>
    </x:row>
    <x:row r="1581">
      <x:c r="A1581" t="str">
        <x:v>Simpatico</x:v>
      </x:c>
      <x:c r="B1581" t="str">
        <x:v>Simpatico</x:v>
      </x:c>
      <x:c r="C1581" t="str">
        <x:v>BigRedBoy, realbchin</x:v>
      </x:c>
      <x:c r="D1581" t="n">
        <x:v>26</x:v>
      </x:c>
      <x:c r="E1581" t="str">
        <x:v>Master</x:v>
      </x:c>
      <x:c r="F1581" t="str">
        <x:v>Kaizo</x:v>
      </x:c>
      <x:c r="G1581" t="n">
        <x:v>45613</x:v>
      </x:c>
      <x:c r="H1581" t="str">
        <x:v>38712</x:v>
      </x:c>
      <x:c r="I1581" t="str">
        <x:v>https://www.smwcentral.net/?a=details&amp;id=38712&amp;p=section</x:v>
      </x:c>
      <x:c r="J1581" t="str">
        <x:v>https://dl.smwcentral.net/38712/simpatico.zip</x:v>
      </x:c>
    </x:row>
    <x:row r="1582">
      <x:c r="A1582" t="str">
        <x:v>Simple Symphony</x:v>
      </x:c>
      <x:c r="B1582" t="str">
        <x:v>Simple Symphony</x:v>
      </x:c>
      <x:c r="C1582" t="str">
        <x:v>revolug</x:v>
      </x:c>
      <x:c r="D1582" t="n">
        <x:v>11</x:v>
      </x:c>
      <x:c r="E1582" t="str">
        <x:v>Master</x:v>
      </x:c>
      <x:c r="F1582" t="str">
        <x:v>Kaizo</x:v>
      </x:c>
      <x:c r="G1582" t="n">
        <x:v>45449</x:v>
      </x:c>
      <x:c r="H1582" t="str">
        <x:v>37886</x:v>
      </x:c>
      <x:c r="I1582" t="str">
        <x:v>https://www.smwcentral.net/?a=details&amp;id=37886&amp;p=section</x:v>
      </x:c>
      <x:c r="J1582" t="str">
        <x:v>https://dl.smwcentral.net/37886/Simple%20Symphony%201.2%20%281%29.zip</x:v>
      </x:c>
    </x:row>
    <x:row r="1583">
      <x:c r="A1583" t="str">
        <x:v>Simply Delicious</x:v>
      </x:c>
      <x:c r="B1583" t="str">
        <x:v>Simply Delicious</x:v>
      </x:c>
      <x:c r="C1583" t="str">
        <x:v>Sixcorby</x:v>
      </x:c>
      <x:c r="D1583" t="n">
        <x:v>11</x:v>
      </x:c>
      <x:c r="E1583" t="str">
        <x:v>Advanced</x:v>
      </x:c>
      <x:c r="F1583" t="str">
        <x:v>Standard</x:v>
      </x:c>
      <x:c r="G1583" t="n">
        <x:v>46072</x:v>
      </x:c>
      <x:c r="H1583" t="str">
        <x:v>41660</x:v>
      </x:c>
      <x:c r="I1583" t="str">
        <x:v>https://www.smwcentral.net/?a=details&amp;id=41660&amp;p=section</x:v>
      </x:c>
      <x:c r="J1583" t="str">
        <x:v>https://dl.smwcentral.net/41660/simplydelicious.zip</x:v>
      </x:c>
    </x:row>
    <x:row r="1584">
      <x:c r="A1584" t="str">
        <x:v>Simply Kaizo</x:v>
      </x:c>
      <x:c r="B1584" t="str">
        <x:v>Simply Kaizo</x:v>
      </x:c>
      <x:c r="C1584" t="str">
        <x:v>Pottsie</x:v>
      </x:c>
      <x:c r="D1584" t="n">
        <x:v>11</x:v>
      </x:c>
      <x:c r="E1584" t="str">
        <x:v>Intermediate</x:v>
      </x:c>
      <x:c r="F1584" t="str">
        <x:v>Kaizo</x:v>
      </x:c>
      <x:c r="G1584" t="n">
        <x:v>46215</x:v>
      </x:c>
      <x:c r="H1584" t="str">
        <x:v>42650</x:v>
      </x:c>
      <x:c r="I1584" t="str">
        <x:v>https://www.smwcentral.net/?a=details&amp;id=42650&amp;p=section</x:v>
      </x:c>
      <x:c r="J1584" t="str">
        <x:v>https://dl.smwcentral.net/42650/Simply%20Kaizo.zip</x:v>
      </x:c>
    </x:row>
    <x:row r="1585">
      <x:c r="A1585" t="str">
        <x:v>Simply Mario Shells 'n Bells</x:v>
      </x:c>
      <x:c r="B1585" t="str">
        <x:v>Simply Mario Shells 'n Bells</x:v>
      </x:c>
      <x:c r="C1585" t="str">
        <x:v>Picayune</x:v>
      </x:c>
      <x:c r="D1585" t="n">
        <x:v>1</x:v>
      </x:c>
      <x:c r="E1585" t="str">
        <x:v>Expert</x:v>
      </x:c>
      <x:c r="F1585" t="str">
        <x:v>Kaizo</x:v>
      </x:c>
      <x:c r="G1585" t="n">
        <x:v>44146</x:v>
      </x:c>
      <x:c r="H1585" t="str">
        <x:v>24919</x:v>
      </x:c>
      <x:c r="I1585" t="str">
        <x:v>https://www.smwcentral.net/?a=details&amp;id=24919&amp;p=section</x:v>
      </x:c>
      <x:c r="J1585" t="str">
        <x:v>https://dl.smwcentral.net/24919/Simply%20Mario%20Shells%20%27n%20Bells%20Demo%20V1.1.zip</x:v>
      </x:c>
    </x:row>
    <x:row r="1586">
      <x:c r="A1586" t="str">
        <x:v>Single Level Collaboration</x:v>
      </x:c>
      <x:c r="B1586" t="str">
        <x:v>Single Level Collaboration</x:v>
      </x:c>
      <x:c r="C1586" t="str">
        <x:v>Various Authors</x:v>
      </x:c>
      <x:c r="D1586" t="n">
        <x:v>0</x:v>
      </x:c>
      <x:c r="E1586" t="str">
        <x:v>Intermediate</x:v>
      </x:c>
      <x:c r="F1586" t="str">
        <x:v>Standard</x:v>
      </x:c>
      <x:c r="G1586" t="n">
        <x:v>45146</x:v>
      </x:c>
      <x:c r="H1586" t="str">
        <x:v>34478</x:v>
      </x:c>
      <x:c r="I1586" t="str">
        <x:v>https://www.smwcentral.net/?a=details&amp;id=34478&amp;p=section</x:v>
      </x:c>
      <x:c r="J1586" t="str">
        <x:v>https://dl.smwcentral.net/34478/singlelevelcollab.zip</x:v>
      </x:c>
    </x:row>
    <x:row r="1587">
      <x:c r="A1587" t="str">
        <x:v>Sio's Dino Mayhem</x:v>
      </x:c>
      <x:c r="B1587" t="str">
        <x:v>Sio's Dino Mayhem</x:v>
      </x:c>
      <x:c r="C1587" t="str">
        <x:v>Super_Mike</x:v>
      </x:c>
      <x:c r="D1587" t="n">
        <x:v>1</x:v>
      </x:c>
      <x:c r="E1587" t="str">
        <x:v>Expert</x:v>
      </x:c>
      <x:c r="F1587" t="str">
        <x:v>Kaizo</x:v>
      </x:c>
      <x:c r="G1587" t="n">
        <x:v>44474</x:v>
      </x:c>
      <x:c r="H1587" t="str">
        <x:v>28512</x:v>
      </x:c>
      <x:c r="I1587" t="str">
        <x:v>https://www.smwcentral.net/?a=details&amp;id=28512&amp;p=section</x:v>
      </x:c>
      <x:c r="J1587" t="str">
        <x:v>https://dl.smwcentral.net/28512/Sio%27s%20Dino%20Mayhem.zip</x:v>
      </x:c>
    </x:row>
    <x:row r="1588">
      <x:c r="A1588" t="str">
        <x:v>SIW Cruel or Cruel Edition</x:v>
      </x:c>
      <x:c r="B1588" t="str">
        <x:v>SIW Cruel or Cruel Edition</x:v>
      </x:c>
      <x:c r="C1588" t="str">
        <x:v>51690</x:v>
      </x:c>
      <x:c r="D1588" t="n">
        <x:v>9</x:v>
      </x:c>
      <x:c r="E1588" t="str">
        <x:v>Intermediate</x:v>
      </x:c>
      <x:c r="F1588" t="str">
        <x:v>Kaizo, Tool-Assisted</x:v>
      </x:c>
      <x:c r="G1588" t="n">
        <x:v>44854</x:v>
      </x:c>
      <x:c r="H1588" t="str">
        <x:v>32079</x:v>
      </x:c>
      <x:c r="I1588" t="str">
        <x:v>https://www.smwcentral.net/?a=details&amp;id=32079&amp;p=section</x:v>
      </x:c>
      <x:c r="J1588" t="str">
        <x:v>https://dl.smwcentral.net/32079/siw%20c%20%26%20c.zip</x:v>
      </x:c>
    </x:row>
    <x:row r="1589">
      <x:c r="A1589" t="str">
        <x:v>Six Pack: VLDC Compilation</x:v>
      </x:c>
      <x:c r="B1589" t="str">
        <x:v>Six Pack: VLDC Compilation</x:v>
      </x:c>
      <x:c r="C1589" t="str">
        <x:v>Ragey, SMW Central</x:v>
      </x:c>
      <x:c r="D1589" t="n">
        <x:v>622</x:v>
      </x:c>
      <x:c r="E1589" t="str">
        <x:v>Advanced</x:v>
      </x:c>
      <x:c r="F1589" t="str">
        <x:v>Standard</x:v>
      </x:c>
      <x:c r="G1589" t="n">
        <x:v>45328</x:v>
      </x:c>
      <x:c r="H1589" t="str">
        <x:v>35347</x:v>
      </x:c>
      <x:c r="I1589" t="str">
        <x:v>https://www.smwcentral.net/?a=details&amp;id=35347&amp;p=section</x:v>
      </x:c>
      <x:c r="J1589" t="str">
        <x:v>https://dl.smwcentral.net/35347/Six%20Pack.zip</x:v>
      </x:c>
    </x:row>
    <x:row r="1590">
      <x:c r="A1590" t="str">
        <x:v>Sixth Grade Kaizo</x:v>
      </x:c>
      <x:c r="B1590" t="str">
        <x:v>Sixth Grade Kaizo</x:v>
      </x:c>
      <x:c r="C1590" t="str">
        <x:v>drspork</x:v>
      </x:c>
      <x:c r="D1590" t="n">
        <x:v>9</x:v>
      </x:c>
      <x:c r="E1590" t="str">
        <x:v>Advanced</x:v>
      </x:c>
      <x:c r="F1590" t="str">
        <x:v>Kaizo</x:v>
      </x:c>
      <x:c r="G1590" t="n">
        <x:v>45353</x:v>
      </x:c>
      <x:c r="H1590" t="str">
        <x:v>37314</x:v>
      </x:c>
      <x:c r="I1590" t="str">
        <x:v>https://www.smwcentral.net/?a=details&amp;id=37314&amp;p=section</x:v>
      </x:c>
      <x:c r="J1590" t="str">
        <x:v>https://dl.smwcentral.net/37314/Sixth%20Grade%20Kaizo.zip</x:v>
      </x:c>
    </x:row>
    <x:row r="1591">
      <x:c r="A1591" t="str">
        <x:v>Sleepy World</x:v>
      </x:c>
      <x:c r="B1591" t="str">
        <x:v>Sleepy World</x:v>
      </x:c>
      <x:c r="C1591" t="str">
        <x:v>Schlafkopf</x:v>
      </x:c>
      <x:c r="D1591" t="n">
        <x:v>15</x:v>
      </x:c>
      <x:c r="E1591" t="str">
        <x:v>Advanced</x:v>
      </x:c>
      <x:c r="F1591" t="str">
        <x:v>Kaizo</x:v>
      </x:c>
      <x:c r="G1591" t="n">
        <x:v>44511</x:v>
      </x:c>
      <x:c r="H1591" t="str">
        <x:v>28702</x:v>
      </x:c>
      <x:c r="I1591" t="str">
        <x:v>https://www.smwcentral.net/?a=details&amp;id=28702&amp;p=section</x:v>
      </x:c>
      <x:c r="J1591" t="str">
        <x:v>https://dl.smwcentral.net/28702/Sleepy%20World%201.2.zip</x:v>
      </x:c>
    </x:row>
    <x:row r="1592">
      <x:c r="A1592" t="str">
        <x:v>Slow and Slower</x:v>
      </x:c>
      <x:c r="B1592" t="str">
        <x:v>Slow and Slower</x:v>
      </x:c>
      <x:c r="C1592" t="str">
        <x:v>Captain_Hacko</x:v>
      </x:c>
      <x:c r="D1592" t="n">
        <x:v>6</x:v>
      </x:c>
      <x:c r="E1592" t="str">
        <x:v>Expert</x:v>
      </x:c>
      <x:c r="F1592" t="str">
        <x:v>Kaizo</x:v>
      </x:c>
      <x:c r="G1592" t="n">
        <x:v>45159</x:v>
      </x:c>
      <x:c r="H1592" t="str">
        <x:v>34912</x:v>
      </x:c>
      <x:c r="I1592" t="str">
        <x:v>https://www.smwcentral.net/?a=details&amp;id=34912&amp;p=section</x:v>
      </x:c>
      <x:c r="J1592" t="str">
        <x:v>https://dl.smwcentral.net/34912/Slow_and_Slower.zip</x:v>
      </x:c>
    </x:row>
    <x:row r="1593">
      <x:c r="A1593" t="str">
        <x:v>slurdgery</x:v>
      </x:c>
      <x:c r="B1593" t="str">
        <x:v>slurdgery</x:v>
      </x:c>
      <x:c r="C1593" t="str">
        <x:v>Sixcorby</x:v>
      </x:c>
      <x:c r="D1593" t="n">
        <x:v>9</x:v>
      </x:c>
      <x:c r="E1593" t="str">
        <x:v>Advanced</x:v>
      </x:c>
      <x:c r="F1593" t="str">
        <x:v>Standard</x:v>
      </x:c>
      <x:c r="G1593" t="n">
        <x:v>43835</x:v>
      </x:c>
      <x:c r="H1593" t="str">
        <x:v>21787</x:v>
      </x:c>
      <x:c r="I1593" t="str">
        <x:v>https://www.smwcentral.net/?a=details&amp;id=21787&amp;p=section</x:v>
      </x:c>
      <x:c r="J1593" t="str">
        <x:v>https://dl.smwcentral.net/21787/slurdgery.zip</x:v>
      </x:c>
    </x:row>
    <x:row r="1594">
      <x:c r="A1594" t="str">
        <x:v>Smithereens</x:v>
      </x:c>
      <x:c r="B1594" t="str">
        <x:v>Smithereens</x:v>
      </x:c>
      <x:c r="C1594" t="str">
        <x:v>Miscalc</x:v>
      </x:c>
      <x:c r="D1594" t="n">
        <x:v>13</x:v>
      </x:c>
      <x:c r="E1594" t="str">
        <x:v>Advanced</x:v>
      </x:c>
      <x:c r="F1594" t="str">
        <x:v>Kaizo</x:v>
      </x:c>
      <x:c r="G1594" t="n">
        <x:v>44445</x:v>
      </x:c>
      <x:c r="H1594" t="str">
        <x:v>28210</x:v>
      </x:c>
      <x:c r="I1594" t="str">
        <x:v>https://www.smwcentral.net/?a=details&amp;id=28210&amp;p=section</x:v>
      </x:c>
      <x:c r="J1594" t="str">
        <x:v>https://dl.smwcentral.net/28210/smithereens.zip</x:v>
      </x:c>
    </x:row>
    <x:row r="1595">
      <x:c r="A1595" t="str">
        <x:v>Smoked Fish and Cabbage</x:v>
      </x:c>
      <x:c r="B1595" t="str">
        <x:v>Smoked Fish and Cabbage</x:v>
      </x:c>
      <x:c r="C1595" t="str">
        <x:v>xMANGRAVYx</x:v>
      </x:c>
      <x:c r="D1595" t="n">
        <x:v>7</x:v>
      </x:c>
      <x:c r="E1595" t="str">
        <x:v>Intermediate</x:v>
      </x:c>
      <x:c r="F1595" t="str">
        <x:v>Standard, Kaizo</x:v>
      </x:c>
      <x:c r="G1595" t="n">
        <x:v>46212</x:v>
      </x:c>
      <x:c r="H1595" t="str">
        <x:v>42654</x:v>
      </x:c>
      <x:c r="I1595" t="str">
        <x:v>https://www.smwcentral.net/?a=details&amp;id=42654&amp;p=section</x:v>
      </x:c>
      <x:c r="J1595" t="str">
        <x:v>https://dl.smwcentral.net/42654/Smoked%20Fish%20and%20Cabbage%20v2.1.zip</x:v>
      </x:c>
    </x:row>
    <x:row r="1596">
      <x:c r="A1596" t="str">
        <x:v>Smoked Fish and Cabbage 2</x:v>
      </x:c>
      <x:c r="B1596" t="str">
        <x:v>Smoked Fish and Cabbage 2</x:v>
      </x:c>
      <x:c r="C1596" t="str">
        <x:v>xMANGRAVYx</x:v>
      </x:c>
      <x:c r="D1596" t="n">
        <x:v>28</x:v>
      </x:c>
      <x:c r="E1596" t="str">
        <x:v>Intermediate</x:v>
      </x:c>
      <x:c r="F1596" t="str">
        <x:v>Kaizo</x:v>
      </x:c>
      <x:c r="G1596" t="n">
        <x:v>46219</x:v>
      </x:c>
      <x:c r="H1596" t="str">
        <x:v>42687</x:v>
      </x:c>
      <x:c r="I1596" t="str">
        <x:v>https://www.smwcentral.net/?a=details&amp;id=42687&amp;p=section</x:v>
      </x:c>
      <x:c r="J1596" t="str">
        <x:v>https://dl.smwcentral.net/42687/Smoked%20Fish%20and%20Cabbage%202%20v1.1.zip</x:v>
      </x:c>
    </x:row>
    <x:row r="1597">
      <x:c r="A1597" t="str">
        <x:v>Smoked Fish and Cabbage 3</x:v>
      </x:c>
      <x:c r="B1597" t="str">
        <x:v>Smoked Fish and Cabbage 3</x:v>
      </x:c>
      <x:c r="C1597" t="str">
        <x:v>xMANGRAVYx</x:v>
      </x:c>
      <x:c r="D1597" t="n">
        <x:v>28</x:v>
      </x:c>
      <x:c r="E1597" t="str">
        <x:v>Advanced</x:v>
      </x:c>
      <x:c r="F1597" t="str">
        <x:v>Kaizo</x:v>
      </x:c>
      <x:c r="G1597" t="n">
        <x:v>45374</x:v>
      </x:c>
      <x:c r="H1597" t="str">
        <x:v>37442</x:v>
      </x:c>
      <x:c r="I1597" t="str">
        <x:v>https://www.smwcentral.net/?a=details&amp;id=37442&amp;p=section</x:v>
      </x:c>
      <x:c r="J1597" t="str">
        <x:v>https://dl.smwcentral.net/37442/Smoked%20Fish%20and%20Cabbage%203.zip</x:v>
      </x:c>
    </x:row>
    <x:row r="1598">
      <x:c r="A1598" t="str">
        <x:v>smol</x:v>
      </x:c>
      <x:c r="B1598" t="str">
        <x:v>smol</x:v>
      </x:c>
      <x:c r="C1598" t="str">
        <x:v>Blaagon</x:v>
      </x:c>
      <x:c r="D1598" t="n">
        <x:v>7</x:v>
      </x:c>
      <x:c r="E1598" t="str">
        <x:v>Expert</x:v>
      </x:c>
      <x:c r="F1598" t="str">
        <x:v>Kaizo</x:v>
      </x:c>
      <x:c r="G1598" t="n">
        <x:v>44585</x:v>
      </x:c>
      <x:c r="H1598" t="str">
        <x:v>29542</x:v>
      </x:c>
      <x:c r="I1598" t="str">
        <x:v>https://www.smwcentral.net/?a=details&amp;id=29542&amp;p=section</x:v>
      </x:c>
      <x:c r="J1598" t="str">
        <x:v>https://dl.smwcentral.net/29542/smol%201.1.zip</x:v>
      </x:c>
    </x:row>
    <x:row r="1599">
      <x:c r="A1599" t="str">
        <x:v>SMW 2012: Master Hand's Doomsday</x:v>
      </x:c>
      <x:c r="B1599" t="str">
        <x:v>SMW 2012: Master Hand's Doomsday</x:v>
      </x:c>
      <x:c r="C1599" t="str">
        <x:v>Roberto zampari</x:v>
      </x:c>
      <x:c r="D1599" t="n">
        <x:v>42</x:v>
      </x:c>
      <x:c r="E1599" t="str">
        <x:v>Casual</x:v>
      </x:c>
      <x:c r="F1599" t="str">
        <x:v>Standard</x:v>
      </x:c>
      <x:c r="G1599" t="n">
        <x:v>42213</x:v>
      </x:c>
      <x:c r="H1599" t="str">
        <x:v>10257</x:v>
      </x:c>
      <x:c r="I1599" t="str">
        <x:v>https://www.smwcentral.net/?a=details&amp;id=10257&amp;p=section</x:v>
      </x:c>
      <x:c r="J1599" t="str">
        <x:v>https://dl.smwcentral.net/10257/2012%20Final%202.0.zip</x:v>
      </x:c>
    </x:row>
    <x:row r="1600">
      <x:c r="A1600" t="str">
        <x:v>SMW Christmas special</x:v>
      </x:c>
      <x:c r="B1600" t="str">
        <x:v>SMW Christmas special</x:v>
      </x:c>
      <x:c r="C1600" t="str">
        <x:v>tfpivman</x:v>
      </x:c>
      <x:c r="D1600" t="n">
        <x:v>4</x:v>
      </x:c>
      <x:c r="E1600" t="str">
        <x:v>Newcomer</x:v>
      </x:c>
      <x:c r="F1600" t="str">
        <x:v>Standard</x:v>
      </x:c>
      <x:c r="G1600" t="n">
        <x:v>42279</x:v>
      </x:c>
      <x:c r="H1600" t="str">
        <x:v>10107</x:v>
      </x:c>
      <x:c r="I1600" t="str">
        <x:v>https://www.smwcentral.net/?a=details&amp;id=10107&amp;p=section</x:v>
      </x:c>
      <x:c r="J1600" t="str">
        <x:v>https://dl.smwcentral.net/10107/SMWCS.zip</x:v>
      </x:c>
    </x:row>
    <x:row r="1601">
      <x:c r="A1601" t="str">
        <x:v>SMW Coin Chaos</x:v>
      </x:c>
      <x:c r="B1601" t="str">
        <x:v>SMW Coin Chaos</x:v>
      </x:c>
      <x:c r="C1601" t="str">
        <x:v>JP32</x:v>
      </x:c>
      <x:c r="D1601" t="n">
        <x:v>15</x:v>
      </x:c>
      <x:c r="E1601" t="str">
        <x:v>Casual</x:v>
      </x:c>
      <x:c r="F1601" t="str">
        <x:v>Standard</x:v>
      </x:c>
      <x:c r="G1601" t="n">
        <x:v>44303</x:v>
      </x:c>
      <x:c r="H1601" t="str">
        <x:v>26494</x:v>
      </x:c>
      <x:c r="I1601" t="str">
        <x:v>https://www.smwcentral.net/?a=details&amp;id=26494&amp;p=section</x:v>
      </x:c>
      <x:c r="J1601" t="str">
        <x:v>https://dl.smwcentral.net/26494/SMW%20coin%20chaos%20v1.4.zip</x:v>
      </x:c>
    </x:row>
    <x:row r="1602">
      <x:c r="A1602" t="str">
        <x:v>SMW For Your Kids Only</x:v>
      </x:c>
      <x:c r="B1602" t="str">
        <x:v>SMW For Your Kids Only</x:v>
      </x:c>
      <x:c r="C1602" t="str">
        <x:v>Clouthhh</x:v>
      </x:c>
      <x:c r="D1602" t="n">
        <x:v>20</x:v>
      </x:c>
      <x:c r="E1602" t="str">
        <x:v>Newcomer</x:v>
      </x:c>
      <x:c r="F1602" t="str">
        <x:v>Standard</x:v>
      </x:c>
      <x:c r="G1602" t="n">
        <x:v>44907</x:v>
      </x:c>
      <x:c r="H1602" t="str">
        <x:v>32609</x:v>
      </x:c>
      <x:c r="I1602" t="str">
        <x:v>https://www.smwcentral.net/?a=details&amp;id=32609&amp;p=section</x:v>
      </x:c>
      <x:c r="J1602" t="str">
        <x:v>https://dl.smwcentral.net/32609/SMW_FOR_YOUR_KIDS_ONLY_v2.zip</x:v>
      </x:c>
    </x:row>
    <x:row r="1603">
      <x:c r="A1603" t="str">
        <x:v>SMW Friends and Rivalry</x:v>
      </x:c>
      <x:c r="B1603" t="str">
        <x:v>SMW Friends and Rivalry</x:v>
      </x:c>
      <x:c r="C1603" t="str">
        <x:v>bandicoot</x:v>
      </x:c>
      <x:c r="D1603" t="n">
        <x:v>118</x:v>
      </x:c>
      <x:c r="E1603" t="str">
        <x:v>Intermediate</x:v>
      </x:c>
      <x:c r="F1603" t="str">
        <x:v>Standard</x:v>
      </x:c>
      <x:c r="G1603" t="n">
        <x:v>46023</x:v>
      </x:c>
      <x:c r="H1603" t="str">
        <x:v>41305</x:v>
      </x:c>
      <x:c r="I1603" t="str">
        <x:v>https://www.smwcentral.net/?a=details&amp;id=41305&amp;p=section</x:v>
      </x:c>
      <x:c r="J1603" t="str">
        <x:v>https://dl.smwcentral.net/41305/SMW%20Friends%20and%20Rivalry%20v1.05b.zip</x:v>
      </x:c>
    </x:row>
    <x:row r="1604">
      <x:c r="A1604" t="str">
        <x:v>SMW L'autre bout de Yoshi island</x:v>
      </x:c>
      <x:c r="B1604" t="str">
        <x:v>SMW L'autre bout de Yoshi island</x:v>
      </x:c>
      <x:c r="C1604" t="str">
        <x:v>Ralshi02</x:v>
      </x:c>
      <x:c r="D1604" t="n">
        <x:v>14</x:v>
      </x:c>
      <x:c r="E1604" t="str">
        <x:v>Casual</x:v>
      </x:c>
      <x:c r="F1604" t="str">
        <x:v>Standard</x:v>
      </x:c>
      <x:c r="G1604" t="n">
        <x:v>43429</x:v>
      </x:c>
      <x:c r="H1604" t="str">
        <x:v>18528</x:v>
      </x:c>
      <x:c r="I1604" t="str">
        <x:v>https://www.smwcentral.net/?a=details&amp;id=18528&amp;p=section</x:v>
      </x:c>
      <x:c r="J1604" t="str">
        <x:v>https://dl.smwcentral.net/18528/DEMO2.zip</x:v>
      </x:c>
    </x:row>
    <x:row r="1605">
      <x:c r="A1605" t="str">
        <x:v>SMW La Nouvelle Vague</x:v>
      </x:c>
      <x:c r="B1605" t="str">
        <x:v>SMW La Nouvelle Vague</x:v>
      </x:c>
      <x:c r="C1605" t="str">
        <x:v>drake-68</x:v>
      </x:c>
      <x:c r="D1605" t="n">
        <x:v>12</x:v>
      </x:c>
      <x:c r="E1605" t="str">
        <x:v>Newcomer</x:v>
      </x:c>
      <x:c r="F1605" t="str">
        <x:v>Standard</x:v>
      </x:c>
      <x:c r="G1605" t="n">
        <x:v>41959</x:v>
      </x:c>
      <x:c r="H1605" t="str">
        <x:v>9440</x:v>
      </x:c>
      <x:c r="I1605" t="str">
        <x:v>https://www.smwcentral.net/?a=details&amp;id=9440&amp;p=section</x:v>
      </x:c>
      <x:c r="J1605" t="str">
        <x:v>https://dl.smwcentral.net/9440/SMW%20La%20Nouvelle%20Vague.zip</x:v>
      </x:c>
    </x:row>
    <x:row r="1606">
      <x:c r="A1606" t="str">
        <x:v>SMW Legends. The Stars Road</x:v>
      </x:c>
      <x:c r="B1606" t="str">
        <x:v>SMW Legends. The Stars Road</x:v>
      </x:c>
      <x:c r="C1606" t="str">
        <x:v>Mois3s Cota</x:v>
      </x:c>
      <x:c r="D1606" t="n">
        <x:v>21</x:v>
      </x:c>
      <x:c r="E1606" t="str">
        <x:v>Casual</x:v>
      </x:c>
      <x:c r="F1606" t="str">
        <x:v>Standard</x:v>
      </x:c>
      <x:c r="G1606" t="n">
        <x:v>42185</x:v>
      </x:c>
      <x:c r="H1606" t="str">
        <x:v>11604</x:v>
      </x:c>
      <x:c r="I1606" t="str">
        <x:v>https://www.smwcentral.net/?a=details&amp;id=11604&amp;p=section</x:v>
      </x:c>
      <x:c r="J1606" t="str">
        <x:v>https://dl.smwcentral.net/11604/SMW%20Legends%20%282nd%20Demo%20version%29.zip</x:v>
      </x:c>
    </x:row>
    <x:row r="1607">
      <x:c r="A1607" t="str">
        <x:v>SMW O Sumiço de Íris</x:v>
      </x:c>
      <x:c r="B1607" t="str">
        <x:v>SMW O Sumiço de Íris</x:v>
      </x:c>
      <x:c r="C1607" t="str">
        <x:v>Teaser</x:v>
      </x:c>
      <x:c r="D1607" t="n">
        <x:v>64</x:v>
      </x:c>
      <x:c r="E1607" t="str">
        <x:v>Intermediate</x:v>
      </x:c>
      <x:c r="F1607" t="str">
        <x:v>Standard</x:v>
      </x:c>
      <x:c r="G1607" t="n">
        <x:v>44775</x:v>
      </x:c>
      <x:c r="H1607" t="str">
        <x:v>31238</x:v>
      </x:c>
      <x:c r="I1607" t="str">
        <x:v>https://www.smwcentral.net/?a=details&amp;id=31238&amp;p=section</x:v>
      </x:c>
      <x:c r="J1607" t="str">
        <x:v>https://dl.smwcentral.net/31238/Super%20Mario%20o%20Sumi%C3%A7o%20de%20%C3%8Dris%20Demo%20ver%201.2.zip</x:v>
      </x:c>
    </x:row>
    <x:row r="1608">
      <x:c r="A1608" t="str">
        <x:v>SMW Piranha Island</x:v>
      </x:c>
      <x:c r="B1608" t="str">
        <x:v>SMW Piranha Island</x:v>
      </x:c>
      <x:c r="C1608" t="str">
        <x:v>PokerFace</x:v>
      </x:c>
      <x:c r="D1608" t="n">
        <x:v>20</x:v>
      </x:c>
      <x:c r="E1608" t="str">
        <x:v>Advanced</x:v>
      </x:c>
      <x:c r="F1608" t="str">
        <x:v>Standard</x:v>
      </x:c>
      <x:c r="G1608" t="n">
        <x:v>42195</x:v>
      </x:c>
      <x:c r="H1608" t="str">
        <x:v>11697</x:v>
      </x:c>
      <x:c r="I1608" t="str">
        <x:v>https://www.smwcentral.net/?a=details&amp;id=11697&amp;p=section</x:v>
      </x:c>
      <x:c r="J1608" t="str">
        <x:v>https://dl.smwcentral.net/11697/SMW%20Piranha%20island%201.1.zip</x:v>
      </x:c>
    </x:row>
    <x:row r="1609">
      <x:c r="A1609" t="str">
        <x:v>SMW Quest for Gaming</x:v>
      </x:c>
      <x:c r="B1609" t="str">
        <x:v>SMW Quest for Gaming</x:v>
      </x:c>
      <x:c r="C1609" t="str">
        <x:v>bandicoot</x:v>
      </x:c>
      <x:c r="D1609" t="n">
        <x:v>98</x:v>
      </x:c>
      <x:c r="E1609" t="str">
        <x:v>Intermediate</x:v>
      </x:c>
      <x:c r="F1609" t="str">
        <x:v>Standard</x:v>
      </x:c>
      <x:c r="G1609" t="n">
        <x:v>44606</x:v>
      </x:c>
      <x:c r="H1609" t="str">
        <x:v>29090</x:v>
      </x:c>
      <x:c r="I1609" t="str">
        <x:v>https://www.smwcentral.net/?a=details&amp;id=29090&amp;p=section</x:v>
      </x:c>
      <x:c r="J1609" t="str">
        <x:v>https://dl.smwcentral.net/29090/SMW%20Quest%20for%20Gaming.zip</x:v>
      </x:c>
    </x:row>
    <x:row r="1610">
      <x:c r="A1610" t="str">
        <x:v>SMW Remade from Memory</x:v>
      </x:c>
      <x:c r="B1610" t="str">
        <x:v>SMW Remade from Memory</x:v>
      </x:c>
      <x:c r="C1610" t="str">
        <x:v>Various Authors</x:v>
      </x:c>
      <x:c r="D1610" t="n">
        <x:v>96</x:v>
      </x:c>
      <x:c r="E1610" t="str">
        <x:v>Casual</x:v>
      </x:c>
      <x:c r="F1610" t="str">
        <x:v>Standard</x:v>
      </x:c>
      <x:c r="G1610" t="n">
        <x:v>44522</x:v>
      </x:c>
      <x:c r="H1610" t="str">
        <x:v>28851</x:v>
      </x:c>
      <x:c r="I1610" t="str">
        <x:v>https://www.smwcentral.net/?a=details&amp;id=28851&amp;p=section</x:v>
      </x:c>
      <x:c r="J1610" t="str">
        <x:v>https://dl.smwcentral.net/28851/SMW%20Remade%20from%20Memory.zip</x:v>
      </x:c>
    </x:row>
    <x:row r="1611">
      <x:c r="A1611" t="str">
        <x:v>SMW Returns</x:v>
      </x:c>
      <x:c r="B1611" t="str">
        <x:v>SMW Returns</x:v>
      </x:c>
      <x:c r="C1611" t="str">
        <x:v>KT.</x:v>
      </x:c>
      <x:c r="D1611" t="n">
        <x:v>55</x:v>
      </x:c>
      <x:c r="E1611" t="str">
        <x:v>Intermediate</x:v>
      </x:c>
      <x:c r="F1611" t="str">
        <x:v>Standard</x:v>
      </x:c>
      <x:c r="G1611" t="n">
        <x:v>42213</x:v>
      </x:c>
      <x:c r="H1611" t="str">
        <x:v>9686</x:v>
      </x:c>
      <x:c r="I1611" t="str">
        <x:v>https://www.smwcentral.net/?a=details&amp;id=9686&amp;p=section</x:v>
      </x:c>
      <x:c r="J1611" t="str">
        <x:v>https://dl.smwcentral.net/9686/SMWR.zip</x:v>
      </x:c>
    </x:row>
    <x:row r="1612">
      <x:c r="A1612" t="str">
        <x:v>SMW Returns 2</x:v>
      </x:c>
      <x:c r="B1612" t="str">
        <x:v>SMW Returns 2</x:v>
      </x:c>
      <x:c r="C1612" t="str">
        <x:v>KT.</x:v>
      </x:c>
      <x:c r="D1612" t="n">
        <x:v>73</x:v>
      </x:c>
      <x:c r="E1612" t="str">
        <x:v>Casual</x:v>
      </x:c>
      <x:c r="F1612" t="str">
        <x:v>Standard</x:v>
      </x:c>
      <x:c r="G1612" t="n">
        <x:v>41465</x:v>
      </x:c>
      <x:c r="H1612" t="str">
        <x:v>5004</x:v>
      </x:c>
      <x:c r="I1612" t="str">
        <x:v>https://www.smwcentral.net/?a=details&amp;id=5004&amp;p=section</x:v>
      </x:c>
      <x:c r="J1612" t="str">
        <x:v>https://dl.smwcentral.net/5004/SMWR2.zip</x:v>
      </x:c>
    </x:row>
    <x:row r="1613">
      <x:c r="A1613" t="str">
        <x:v>SMW Returns EX</x:v>
      </x:c>
      <x:c r="B1613" t="str">
        <x:v>SMW Returns EX</x:v>
      </x:c>
      <x:c r="C1613" t="str">
        <x:v>Gaia, KT.</x:v>
      </x:c>
      <x:c r="D1613" t="n">
        <x:v>48</x:v>
      </x:c>
      <x:c r="E1613" t="str">
        <x:v>Casual</x:v>
      </x:c>
      <x:c r="F1613" t="str">
        <x:v>Standard</x:v>
      </x:c>
      <x:c r="G1613" t="n">
        <x:v>42211</x:v>
      </x:c>
      <x:c r="H1613" t="str">
        <x:v>9683</x:v>
      </x:c>
      <x:c r="I1613" t="str">
        <x:v>https://www.smwcentral.net/?a=details&amp;id=9683&amp;p=section</x:v>
      </x:c>
      <x:c r="J1613" t="str">
        <x:v>https://dl.smwcentral.net/9683/SMWREX.zip</x:v>
      </x:c>
    </x:row>
    <x:row r="1614">
      <x:c r="A1614" t="str">
        <x:v>SMW Skill Challenge</x:v>
      </x:c>
      <x:c r="B1614" t="str">
        <x:v>SMW Skill Challenge</x:v>
      </x:c>
      <x:c r="C1614" t="str">
        <x:v>Magikey</x:v>
      </x:c>
      <x:c r="D1614" t="n">
        <x:v>12</x:v>
      </x:c>
      <x:c r="E1614" t="str">
        <x:v>Expert</x:v>
      </x:c>
      <x:c r="F1614" t="str">
        <x:v>Kaizo, Tool-Assisted</x:v>
      </x:c>
      <x:c r="G1614" t="n">
        <x:v>43567</x:v>
      </x:c>
      <x:c r="H1614" t="str">
        <x:v>19073</x:v>
      </x:c>
      <x:c r="I1614" t="str">
        <x:v>https://www.smwcentral.net/?a=details&amp;id=19073&amp;p=section</x:v>
      </x:c>
      <x:c r="J1614" t="str">
        <x:v>https://dl.smwcentral.net/19073/Skill%20Challenge.zip</x:v>
      </x:c>
    </x:row>
    <x:row r="1615">
      <x:c r="A1615" t="str">
        <x:v>SMW Skill Challenge 2</x:v>
      </x:c>
      <x:c r="B1615" t="str">
        <x:v>SMW Skill Challenge 2</x:v>
      </x:c>
      <x:c r="C1615" t="str">
        <x:v>Magikey</x:v>
      </x:c>
      <x:c r="D1615" t="n">
        <x:v>3</x:v>
      </x:c>
      <x:c r="E1615" t="str">
        <x:v>Expert</x:v>
      </x:c>
      <x:c r="F1615" t="str">
        <x:v>Kaizo, Tool-Assisted</x:v>
      </x:c>
      <x:c r="G1615" t="n">
        <x:v>43948</x:v>
      </x:c>
      <x:c r="H1615" t="str">
        <x:v>22627</x:v>
      </x:c>
      <x:c r="I1615" t="str">
        <x:v>https://www.smwcentral.net/?a=details&amp;id=22627&amp;p=section</x:v>
      </x:c>
      <x:c r="J1615" t="str">
        <x:v>https://dl.smwcentral.net/22627/skill2demo.zip</x:v>
      </x:c>
    </x:row>
    <x:row r="1616">
      <x:c r="A1616" t="str">
        <x:v>SMW Stardust Dragon 2011</x:v>
      </x:c>
      <x:c r="B1616" t="str">
        <x:v>SMW Stardust Dragon 2011</x:v>
      </x:c>
      <x:c r="C1616" t="str">
        <x:v>Roberto zampari</x:v>
      </x:c>
      <x:c r="D1616" t="n">
        <x:v>16</x:v>
      </x:c>
      <x:c r="E1616" t="str">
        <x:v>Intermediate</x:v>
      </x:c>
      <x:c r="F1616" t="str">
        <x:v>Standard</x:v>
      </x:c>
      <x:c r="G1616" t="n">
        <x:v>42283</x:v>
      </x:c>
      <x:c r="H1616" t="str">
        <x:v>10143</x:v>
      </x:c>
      <x:c r="I1616" t="str">
        <x:v>https://www.smwcentral.net/?a=details&amp;id=10143&amp;p=section</x:v>
      </x:c>
      <x:c r="J1616" t="str">
        <x:v>https://dl.smwcentral.net/10143/SMWStardust2011.2.zip</x:v>
      </x:c>
    </x:row>
    <x:row r="1617">
      <x:c r="A1617" t="str">
        <x:v>SMW The Crown Tale</x:v>
      </x:c>
      <x:c r="B1617" t="str">
        <x:v>SMW The Crown Tale</x:v>
      </x:c>
      <x:c r="C1617" t="str">
        <x:v>bandicoot</x:v>
      </x:c>
      <x:c r="D1617" t="n">
        <x:v>112</x:v>
      </x:c>
      <x:c r="E1617" t="str">
        <x:v>Intermediate</x:v>
      </x:c>
      <x:c r="F1617" t="str">
        <x:v>Standard</x:v>
      </x:c>
      <x:c r="G1617" t="n">
        <x:v>44464</x:v>
      </x:c>
      <x:c r="H1617" t="str">
        <x:v>28099</x:v>
      </x:c>
      <x:c r="I1617" t="str">
        <x:v>https://www.smwcentral.net/?a=details&amp;id=28099&amp;p=section</x:v>
      </x:c>
      <x:c r="J1617" t="str">
        <x:v>https://dl.smwcentral.net/28099/SMW%20The%20Crown%20Tale%20v1.3.zip</x:v>
      </x:c>
    </x:row>
    <x:row r="1618">
      <x:c r="A1618" t="str">
        <x:v>SMW The Lost Levels</x:v>
      </x:c>
      <x:c r="B1618" t="str">
        <x:v>SMW The Lost Levels</x:v>
      </x:c>
      <x:c r="C1618" t="str">
        <x:v>Jamanta</x:v>
      </x:c>
      <x:c r="D1618" t="n">
        <x:v>22</x:v>
      </x:c>
      <x:c r="E1618" t="str">
        <x:v>Casual</x:v>
      </x:c>
      <x:c r="F1618" t="str">
        <x:v>Standard</x:v>
      </x:c>
      <x:c r="G1618" t="n">
        <x:v>42311</x:v>
      </x:c>
      <x:c r="H1618" t="str">
        <x:v>10228</x:v>
      </x:c>
      <x:c r="I1618" t="str">
        <x:v>https://www.smwcentral.net/?a=details&amp;id=10228&amp;p=section</x:v>
      </x:c>
      <x:c r="J1618" t="str">
        <x:v>https://dl.smwcentral.net/10228/SMW%20The%20Lost%20Levels%20Demo%202.zip</x:v>
      </x:c>
    </x:row>
    <x:row r="1619">
      <x:c r="A1619" t="str">
        <x:v>SMW The Princess Rescue</x:v>
      </x:c>
      <x:c r="B1619" t="str">
        <x:v>SMW The Princess Rescue</x:v>
      </x:c>
      <x:c r="C1619" t="str">
        <x:v>bandicoot</x:v>
      </x:c>
      <x:c r="D1619" t="n">
        <x:v>116</x:v>
      </x:c>
      <x:c r="E1619" t="str">
        <x:v>Intermediate</x:v>
      </x:c>
      <x:c r="F1619" t="str">
        <x:v>Standard</x:v>
      </x:c>
      <x:c r="G1619" t="n">
        <x:v>44752</x:v>
      </x:c>
      <x:c r="H1619" t="str">
        <x:v>31172</x:v>
      </x:c>
      <x:c r="I1619" t="str">
        <x:v>https://www.smwcentral.net/?a=details&amp;id=31172&amp;p=section</x:v>
      </x:c>
      <x:c r="J1619" t="str">
        <x:v>https://dl.smwcentral.net/31172/SMW%20The%20Princess%20Rescue%202022%20update.zip</x:v>
      </x:c>
    </x:row>
    <x:row r="1620">
      <x:c r="A1620" t="str">
        <x:v>SMW The Princess Rescue 2 - Luigi's Journey!</x:v>
      </x:c>
      <x:c r="B1620" t="str">
        <x:v>SMW The Princess Rescue 2 - Luigi's Journey!</x:v>
      </x:c>
      <x:c r="C1620" t="str">
        <x:v>bandicoot</x:v>
      </x:c>
      <x:c r="D1620" t="n">
        <x:v>116</x:v>
      </x:c>
      <x:c r="E1620" t="str">
        <x:v>Intermediate</x:v>
      </x:c>
      <x:c r="F1620" t="str">
        <x:v>Standard</x:v>
      </x:c>
      <x:c r="G1620" t="n">
        <x:v>44777</x:v>
      </x:c>
      <x:c r="H1620" t="str">
        <x:v>31145</x:v>
      </x:c>
      <x:c r="I1620" t="str">
        <x:v>https://www.smwcentral.net/?a=details&amp;id=31145&amp;p=section</x:v>
      </x:c>
      <x:c r="J1620" t="str">
        <x:v>https://dl.smwcentral.net/31145/SMW%20The%20Princess%20Rescue%202.zip</x:v>
      </x:c>
    </x:row>
    <x:row r="1621">
      <x:c r="A1621" t="str">
        <x:v>SMW The Princess Rescue 3 - The Turnabout</x:v>
      </x:c>
      <x:c r="B1621" t="str">
        <x:v>SMW The Princess Rescue 3 - The Turnabout</x:v>
      </x:c>
      <x:c r="C1621" t="str">
        <x:v>bandicoot</x:v>
      </x:c>
      <x:c r="D1621" t="n">
        <x:v>120</x:v>
      </x:c>
      <x:c r="E1621" t="str">
        <x:v>Intermediate</x:v>
      </x:c>
      <x:c r="F1621" t="str">
        <x:v>Standard</x:v>
      </x:c>
      <x:c r="G1621" t="n">
        <x:v>45267</x:v>
      </x:c>
      <x:c r="H1621" t="str">
        <x:v>35294</x:v>
      </x:c>
      <x:c r="I1621" t="str">
        <x:v>https://www.smwcentral.net/?a=details&amp;id=35294&amp;p=section</x:v>
      </x:c>
      <x:c r="J1621" t="str">
        <x:v>https://dl.smwcentral.net/35294/SMWTPR3%20v1.20.zip</x:v>
      </x:c>
    </x:row>
    <x:row r="1622">
      <x:c r="A1622" t="str">
        <x:v>SMW The Untold Story</x:v>
      </x:c>
      <x:c r="B1622" t="str">
        <x:v>SMW The Untold Story</x:v>
      </x:c>
      <x:c r="C1622" t="str">
        <x:v>Capt'n Caramel</x:v>
      </x:c>
      <x:c r="D1622" t="n">
        <x:v>11</x:v>
      </x:c>
      <x:c r="E1622" t="str">
        <x:v>Intermediate</x:v>
      </x:c>
      <x:c r="F1622" t="str">
        <x:v>Standard</x:v>
      </x:c>
      <x:c r="G1622" t="n">
        <x:v>43959</x:v>
      </x:c>
      <x:c r="H1622" t="str">
        <x:v>22919</x:v>
      </x:c>
      <x:c r="I1622" t="str">
        <x:v>https://www.smwcentral.net/?a=details&amp;id=22919&amp;p=section</x:v>
      </x:c>
      <x:c r="J1622" t="str">
        <x:v>https://dl.smwcentral.net/22919/TUS%20DEMO%20V0.2.zip</x:v>
      </x:c>
    </x:row>
    <x:row r="1623">
      <x:c r="A1623" t="str">
        <x:v>SMW Translations</x:v>
      </x:c>
      <x:c r="B1623" t="str">
        <x:v>SMW Translations</x:v>
      </x:c>
      <x:c r="C1623" t="str">
        <x:v>Various</x:v>
      </x:c>
      <x:c r="D1623" t="n">
        <x:v>96</x:v>
      </x:c>
      <x:c r="E1623" t="str">
        <x:v>Casual</x:v>
      </x:c>
      <x:c r="F1623" t="str">
        <x:v>Standard</x:v>
      </x:c>
      <x:c r="G1623" t="n">
        <x:v>42902</x:v>
      </x:c>
      <x:c r="H1623" t="str">
        <x:v>15677</x:v>
      </x:c>
      <x:c r="I1623" t="str">
        <x:v>https://www.smwcentral.net/?a=details&amp;id=15677&amp;p=section</x:v>
      </x:c>
      <x:c r="J1623" t="str">
        <x:v>https://dl.smwcentral.net/15677/Translations.zip</x:v>
      </x:c>
    </x:row>
    <x:row r="1624">
      <x:c r="A1624" t="str">
        <x:v>Smw Uma Aventura Chaotica (Chaotic Adventure)</x:v>
      </x:c>
      <x:c r="B1624" t="str">
        <x:v>Smw Uma Aventura Chaotica (Chaotic Adventure)</x:v>
      </x:c>
      <x:c r="C1624" t="str">
        <x:v>Tiozinho</x:v>
      </x:c>
      <x:c r="D1624" t="n">
        <x:v>92</x:v>
      </x:c>
      <x:c r="E1624" t="str">
        <x:v>Casual</x:v>
      </x:c>
      <x:c r="F1624" t="str">
        <x:v>Standard</x:v>
      </x:c>
      <x:c r="G1624" t="n">
        <x:v>44864</x:v>
      </x:c>
      <x:c r="H1624" t="str">
        <x:v>32461</x:v>
      </x:c>
      <x:c r="I1624" t="str">
        <x:v>https://www.smwcentral.net/?a=details&amp;id=32461&amp;p=section</x:v>
      </x:c>
      <x:c r="J1624" t="str">
        <x:v>https://dl.smwcentral.net/32461/Chaotic%20Adventure%201.1.zip</x:v>
      </x:c>
    </x:row>
    <x:row r="1625">
      <x:c r="A1625" t="str">
        <x:v>SMW with Levels from NSMB</x:v>
      </x:c>
      <x:c r="B1625" t="str">
        <x:v>SMW with Levels from NSMB</x:v>
      </x:c>
      <x:c r="C1625" t="str">
        <x:v>Foxy_9000_</x:v>
      </x:c>
      <x:c r="D1625" t="n">
        <x:v>96</x:v>
      </x:c>
      <x:c r="E1625" t="str">
        <x:v>Casual</x:v>
      </x:c>
      <x:c r="F1625" t="str">
        <x:v>Standard</x:v>
      </x:c>
      <x:c r="G1625" t="n">
        <x:v>44871</x:v>
      </x:c>
      <x:c r="H1625" t="str">
        <x:v>32487</x:v>
      </x:c>
      <x:c r="I1625" t="str">
        <x:v>https://www.smwcentral.net/?a=details&amp;id=32487&amp;p=section</x:v>
      </x:c>
      <x:c r="J1625" t="str">
        <x:v>https://dl.smwcentral.net/32487/SMW%20with%20Levels%20from%20NSMB.zip</x:v>
      </x:c>
    </x:row>
    <x:row r="1626">
      <x:c r="A1626" t="str">
        <x:v>SMW with Levels from SMB 3</x:v>
      </x:c>
      <x:c r="B1626" t="str">
        <x:v>SMW with Levels from SMB 3</x:v>
      </x:c>
      <x:c r="C1626" t="str">
        <x:v>Foxy_9000_</x:v>
      </x:c>
      <x:c r="D1626" t="n">
        <x:v>76</x:v>
      </x:c>
      <x:c r="E1626" t="str">
        <x:v>Newcomer</x:v>
      </x:c>
      <x:c r="F1626" t="str">
        <x:v>Standard</x:v>
      </x:c>
      <x:c r="G1626" t="n">
        <x:v>45061</x:v>
      </x:c>
      <x:c r="H1626" t="str">
        <x:v>33649</x:v>
      </x:c>
      <x:c r="I1626" t="str">
        <x:v>https://www.smwcentral.net/?a=details&amp;id=33649&amp;p=section</x:v>
      </x:c>
      <x:c r="J1626" t="str">
        <x:v>https://dl.smwcentral.net/33649/SMW%20with%20Levels%20from%20SMB%203.zip</x:v>
      </x:c>
    </x:row>
    <x:row r="1627">
      <x:c r="A1627" t="str">
        <x:v>SMW with Levels from Super Boy 3</x:v>
      </x:c>
      <x:c r="B1627" t="str">
        <x:v>SMW with Levels from Super Boy 3</x:v>
      </x:c>
      <x:c r="C1627" t="str">
        <x:v>LilacTubaGaming</x:v>
      </x:c>
      <x:c r="D1627" t="n">
        <x:v>19</x:v>
      </x:c>
      <x:c r="E1627" t="str">
        <x:v>Casual</x:v>
      </x:c>
      <x:c r="F1627" t="str">
        <x:v>Standard</x:v>
      </x:c>
      <x:c r="G1627" t="n">
        <x:v>44880</x:v>
      </x:c>
      <x:c r="H1627" t="str">
        <x:v>32335</x:v>
      </x:c>
      <x:c r="I1627" t="str">
        <x:v>https://www.smwcentral.net/?a=details&amp;id=32335&amp;p=section</x:v>
      </x:c>
      <x:c r="J1627" t="str">
        <x:v>https://dl.smwcentral.net/32335/SMW%20with%20Levels%20from%20Super%20Boy%203.zip</x:v>
      </x:c>
    </x:row>
    <x:row r="1628">
      <x:c r="A1628" t="str">
        <x:v>SMW-R</x:v>
      </x:c>
      <x:c r="B1628" t="str">
        <x:v>SMW-R</x:v>
      </x:c>
      <x:c r="C1628" t="str">
        <x:v>UltiMario</x:v>
      </x:c>
      <x:c r="D1628" t="n">
        <x:v>5</x:v>
      </x:c>
      <x:c r="E1628" t="str">
        <x:v>Intermediate</x:v>
      </x:c>
      <x:c r="F1628" t="str">
        <x:v>Standard</x:v>
      </x:c>
      <x:c r="G1628" t="n">
        <x:v>43219</x:v>
      </x:c>
      <x:c r="H1628" t="str">
        <x:v>17462</x:v>
      </x:c>
      <x:c r="I1628" t="str">
        <x:v>https://www.smwcentral.net/?a=details&amp;id=17462&amp;p=section</x:v>
      </x:c>
      <x:c r="J1628" t="str">
        <x:v>https://dl.smwcentral.net/17462/SMW-R.zip</x:v>
      </x:c>
    </x:row>
    <x:row r="1629">
      <x:c r="A1629" t="str">
        <x:v>Smw2 the unknown threats F.I.X.E.D</x:v>
      </x:c>
      <x:c r="B1629" t="str">
        <x:v>Smw2 the unknown threats F.I.X.E.D</x:v>
      </x:c>
      <x:c r="C1629" t="str">
        <x:v>Dman</x:v>
      </x:c>
      <x:c r="D1629" t="n">
        <x:v>5</x:v>
      </x:c>
      <x:c r="E1629" t="str">
        <x:v>Newcomer</x:v>
      </x:c>
      <x:c r="F1629" t="str">
        <x:v>Standard</x:v>
      </x:c>
      <x:c r="G1629" t="n">
        <x:v>42298</x:v>
      </x:c>
      <x:c r="H1629" t="str">
        <x:v>10234</x:v>
      </x:c>
      <x:c r="I1629" t="str">
        <x:v>https://www.smwcentral.net/?a=details&amp;id=10234&amp;p=section</x:v>
      </x:c>
      <x:c r="J1629" t="str">
        <x:v>https://dl.smwcentral.net/10234/Smw2%20The%20unkown%20threats%20F.I.X.E.D.zip</x:v>
      </x:c>
    </x:row>
    <x:row r="1630">
      <x:c r="A1630" t="str">
        <x:v>SMW2+3: The Essence Star</x:v>
      </x:c>
      <x:c r="B1630" t="str">
        <x:v>SMW2+3: The Essence Star</x:v>
      </x:c>
      <x:c r="C1630" t="str">
        <x:v>Golden Yoshi</x:v>
      </x:c>
      <x:c r="D1630" t="n">
        <x:v>45</x:v>
      </x:c>
      <x:c r="E1630" t="str">
        <x:v>Casual</x:v>
      </x:c>
      <x:c r="F1630" t="str">
        <x:v>Standard</x:v>
      </x:c>
      <x:c r="G1630" t="n">
        <x:v>44190</x:v>
      </x:c>
      <x:c r="H1630" t="str">
        <x:v>25235</x:v>
      </x:c>
      <x:c r="I1630" t="str">
        <x:v>https://www.smwcentral.net/?a=details&amp;id=25235&amp;p=section</x:v>
      </x:c>
      <x:c r="J1630" t="str">
        <x:v>https://dl.smwcentral.net/25235/SMW2%2B3-TheEssenceStar.zip</x:v>
      </x:c>
    </x:row>
    <x:row r="1631">
      <x:c r="A1631" t="str">
        <x:v>SMW: Gaiden</x:v>
      </x:c>
      <x:c r="B1631" t="str">
        <x:v>SMW: Gaiden</x:v>
      </x:c>
      <x:c r="C1631" t="str">
        <x:v>Adam, Truxton, lolyoshi, rextep</x:v>
      </x:c>
      <x:c r="D1631" t="n">
        <x:v>124</x:v>
      </x:c>
      <x:c r="E1631" t="str">
        <x:v>Expert</x:v>
      </x:c>
      <x:c r="F1631" t="str">
        <x:v>Standard</x:v>
      </x:c>
      <x:c r="G1631" t="n">
        <x:v>44300</x:v>
      </x:c>
      <x:c r="H1631" t="str">
        <x:v>26307</x:v>
      </x:c>
      <x:c r="I1631" t="str">
        <x:v>https://www.smwcentral.net/?a=details&amp;id=26307&amp;p=section</x:v>
      </x:c>
      <x:c r="J1631" t="str">
        <x:v>https://dl.smwcentral.net/26307/GAIDEN_v1.13.zip</x:v>
      </x:c>
    </x:row>
    <x:row r="1632">
      <x:c r="A1632" t="str">
        <x:v>SMW: Luigi's Mystic Saga</x:v>
      </x:c>
      <x:c r="B1632" t="str">
        <x:v>SMW: Luigi's Mystic Saga</x:v>
      </x:c>
      <x:c r="C1632" t="str">
        <x:v>Tiozinho</x:v>
      </x:c>
      <x:c r="D1632" t="n">
        <x:v>31</x:v>
      </x:c>
      <x:c r="E1632" t="str">
        <x:v>Intermediate</x:v>
      </x:c>
      <x:c r="F1632" t="str">
        <x:v>Standard</x:v>
      </x:c>
      <x:c r="G1632" t="n">
        <x:v>46032</x:v>
      </x:c>
      <x:c r="H1632" t="str">
        <x:v>41378</x:v>
      </x:c>
      <x:c r="I1632" t="str">
        <x:v>https://www.smwcentral.net/?a=details&amp;id=41378&amp;p=section</x:v>
      </x:c>
      <x:c r="J1632" t="str">
        <x:v>https://dl.smwcentral.net/41378/Luigi%27s%20Mystic%20Saga.zip</x:v>
      </x:c>
    </x:row>
    <x:row r="1633">
      <x:c r="A1633" t="str">
        <x:v>SMW: Remix</x:v>
      </x:c>
      <x:c r="B1633" t="str">
        <x:v>SMW: Remix</x:v>
      </x:c>
      <x:c r="C1633" t="str">
        <x:v>Lexi</x:v>
      </x:c>
      <x:c r="D1633" t="n">
        <x:v>17</x:v>
      </x:c>
      <x:c r="E1633" t="str">
        <x:v>Newcomer</x:v>
      </x:c>
      <x:c r="F1633" t="str">
        <x:v>Standard</x:v>
      </x:c>
      <x:c r="G1633" t="n">
        <x:v>42294</x:v>
      </x:c>
      <x:c r="H1633" t="str">
        <x:v>10118</x:v>
      </x:c>
      <x:c r="I1633" t="str">
        <x:v>https://www.smwcentral.net/?a=details&amp;id=10118&amp;p=section</x:v>
      </x:c>
      <x:c r="J1633" t="str">
        <x:v>https://dl.smwcentral.net/10118/SMWRemixD1.1.zip</x:v>
      </x:c>
    </x:row>
    <x:row r="1634">
      <x:c r="A1634" t="str">
        <x:v>SMW: The Creator</x:v>
      </x:c>
      <x:c r="B1634" t="str">
        <x:v>SMW: The Creator</x:v>
      </x:c>
      <x:c r="C1634" t="str">
        <x:v>Diego</x:v>
      </x:c>
      <x:c r="D1634" t="n">
        <x:v>40</x:v>
      </x:c>
      <x:c r="E1634" t="str">
        <x:v>Newcomer</x:v>
      </x:c>
      <x:c r="F1634" t="str">
        <x:v>Standard</x:v>
      </x:c>
      <x:c r="G1634" t="n">
        <x:v>41870</x:v>
      </x:c>
      <x:c r="H1634" t="str">
        <x:v>8843</x:v>
      </x:c>
      <x:c r="I1634" t="str">
        <x:v>https://www.smwcentral.net/?a=details&amp;id=8843&amp;p=section</x:v>
      </x:c>
      <x:c r="J1634" t="str">
        <x:v>https://dl.smwcentral.net/8843/The%20Creator%20%5Bv1.1%5D.zip</x:v>
      </x:c>
    </x:row>
    <x:row r="1635">
      <x:c r="A1635" t="str">
        <x:v>SMW: Yoshi's Super Adventure</x:v>
      </x:c>
      <x:c r="B1635" t="str">
        <x:v>SMW: Yoshi's Super Adventure</x:v>
      </x:c>
      <x:c r="C1635" t="str">
        <x:v>aroohwahoou</x:v>
      </x:c>
      <x:c r="D1635" t="n">
        <x:v>44</x:v>
      </x:c>
      <x:c r="E1635" t="str">
        <x:v>Casual</x:v>
      </x:c>
      <x:c r="F1635" t="str">
        <x:v>Standard</x:v>
      </x:c>
      <x:c r="G1635" t="n">
        <x:v>45684</x:v>
      </x:c>
      <x:c r="H1635" t="str">
        <x:v>39103</x:v>
      </x:c>
      <x:c r="I1635" t="str">
        <x:v>https://www.smwcentral.net/?a=details&amp;id=39103&amp;p=section</x:v>
      </x:c>
      <x:c r="J1635" t="str">
        <x:v>https://dl.smwcentral.net/39103/SMW%20Yoshis%20Super%20Adventure%20v1.0.1.zip</x:v>
      </x:c>
    </x:row>
    <x:row r="1636">
      <x:c r="A1636" t="str">
        <x:v>SMWHacking.de Collab</x:v>
      </x:c>
      <x:c r="B1636" t="str">
        <x:v>SMWHacking.de Collab</x:v>
      </x:c>
      <x:c r="C1636" t="str">
        <x:v>EliteBellic, LP-Err0r, Reggiamoto, Robju, ShUriK KiD, Shog, kooooopa, wye</x:v>
      </x:c>
      <x:c r="D1636" t="n">
        <x:v>12</x:v>
      </x:c>
      <x:c r="E1636" t="str">
        <x:v>Casual</x:v>
      </x:c>
      <x:c r="F1636" t="str">
        <x:v>Standard</x:v>
      </x:c>
      <x:c r="G1636" t="n">
        <x:v>42043</x:v>
      </x:c>
      <x:c r="H1636" t="str">
        <x:v>10336</x:v>
      </x:c>
      <x:c r="I1636" t="str">
        <x:v>https://www.smwcentral.net/?a=details&amp;id=10336&amp;p=section</x:v>
      </x:c>
      <x:c r="J1636" t="str">
        <x:v>https://dl.smwcentral.net/10336/SMWHcollab.zip</x:v>
      </x:c>
    </x:row>
    <x:row r="1637">
      <x:c r="A1637" t="str">
        <x:v>SMWHacking.de Collab ½</x:v>
      </x:c>
      <x:c r="B1637" t="str">
        <x:v>SMWHacking.de Collab ½</x:v>
      </x:c>
      <x:c r="C1637" t="str">
        <x:v>Luks, RedAstaire, ShUriK KiD, Wysey, neidoodle, wye</x:v>
      </x:c>
      <x:c r="D1637" t="n">
        <x:v>10</x:v>
      </x:c>
      <x:c r="E1637" t="str">
        <x:v>Intermediate</x:v>
      </x:c>
      <x:c r="F1637" t="str">
        <x:v>Standard</x:v>
      </x:c>
      <x:c r="G1637" t="n">
        <x:v>42639</x:v>
      </x:c>
      <x:c r="H1637" t="str">
        <x:v>14465</x:v>
      </x:c>
      <x:c r="I1637" t="str">
        <x:v>https://www.smwcentral.net/?a=details&amp;id=14465&amp;p=section</x:v>
      </x:c>
      <x:c r="J1637" t="str">
        <x:v>https://dl.smwcentral.net/14465/SMWHcollab_1_2.zip</x:v>
      </x:c>
    </x:row>
    <x:row r="1638">
      <x:c r="A1638" t="str">
        <x:v>SMWLV</x:v>
      </x:c>
      <x:c r="B1638" t="str">
        <x:v>SMWLV</x:v>
      </x:c>
      <x:c r="C1638" t="str">
        <x:v>Gabriel12102673</x:v>
      </x:c>
      <x:c r="D1638" t="n">
        <x:v>20</x:v>
      </x:c>
      <x:c r="E1638" t="str">
        <x:v>Intermediate</x:v>
      </x:c>
      <x:c r="F1638" t="str">
        <x:v>Standard</x:v>
      </x:c>
      <x:c r="G1638" t="n">
        <x:v>44118</x:v>
      </x:c>
      <x:c r="H1638" t="str">
        <x:v>24783</x:v>
      </x:c>
      <x:c r="I1638" t="str">
        <x:v>https://www.smwcentral.net/?a=details&amp;id=24783&amp;p=section</x:v>
      </x:c>
      <x:c r="J1638" t="str">
        <x:v>https://dl.smwcentral.net/24783/SMWLV%20%28DEMO%29.zip</x:v>
      </x:c>
    </x:row>
    <x:row r="1639">
      <x:c r="A1639" t="str">
        <x:v>Sniggerbobble's Nightmare: Randor's Inside Story</x:v>
      </x:c>
      <x:c r="B1639" t="str">
        <x:v>Sniggerbobble's Nightmare: Randor's Inside Story</x:v>
      </x:c>
      <x:c r="C1639" t="str">
        <x:v>Chikane</x:v>
      </x:c>
      <x:c r="D1639" t="n">
        <x:v>6</x:v>
      </x:c>
      <x:c r="E1639" t="str">
        <x:v>Casual</x:v>
      </x:c>
      <x:c r="F1639" t="str">
        <x:v>Standard</x:v>
      </x:c>
      <x:c r="G1639" t="n">
        <x:v>41543</x:v>
      </x:c>
      <x:c r="H1639" t="str">
        <x:v>5275</x:v>
      </x:c>
      <x:c r="I1639" t="str">
        <x:v>https://www.smwcentral.net/?a=details&amp;id=5275&amp;p=section</x:v>
      </x:c>
      <x:c r="J1639" t="str">
        <x:v>https://dl.smwcentral.net/5275/RiS%20Demo%201.zip</x:v>
      </x:c>
    </x:row>
    <x:row r="1640">
      <x:c r="A1640" t="str">
        <x:v>Snoman's Land</x:v>
      </x:c>
      <x:c r="B1640" t="str">
        <x:v>Snoman's Land</x:v>
      </x:c>
      <x:c r="C1640" t="str">
        <x:v>snomangaming</x:v>
      </x:c>
      <x:c r="D1640" t="n">
        <x:v>12</x:v>
      </x:c>
      <x:c r="E1640" t="str">
        <x:v>Advanced</x:v>
      </x:c>
      <x:c r="F1640" t="str">
        <x:v>Kaizo</x:v>
      </x:c>
      <x:c r="G1640" t="n">
        <x:v>44005</x:v>
      </x:c>
      <x:c r="H1640" t="str">
        <x:v>23383</x:v>
      </x:c>
      <x:c r="I1640" t="str">
        <x:v>https://www.smwcentral.net/?a=details&amp;id=23383&amp;p=section</x:v>
      </x:c>
      <x:c r="J1640" t="str">
        <x:v>https://dl.smwcentral.net/23383/Snoman%27s%20Land%20v1.2.zip</x:v>
      </x:c>
    </x:row>
    <x:row r="1641">
      <x:c r="A1641" t="str">
        <x:v>Solar Eclipse World</x:v>
      </x:c>
      <x:c r="B1641" t="str">
        <x:v>Solar Eclipse World</x:v>
      </x:c>
      <x:c r="C1641" t="str">
        <x:v>ft029</x:v>
      </x:c>
      <x:c r="D1641" t="n">
        <x:v>1</x:v>
      </x:c>
      <x:c r="E1641" t="str">
        <x:v>Intermediate</x:v>
      </x:c>
      <x:c r="F1641" t="str">
        <x:v>Standard</x:v>
      </x:c>
      <x:c r="G1641" t="n">
        <x:v>42972</x:v>
      </x:c>
      <x:c r="H1641" t="str">
        <x:v>16084</x:v>
      </x:c>
      <x:c r="I1641" t="str">
        <x:v>https://www.smwcentral.net/?a=details&amp;id=16084&amp;p=section</x:v>
      </x:c>
      <x:c r="J1641" t="str">
        <x:v>https://dl.smwcentral.net/16084/Solar%20Eclipse%20World.zip</x:v>
      </x:c>
    </x:row>
    <x:row r="1642">
      <x:c r="A1642" t="str">
        <x:v>Some Assembly Required</x:v>
      </x:c>
      <x:c r="B1642" t="str">
        <x:v>Some Assembly Required</x:v>
      </x:c>
      <x:c r="C1642" t="str">
        <x:v>Shuttles</x:v>
      </x:c>
      <x:c r="D1642" t="n">
        <x:v>5</x:v>
      </x:c>
      <x:c r="E1642" t="str">
        <x:v>Advanced</x:v>
      </x:c>
      <x:c r="F1642" t="str">
        <x:v>Kaizo</x:v>
      </x:c>
      <x:c r="G1642" t="n">
        <x:v>43856</x:v>
      </x:c>
      <x:c r="H1642" t="str">
        <x:v>22030</x:v>
      </x:c>
      <x:c r="I1642" t="str">
        <x:v>https://www.smwcentral.net/?a=details&amp;id=22030&amp;p=section</x:v>
      </x:c>
      <x:c r="J1642" t="str">
        <x:v>https://dl.smwcentral.net/22030/SAR_v1.1.zip</x:v>
      </x:c>
    </x:row>
    <x:row r="1643">
      <x:c r="A1643" t="str">
        <x:v>Something</x:v>
      </x:c>
      <x:c r="B1643" t="str">
        <x:v>Something</x:v>
      </x:c>
      <x:c r="C1643" t="str">
        <x:v>yogui</x:v>
      </x:c>
      <x:c r="D1643" t="n">
        <x:v>47</x:v>
      </x:c>
      <x:c r="E1643" t="str">
        <x:v>Intermediate</x:v>
      </x:c>
      <x:c r="F1643" t="str">
        <x:v>Standard</x:v>
      </x:c>
      <x:c r="G1643" t="n">
        <x:v>44585</x:v>
      </x:c>
      <x:c r="H1643" t="str">
        <x:v>29548</x:v>
      </x:c>
      <x:c r="I1643" t="str">
        <x:v>https://www.smwcentral.net/?a=details&amp;id=29548&amp;p=section</x:v>
      </x:c>
      <x:c r="J1643" t="str">
        <x:v>https://dl.smwcentral.net/29548/Something.zip</x:v>
      </x:c>
    </x:row>
    <x:row r="1644">
      <x:c r="A1644" t="str">
        <x:v>Something Else</x:v>
      </x:c>
      <x:c r="B1644" t="str">
        <x:v>Something Else</x:v>
      </x:c>
      <x:c r="C1644" t="str">
        <x:v>yogui</x:v>
      </x:c>
      <x:c r="D1644" t="n">
        <x:v>69</x:v>
      </x:c>
      <x:c r="E1644" t="str">
        <x:v>Advanced</x:v>
      </x:c>
      <x:c r="F1644" t="str">
        <x:v>Standard</x:v>
      </x:c>
      <x:c r="G1644" t="n">
        <x:v>41691</x:v>
      </x:c>
      <x:c r="H1644" t="str">
        <x:v>6304</x:v>
      </x:c>
      <x:c r="I1644" t="str">
        <x:v>https://www.smwcentral.net/?a=details&amp;id=6304&amp;p=section</x:v>
      </x:c>
      <x:c r="J1644" t="str">
        <x:v>https://dl.smwcentral.net/6304/Something%20else%20.zip</x:v>
      </x:c>
    </x:row>
    <x:row r="1645">
      <x:c r="A1645" t="str">
        <x:v>Song's to Die to</x:v>
      </x:c>
      <x:c r="B1645" t="str">
        <x:v>Song's to Die to</x:v>
      </x:c>
      <x:c r="C1645" t="str">
        <x:v>YukiHidden</x:v>
      </x:c>
      <x:c r="D1645" t="n">
        <x:v>9</x:v>
      </x:c>
      <x:c r="E1645" t="str">
        <x:v>Expert</x:v>
      </x:c>
      <x:c r="F1645" t="str">
        <x:v>Kaizo</x:v>
      </x:c>
      <x:c r="G1645" t="n">
        <x:v>46073</x:v>
      </x:c>
      <x:c r="H1645" t="str">
        <x:v>41656</x:v>
      </x:c>
      <x:c r="I1645" t="str">
        <x:v>https://www.smwcentral.net/?a=details&amp;id=41656&amp;p=section</x:v>
      </x:c>
      <x:c r="J1645" t="str">
        <x:v>https://dl.smwcentral.net/41656/Song%27s%20to%20die%20to.zip</x:v>
      </x:c>
    </x:row>
    <x:row r="1646">
      <x:c r="A1646" t="str">
        <x:v>Sonic Epic World</x:v>
      </x:c>
      <x:c r="B1646" t="str">
        <x:v>Sonic Epic World</x:v>
      </x:c>
      <x:c r="C1646" t="str">
        <x:v>sholmes</x:v>
      </x:c>
      <x:c r="D1646" t="n">
        <x:v>8</x:v>
      </x:c>
      <x:c r="E1646" t="str">
        <x:v>Expert</x:v>
      </x:c>
      <x:c r="F1646" t="str">
        <x:v>Kaizo</x:v>
      </x:c>
      <x:c r="G1646" t="n">
        <x:v>45428</x:v>
      </x:c>
      <x:c r="H1646" t="str">
        <x:v>37784</x:v>
      </x:c>
      <x:c r="I1646" t="str">
        <x:v>https://www.smwcentral.net/?a=details&amp;id=37784&amp;p=section</x:v>
      </x:c>
      <x:c r="J1646" t="str">
        <x:v>https://dl.smwcentral.net/37784/Sonic%20Epic%20World.zip</x:v>
      </x:c>
    </x:row>
    <x:row r="1647">
      <x:c r="A1647" t="str">
        <x:v>Sonic Kaizo World</x:v>
      </x:c>
      <x:c r="B1647" t="str">
        <x:v>Sonic Kaizo World</x:v>
      </x:c>
      <x:c r="C1647" t="str">
        <x:v>sholmes</x:v>
      </x:c>
      <x:c r="D1647" t="n">
        <x:v>21</x:v>
      </x:c>
      <x:c r="E1647" t="str">
        <x:v>Expert</x:v>
      </x:c>
      <x:c r="F1647" t="str">
        <x:v>Kaizo</x:v>
      </x:c>
      <x:c r="G1647" t="n">
        <x:v>46197</x:v>
      </x:c>
      <x:c r="H1647" t="str">
        <x:v>42582</x:v>
      </x:c>
      <x:c r="I1647" t="str">
        <x:v>https://www.smwcentral.net/?a=details&amp;id=42582&amp;p=section</x:v>
      </x:c>
      <x:c r="J1647" t="str">
        <x:v>https://dl.smwcentral.net/42582/Sonic%20Kaizo%20World.zip</x:v>
      </x:c>
    </x:row>
    <x:row r="1648">
      <x:c r="A1648" t="str">
        <x:v>Sonic the Hedgehog 2 Kaizo Version</x:v>
      </x:c>
      <x:c r="B1648" t="str">
        <x:v>Sonic the Hedgehog 2 Kaizo Version</x:v>
      </x:c>
      <x:c r="C1648" t="str">
        <x:v>sholmes</x:v>
      </x:c>
      <x:c r="D1648" t="n">
        <x:v>22</x:v>
      </x:c>
      <x:c r="E1648" t="str">
        <x:v>Expert</x:v>
      </x:c>
      <x:c r="F1648" t="str">
        <x:v>Kaizo</x:v>
      </x:c>
      <x:c r="G1648" t="n">
        <x:v>45437</x:v>
      </x:c>
      <x:c r="H1648" t="str">
        <x:v>37804</x:v>
      </x:c>
      <x:c r="I1648" t="str">
        <x:v>https://www.smwcentral.net/?a=details&amp;id=37804&amp;p=section</x:v>
      </x:c>
      <x:c r="J1648" t="str">
        <x:v>https://dl.smwcentral.net/37804/Sonic%202%20But%20Kaizo.zip</x:v>
      </x:c>
    </x:row>
    <x:row r="1649">
      <x:c r="A1649" t="str">
        <x:v>Sonic the Hedgehog Kaizo Version</x:v>
      </x:c>
      <x:c r="B1649" t="str">
        <x:v>Sonic the Hedgehog Kaizo Version</x:v>
      </x:c>
      <x:c r="C1649" t="str">
        <x:v>sholmes</x:v>
      </x:c>
      <x:c r="D1649" t="n">
        <x:v>19</x:v>
      </x:c>
      <x:c r="E1649" t="str">
        <x:v>Expert</x:v>
      </x:c>
      <x:c r="F1649" t="str">
        <x:v>Kaizo</x:v>
      </x:c>
      <x:c r="G1649" t="n">
        <x:v>45702</x:v>
      </x:c>
      <x:c r="H1649" t="str">
        <x:v>39188</x:v>
      </x:c>
      <x:c r="I1649" t="str">
        <x:v>https://www.smwcentral.net/?a=details&amp;id=39188&amp;p=section</x:v>
      </x:c>
      <x:c r="J1649" t="str">
        <x:v>https://dl.smwcentral.net/39188/Sonic%20in%20a%20Kaizo%20World.zip</x:v>
      </x:c>
    </x:row>
    <x:row r="1650">
      <x:c r="A1650" t="str">
        <x:v>Sonic's Adventure in Mushroom Kingdom</x:v>
      </x:c>
      <x:c r="B1650" t="str">
        <x:v>Sonic's Adventure in Mushroom Kingdom</x:v>
      </x:c>
      <x:c r="C1650" t="str">
        <x:v>MidniteMilo82</x:v>
      </x:c>
      <x:c r="D1650" t="n">
        <x:v>13</x:v>
      </x:c>
      <x:c r="E1650" t="str">
        <x:v>Intermediate</x:v>
      </x:c>
      <x:c r="F1650" t="str">
        <x:v>Kaizo</x:v>
      </x:c>
      <x:c r="G1650" t="n">
        <x:v>44503</x:v>
      </x:c>
      <x:c r="H1650" t="str">
        <x:v>28598</x:v>
      </x:c>
      <x:c r="I1650" t="str">
        <x:v>https://www.smwcentral.net/?a=details&amp;id=28598&amp;p=section</x:v>
      </x:c>
      <x:c r="J1650" t="str">
        <x:v>https://dl.smwcentral.net/28598/SAiMK.zip</x:v>
      </x:c>
    </x:row>
    <x:row r="1651">
      <x:c r="A1651" t="str">
        <x:v>Sophies Crown</x:v>
      </x:c>
      <x:c r="B1651" t="str">
        <x:v>Sophies Crown</x:v>
      </x:c>
      <x:c r="C1651" t="str">
        <x:v>ScatmanJones49</x:v>
      </x:c>
      <x:c r="D1651" t="n">
        <x:v>15</x:v>
      </x:c>
      <x:c r="E1651" t="str">
        <x:v>Expert</x:v>
      </x:c>
      <x:c r="F1651" t="str">
        <x:v>Kaizo</x:v>
      </x:c>
      <x:c r="G1651" t="n">
        <x:v>44369</x:v>
      </x:c>
      <x:c r="H1651" t="str">
        <x:v>27342</x:v>
      </x:c>
      <x:c r="I1651" t="str">
        <x:v>https://www.smwcentral.net/?a=details&amp;id=27342&amp;p=section</x:v>
      </x:c>
      <x:c r="J1651" t="str">
        <x:v>https://dl.smwcentral.net/27342/sophiescrown.zip</x:v>
      </x:c>
    </x:row>
    <x:row r="1652">
      <x:c r="A1652" t="str">
        <x:v>Sorrow &amp; Misery</x:v>
      </x:c>
      <x:c r="B1652" t="str">
        <x:v>Sorrow &amp; Misery</x:v>
      </x:c>
      <x:c r="C1652" t="str">
        <x:v>JokerGamerOk</x:v>
      </x:c>
      <x:c r="D1652" t="n">
        <x:v>19</x:v>
      </x:c>
      <x:c r="E1652" t="str">
        <x:v>Grandmaster</x:v>
      </x:c>
      <x:c r="F1652" t="str">
        <x:v>Kaizo</x:v>
      </x:c>
      <x:c r="G1652" t="n">
        <x:v>44863</x:v>
      </x:c>
      <x:c r="H1652" t="str">
        <x:v>31450</x:v>
      </x:c>
      <x:c r="I1652" t="str">
        <x:v>https://www.smwcentral.net/?a=details&amp;id=31450&amp;p=section</x:v>
      </x:c>
      <x:c r="J1652" t="str">
        <x:v>https://dl.smwcentral.net/31450/Sorrow_and_Misery.zip</x:v>
      </x:c>
    </x:row>
    <x:row r="1653">
      <x:c r="A1653" t="str">
        <x:v>Sortes Biblicae</x:v>
      </x:c>
      <x:c r="B1653" t="str">
        <x:v>Sortes Biblicae</x:v>
      </x:c>
      <x:c r="C1653" t="str">
        <x:v>Morsel</x:v>
      </x:c>
      <x:c r="D1653" t="n">
        <x:v>9</x:v>
      </x:c>
      <x:c r="E1653" t="str">
        <x:v>Master</x:v>
      </x:c>
      <x:c r="F1653" t="str">
        <x:v>Kaizo</x:v>
      </x:c>
      <x:c r="G1653" t="n">
        <x:v>44822</x:v>
      </x:c>
      <x:c r="H1653" t="str">
        <x:v>31961</x:v>
      </x:c>
      <x:c r="I1653" t="str">
        <x:v>https://www.smwcentral.net/?a=details&amp;id=31961&amp;p=section</x:v>
      </x:c>
      <x:c r="J1653" t="str">
        <x:v>https://dl.smwcentral.net/31961/sortesbiblicae1.666.zip</x:v>
      </x:c>
    </x:row>
    <x:row r="1654">
      <x:c r="A1654" t="str">
        <x:v>Soup or Solstng World</x:v>
      </x:c>
      <x:c r="B1654" t="str">
        <x:v>Soup or Solstng World</x:v>
      </x:c>
      <x:c r="C1654" t="str">
        <x:v>shovda</x:v>
      </x:c>
      <x:c r="D1654" t="n">
        <x:v>14</x:v>
      </x:c>
      <x:c r="E1654" t="str">
        <x:v>Advanced</x:v>
      </x:c>
      <x:c r="F1654" t="str">
        <x:v>Kaizo</x:v>
      </x:c>
      <x:c r="G1654" t="n">
        <x:v>43839</x:v>
      </x:c>
      <x:c r="H1654" t="str">
        <x:v>21740</x:v>
      </x:c>
      <x:c r="I1654" t="str">
        <x:v>https://www.smwcentral.net/?a=details&amp;id=21740&amp;p=section</x:v>
      </x:c>
      <x:c r="J1654" t="str">
        <x:v>https://dl.smwcentral.net/21740/Soup%20or%20Solstng%20World%201.1.zip</x:v>
      </x:c>
    </x:row>
    <x:row r="1655">
      <x:c r="A1655" t="str">
        <x:v>South Point Hotel</x:v>
      </x:c>
      <x:c r="B1655" t="str">
        <x:v>South Point Hotel</x:v>
      </x:c>
      <x:c r="C1655" t="str">
        <x:v>GbreezeSunset, Lazy, MiracleWater</x:v>
      </x:c>
      <x:c r="D1655" t="n">
        <x:v>1</x:v>
      </x:c>
      <x:c r="E1655" t="str">
        <x:v>Expert</x:v>
      </x:c>
      <x:c r="F1655" t="str">
        <x:v>Kaizo, Puzzle</x:v>
      </x:c>
      <x:c r="G1655" t="n">
        <x:v>44599</x:v>
      </x:c>
      <x:c r="H1655" t="str">
        <x:v>29721</x:v>
      </x:c>
      <x:c r="I1655" t="str">
        <x:v>https://www.smwcentral.net/?a=details&amp;id=29721&amp;p=section</x:v>
      </x:c>
      <x:c r="J1655" t="str">
        <x:v>https://dl.smwcentral.net/29721/South%20Point%20Hotel.zip</x:v>
      </x:c>
    </x:row>
    <x:row r="1656">
      <x:c r="A1656" t="str">
        <x:v>SpaceDeluxe</x:v>
      </x:c>
      <x:c r="B1656" t="str">
        <x:v>SpaceDeluxe</x:v>
      </x:c>
      <x:c r="C1656" t="str">
        <x:v>Breno Henrique</x:v>
      </x:c>
      <x:c r="D1656" t="n">
        <x:v>6</x:v>
      </x:c>
      <x:c r="E1656" t="str">
        <x:v>Advanced</x:v>
      </x:c>
      <x:c r="F1656" t="str">
        <x:v>Kaizo</x:v>
      </x:c>
      <x:c r="G1656" t="n">
        <x:v>46004</x:v>
      </x:c>
      <x:c r="H1656" t="str">
        <x:v>41266</x:v>
      </x:c>
      <x:c r="I1656" t="str">
        <x:v>https://www.smwcentral.net/?a=details&amp;id=41266&amp;p=section</x:v>
      </x:c>
      <x:c r="J1656" t="str">
        <x:v>https://dl.smwcentral.net/41266/SpaceDeluxe.zip</x:v>
      </x:c>
    </x:row>
    <x:row r="1657">
      <x:c r="A1657" t="str">
        <x:v>Spatial Whirl</x:v>
      </x:c>
      <x:c r="B1657" t="str">
        <x:v>Spatial Whirl</x:v>
      </x:c>
      <x:c r="C1657" t="str">
        <x:v>GbreezeSunset</x:v>
      </x:c>
      <x:c r="D1657" t="n">
        <x:v>60</x:v>
      </x:c>
      <x:c r="E1657" t="str">
        <x:v>Intermediate</x:v>
      </x:c>
      <x:c r="F1657" t="str">
        <x:v>Standard</x:v>
      </x:c>
      <x:c r="G1657" t="n">
        <x:v>45470</x:v>
      </x:c>
      <x:c r="H1657" t="str">
        <x:v>37876</x:v>
      </x:c>
      <x:c r="I1657" t="str">
        <x:v>https://www.smwcentral.net/?a=details&amp;id=37876&amp;p=section</x:v>
      </x:c>
      <x:c r="J1657" t="str">
        <x:v>https://dl.smwcentral.net/37876/Spatial%20Whirl.zip</x:v>
      </x:c>
    </x:row>
    <x:row r="1658">
      <x:c r="A1658" t="str">
        <x:v>Special Moves</x:v>
      </x:c>
      <x:c r="B1658" t="str">
        <x:v>Special Moves</x:v>
      </x:c>
      <x:c r="C1658" t="str">
        <x:v>marvisjj</x:v>
      </x:c>
      <x:c r="D1658" t="n">
        <x:v>5</x:v>
      </x:c>
      <x:c r="E1658" t="str">
        <x:v>Grandmaster</x:v>
      </x:c>
      <x:c r="F1658" t="str">
        <x:v>Kaizo</x:v>
      </x:c>
      <x:c r="G1658" t="n">
        <x:v>46063</x:v>
      </x:c>
      <x:c r="H1658" t="str">
        <x:v>41529</x:v>
      </x:c>
      <x:c r="I1658" t="str">
        <x:v>https://www.smwcentral.net/?a=details&amp;id=41529&amp;p=section</x:v>
      </x:c>
      <x:c r="J1658" t="str">
        <x:v>https://dl.smwcentral.net/41529/Special%20Moves.zip</x:v>
      </x:c>
    </x:row>
    <x:row r="1659">
      <x:c r="A1659" t="str">
        <x:v>Special World Escape</x:v>
      </x:c>
      <x:c r="B1659" t="str">
        <x:v>Special World Escape</x:v>
      </x:c>
      <x:c r="C1659" t="str">
        <x:v>fanfan21</x:v>
      </x:c>
      <x:c r="D1659" t="n">
        <x:v>5</x:v>
      </x:c>
      <x:c r="E1659" t="str">
        <x:v>Advanced</x:v>
      </x:c>
      <x:c r="F1659" t="str">
        <x:v>Kaizo</x:v>
      </x:c>
      <x:c r="G1659" t="n">
        <x:v>46023</x:v>
      </x:c>
      <x:c r="H1659" t="str">
        <x:v>41361</x:v>
      </x:c>
      <x:c r="I1659" t="str">
        <x:v>https://www.smwcentral.net/?a=details&amp;id=41361&amp;p=section</x:v>
      </x:c>
      <x:c r="J1659" t="str">
        <x:v>https://dl.smwcentral.net/41361/Special%20World%20Escape.zip</x:v>
      </x:c>
    </x:row>
    <x:row r="1660">
      <x:c r="A1660" t="str">
        <x:v>Special World Overtakes</x:v>
      </x:c>
      <x:c r="B1660" t="str">
        <x:v>Special World Overtakes</x:v>
      </x:c>
      <x:c r="C1660" t="str">
        <x:v>therealSWK</x:v>
      </x:c>
      <x:c r="D1660" t="n">
        <x:v>8</x:v>
      </x:c>
      <x:c r="E1660" t="str">
        <x:v>Casual</x:v>
      </x:c>
      <x:c r="F1660" t="str">
        <x:v>Standard</x:v>
      </x:c>
      <x:c r="G1660" t="n">
        <x:v>42207</x:v>
      </x:c>
      <x:c r="H1660" t="str">
        <x:v>10219</x:v>
      </x:c>
      <x:c r="I1660" t="str">
        <x:v>https://www.smwcentral.net/?a=details&amp;id=10219&amp;p=section</x:v>
      </x:c>
      <x:c r="J1660" t="str">
        <x:v>https://dl.smwcentral.net/10219/Special%20World%20Overtakes%20V1.3.zip</x:v>
      </x:c>
    </x:row>
    <x:row r="1661">
      <x:c r="A1661" t="str">
        <x:v>Special World?</x:v>
      </x:c>
      <x:c r="B1661" t="str">
        <x:v>Special World?</x:v>
      </x:c>
      <x:c r="C1661" t="str">
        <x:v>SuperMarisa1999</x:v>
      </x:c>
      <x:c r="D1661" t="n">
        <x:v>5</x:v>
      </x:c>
      <x:c r="E1661" t="str">
        <x:v>Intermediate</x:v>
      </x:c>
      <x:c r="F1661" t="str">
        <x:v>Kaizo, Tool-Assisted</x:v>
      </x:c>
      <x:c r="G1661" t="n">
        <x:v>41824</x:v>
      </x:c>
      <x:c r="H1661" t="str">
        <x:v>6760</x:v>
      </x:c>
      <x:c r="I1661" t="str">
        <x:v>https://www.smwcentral.net/?a=details&amp;id=6760&amp;p=section</x:v>
      </x:c>
      <x:c r="J1661" t="str">
        <x:v>https://dl.smwcentral.net/6760/Special%20World%20Demo%200.1.3.zip</x:v>
      </x:c>
    </x:row>
    <x:row r="1662">
      <x:c r="A1662" t="str">
        <x:v>Speed Shell</x:v>
      </x:c>
      <x:c r="B1662" t="str">
        <x:v>Speed Shell</x:v>
      </x:c>
      <x:c r="C1662" t="str">
        <x:v>Prestinator13</x:v>
      </x:c>
      <x:c r="D1662" t="n">
        <x:v>1</x:v>
      </x:c>
      <x:c r="E1662" t="str">
        <x:v>Expert</x:v>
      </x:c>
      <x:c r="F1662" t="str">
        <x:v>Kaizo</x:v>
      </x:c>
      <x:c r="G1662" t="n">
        <x:v>44264</x:v>
      </x:c>
      <x:c r="H1662" t="str">
        <x:v>26381</x:v>
      </x:c>
      <x:c r="I1662" t="str">
        <x:v>https://www.smwcentral.net/?a=details&amp;id=26381&amp;p=section</x:v>
      </x:c>
      <x:c r="J1662" t="str">
        <x:v>https://dl.smwcentral.net/26381/SpeedShell.zip</x:v>
      </x:c>
    </x:row>
    <x:row r="1663">
      <x:c r="A1663" t="str">
        <x:v>Spesh Planet</x:v>
      </x:c>
      <x:c r="B1663" t="str">
        <x:v>Spesh Planet</x:v>
      </x:c>
      <x:c r="C1663" t="str">
        <x:v>E-man38</x:v>
      </x:c>
      <x:c r="D1663" t="n">
        <x:v>8</x:v>
      </x:c>
      <x:c r="E1663" t="str">
        <x:v>Intermediate</x:v>
      </x:c>
      <x:c r="F1663" t="str">
        <x:v>Standard</x:v>
      </x:c>
      <x:c r="G1663" t="n">
        <x:v>44763</x:v>
      </x:c>
      <x:c r="H1663" t="str">
        <x:v>31344</x:v>
      </x:c>
      <x:c r="I1663" t="str">
        <x:v>https://www.smwcentral.net/?a=details&amp;id=31344&amp;p=section</x:v>
      </x:c>
      <x:c r="J1663" t="str">
        <x:v>https://dl.smwcentral.net/31344/Spesh%20Planet.zip</x:v>
      </x:c>
    </x:row>
    <x:row r="1664">
      <x:c r="A1664" t="str">
        <x:v>Spesh Planet 2</x:v>
      </x:c>
      <x:c r="B1664" t="str">
        <x:v>Spesh Planet 2</x:v>
      </x:c>
      <x:c r="C1664" t="str">
        <x:v>E-man38</x:v>
      </x:c>
      <x:c r="D1664" t="n">
        <x:v>24</x:v>
      </x:c>
      <x:c r="E1664" t="str">
        <x:v>Intermediate</x:v>
      </x:c>
      <x:c r="F1664" t="str">
        <x:v>Standard</x:v>
      </x:c>
      <x:c r="G1664" t="n">
        <x:v>45893</x:v>
      </x:c>
      <x:c r="H1664" t="str">
        <x:v>40229</x:v>
      </x:c>
      <x:c r="I1664" t="str">
        <x:v>https://www.smwcentral.net/?a=details&amp;id=40229&amp;p=section</x:v>
      </x:c>
      <x:c r="J1664" t="str">
        <x:v>https://dl.smwcentral.net/40229/Spesh%20Planet%202.zip</x:v>
      </x:c>
    </x:row>
    <x:row r="1665">
      <x:c r="A1665" t="str">
        <x:v>Spiral Quiral</x:v>
      </x:c>
      <x:c r="B1665" t="str">
        <x:v>Spiral Quiral</x:v>
      </x:c>
      <x:c r="C1665" t="str">
        <x:v>Airbourne Bubblun</x:v>
      </x:c>
      <x:c r="D1665" t="n">
        <x:v>8</x:v>
      </x:c>
      <x:c r="E1665" t="str">
        <x:v>Casual</x:v>
      </x:c>
      <x:c r="F1665" t="str">
        <x:v>Standard</x:v>
      </x:c>
      <x:c r="G1665" t="n">
        <x:v>41545</x:v>
      </x:c>
      <x:c r="H1665" t="str">
        <x:v>5466</x:v>
      </x:c>
      <x:c r="I1665" t="str">
        <x:v>https://www.smwcentral.net/?a=details&amp;id=5466&amp;p=section</x:v>
      </x:c>
      <x:c r="J1665" t="str">
        <x:v>https://dl.smwcentral.net/5466/Spiral%20Quiral%20V2.2.zip</x:v>
      </x:c>
    </x:row>
    <x:row r="1666">
      <x:c r="A1666" t="str">
        <x:v>Spiral Quiral Downgrade</x:v>
      </x:c>
      <x:c r="B1666" t="str">
        <x:v>Spiral Quiral Downgrade</x:v>
      </x:c>
      <x:c r="C1666" t="str">
        <x:v>Airbourne Bubblun</x:v>
      </x:c>
      <x:c r="D1666" t="n">
        <x:v>12</x:v>
      </x:c>
      <x:c r="E1666" t="str">
        <x:v>Intermediate</x:v>
      </x:c>
      <x:c r="F1666" t="str">
        <x:v>Standard</x:v>
      </x:c>
      <x:c r="G1666" t="n">
        <x:v>42699</x:v>
      </x:c>
      <x:c r="H1666" t="str">
        <x:v>14631</x:v>
      </x:c>
      <x:c r="I1666" t="str">
        <x:v>https://www.smwcentral.net/?a=details&amp;id=14631&amp;p=section</x:v>
      </x:c>
      <x:c r="J1666" t="str">
        <x:v>https://dl.smwcentral.net/14631/Spiral%20Quiral%20Downgrade.zip</x:v>
      </x:c>
    </x:row>
    <x:row r="1667">
      <x:c r="A1667" t="str">
        <x:v>Spiteful Mario</x:v>
      </x:c>
      <x:c r="B1667" t="str">
        <x:v>Spiteful Mario</x:v>
      </x:c>
      <x:c r="C1667" t="str">
        <x:v>Easy Difficulty</x:v>
      </x:c>
      <x:c r="D1667" t="n">
        <x:v>69</x:v>
      </x:c>
      <x:c r="E1667" t="str">
        <x:v>Expert</x:v>
      </x:c>
      <x:c r="F1667" t="str">
        <x:v>Standard, Kaizo</x:v>
      </x:c>
      <x:c r="G1667" t="n">
        <x:v>45512</x:v>
      </x:c>
      <x:c r="H1667" t="str">
        <x:v>38128</x:v>
      </x:c>
      <x:c r="I1667" t="str">
        <x:v>https://www.smwcentral.net/?a=details&amp;id=38128&amp;p=section</x:v>
      </x:c>
      <x:c r="J1667" t="str">
        <x:v>https://dl.smwcentral.net/38128/Spitefulmarioupdate.zip</x:v>
      </x:c>
    </x:row>
    <x:row r="1668">
      <x:c r="A1668" t="str">
        <x:v>Sponge World</x:v>
      </x:c>
      <x:c r="B1668" t="str">
        <x:v>Sponge World</x:v>
      </x:c>
      <x:c r="C1668" t="str">
        <x:v>iraxviii</x:v>
      </x:c>
      <x:c r="D1668" t="n">
        <x:v>4</x:v>
      </x:c>
      <x:c r="E1668" t="str">
        <x:v>Intermediate</x:v>
      </x:c>
      <x:c r="F1668" t="str">
        <x:v>Standard</x:v>
      </x:c>
      <x:c r="G1668" t="n">
        <x:v>45527</x:v>
      </x:c>
      <x:c r="H1668" t="str">
        <x:v>38195</x:v>
      </x:c>
      <x:c r="I1668" t="str">
        <x:v>https://www.smwcentral.net/?a=details&amp;id=38195&amp;p=section</x:v>
      </x:c>
      <x:c r="J1668" t="str">
        <x:v>https://dl.smwcentral.net/38195/Sponge%20World.zip</x:v>
      </x:c>
    </x:row>
    <x:row r="1669">
      <x:c r="A1669" t="str">
        <x:v>SPOT</x:v>
      </x:c>
      <x:c r="B1669" t="str">
        <x:v>SPOT</x:v>
      </x:c>
      <x:c r="C1669" t="str">
        <x:v>Nitrogen</x:v>
      </x:c>
      <x:c r="D1669" t="n">
        <x:v>12</x:v>
      </x:c>
      <x:c r="E1669" t="str">
        <x:v>Advanced</x:v>
      </x:c>
      <x:c r="F1669" t="str">
        <x:v>Standard</x:v>
      </x:c>
      <x:c r="G1669" t="n">
        <x:v>45349</x:v>
      </x:c>
      <x:c r="H1669" t="str">
        <x:v>37136</x:v>
      </x:c>
      <x:c r="I1669" t="str">
        <x:v>https://www.smwcentral.net/?a=details&amp;id=37136&amp;p=section</x:v>
      </x:c>
      <x:c r="J1669" t="str">
        <x:v>https://dl.smwcentral.net/37136/SPOT%20%28demo%29.zip</x:v>
      </x:c>
    </x:row>
    <x:row r="1670">
      <x:c r="A1670" t="str">
        <x:v>Sprites Are 1derful</x:v>
      </x:c>
      <x:c r="B1670" t="str">
        <x:v>Sprites Are 1derful</x:v>
      </x:c>
      <x:c r="C1670" t="str">
        <x:v>NewPointless</x:v>
      </x:c>
      <x:c r="D1670" t="n">
        <x:v>96</x:v>
      </x:c>
      <x:c r="E1670" t="str">
        <x:v>Advanced</x:v>
      </x:c>
      <x:c r="F1670" t="str">
        <x:v>Standard, Kaizo</x:v>
      </x:c>
      <x:c r="G1670" t="n">
        <x:v>45401</x:v>
      </x:c>
      <x:c r="H1670" t="str">
        <x:v>37616</x:v>
      </x:c>
      <x:c r="I1670" t="str">
        <x:v>https://www.smwcentral.net/?a=details&amp;id=37616&amp;p=section</x:v>
      </x:c>
      <x:c r="J1670" t="str">
        <x:v>https://dl.smwcentral.net/37616/SpritesAre1derful1_1.zip</x:v>
      </x:c>
    </x:row>
    <x:row r="1671">
      <x:c r="A1671" t="str">
        <x:v>Square</x:v>
      </x:c>
      <x:c r="B1671" t="str">
        <x:v>Square</x:v>
      </x:c>
      <x:c r="C1671" t="str">
        <x:v>Scrambles_</x:v>
      </x:c>
      <x:c r="D1671" t="n">
        <x:v>9</x:v>
      </x:c>
      <x:c r="E1671" t="str">
        <x:v>Expert</x:v>
      </x:c>
      <x:c r="F1671" t="str">
        <x:v>Kaizo</x:v>
      </x:c>
      <x:c r="G1671" t="n">
        <x:v>43922</x:v>
      </x:c>
      <x:c r="H1671" t="str">
        <x:v>22530</x:v>
      </x:c>
      <x:c r="I1671" t="str">
        <x:v>https://www.smwcentral.net/?a=details&amp;id=22530&amp;p=section</x:v>
      </x:c>
      <x:c r="J1671" t="str">
        <x:v>https://dl.smwcentral.net/22530/Square.zip</x:v>
      </x:c>
    </x:row>
    <x:row r="1672">
      <x:c r="A1672" t="str">
        <x:v>SRE X - Kaizo Race</x:v>
      </x:c>
      <x:c r="B1672" t="str">
        <x:v>SRE X - Kaizo Race</x:v>
      </x:c>
      <x:c r="C1672" t="str">
        <x:v>Alex</x:v>
      </x:c>
      <x:c r="D1672" t="n">
        <x:v>6</x:v>
      </x:c>
      <x:c r="E1672" t="str">
        <x:v>Expert</x:v>
      </x:c>
      <x:c r="F1672" t="str">
        <x:v>Kaizo</x:v>
      </x:c>
      <x:c r="G1672" t="n">
        <x:v>45565</x:v>
      </x:c>
      <x:c r="H1672" t="str">
        <x:v>38560</x:v>
      </x:c>
      <x:c r="I1672" t="str">
        <x:v>https://www.smwcentral.net/?a=details&amp;id=38560&amp;p=section</x:v>
      </x:c>
      <x:c r="J1672" t="str">
        <x:v>https://dl.smwcentral.net/38560/SRE%20X.zip</x:v>
      </x:c>
    </x:row>
    <x:row r="1673">
      <x:c r="A1673" t="str">
        <x:v>Staccato</x:v>
      </x:c>
      <x:c r="B1673" t="str">
        <x:v>Staccato</x:v>
      </x:c>
      <x:c r="C1673" t="str">
        <x:v>gui</x:v>
      </x:c>
      <x:c r="D1673" t="n">
        <x:v>14</x:v>
      </x:c>
      <x:c r="E1673" t="str">
        <x:v>Master</x:v>
      </x:c>
      <x:c r="F1673" t="str">
        <x:v>Kaizo</x:v>
      </x:c>
      <x:c r="G1673" t="n">
        <x:v>44476</x:v>
      </x:c>
      <x:c r="H1673" t="str">
        <x:v>28370</x:v>
      </x:c>
      <x:c r="I1673" t="str">
        <x:v>https://www.smwcentral.net/?a=details&amp;id=28370&amp;p=section</x:v>
      </x:c>
      <x:c r="J1673" t="str">
        <x:v>https://dl.smwcentral.net/28370/Staccato.zip</x:v>
      </x:c>
    </x:row>
    <x:row r="1674">
      <x:c r="A1674" t="str">
        <x:v>Stacks cafe</x:v>
      </x:c>
      <x:c r="B1674" t="str">
        <x:v>Stacks cafe</x:v>
      </x:c>
      <x:c r="C1674" t="str">
        <x:v>Lush_50</x:v>
      </x:c>
      <x:c r="D1674" t="n">
        <x:v>1</x:v>
      </x:c>
      <x:c r="E1674" t="str">
        <x:v>Advanced</x:v>
      </x:c>
      <x:c r="F1674" t="str">
        <x:v>Kaizo</x:v>
      </x:c>
      <x:c r="G1674" t="n">
        <x:v>45722</x:v>
      </x:c>
      <x:c r="H1674" t="str">
        <x:v>39517</x:v>
      </x:c>
      <x:c r="I1674" t="str">
        <x:v>https://www.smwcentral.net/?a=details&amp;id=39517&amp;p=section</x:v>
      </x:c>
      <x:c r="J1674" t="str">
        <x:v>https://dl.smwcentral.net/39517/Stacks%20Cafe%20V1.0%20by%20Lush_50.zip</x:v>
      </x:c>
    </x:row>
    <x:row r="1675">
      <x:c r="A1675" t="str">
        <x:v>Stackup (Demo #0)</x:v>
      </x:c>
      <x:c r="B1675" t="str">
        <x:v>Stackup (Demo #0)</x:v>
      </x:c>
      <x:c r="C1675" t="str">
        <x:v>Katrina</x:v>
      </x:c>
      <x:c r="D1675" t="n">
        <x:v>8</x:v>
      </x:c>
      <x:c r="E1675" t="str">
        <x:v>Intermediate</x:v>
      </x:c>
      <x:c r="F1675" t="str">
        <x:v>Standard</x:v>
      </x:c>
      <x:c r="G1675" t="n">
        <x:v>46025</x:v>
      </x:c>
      <x:c r="H1675" t="str">
        <x:v>41326</x:v>
      </x:c>
      <x:c r="I1675" t="str">
        <x:v>https://www.smwcentral.net/?a=details&amp;id=41326&amp;p=section</x:v>
      </x:c>
      <x:c r="J1675" t="str">
        <x:v>https://dl.smwcentral.net/41326/stackup.zip</x:v>
      </x:c>
    </x:row>
    <x:row r="1676">
      <x:c r="A1676" t="str">
        <x:v>Stand Tall and Shake the Heavens</x:v>
      </x:c>
      <x:c r="B1676" t="str">
        <x:v>Stand Tall and Shake the Heavens</x:v>
      </x:c>
      <x:c r="C1676" t="str">
        <x:v>cozyduck</x:v>
      </x:c>
      <x:c r="D1676" t="n">
        <x:v>10</x:v>
      </x:c>
      <x:c r="E1676" t="str">
        <x:v>Master</x:v>
      </x:c>
      <x:c r="F1676" t="str">
        <x:v>Kaizo</x:v>
      </x:c>
      <x:c r="G1676" t="n">
        <x:v>44067</x:v>
      </x:c>
      <x:c r="H1676" t="str">
        <x:v>24320</x:v>
      </x:c>
      <x:c r="I1676" t="str">
        <x:v>https://www.smwcentral.net/?a=details&amp;id=24320&amp;p=section</x:v>
      </x:c>
      <x:c r="J1676" t="str">
        <x:v>https://dl.smwcentral.net/24320/Stand%20Tall%20v1.2.zip</x:v>
      </x:c>
    </x:row>
    <x:row r="1677">
      <x:c r="A1677" t="str">
        <x:v>Standard SMW ROM Hack</x:v>
      </x:c>
      <x:c r="B1677" t="str">
        <x:v>Standard SMW ROM Hack</x:v>
      </x:c>
      <x:c r="C1677" t="str">
        <x:v>Denicentek</x:v>
      </x:c>
      <x:c r="D1677" t="n">
        <x:v>4</x:v>
      </x:c>
      <x:c r="E1677" t="str">
        <x:v>Casual</x:v>
      </x:c>
      <x:c r="F1677" t="str">
        <x:v>Standard</x:v>
      </x:c>
      <x:c r="G1677" t="n">
        <x:v>44012</x:v>
      </x:c>
      <x:c r="H1677" t="str">
        <x:v>23490</x:v>
      </x:c>
      <x:c r="I1677" t="str">
        <x:v>https://www.smwcentral.net/?a=details&amp;id=23490&amp;p=section</x:v>
      </x:c>
      <x:c r="J1677" t="str">
        <x:v>https://dl.smwcentral.net/23490/Standard%20SMW%20ROM%20Hack%20%28Fixed%20Demo%29.bps.zip</x:v>
      </x:c>
    </x:row>
    <x:row r="1678">
      <x:c r="A1678" t="str">
        <x:v>Stardust</x:v>
      </x:c>
      <x:c r="B1678" t="str">
        <x:v>Stardust</x:v>
      </x:c>
      <x:c r="C1678" t="str">
        <x:v>41681</x:v>
      </x:c>
      <x:c r="D1678" t="n">
        <x:v>4</x:v>
      </x:c>
      <x:c r="E1678" t="str">
        <x:v>Advanced</x:v>
      </x:c>
      <x:c r="F1678" t="str">
        <x:v>Kaizo</x:v>
      </x:c>
      <x:c r="G1678" t="n">
        <x:v>44326</x:v>
      </x:c>
      <x:c r="H1678" t="str">
        <x:v>26923</x:v>
      </x:c>
      <x:c r="I1678" t="str">
        <x:v>https://www.smwcentral.net/?a=details&amp;id=26923&amp;p=section</x:v>
      </x:c>
      <x:c r="J1678" t="str">
        <x:v>https://dl.smwcentral.net/26923/Stardust1.1.zip</x:v>
      </x:c>
    </x:row>
    <x:row r="1679">
      <x:c r="A1679" t="str">
        <x:v>Starting with Kaizo</x:v>
      </x:c>
      <x:c r="B1679" t="str">
        <x:v>Starting with Kaizo</x:v>
      </x:c>
      <x:c r="C1679" t="str">
        <x:v>Saphros</x:v>
      </x:c>
      <x:c r="D1679" t="n">
        <x:v>5</x:v>
      </x:c>
      <x:c r="E1679" t="str">
        <x:v>Intermediate</x:v>
      </x:c>
      <x:c r="F1679" t="str">
        <x:v>Kaizo</x:v>
      </x:c>
      <x:c r="G1679" t="n">
        <x:v>45895</x:v>
      </x:c>
      <x:c r="H1679" t="str">
        <x:v>40438</x:v>
      </x:c>
      <x:c r="I1679" t="str">
        <x:v>https://www.smwcentral.net/?a=details&amp;id=40438&amp;p=section</x:v>
      </x:c>
      <x:c r="J1679" t="str">
        <x:v>https://dl.smwcentral.net/40438/Starting%20with%20Kaizo.zip</x:v>
      </x:c>
    </x:row>
    <x:row r="1680">
      <x:c r="A1680" t="str">
        <x:v>Starting with Kaizo 2</x:v>
      </x:c>
      <x:c r="B1680" t="str">
        <x:v>Starting with Kaizo 2</x:v>
      </x:c>
      <x:c r="C1680" t="str">
        <x:v>Saphros</x:v>
      </x:c>
      <x:c r="D1680" t="n">
        <x:v>10</x:v>
      </x:c>
      <x:c r="E1680" t="str">
        <x:v>Intermediate</x:v>
      </x:c>
      <x:c r="F1680" t="str">
        <x:v>Kaizo</x:v>
      </x:c>
      <x:c r="G1680" t="n">
        <x:v>46179</x:v>
      </x:c>
      <x:c r="H1680" t="str">
        <x:v>42496</x:v>
      </x:c>
      <x:c r="I1680" t="str">
        <x:v>https://www.smwcentral.net/?a=details&amp;id=42496&amp;p=section</x:v>
      </x:c>
      <x:c r="J1680" t="str">
        <x:v>https://dl.smwcentral.net/42496/Starting%20with%20Kaizo%202%20-%201.0.1.zip</x:v>
      </x:c>
    </x:row>
    <x:row r="1681">
      <x:c r="A1681" t="str">
        <x:v>Staycation</x:v>
      </x:c>
      <x:c r="B1681" t="str">
        <x:v>Staycation</x:v>
      </x:c>
      <x:c r="C1681" t="str">
        <x:v>HousemeisterHD</x:v>
      </x:c>
      <x:c r="D1681" t="n">
        <x:v>22</x:v>
      </x:c>
      <x:c r="E1681" t="str">
        <x:v>Expert</x:v>
      </x:c>
      <x:c r="F1681" t="str">
        <x:v>Kaizo</x:v>
      </x:c>
      <x:c r="G1681" t="n">
        <x:v>46032</x:v>
      </x:c>
      <x:c r="H1681" t="str">
        <x:v>41376</x:v>
      </x:c>
      <x:c r="I1681" t="str">
        <x:v>https://www.smwcentral.net/?a=details&amp;id=41376&amp;p=section</x:v>
      </x:c>
      <x:c r="J1681" t="str">
        <x:v>https://dl.smwcentral.net/41376/Staycation.zip</x:v>
      </x:c>
    </x:row>
    <x:row r="1682">
      <x:c r="A1682" t="str">
        <x:v>Steamboat Mario</x:v>
      </x:c>
      <x:c r="B1682" t="str">
        <x:v>Steamboat Mario</x:v>
      </x:c>
      <x:c r="C1682" t="str">
        <x:v>Buzbee</x:v>
      </x:c>
      <x:c r="D1682" t="n">
        <x:v>7</x:v>
      </x:c>
      <x:c r="E1682" t="str">
        <x:v>Newcomer</x:v>
      </x:c>
      <x:c r="F1682" t="str">
        <x:v>Standard</x:v>
      </x:c>
      <x:c r="G1682" t="n">
        <x:v>44749</x:v>
      </x:c>
      <x:c r="H1682" t="str">
        <x:v>31286</x:v>
      </x:c>
      <x:c r="I1682" t="str">
        <x:v>https://www.smwcentral.net/?a=details&amp;id=31286&amp;p=section</x:v>
      </x:c>
      <x:c r="J1682" t="str">
        <x:v>https://dl.smwcentral.net/31286/Steamboat%20Mario.zip</x:v>
      </x:c>
    </x:row>
    <x:row r="1683">
      <x:c r="A1683" t="str">
        <x:v>Steid's Hack</x:v>
      </x:c>
      <x:c r="B1683" t="str">
        <x:v>Steid's Hack</x:v>
      </x:c>
      <x:c r="C1683" t="str">
        <x:v>Steid</x:v>
      </x:c>
      <x:c r="D1683" t="n">
        <x:v>8</x:v>
      </x:c>
      <x:c r="E1683" t="str">
        <x:v>Casual</x:v>
      </x:c>
      <x:c r="F1683" t="str">
        <x:v>Standard</x:v>
      </x:c>
      <x:c r="G1683" t="n">
        <x:v>45010</x:v>
      </x:c>
      <x:c r="H1683" t="str">
        <x:v>33561</x:v>
      </x:c>
      <x:c r="I1683" t="str">
        <x:v>https://www.smwcentral.net/?a=details&amp;id=33561&amp;p=section</x:v>
      </x:c>
      <x:c r="J1683" t="str">
        <x:v>https://dl.smwcentral.net/33561/Steid%27s%20Hack.zip</x:v>
      </x:c>
    </x:row>
    <x:row r="1684">
      <x:c r="A1684" t="str">
        <x:v>Steven's Strangest Day</x:v>
      </x:c>
      <x:c r="B1684" t="str">
        <x:v>Steven's Strangest Day</x:v>
      </x:c>
      <x:c r="C1684" t="str">
        <x:v>Gamet2004</x:v>
      </x:c>
      <x:c r="D1684" t="n">
        <x:v>23</x:v>
      </x:c>
      <x:c r="E1684" t="str">
        <x:v>Casual</x:v>
      </x:c>
      <x:c r="F1684" t="str">
        <x:v>Standard</x:v>
      </x:c>
      <x:c r="G1684" t="n">
        <x:v>45224</x:v>
      </x:c>
      <x:c r="H1684" t="str">
        <x:v>35213</x:v>
      </x:c>
      <x:c r="I1684" t="str">
        <x:v>https://www.smwcentral.net/?a=details&amp;id=35213&amp;p=section</x:v>
      </x:c>
      <x:c r="J1684" t="str">
        <x:v>https://dl.smwcentral.net/35213/Steven%20BPS.zip</x:v>
      </x:c>
    </x:row>
    <x:row r="1685">
      <x:c r="A1685" t="str">
        <x:v>stick mice in my head and then beat my head in with a hammer and let them back out</x:v>
      </x:c>
      <x:c r="B1685" t="str">
        <x:v>stick mice in my head and then beat my head in with a hammer and let them back out</x:v>
      </x:c>
      <x:c r="C1685" t="str">
        <x:v>Christina Hendricks, JUMP Team</x:v>
      </x:c>
      <x:c r="D1685" t="n">
        <x:v>19</x:v>
      </x:c>
      <x:c r="E1685" t="str">
        <x:v>Advanced</x:v>
      </x:c>
      <x:c r="F1685" t="str">
        <x:v>Standard</x:v>
      </x:c>
      <x:c r="G1685" t="n">
        <x:v>43140</x:v>
      </x:c>
      <x:c r="H1685" t="str">
        <x:v>17105</x:v>
      </x:c>
      <x:c r="I1685" t="str">
        <x:v>https://www.smwcentral.net/?a=details&amp;id=17105&amp;p=section</x:v>
      </x:c>
      <x:c r="J1685" t="str">
        <x:v>https://dl.smwcentral.net/17105/mice.zip</x:v>
      </x:c>
    </x:row>
    <x:row r="1686">
      <x:c r="A1686" t="str">
        <x:v>Stick This Up Your Pipe!</x:v>
      </x:c>
      <x:c r="B1686" t="str">
        <x:v>Stick This Up Your Pipe!</x:v>
      </x:c>
      <x:c r="C1686" t="str">
        <x:v>FalseCircus</x:v>
      </x:c>
      <x:c r="D1686" t="n">
        <x:v>0</x:v>
      </x:c>
      <x:c r="E1686" t="str">
        <x:v>Expert</x:v>
      </x:c>
      <x:c r="F1686" t="str">
        <x:v>Kaizo</x:v>
      </x:c>
      <x:c r="G1686" t="n">
        <x:v>45054</x:v>
      </x:c>
      <x:c r="H1686" t="str">
        <x:v>33781</x:v>
      </x:c>
      <x:c r="I1686" t="str">
        <x:v>https://www.smwcentral.net/?a=details&amp;id=33781&amp;p=section</x:v>
      </x:c>
      <x:c r="J1686" t="str">
        <x:v>https://dl.smwcentral.net/33781/Stick%20This%20Up%20Your%20Pipe%21.zip</x:v>
      </x:c>
    </x:row>
    <x:row r="1687">
      <x:c r="A1687" t="str">
        <x:v>Storks and Apes and Crocodiles</x:v>
      </x:c>
      <x:c r="B1687" t="str">
        <x:v>Storks and Apes and Crocodiles</x:v>
      </x:c>
      <x:c r="C1687" t="str">
        <x:v>Morsel</x:v>
      </x:c>
      <x:c r="D1687" t="n">
        <x:v>17</x:v>
      </x:c>
      <x:c r="E1687" t="str">
        <x:v>Master</x:v>
      </x:c>
      <x:c r="F1687" t="str">
        <x:v>Kaizo</x:v>
      </x:c>
      <x:c r="G1687" t="n">
        <x:v>44362</x:v>
      </x:c>
      <x:c r="H1687" t="str">
        <x:v>27282</x:v>
      </x:c>
      <x:c r="I1687" t="str">
        <x:v>https://www.smwcentral.net/?a=details&amp;id=27282&amp;p=section</x:v>
      </x:c>
      <x:c r="J1687" t="str">
        <x:v>https://dl.smwcentral.net/27282/apes1.14.zip</x:v>
      </x:c>
    </x:row>
    <x:row r="1688">
      <x:c r="A1688" t="str">
        <x:v>Story of Peiton</x:v>
      </x:c>
      <x:c r="B1688" t="str">
        <x:v>Story of Peiton</x:v>
      </x:c>
      <x:c r="C1688" t="str">
        <x:v>Peyton</x:v>
      </x:c>
      <x:c r="D1688" t="n">
        <x:v>37</x:v>
      </x:c>
      <x:c r="E1688" t="str">
        <x:v>Intermediate</x:v>
      </x:c>
      <x:c r="F1688" t="str">
        <x:v>Standard</x:v>
      </x:c>
      <x:c r="G1688" t="n">
        <x:v>42342</x:v>
      </x:c>
      <x:c r="H1688" t="str">
        <x:v>12718</x:v>
      </x:c>
      <x:c r="I1688" t="str">
        <x:v>https://www.smwcentral.net/?a=details&amp;id=12718&amp;p=section</x:v>
      </x:c>
      <x:c r="J1688" t="str">
        <x:v>https://dl.smwcentral.net/12718/StoryOfPeitonDEMO4.zip</x:v>
      </x:c>
    </x:row>
    <x:row r="1689">
      <x:c r="A1689" t="str">
        <x:v>Straight Shellin'</x:v>
      </x:c>
      <x:c r="B1689" t="str">
        <x:v>Straight Shellin'</x:v>
      </x:c>
      <x:c r="C1689" t="str">
        <x:v>RedPandaa_</x:v>
      </x:c>
      <x:c r="D1689" t="n">
        <x:v>6</x:v>
      </x:c>
      <x:c r="E1689" t="str">
        <x:v>Expert</x:v>
      </x:c>
      <x:c r="F1689" t="str">
        <x:v>Kaizo</x:v>
      </x:c>
      <x:c r="G1689" t="n">
        <x:v>45984</x:v>
      </x:c>
      <x:c r="H1689" t="str">
        <x:v>41092</x:v>
      </x:c>
      <x:c r="I1689" t="str">
        <x:v>https://www.smwcentral.net/?a=details&amp;id=41092&amp;p=section</x:v>
      </x:c>
      <x:c r="J1689" t="str">
        <x:v>https://dl.smwcentral.net/41092/Straight%20Shellin%27.zip</x:v>
      </x:c>
    </x:row>
    <x:row r="1690">
      <x:c r="A1690" t="str">
        <x:v>Stranded</x:v>
      </x:c>
      <x:c r="B1690" t="str">
        <x:v>Stranded</x:v>
      </x:c>
      <x:c r="C1690" t="str">
        <x:v>ghettoyouth</x:v>
      </x:c>
      <x:c r="D1690" t="n">
        <x:v>16</x:v>
      </x:c>
      <x:c r="E1690" t="str">
        <x:v>Casual</x:v>
      </x:c>
      <x:c r="F1690" t="str">
        <x:v>Standard</x:v>
      </x:c>
      <x:c r="G1690" t="n">
        <x:v>41445</x:v>
      </x:c>
      <x:c r="H1690" t="str">
        <x:v>4975</x:v>
      </x:c>
      <x:c r="I1690" t="str">
        <x:v>https://www.smwcentral.net/?a=details&amp;id=4975&amp;p=section</x:v>
      </x:c>
      <x:c r="J1690" t="str">
        <x:v>https://dl.smwcentral.net/4975/stranded.zip</x:v>
      </x:c>
    </x:row>
    <x:row r="1691">
      <x:c r="A1691" t="str">
        <x:v>Strange Mario World</x:v>
      </x:c>
      <x:c r="B1691" t="str">
        <x:v>Strange Mario World</x:v>
      </x:c>
      <x:c r="C1691" t="str">
        <x:v>Acmlm</x:v>
      </x:c>
      <x:c r="D1691" t="n">
        <x:v>6</x:v>
      </x:c>
      <x:c r="E1691" t="str">
        <x:v>Casual</x:v>
      </x:c>
      <x:c r="F1691" t="str">
        <x:v>Standard</x:v>
      </x:c>
      <x:c r="G1691" t="n">
        <x:v>42056</x:v>
      </x:c>
      <x:c r="H1691" t="str">
        <x:v>9758</x:v>
      </x:c>
      <x:c r="I1691" t="str">
        <x:v>https://www.smwcentral.net/?a=details&amp;id=9758&amp;p=section</x:v>
      </x:c>
      <x:c r="J1691" t="str">
        <x:v>https://dl.smwcentral.net/9758/Strange%20Mario%20World.zip</x:v>
      </x:c>
    </x:row>
    <x:row r="1692">
      <x:c r="A1692" t="str">
        <x:v>Stratfinder</x:v>
      </x:c>
      <x:c r="B1692" t="str">
        <x:v>Stratfinder</x:v>
      </x:c>
      <x:c r="C1692" t="str">
        <x:v>ageVerrly</x:v>
      </x:c>
      <x:c r="D1692" t="n">
        <x:v>3</x:v>
      </x:c>
      <x:c r="E1692" t="str">
        <x:v>Master</x:v>
      </x:c>
      <x:c r="F1692" t="str">
        <x:v>Kaizo</x:v>
      </x:c>
      <x:c r="G1692" t="n">
        <x:v>44515</x:v>
      </x:c>
      <x:c r="H1692" t="str">
        <x:v>28333</x:v>
      </x:c>
      <x:c r="I1692" t="str">
        <x:v>https://www.smwcentral.net/?a=details&amp;id=28333&amp;p=section</x:v>
      </x:c>
      <x:c r="J1692" t="str">
        <x:v>https://dl.smwcentral.net/28333/stratfinder.zip</x:v>
      </x:c>
    </x:row>
    <x:row r="1693">
      <x:c r="A1693" t="str">
        <x:v>Streak of Tigers</x:v>
      </x:c>
      <x:c r="B1693" t="str">
        <x:v>Streak of Tigers</x:v>
      </x:c>
      <x:c r="C1693" t="str">
        <x:v>JonnyManjiro</x:v>
      </x:c>
      <x:c r="D1693" t="n">
        <x:v>11</x:v>
      </x:c>
      <x:c r="E1693" t="str">
        <x:v>Expert</x:v>
      </x:c>
      <x:c r="F1693" t="str">
        <x:v>Kaizo</x:v>
      </x:c>
      <x:c r="G1693" t="n">
        <x:v>44312</x:v>
      </x:c>
      <x:c r="H1693" t="str">
        <x:v>26815</x:v>
      </x:c>
      <x:c r="I1693" t="str">
        <x:v>https://www.smwcentral.net/?a=details&amp;id=26815&amp;p=section</x:v>
      </x:c>
      <x:c r="J1693" t="str">
        <x:v>https://dl.smwcentral.net/26815/Streak%20of%20Tigers%201.1.zip</x:v>
      </x:c>
    </x:row>
    <x:row r="1694">
      <x:c r="A1694" t="str">
        <x:v>Streak of Tigers 2</x:v>
      </x:c>
      <x:c r="B1694" t="str">
        <x:v>Streak of Tigers 2</x:v>
      </x:c>
      <x:c r="C1694" t="str">
        <x:v>JonnyManjiro</x:v>
      </x:c>
      <x:c r="D1694" t="n">
        <x:v>11</x:v>
      </x:c>
      <x:c r="E1694" t="str">
        <x:v>Expert</x:v>
      </x:c>
      <x:c r="F1694" t="str">
        <x:v>Kaizo</x:v>
      </x:c>
      <x:c r="G1694" t="n">
        <x:v>44374</x:v>
      </x:c>
      <x:c r="H1694" t="str">
        <x:v>27331</x:v>
      </x:c>
      <x:c r="I1694" t="str">
        <x:v>https://www.smwcentral.net/?a=details&amp;id=27331&amp;p=section</x:v>
      </x:c>
      <x:c r="J1694" t="str">
        <x:v>https://dl.smwcentral.net/27331/Streak%20of%20Tigers%202.zip</x:v>
      </x:c>
    </x:row>
    <x:row r="1695">
      <x:c r="A1695" t="str">
        <x:v>Studies of a broken engine</x:v>
      </x:c>
      <x:c r="B1695" t="str">
        <x:v>Studies of a broken engine</x:v>
      </x:c>
      <x:c r="C1695" t="str">
        <x:v>xHF01x</x:v>
      </x:c>
      <x:c r="D1695" t="n">
        <x:v>1</x:v>
      </x:c>
      <x:c r="E1695" t="str">
        <x:v>Grandmaster</x:v>
      </x:c>
      <x:c r="F1695" t="str">
        <x:v>Kaizo</x:v>
      </x:c>
      <x:c r="G1695" t="n">
        <x:v>44481</x:v>
      </x:c>
      <x:c r="H1695" t="str">
        <x:v>28464</x:v>
      </x:c>
      <x:c r="I1695" t="str">
        <x:v>https://www.smwcentral.net/?a=details&amp;id=28464&amp;p=section</x:v>
      </x:c>
      <x:c r="J1695" t="str">
        <x:v>https://dl.smwcentral.net/28464/Studies_of_a_broken_engine.zip</x:v>
      </x:c>
    </x:row>
    <x:row r="1696">
      <x:c r="A1696" t="str">
        <x:v>Subpar Mario World</x:v>
      </x:c>
      <x:c r="B1696" t="str">
        <x:v>Subpar Mario World</x:v>
      </x:c>
      <x:c r="C1696" t="str">
        <x:v>Shuttles</x:v>
      </x:c>
      <x:c r="D1696" t="n">
        <x:v>27</x:v>
      </x:c>
      <x:c r="E1696" t="str">
        <x:v>Advanced</x:v>
      </x:c>
      <x:c r="F1696" t="str">
        <x:v>Kaizo</x:v>
      </x:c>
      <x:c r="G1696" t="n">
        <x:v>43606</x:v>
      </x:c>
      <x:c r="H1696" t="str">
        <x:v>19914</x:v>
      </x:c>
      <x:c r="I1696" t="str">
        <x:v>https://www.smwcentral.net/?a=details&amp;id=19914&amp;p=section</x:v>
      </x:c>
      <x:c r="J1696" t="str">
        <x:v>https://dl.smwcentral.net/19914/Subpar_Mario_World_v1.0.zip</x:v>
      </x:c>
    </x:row>
    <x:row r="1697">
      <x:c r="A1697" t="str">
        <x:v>Summer</x:v>
      </x:c>
      <x:c r="B1697" t="str">
        <x:v>Summer</x:v>
      </x:c>
      <x:c r="C1697" t="str">
        <x:v>Morph Moth</x:v>
      </x:c>
      <x:c r="D1697" t="n">
        <x:v>14</x:v>
      </x:c>
      <x:c r="E1697" t="str">
        <x:v>Master</x:v>
      </x:c>
      <x:c r="F1697" t="str">
        <x:v>Kaizo</x:v>
      </x:c>
      <x:c r="G1697" t="n">
        <x:v>45268</x:v>
      </x:c>
      <x:c r="H1697" t="str">
        <x:v>35655</x:v>
      </x:c>
      <x:c r="I1697" t="str">
        <x:v>https://www.smwcentral.net/?a=details&amp;id=35655&amp;p=section</x:v>
      </x:c>
      <x:c r="J1697" t="str">
        <x:v>https://dl.smwcentral.net/35655/Summer.zip</x:v>
      </x:c>
    </x:row>
    <x:row r="1698">
      <x:c r="A1698" t="str">
        <x:v>Summer Season</x:v>
      </x:c>
      <x:c r="B1698" t="str">
        <x:v>Summer Season</x:v>
      </x:c>
      <x:c r="C1698" t="str">
        <x:v>RussianMan</x:v>
      </x:c>
      <x:c r="D1698" t="n">
        <x:v>5</x:v>
      </x:c>
      <x:c r="E1698" t="str">
        <x:v>Casual</x:v>
      </x:c>
      <x:c r="F1698" t="str">
        <x:v>Standard</x:v>
      </x:c>
      <x:c r="G1698" t="n">
        <x:v>42616</x:v>
      </x:c>
      <x:c r="H1698" t="str">
        <x:v>14202</x:v>
      </x:c>
      <x:c r="I1698" t="str">
        <x:v>https://www.smwcentral.net/?a=details&amp;id=14202&amp;p=section</x:v>
      </x:c>
      <x:c r="J1698" t="str">
        <x:v>https://dl.smwcentral.net/14202/Summer%20Season%20V.1.05.zip</x:v>
      </x:c>
    </x:row>
    <x:row r="1699">
      <x:c r="A1699" t="str">
        <x:v>Sunny Side World</x:v>
      </x:c>
      <x:c r="B1699" t="str">
        <x:v>Sunny Side World</x:v>
      </x:c>
      <x:c r="C1699" t="str">
        <x:v>cwiarl</x:v>
      </x:c>
      <x:c r="D1699" t="n">
        <x:v>7</x:v>
      </x:c>
      <x:c r="E1699" t="str">
        <x:v>Newcomer</x:v>
      </x:c>
      <x:c r="F1699" t="str">
        <x:v>Standard</x:v>
      </x:c>
      <x:c r="G1699" t="n">
        <x:v>41447</x:v>
      </x:c>
      <x:c r="H1699" t="str">
        <x:v>5024</x:v>
      </x:c>
      <x:c r="I1699" t="str">
        <x:v>https://www.smwcentral.net/?a=details&amp;id=5024&amp;p=section</x:v>
      </x:c>
      <x:c r="J1699" t="str">
        <x:v>https://dl.smwcentral.net/5024/ssworld.zip</x:v>
      </x:c>
    </x:row>
    <x:row r="1700">
      <x:c r="A1700" t="str">
        <x:v>Super "Mario" World</x:v>
      </x:c>
      <x:c r="B1700" t="str">
        <x:v>Super "Mario" World</x:v>
      </x:c>
      <x:c r="C1700" t="str">
        <x:v>1UPdudes</x:v>
      </x:c>
      <x:c r="D1700" t="n">
        <x:v>35</x:v>
      </x:c>
      <x:c r="E1700" t="str">
        <x:v>Newcomer</x:v>
      </x:c>
      <x:c r="F1700" t="str">
        <x:v>Standard</x:v>
      </x:c>
      <x:c r="G1700" t="n">
        <x:v>41585</x:v>
      </x:c>
      <x:c r="H1700" t="str">
        <x:v>5443</x:v>
      </x:c>
      <x:c r="I1700" t="str">
        <x:v>https://www.smwcentral.net/?a=details&amp;id=5443&amp;p=section</x:v>
      </x:c>
      <x:c r="J1700" t="str">
        <x:v>https://dl.smwcentral.net/5443/1UPSuperMarioWorld.zip</x:v>
      </x:c>
    </x:row>
    <x:row r="1701">
      <x:c r="A1701" t="str">
        <x:v>Super "Mario" World 2</x:v>
      </x:c>
      <x:c r="B1701" t="str">
        <x:v>Super "Mario" World 2</x:v>
      </x:c>
      <x:c r="C1701" t="str">
        <x:v>1UPdudes</x:v>
      </x:c>
      <x:c r="D1701" t="n">
        <x:v>87</x:v>
      </x:c>
      <x:c r="E1701" t="str">
        <x:v>Intermediate</x:v>
      </x:c>
      <x:c r="F1701" t="str">
        <x:v>Standard</x:v>
      </x:c>
      <x:c r="G1701" t="n">
        <x:v>42316</x:v>
      </x:c>
      <x:c r="H1701" t="str">
        <x:v>10252</x:v>
      </x:c>
      <x:c r="I1701" t="str">
        <x:v>https://www.smwcentral.net/?a=details&amp;id=10252&amp;p=section</x:v>
      </x:c>
      <x:c r="J1701" t="str">
        <x:v>https://dl.smwcentral.net/10252/SuperMWV4.zip</x:v>
      </x:c>
    </x:row>
    <x:row r="1702">
      <x:c r="A1702" t="str">
        <x:v>Super "Sonic Saves the World" World</x:v>
      </x:c>
      <x:c r="B1702" t="str">
        <x:v>Super "Sonic Saves the World" World</x:v>
      </x:c>
      <x:c r="C1702" t="str">
        <x:v>YMM</x:v>
      </x:c>
      <x:c r="D1702" t="n">
        <x:v>69</x:v>
      </x:c>
      <x:c r="E1702" t="str">
        <x:v>Master</x:v>
      </x:c>
      <x:c r="F1702" t="str">
        <x:v>Kaizo</x:v>
      </x:c>
      <x:c r="G1702" t="n">
        <x:v>44939</x:v>
      </x:c>
      <x:c r="H1702" t="str">
        <x:v>32893</x:v>
      </x:c>
      <x:c r="I1702" t="str">
        <x:v>https://www.smwcentral.net/?a=details&amp;id=32893&amp;p=section</x:v>
      </x:c>
      <x:c r="J1702" t="str">
        <x:v>https://dl.smwcentral.net/32893/Super%20%27Sonic%20Saves%20the%20World%27%20World.zip</x:v>
      </x:c>
    </x:row>
    <x:row r="1703">
      <x:c r="A1703" t="str">
        <x:v>Super Adam World</x:v>
      </x:c>
      <x:c r="B1703" t="str">
        <x:v>Super Adam World</x:v>
      </x:c>
      <x:c r="C1703" t="str">
        <x:v>kellykelster</x:v>
      </x:c>
      <x:c r="D1703" t="n">
        <x:v>9</x:v>
      </x:c>
      <x:c r="E1703" t="str">
        <x:v>Intermediate</x:v>
      </x:c>
      <x:c r="F1703" t="str">
        <x:v>Standard</x:v>
      </x:c>
      <x:c r="G1703" t="n">
        <x:v>44167</x:v>
      </x:c>
      <x:c r="H1703" t="str">
        <x:v>24931</x:v>
      </x:c>
      <x:c r="I1703" t="str">
        <x:v>https://www.smwcentral.net/?a=details&amp;id=24931&amp;p=section</x:v>
      </x:c>
      <x:c r="J1703" t="str">
        <x:v>https://dl.smwcentral.net/24931/adamworld.zip</x:v>
      </x:c>
    </x:row>
    <x:row r="1704">
      <x:c r="A1704" t="str">
        <x:v>Super Alabama Beach Mouse</x:v>
      </x:c>
      <x:c r="B1704" t="str">
        <x:v>Super Alabama Beach Mouse</x:v>
      </x:c>
      <x:c r="C1704" t="str">
        <x:v>marvisjj</x:v>
      </x:c>
      <x:c r="D1704" t="n">
        <x:v>7</x:v>
      </x:c>
      <x:c r="E1704" t="str">
        <x:v>Grandmaster</x:v>
      </x:c>
      <x:c r="F1704" t="str">
        <x:v>Kaizo</x:v>
      </x:c>
      <x:c r="G1704" t="n">
        <x:v>45377</x:v>
      </x:c>
      <x:c r="H1704" t="str">
        <x:v>37478</x:v>
      </x:c>
      <x:c r="I1704" t="str">
        <x:v>https://www.smwcentral.net/?a=details&amp;id=37478&amp;p=section</x:v>
      </x:c>
      <x:c r="J1704" t="str">
        <x:v>https://dl.smwcentral.net/37478/Super%20Alabama%20Beach%20Mouse.zip</x:v>
      </x:c>
    </x:row>
    <x:row r="1705">
      <x:c r="A1705" t="str">
        <x:v>Super Alex Demo</x:v>
      </x:c>
      <x:c r="B1705" t="str">
        <x:v>Super Alex Demo</x:v>
      </x:c>
      <x:c r="C1705" t="str">
        <x:v>Ding_Dong</x:v>
      </x:c>
      <x:c r="D1705" t="n">
        <x:v>7</x:v>
      </x:c>
      <x:c r="E1705" t="str">
        <x:v>Casual</x:v>
      </x:c>
      <x:c r="F1705" t="str">
        <x:v>Standard</x:v>
      </x:c>
      <x:c r="G1705" t="n">
        <x:v>46170</x:v>
      </x:c>
      <x:c r="H1705" t="str">
        <x:v>42415</x:v>
      </x:c>
      <x:c r="I1705" t="str">
        <x:v>https://www.smwcentral.net/?a=details&amp;id=42415&amp;p=section</x:v>
      </x:c>
      <x:c r="J1705" t="str">
        <x:v>https://dl.smwcentral.net/42415/Super%20Alex%20Demo.zip</x:v>
      </x:c>
    </x:row>
    <x:row r="1706">
      <x:c r="A1706" t="str">
        <x:v>Super Alicorn Sisters: Return of the Tantabus (A My Little Pony hack)</x:v>
      </x:c>
      <x:c r="B1706" t="str">
        <x:v>Super Alicorn Sisters: Return of the Tantabus (A My Little Pony hack)</x:v>
      </x:c>
      <x:c r="C1706" t="str">
        <x:v>DPBOX</x:v>
      </x:c>
      <x:c r="D1706" t="n">
        <x:v>6</x:v>
      </x:c>
      <x:c r="E1706" t="str">
        <x:v>Newcomer</x:v>
      </x:c>
      <x:c r="F1706" t="str">
        <x:v>Standard</x:v>
      </x:c>
      <x:c r="G1706" t="n">
        <x:v>43575</x:v>
      </x:c>
      <x:c r="H1706" t="str">
        <x:v>19706</x:v>
      </x:c>
      <x:c r="I1706" t="str">
        <x:v>https://www.smwcentral.net/?a=details&amp;id=19706&amp;p=section</x:v>
      </x:c>
      <x:c r="J1706" t="str">
        <x:v>https://dl.smwcentral.net/19706/Super%20Alicorn%20Sisters%20Return%20of%20the%20Tantabus%20DEMO%200.05.2.zip</x:v>
      </x:c>
    </x:row>
    <x:row r="1707">
      <x:c r="A1707" t="str">
        <x:v>Super Amazing World</x:v>
      </x:c>
      <x:c r="B1707" t="str">
        <x:v>Super Amazing World</x:v>
      </x:c>
      <x:c r="C1707" t="str">
        <x:v>uyuyuy99</x:v>
      </x:c>
      <x:c r="D1707" t="n">
        <x:v>8</x:v>
      </x:c>
      <x:c r="E1707" t="str">
        <x:v>Casual</x:v>
      </x:c>
      <x:c r="F1707" t="str">
        <x:v>Standard</x:v>
      </x:c>
      <x:c r="G1707" t="n">
        <x:v>42267</x:v>
      </x:c>
      <x:c r="H1707" t="str">
        <x:v>9945</x:v>
      </x:c>
      <x:c r="I1707" t="str">
        <x:v>https://www.smwcentral.net/?a=details&amp;id=9945&amp;p=section</x:v>
      </x:c>
      <x:c r="J1707" t="str">
        <x:v>https://dl.smwcentral.net/9945/super_amazing_world4.zip</x:v>
      </x:c>
    </x:row>
    <x:row r="1708">
      <x:c r="A1708" t="str">
        <x:v>Super Amethyst Rocks</x:v>
      </x:c>
      <x:c r="B1708" t="str">
        <x:v>Super Amethyst Rocks</x:v>
      </x:c>
      <x:c r="C1708" t="str">
        <x:v>shovda</x:v>
      </x:c>
      <x:c r="D1708" t="n">
        <x:v>36</x:v>
      </x:c>
      <x:c r="E1708" t="str">
        <x:v>Expert</x:v>
      </x:c>
      <x:c r="F1708" t="str">
        <x:v>Kaizo</x:v>
      </x:c>
      <x:c r="G1708" t="n">
        <x:v>44517</x:v>
      </x:c>
      <x:c r="H1708" t="str">
        <x:v>28818</x:v>
      </x:c>
      <x:c r="I1708" t="str">
        <x:v>https://www.smwcentral.net/?a=details&amp;id=28818&amp;p=section</x:v>
      </x:c>
      <x:c r="J1708" t="str">
        <x:v>https://dl.smwcentral.net/28818/Super%20Amethyst%20Rocks.zip</x:v>
      </x:c>
    </x:row>
    <x:row r="1709">
      <x:c r="A1709" t="str">
        <x:v>Super Ario World</x:v>
      </x:c>
      <x:c r="B1709" t="str">
        <x:v>Super Ario World</x:v>
      </x:c>
      <x:c r="C1709" t="str">
        <x:v>seintiago</x:v>
      </x:c>
      <x:c r="D1709" t="n">
        <x:v>6</x:v>
      </x:c>
      <x:c r="E1709" t="str">
        <x:v>Advanced</x:v>
      </x:c>
      <x:c r="F1709" t="str">
        <x:v>Standard, Kaizo</x:v>
      </x:c>
      <x:c r="G1709" t="n">
        <x:v>45374</x:v>
      </x:c>
      <x:c r="H1709" t="str">
        <x:v>34508</x:v>
      </x:c>
      <x:c r="I1709" t="str">
        <x:v>https://www.smwcentral.net/?a=details&amp;id=34508&amp;p=section</x:v>
      </x:c>
      <x:c r="J1709" t="str">
        <x:v>https://dl.smwcentral.net/34508/Super%20Ario%20World.zip</x:v>
      </x:c>
    </x:row>
    <x:row r="1710">
      <x:c r="A1710" t="str">
        <x:v>Super BanzaiChuck World</x:v>
      </x:c>
      <x:c r="B1710" t="str">
        <x:v>Super BanzaiChuck World</x:v>
      </x:c>
      <x:c r="C1710" t="str">
        <x:v>DoktorGroove</x:v>
      </x:c>
      <x:c r="D1710" t="n">
        <x:v>20</x:v>
      </x:c>
      <x:c r="E1710" t="str">
        <x:v>Master</x:v>
      </x:c>
      <x:c r="F1710" t="str">
        <x:v>Kaizo</x:v>
      </x:c>
      <x:c r="G1710" t="n">
        <x:v>46094</x:v>
      </x:c>
      <x:c r="H1710" t="str">
        <x:v>41691</x:v>
      </x:c>
      <x:c r="I1710" t="str">
        <x:v>https://www.smwcentral.net/?a=details&amp;id=41691&amp;p=section</x:v>
      </x:c>
      <x:c r="J1710" t="str">
        <x:v>https://dl.smwcentral.net/41691/SBCW_V1_1.zip</x:v>
      </x:c>
    </x:row>
    <x:row r="1711">
      <x:c r="A1711" t="str">
        <x:v>Super Beast World</x:v>
      </x:c>
      <x:c r="B1711" t="str">
        <x:v>Super Beast World</x:v>
      </x:c>
      <x:c r="C1711" t="str">
        <x:v>SuperBeastGN</x:v>
      </x:c>
      <x:c r="D1711" t="n">
        <x:v>10</x:v>
      </x:c>
      <x:c r="E1711" t="str">
        <x:v>Intermediate</x:v>
      </x:c>
      <x:c r="F1711" t="str">
        <x:v>Kaizo</x:v>
      </x:c>
      <x:c r="G1711" t="n">
        <x:v>43921</x:v>
      </x:c>
      <x:c r="H1711" t="str">
        <x:v>22519</x:v>
      </x:c>
      <x:c r="I1711" t="str">
        <x:v>https://www.smwcentral.net/?a=details&amp;id=22519&amp;p=section</x:v>
      </x:c>
      <x:c r="J1711" t="str">
        <x:v>https://dl.smwcentral.net/22519/Super%20Beast%20World%20v1.1.bps.zip</x:v>
      </x:c>
    </x:row>
    <x:row r="1712">
      <x:c r="A1712" t="str">
        <x:v>Super Beco World</x:v>
      </x:c>
      <x:c r="B1712" t="str">
        <x:v>Super Beco World</x:v>
      </x:c>
      <x:c r="C1712" t="str">
        <x:v>SKAW Adri</x:v>
      </x:c>
      <x:c r="D1712" t="n">
        <x:v>15</x:v>
      </x:c>
      <x:c r="E1712" t="str">
        <x:v>Advanced</x:v>
      </x:c>
      <x:c r="F1712" t="str">
        <x:v>Kaizo</x:v>
      </x:c>
      <x:c r="G1712" t="n">
        <x:v>44242</x:v>
      </x:c>
      <x:c r="H1712" t="str">
        <x:v>26187</x:v>
      </x:c>
      <x:c r="I1712" t="str">
        <x:v>https://www.smwcentral.net/?a=details&amp;id=26187&amp;p=section</x:v>
      </x:c>
      <x:c r="J1712" t="str">
        <x:v>https://dl.smwcentral.net/26187/Super%20Beco%20World.zip</x:v>
      </x:c>
    </x:row>
    <x:row r="1713">
      <x:c r="A1713" t="str">
        <x:v>Super Beco World 2</x:v>
      </x:c>
      <x:c r="B1713" t="str">
        <x:v>Super Beco World 2</x:v>
      </x:c>
      <x:c r="C1713" t="str">
        <x:v>SKAW Adri</x:v>
      </x:c>
      <x:c r="D1713" t="n">
        <x:v>14</x:v>
      </x:c>
      <x:c r="E1713" t="str">
        <x:v>Advanced</x:v>
      </x:c>
      <x:c r="F1713" t="str">
        <x:v>Kaizo</x:v>
      </x:c>
      <x:c r="G1713" t="n">
        <x:v>44145</x:v>
      </x:c>
      <x:c r="H1713" t="str">
        <x:v>25055</x:v>
      </x:c>
      <x:c r="I1713" t="str">
        <x:v>https://www.smwcentral.net/?a=details&amp;id=25055&amp;p=section</x:v>
      </x:c>
      <x:c r="J1713" t="str">
        <x:v>https://dl.smwcentral.net/25055/Super%20Beco%20World%202.zip</x:v>
      </x:c>
    </x:row>
    <x:row r="1714">
      <x:c r="A1714" t="str">
        <x:v>Super Beco World 3</x:v>
      </x:c>
      <x:c r="B1714" t="str">
        <x:v>Super Beco World 3</x:v>
      </x:c>
      <x:c r="C1714" t="str">
        <x:v>SKAW Adri</x:v>
      </x:c>
      <x:c r="D1714" t="n">
        <x:v>24</x:v>
      </x:c>
      <x:c r="E1714" t="str">
        <x:v>Advanced</x:v>
      </x:c>
      <x:c r="F1714" t="str">
        <x:v>Kaizo</x:v>
      </x:c>
      <x:c r="G1714" t="n">
        <x:v>44669</x:v>
      </x:c>
      <x:c r="H1714" t="str">
        <x:v>30305</x:v>
      </x:c>
      <x:c r="I1714" t="str">
        <x:v>https://www.smwcentral.net/?a=details&amp;id=30305&amp;p=section</x:v>
      </x:c>
      <x:c r="J1714" t="str">
        <x:v>https://dl.smwcentral.net/30305/Super%20Beco%20World%203%20v1.1.zip</x:v>
      </x:c>
    </x:row>
    <x:row r="1715">
      <x:c r="A1715" t="str">
        <x:v>Super Big Super Shy World</x:v>
      </x:c>
      <x:c r="B1715" t="str">
        <x:v>Super Big Super Shy World</x:v>
      </x:c>
      <x:c r="C1715" t="str">
        <x:v>TaddyMason74</x:v>
      </x:c>
      <x:c r="D1715" t="n">
        <x:v>30</x:v>
      </x:c>
      <x:c r="E1715" t="str">
        <x:v>Intermediate</x:v>
      </x:c>
      <x:c r="F1715" t="str">
        <x:v>Standard, Kaizo</x:v>
      </x:c>
      <x:c r="G1715" t="n">
        <x:v>44650</x:v>
      </x:c>
      <x:c r="H1715" t="str">
        <x:v>30199</x:v>
      </x:c>
      <x:c r="I1715" t="str">
        <x:v>https://www.smwcentral.net/?a=details&amp;id=30199&amp;p=section</x:v>
      </x:c>
      <x:c r="J1715" t="str">
        <x:v>https://dl.smwcentral.net/30199/SBSSW1.31.zip</x:v>
      </x:c>
    </x:row>
    <x:row r="1716">
      <x:c r="A1716" t="str">
        <x:v>Super Blooper</x:v>
      </x:c>
      <x:c r="B1716" t="str">
        <x:v>Super Blooper</x:v>
      </x:c>
      <x:c r="C1716" t="str">
        <x:v>Sonikku</x:v>
      </x:c>
      <x:c r="D1716" t="n">
        <x:v>11</x:v>
      </x:c>
      <x:c r="E1716" t="str">
        <x:v>Casual</x:v>
      </x:c>
      <x:c r="F1716" t="str">
        <x:v>Standard</x:v>
      </x:c>
      <x:c r="G1716" t="n">
        <x:v>42215</x:v>
      </x:c>
      <x:c r="H1716" t="str">
        <x:v>9642</x:v>
      </x:c>
      <x:c r="I1716" t="str">
        <x:v>https://www.smwcentral.net/?a=details&amp;id=9642&amp;p=section</x:v>
      </x:c>
      <x:c r="J1716" t="str">
        <x:v>https://dl.smwcentral.net/9642/SuperBlooperDemo1.zip</x:v>
      </x:c>
    </x:row>
    <x:row r="1717">
      <x:c r="A1717" t="str">
        <x:v>Super Boonie World</x:v>
      </x:c>
      <x:c r="B1717" t="str">
        <x:v>Super Boonie World</x:v>
      </x:c>
      <x:c r="C1717" t="str">
        <x:v>dubiousdinobot</x:v>
      </x:c>
      <x:c r="D1717" t="n">
        <x:v>18</x:v>
      </x:c>
      <x:c r="E1717" t="str">
        <x:v>Expert</x:v>
      </x:c>
      <x:c r="F1717" t="str">
        <x:v>Kaizo</x:v>
      </x:c>
      <x:c r="G1717" t="n">
        <x:v>45547</x:v>
      </x:c>
      <x:c r="H1717" t="str">
        <x:v>38415</x:v>
      </x:c>
      <x:c r="I1717" t="str">
        <x:v>https://www.smwcentral.net/?a=details&amp;id=38415&amp;p=section</x:v>
      </x:c>
      <x:c r="J1717" t="str">
        <x:v>https://dl.smwcentral.net/38415/Super%20Boonie%20World%20V1.2.zip</x:v>
      </x:c>
    </x:row>
    <x:row r="1718">
      <x:c r="A1718" t="str">
        <x:v>Super Breh World</x:v>
      </x:c>
      <x:c r="B1718" t="str">
        <x:v>Super Breh World</x:v>
      </x:c>
      <x:c r="C1718" t="str">
        <x:v>MagikNinja, xDropTheHammer</x:v>
      </x:c>
      <x:c r="D1718" t="n">
        <x:v>8</x:v>
      </x:c>
      <x:c r="E1718" t="str">
        <x:v>Advanced</x:v>
      </x:c>
      <x:c r="F1718" t="str">
        <x:v>Kaizo</x:v>
      </x:c>
      <x:c r="G1718" t="n">
        <x:v>45202</x:v>
      </x:c>
      <x:c r="H1718" t="str">
        <x:v>35008</x:v>
      </x:c>
      <x:c r="I1718" t="str">
        <x:v>https://www.smwcentral.net/?a=details&amp;id=35008&amp;p=section</x:v>
      </x:c>
      <x:c r="J1718" t="str">
        <x:v>https://dl.smwcentral.net/35008/SuperBrehWorldV.2.zip</x:v>
      </x:c>
    </x:row>
    <x:row r="1719">
      <x:c r="A1719" t="str">
        <x:v>Super Broke World</x:v>
      </x:c>
      <x:c r="B1719" t="str">
        <x:v>Super Broke World</x:v>
      </x:c>
      <x:c r="C1719" t="str">
        <x:v>ThirdWall</x:v>
      </x:c>
      <x:c r="D1719" t="n">
        <x:v>16</x:v>
      </x:c>
      <x:c r="E1719" t="str">
        <x:v>Master</x:v>
      </x:c>
      <x:c r="F1719" t="str">
        <x:v>Kaizo</x:v>
      </x:c>
      <x:c r="G1719" t="n">
        <x:v>44804</x:v>
      </x:c>
      <x:c r="H1719" t="str">
        <x:v>31821</x:v>
      </x:c>
      <x:c r="I1719" t="str">
        <x:v>https://www.smwcentral.net/?a=details&amp;id=31821&amp;p=section</x:v>
      </x:c>
      <x:c r="J1719" t="str">
        <x:v>https://dl.smwcentral.net/31821/Broke%20Fixed.zip</x:v>
      </x:c>
    </x:row>
    <x:row r="1720">
      <x:c r="A1720" t="str">
        <x:v>Super Bulti World</x:v>
      </x:c>
      <x:c r="B1720" t="str">
        <x:v>Super Bulti World</x:v>
      </x:c>
      <x:c r="C1720" t="str">
        <x:v>bulti</x:v>
      </x:c>
      <x:c r="D1720" t="n">
        <x:v>15</x:v>
      </x:c>
      <x:c r="E1720" t="str">
        <x:v>Advanced</x:v>
      </x:c>
      <x:c r="F1720" t="str">
        <x:v>Kaizo</x:v>
      </x:c>
      <x:c r="G1720" t="n">
        <x:v>45455</x:v>
      </x:c>
      <x:c r="H1720" t="str">
        <x:v>37921</x:v>
      </x:c>
      <x:c r="I1720" t="str">
        <x:v>https://www.smwcentral.net/?a=details&amp;id=37921&amp;p=section</x:v>
      </x:c>
      <x:c r="J1720" t="str">
        <x:v>https://dl.smwcentral.net/37921/Super%20Bulti%20World.zip</x:v>
      </x:c>
    </x:row>
    <x:row r="1721">
      <x:c r="A1721" t="str">
        <x:v>Super Butt World 2</x:v>
      </x:c>
      <x:c r="B1721" t="str">
        <x:v>Super Butt World 2</x:v>
      </x:c>
      <x:c r="C1721" t="str">
        <x:v>yogui</x:v>
      </x:c>
      <x:c r="D1721" t="n">
        <x:v>30</x:v>
      </x:c>
      <x:c r="E1721" t="str">
        <x:v>Master</x:v>
      </x:c>
      <x:c r="F1721" t="str">
        <x:v>Kaizo</x:v>
      </x:c>
      <x:c r="G1721" t="n">
        <x:v>43303</x:v>
      </x:c>
      <x:c r="H1721" t="str">
        <x:v>17898</x:v>
      </x:c>
      <x:c r="I1721" t="str">
        <x:v>https://www.smwcentral.net/?a=details&amp;id=17898&amp;p=section</x:v>
      </x:c>
      <x:c r="J1721" t="str">
        <x:v>https://dl.smwcentral.net/17898/butt2.zip</x:v>
      </x:c>
    </x:row>
    <x:row r="1722">
      <x:c r="A1722" t="str">
        <x:v>Super Challenge World</x:v>
      </x:c>
      <x:c r="B1722" t="str">
        <x:v>Super Challenge World</x:v>
      </x:c>
      <x:c r="C1722" t="str">
        <x:v>Nigel K.</x:v>
      </x:c>
      <x:c r="D1722" t="n">
        <x:v>113</x:v>
      </x:c>
      <x:c r="E1722" t="str">
        <x:v>Advanced</x:v>
      </x:c>
      <x:c r="F1722" t="str">
        <x:v>Standard</x:v>
      </x:c>
      <x:c r="G1722" t="n">
        <x:v>42320</x:v>
      </x:c>
      <x:c r="H1722" t="str">
        <x:v>9914</x:v>
      </x:c>
      <x:c r="I1722" t="str">
        <x:v>https://www.smwcentral.net/?a=details&amp;id=9914&amp;p=section</x:v>
      </x:c>
      <x:c r="J1722" t="str">
        <x:v>https://dl.smwcentral.net/9914/scw.zip</x:v>
      </x:c>
    </x:row>
    <x:row r="1723">
      <x:c r="A1723" t="str">
        <x:v>Super Chambo World</x:v>
      </x:c>
      <x:c r="B1723" t="str">
        <x:v>Super Chambo World</x:v>
      </x:c>
      <x:c r="C1723" t="str">
        <x:v>chester_fields</x:v>
      </x:c>
      <x:c r="D1723" t="n">
        <x:v>22</x:v>
      </x:c>
      <x:c r="E1723" t="str">
        <x:v>Expert</x:v>
      </x:c>
      <x:c r="F1723" t="str">
        <x:v>Kaizo</x:v>
      </x:c>
      <x:c r="G1723" t="n">
        <x:v>44672</x:v>
      </x:c>
      <x:c r="H1723" t="str">
        <x:v>30424</x:v>
      </x:c>
      <x:c r="I1723" t="str">
        <x:v>https://www.smwcentral.net/?a=details&amp;id=30424&amp;p=section</x:v>
      </x:c>
      <x:c r="J1723" t="str">
        <x:v>https://dl.smwcentral.net/30424/Super%20Chambo%20World%201.1.zip</x:v>
      </x:c>
    </x:row>
    <x:row r="1724">
      <x:c r="A1724" t="str">
        <x:v>Super Cheer World</x:v>
      </x:c>
      <x:c r="B1724" t="str">
        <x:v>Super Cheer World</x:v>
      </x:c>
      <x:c r="C1724" t="str">
        <x:v>HLXY</x:v>
      </x:c>
      <x:c r="D1724" t="n">
        <x:v>25</x:v>
      </x:c>
      <x:c r="E1724" t="str">
        <x:v>Expert</x:v>
      </x:c>
      <x:c r="F1724" t="str">
        <x:v>Kaizo</x:v>
      </x:c>
      <x:c r="G1724" t="n">
        <x:v>43499</x:v>
      </x:c>
      <x:c r="H1724" t="str">
        <x:v>19007</x:v>
      </x:c>
      <x:c r="I1724" t="str">
        <x:v>https://www.smwcentral.net/?a=details&amp;id=19007&amp;p=section</x:v>
      </x:c>
      <x:c r="J1724" t="str">
        <x:v>https://dl.smwcentral.net/19007/Super%20Cheer%20World.zip</x:v>
      </x:c>
    </x:row>
    <x:row r="1725">
      <x:c r="A1725" t="str">
        <x:v>Super Chill World</x:v>
      </x:c>
      <x:c r="B1725" t="str">
        <x:v>Super Chill World</x:v>
      </x:c>
      <x:c r="C1725" t="str">
        <x:v>MellowYouth</x:v>
      </x:c>
      <x:c r="D1725" t="n">
        <x:v>13</x:v>
      </x:c>
      <x:c r="E1725" t="str">
        <x:v>Advanced</x:v>
      </x:c>
      <x:c r="F1725" t="str">
        <x:v>Kaizo</x:v>
      </x:c>
      <x:c r="G1725" t="n">
        <x:v>44163</x:v>
      </x:c>
      <x:c r="H1725" t="str">
        <x:v>25008</x:v>
      </x:c>
      <x:c r="I1725" t="str">
        <x:v>https://www.smwcentral.net/?a=details&amp;id=25008&amp;p=section</x:v>
      </x:c>
      <x:c r="J1725" t="str">
        <x:v>https://dl.smwcentral.net/25008/Super%20Chill%20World%20v2.zip</x:v>
      </x:c>
    </x:row>
    <x:row r="1726">
      <x:c r="A1726" t="str">
        <x:v>Super Chocolate: The Insane Islands</x:v>
      </x:c>
      <x:c r="B1726" t="str">
        <x:v>Super Chocolate: The Insane Islands</x:v>
      </x:c>
      <x:c r="C1726" t="str">
        <x:v>Pozeal</x:v>
      </x:c>
      <x:c r="D1726" t="n">
        <x:v>9</x:v>
      </x:c>
      <x:c r="E1726" t="str">
        <x:v>Casual</x:v>
      </x:c>
      <x:c r="F1726" t="str">
        <x:v>Standard</x:v>
      </x:c>
      <x:c r="G1726" t="n">
        <x:v>42114</x:v>
      </x:c>
      <x:c r="H1726" t="str">
        <x:v>9727</x:v>
      </x:c>
      <x:c r="I1726" t="str">
        <x:v>https://www.smwcentral.net/?a=details&amp;id=9727&amp;p=section</x:v>
      </x:c>
      <x:c r="J1726" t="str">
        <x:v>https://dl.smwcentral.net/9727/Super%20Choco-The%20Insane%20Islands.zip</x:v>
      </x:c>
    </x:row>
    <x:row r="1727">
      <x:c r="A1727" t="str">
        <x:v>Super Cindy World</x:v>
      </x:c>
      <x:c r="B1727" t="str">
        <x:v>Super Cindy World</x:v>
      </x:c>
      <x:c r="C1727" t="str">
        <x:v>The_Uber_Camper</x:v>
      </x:c>
      <x:c r="D1727" t="n">
        <x:v>14</x:v>
      </x:c>
      <x:c r="E1727" t="str">
        <x:v>Intermediate</x:v>
      </x:c>
      <x:c r="F1727" t="str">
        <x:v>Kaizo</x:v>
      </x:c>
      <x:c r="G1727" t="n">
        <x:v>44247</x:v>
      </x:c>
      <x:c r="H1727" t="str">
        <x:v>26197</x:v>
      </x:c>
      <x:c r="I1727" t="str">
        <x:v>https://www.smwcentral.net/?a=details&amp;id=26197&amp;p=section</x:v>
      </x:c>
      <x:c r="J1727" t="str">
        <x:v>https://dl.smwcentral.net/26197/SuperCindyWorld.zip</x:v>
      </x:c>
    </x:row>
    <x:row r="1728">
      <x:c r="A1728" t="str">
        <x:v>Super Cindy World 2</x:v>
      </x:c>
      <x:c r="B1728" t="str">
        <x:v>Super Cindy World 2</x:v>
      </x:c>
      <x:c r="C1728" t="str">
        <x:v>The_Uber_Camper</x:v>
      </x:c>
      <x:c r="D1728" t="n">
        <x:v>24</x:v>
      </x:c>
      <x:c r="E1728" t="str">
        <x:v>Intermediate</x:v>
      </x:c>
      <x:c r="F1728" t="str">
        <x:v>Kaizo</x:v>
      </x:c>
      <x:c r="G1728" t="n">
        <x:v>44372</x:v>
      </x:c>
      <x:c r="H1728" t="str">
        <x:v>27116</x:v>
      </x:c>
      <x:c r="I1728" t="str">
        <x:v>https://www.smwcentral.net/?a=details&amp;id=27116&amp;p=section</x:v>
      </x:c>
      <x:c r="J1728" t="str">
        <x:v>https://dl.smwcentral.net/27116/Super%20Cindy%20World%202%20v1.03.zip</x:v>
      </x:c>
    </x:row>
    <x:row r="1729">
      <x:c r="A1729" t="str">
        <x:v>Super Cindy World 3</x:v>
      </x:c>
      <x:c r="B1729" t="str">
        <x:v>Super Cindy World 3</x:v>
      </x:c>
      <x:c r="C1729" t="str">
        <x:v>The_Uber_Camper</x:v>
      </x:c>
      <x:c r="D1729" t="n">
        <x:v>29</x:v>
      </x:c>
      <x:c r="E1729" t="str">
        <x:v>Intermediate</x:v>
      </x:c>
      <x:c r="F1729" t="str">
        <x:v>Kaizo</x:v>
      </x:c>
      <x:c r="G1729" t="n">
        <x:v>44601</x:v>
      </x:c>
      <x:c r="H1729" t="str">
        <x:v>29715</x:v>
      </x:c>
      <x:c r="I1729" t="str">
        <x:v>https://www.smwcentral.net/?a=details&amp;id=29715&amp;p=section</x:v>
      </x:c>
      <x:c r="J1729" t="str">
        <x:v>https://dl.smwcentral.net/29715/SuperCindyWorld3.zip</x:v>
      </x:c>
    </x:row>
    <x:row r="1730">
      <x:c r="A1730" t="str">
        <x:v>Super Compact World</x:v>
      </x:c>
      <x:c r="B1730" t="str">
        <x:v>Super Compact World</x:v>
      </x:c>
      <x:c r="C1730" t="str">
        <x:v>Atomic-Citrus</x:v>
      </x:c>
      <x:c r="D1730" t="n">
        <x:v>19</x:v>
      </x:c>
      <x:c r="E1730" t="str">
        <x:v>Advanced</x:v>
      </x:c>
      <x:c r="F1730" t="str">
        <x:v>Standard</x:v>
      </x:c>
      <x:c r="G1730" t="n">
        <x:v>43798</x:v>
      </x:c>
      <x:c r="H1730" t="str">
        <x:v>21323</x:v>
      </x:c>
      <x:c r="I1730" t="str">
        <x:v>https://www.smwcentral.net/?a=details&amp;id=21323&amp;p=section</x:v>
      </x:c>
      <x:c r="J1730" t="str">
        <x:v>https://dl.smwcentral.net/21323/Super%20Compact%20World%20Submission.zip</x:v>
      </x:c>
    </x:row>
    <x:row r="1731">
      <x:c r="A1731" t="str">
        <x:v>Super Conan Land</x:v>
      </x:c>
      <x:c r="B1731" t="str">
        <x:v>Super Conan Land</x:v>
      </x:c>
      <x:c r="C1731" t="str">
        <x:v>Chosentw0</x:v>
      </x:c>
      <x:c r="D1731" t="n">
        <x:v>1</x:v>
      </x:c>
      <x:c r="E1731" t="str">
        <x:v>Intermediate</x:v>
      </x:c>
      <x:c r="F1731" t="str">
        <x:v>Kaizo, Tool-Assisted</x:v>
      </x:c>
      <x:c r="G1731" t="n">
        <x:v>42583</x:v>
      </x:c>
      <x:c r="H1731" t="str">
        <x:v>13833</x:v>
      </x:c>
      <x:c r="I1731" t="str">
        <x:v>https://www.smwcentral.net/?a=details&amp;id=13833&amp;p=section</x:v>
      </x:c>
      <x:c r="J1731" t="str">
        <x:v>https://dl.smwcentral.net/13833/SuperConanLand.zip</x:v>
      </x:c>
    </x:row>
    <x:row r="1732">
      <x:c r="A1732" t="str">
        <x:v>Super Conan World</x:v>
      </x:c>
      <x:c r="B1732" t="str">
        <x:v>Super Conan World</x:v>
      </x:c>
      <x:c r="C1732" t="str">
        <x:v>Chosentw0</x:v>
      </x:c>
      <x:c r="D1732" t="n">
        <x:v>3</x:v>
      </x:c>
      <x:c r="E1732" t="str">
        <x:v>Intermediate</x:v>
      </x:c>
      <x:c r="F1732" t="str">
        <x:v>Kaizo, Tool-Assisted</x:v>
      </x:c>
      <x:c r="G1732" t="n">
        <x:v>43350</x:v>
      </x:c>
      <x:c r="H1732" t="str">
        <x:v>18067</x:v>
      </x:c>
      <x:c r="I1732" t="str">
        <x:v>https://www.smwcentral.net/?a=details&amp;id=18067&amp;p=section</x:v>
      </x:c>
      <x:c r="J1732" t="str">
        <x:v>https://dl.smwcentral.net/18067/SCW.zip</x:v>
      </x:c>
    </x:row>
    <x:row r="1733">
      <x:c r="A1733" t="str">
        <x:v>Super Cool World</x:v>
      </x:c>
      <x:c r="B1733" t="str">
        <x:v>Super Cool World</x:v>
      </x:c>
      <x:c r="C1733" t="str">
        <x:v>FerpyMcFrosting</x:v>
      </x:c>
      <x:c r="D1733" t="n">
        <x:v>24</x:v>
      </x:c>
      <x:c r="E1733" t="str">
        <x:v>Expert</x:v>
      </x:c>
      <x:c r="F1733" t="str">
        <x:v>Kaizo</x:v>
      </x:c>
      <x:c r="G1733" t="n">
        <x:v>43466</x:v>
      </x:c>
      <x:c r="H1733" t="str">
        <x:v>18738</x:v>
      </x:c>
      <x:c r="I1733" t="str">
        <x:v>https://www.smwcentral.net/?a=details&amp;id=18738&amp;p=section</x:v>
      </x:c>
      <x:c r="J1733" t="str">
        <x:v>https://dl.smwcentral.net/18738/Super%20Cool%20World%20v1.0.zip</x:v>
      </x:c>
    </x:row>
    <x:row r="1734">
      <x:c r="A1734" t="str">
        <x:v>Super Corn World</x:v>
      </x:c>
      <x:c r="B1734" t="str">
        <x:v>Super Corn World</x:v>
      </x:c>
      <x:c r="C1734" t="str">
        <x:v>PopCorn181</x:v>
      </x:c>
      <x:c r="D1734" t="n">
        <x:v>8</x:v>
      </x:c>
      <x:c r="E1734" t="str">
        <x:v>Advanced</x:v>
      </x:c>
      <x:c r="F1734" t="str">
        <x:v>Kaizo</x:v>
      </x:c>
      <x:c r="G1734" t="n">
        <x:v>45725</x:v>
      </x:c>
      <x:c r="H1734" t="str">
        <x:v>39453</x:v>
      </x:c>
      <x:c r="I1734" t="str">
        <x:v>https://www.smwcentral.net/?a=details&amp;id=39453&amp;p=section</x:v>
      </x:c>
      <x:c r="J1734" t="str">
        <x:v>https://dl.smwcentral.net/39453/Super%20Corn%20World.zip</x:v>
      </x:c>
    </x:row>
    <x:row r="1735">
      <x:c r="A1735" t="str">
        <x:v>Super Corn World II</x:v>
      </x:c>
      <x:c r="B1735" t="str">
        <x:v>Super Corn World II</x:v>
      </x:c>
      <x:c r="C1735" t="str">
        <x:v>PopCorn181</x:v>
      </x:c>
      <x:c r="D1735" t="n">
        <x:v>11</x:v>
      </x:c>
      <x:c r="E1735" t="str">
        <x:v>Advanced</x:v>
      </x:c>
      <x:c r="F1735" t="str">
        <x:v>Kaizo</x:v>
      </x:c>
      <x:c r="G1735" t="n">
        <x:v>45750</x:v>
      </x:c>
      <x:c r="H1735" t="str">
        <x:v>39684</x:v>
      </x:c>
      <x:c r="I1735" t="str">
        <x:v>https://www.smwcentral.net/?a=details&amp;id=39684&amp;p=section</x:v>
      </x:c>
      <x:c r="J1735" t="str">
        <x:v>https://dl.smwcentral.net/39684/Super%20Corn%20World%20II.zip</x:v>
      </x:c>
    </x:row>
    <x:row r="1736">
      <x:c r="A1736" t="str">
        <x:v>Super Corn World III</x:v>
      </x:c>
      <x:c r="B1736" t="str">
        <x:v>Super Corn World III</x:v>
      </x:c>
      <x:c r="C1736" t="str">
        <x:v>PopCorn181</x:v>
      </x:c>
      <x:c r="D1736" t="n">
        <x:v>15</x:v>
      </x:c>
      <x:c r="E1736" t="str">
        <x:v>Expert</x:v>
      </x:c>
      <x:c r="F1736" t="str">
        <x:v>Kaizo</x:v>
      </x:c>
      <x:c r="G1736" t="n">
        <x:v>45814</x:v>
      </x:c>
      <x:c r="H1736" t="str">
        <x:v>39936</x:v>
      </x:c>
      <x:c r="I1736" t="str">
        <x:v>https://www.smwcentral.net/?a=details&amp;id=39936&amp;p=section</x:v>
      </x:c>
      <x:c r="J1736" t="str">
        <x:v>https://dl.smwcentral.net/39936/scw3.zip</x:v>
      </x:c>
    </x:row>
    <x:row r="1737">
      <x:c r="A1737" t="str">
        <x:v>Super Corruptendo World: The Mini HAX</x:v>
      </x:c>
      <x:c r="B1737" t="str">
        <x:v>Super Corruptendo World: The Mini HAX</x:v>
      </x:c>
      <x:c r="C1737" t="str">
        <x:v>Illusiyellow</x:v>
      </x:c>
      <x:c r="D1737" t="n">
        <x:v>0</x:v>
      </x:c>
      <x:c r="E1737" t="str">
        <x:v>Newcomer</x:v>
      </x:c>
      <x:c r="F1737" t="str">
        <x:v>Standard</x:v>
      </x:c>
      <x:c r="G1737" t="n">
        <x:v>42222</x:v>
      </x:c>
      <x:c r="H1737" t="str">
        <x:v>9637</x:v>
      </x:c>
      <x:c r="I1737" t="str">
        <x:v>https://www.smwcentral.net/?a=details&amp;id=9637&amp;p=section</x:v>
      </x:c>
      <x:c r="J1737" t="str">
        <x:v>https://dl.smwcentral.net/9637/SCW_The_Mini_Hacks.zip</x:v>
      </x:c>
    </x:row>
    <x:row r="1738">
      <x:c r="A1738" t="str">
        <x:v>Super cRazy world</x:v>
      </x:c>
      <x:c r="B1738" t="str">
        <x:v>Super cRazy world</x:v>
      </x:c>
      <x:c r="C1738" t="str">
        <x:v>TheTim_aka_Timmifutz</x:v>
      </x:c>
      <x:c r="D1738" t="n">
        <x:v>8</x:v>
      </x:c>
      <x:c r="E1738" t="str">
        <x:v>Newcomer</x:v>
      </x:c>
      <x:c r="F1738" t="str">
        <x:v>Standard</x:v>
      </x:c>
      <x:c r="G1738" t="n">
        <x:v>42338</x:v>
      </x:c>
      <x:c r="H1738" t="str">
        <x:v>10105</x:v>
      </x:c>
      <x:c r="I1738" t="str">
        <x:v>https://www.smwcentral.net/?a=details&amp;id=10105&amp;p=section</x:v>
      </x:c>
      <x:c r="J1738" t="str">
        <x:v>https://dl.smwcentral.net/10105/super%20cRazy%20world.zip</x:v>
      </x:c>
    </x:row>
    <x:row r="1739">
      <x:c r="A1739" t="str">
        <x:v>Super Creme World</x:v>
      </x:c>
      <x:c r="B1739" t="str">
        <x:v>Super Creme World</x:v>
      </x:c>
      <x:c r="C1739" t="str">
        <x:v>TheMURAmatsu</x:v>
      </x:c>
      <x:c r="D1739" t="n">
        <x:v>14</x:v>
      </x:c>
      <x:c r="E1739" t="str">
        <x:v>Advanced</x:v>
      </x:c>
      <x:c r="F1739" t="str">
        <x:v>Kaizo</x:v>
      </x:c>
      <x:c r="G1739" t="n">
        <x:v>43881</x:v>
      </x:c>
      <x:c r="H1739" t="str">
        <x:v>22171</x:v>
      </x:c>
      <x:c r="I1739" t="str">
        <x:v>https://www.smwcentral.net/?a=details&amp;id=22171&amp;p=section</x:v>
      </x:c>
      <x:c r="J1739" t="str">
        <x:v>https://dl.smwcentral.net/22171/Super%20Creme%20World.zip</x:v>
      </x:c>
    </x:row>
    <x:row r="1740">
      <x:c r="A1740" t="str">
        <x:v>Super Curious World</x:v>
      </x:c>
      <x:c r="B1740" t="str">
        <x:v>Super Curious World</x:v>
      </x:c>
      <x:c r="C1740" t="str">
        <x:v>team_love</x:v>
      </x:c>
      <x:c r="D1740" t="n">
        <x:v>16</x:v>
      </x:c>
      <x:c r="E1740" t="str">
        <x:v>Expert</x:v>
      </x:c>
      <x:c r="F1740" t="str">
        <x:v>Kaizo</x:v>
      </x:c>
      <x:c r="G1740" t="n">
        <x:v>45473</x:v>
      </x:c>
      <x:c r="H1740" t="str">
        <x:v>37951</x:v>
      </x:c>
      <x:c r="I1740" t="str">
        <x:v>https://www.smwcentral.net/?a=details&amp;id=37951&amp;p=section</x:v>
      </x:c>
      <x:c r="J1740" t="str">
        <x:v>https://dl.smwcentral.net/37951/Super%20Curious%20World%201.2.zip</x:v>
      </x:c>
    </x:row>
    <x:row r="1741">
      <x:c r="A1741" t="str">
        <x:v>Super Daisy World</x:v>
      </x:c>
      <x:c r="B1741" t="str">
        <x:v>Super Daisy World</x:v>
      </x:c>
      <x:c r="C1741" t="str">
        <x:v>MarioIsTheBest1234</x:v>
      </x:c>
      <x:c r="D1741" t="n">
        <x:v>21</x:v>
      </x:c>
      <x:c r="E1741" t="str">
        <x:v>Casual</x:v>
      </x:c>
      <x:c r="F1741" t="str">
        <x:v>Standard</x:v>
      </x:c>
      <x:c r="G1741" t="n">
        <x:v>45948</x:v>
      </x:c>
      <x:c r="H1741" t="str">
        <x:v>40498</x:v>
      </x:c>
      <x:c r="I1741" t="str">
        <x:v>https://www.smwcentral.net/?a=details&amp;id=40498&amp;p=section</x:v>
      </x:c>
      <x:c r="J1741" t="str">
        <x:v>https://dl.smwcentral.net/40498/Super%20%20Daisy%20World.zip</x:v>
      </x:c>
    </x:row>
    <x:row r="1742">
      <x:c r="A1742" t="str">
        <x:v>Super Dank World</x:v>
      </x:c>
      <x:c r="B1742" t="str">
        <x:v>Super Dank World</x:v>
      </x:c>
      <x:c r="C1742" t="str">
        <x:v>Firstnamebutt</x:v>
      </x:c>
      <x:c r="D1742" t="n">
        <x:v>19</x:v>
      </x:c>
      <x:c r="E1742" t="str">
        <x:v>Advanced</x:v>
      </x:c>
      <x:c r="F1742" t="str">
        <x:v>Kaizo</x:v>
      </x:c>
      <x:c r="G1742" t="n">
        <x:v>45182</x:v>
      </x:c>
      <x:c r="H1742" t="str">
        <x:v>34970</x:v>
      </x:c>
      <x:c r="I1742" t="str">
        <x:v>https://www.smwcentral.net/?a=details&amp;id=34970&amp;p=section</x:v>
      </x:c>
      <x:c r="J1742" t="str">
        <x:v>https://dl.smwcentral.net/34970/Super_Dank_World.zip</x:v>
      </x:c>
    </x:row>
    <x:row r="1743">
      <x:c r="A1743" t="str">
        <x:v>Super Dazran World</x:v>
      </x:c>
      <x:c r="B1743" t="str">
        <x:v>Super Dazran World</x:v>
      </x:c>
      <x:c r="C1743" t="str">
        <x:v>MatthewGamingLive</x:v>
      </x:c>
      <x:c r="D1743" t="n">
        <x:v>17</x:v>
      </x:c>
      <x:c r="E1743" t="str">
        <x:v>Casual</x:v>
      </x:c>
      <x:c r="F1743" t="str">
        <x:v>Standard</x:v>
      </x:c>
      <x:c r="G1743" t="n">
        <x:v>43181</x:v>
      </x:c>
      <x:c r="H1743" t="str">
        <x:v>17266</x:v>
      </x:c>
      <x:c r="I1743" t="str">
        <x:v>https://www.smwcentral.net/?a=details&amp;id=17266&amp;p=section</x:v>
      </x:c>
      <x:c r="J1743" t="str">
        <x:v>https://dl.smwcentral.net/17266/Super%20Dazran%20World%20Demo%202.zip</x:v>
      </x:c>
    </x:row>
    <x:row r="1744">
      <x:c r="A1744" t="str">
        <x:v>Super DB World</x:v>
      </x:c>
      <x:c r="B1744" t="str">
        <x:v>Super DB World</x:v>
      </x:c>
      <x:c r="C1744" t="str">
        <x:v>Jordan</x:v>
      </x:c>
      <x:c r="D1744" t="n">
        <x:v>17</x:v>
      </x:c>
      <x:c r="E1744" t="str">
        <x:v>Expert</x:v>
      </x:c>
      <x:c r="F1744" t="str">
        <x:v>Kaizo</x:v>
      </x:c>
      <x:c r="G1744" t="n">
        <x:v>44263</x:v>
      </x:c>
      <x:c r="H1744" t="str">
        <x:v>26319</x:v>
      </x:c>
      <x:c r="I1744" t="str">
        <x:v>https://www.smwcentral.net/?a=details&amp;id=26319&amp;p=section</x:v>
      </x:c>
      <x:c r="J1744" t="str">
        <x:v>https://dl.smwcentral.net/26319/Super%20DB%20World.zip</x:v>
      </x:c>
    </x:row>
    <x:row r="1745">
      <x:c r="A1745" t="str">
        <x:v>Super Deboche World</x:v>
      </x:c>
      <x:c r="B1745" t="str">
        <x:v>Super Deboche World</x:v>
      </x:c>
      <x:c r="C1745" t="str">
        <x:v>AleGames</x:v>
      </x:c>
      <x:c r="D1745" t="n">
        <x:v>28</x:v>
      </x:c>
      <x:c r="E1745" t="str">
        <x:v>Intermediate</x:v>
      </x:c>
      <x:c r="F1745" t="str">
        <x:v>Standard</x:v>
      </x:c>
      <x:c r="G1745" t="n">
        <x:v>44850</x:v>
      </x:c>
      <x:c r="H1745" t="str">
        <x:v>32346</x:v>
      </x:c>
      <x:c r="I1745" t="str">
        <x:v>https://www.smwcentral.net/?a=details&amp;id=32346&amp;p=section</x:v>
      </x:c>
      <x:c r="J1745" t="str">
        <x:v>https://dl.smwcentral.net/32346/Super%20Deboche%20World.zip</x:v>
      </x:c>
    </x:row>
    <x:row r="1746">
      <x:c r="A1746" t="str">
        <x:v>Super Demo World</x:v>
      </x:c>
      <x:c r="B1746" t="str">
        <x:v>Super Demo World</x:v>
      </x:c>
      <x:c r="C1746" t="str">
        <x:v>FuSoYa</x:v>
      </x:c>
      <x:c r="D1746" t="n">
        <x:v>6</x:v>
      </x:c>
      <x:c r="E1746" t="str">
        <x:v>Intermediate</x:v>
      </x:c>
      <x:c r="F1746" t="str">
        <x:v>Standard</x:v>
      </x:c>
      <x:c r="G1746" t="n">
        <x:v>42047</x:v>
      </x:c>
      <x:c r="H1746" t="str">
        <x:v>9679</x:v>
      </x:c>
      <x:c r="I1746" t="str">
        <x:v>https://www.smwcentral.net/?a=details&amp;id=9679&amp;p=section</x:v>
      </x:c>
      <x:c r="J1746" t="str">
        <x:v>https://dl.smwcentral.net/9679/demoworld.zip</x:v>
      </x:c>
    </x:row>
    <x:row r="1747">
      <x:c r="A1747" t="str">
        <x:v>Super Demo World 3</x:v>
      </x:c>
      <x:c r="B1747" t="str">
        <x:v>Super Demo World 3</x:v>
      </x:c>
      <x:c r="C1747" t="str">
        <x:v>DJ Bouche, FuSoYa</x:v>
      </x:c>
      <x:c r="D1747" t="n">
        <x:v>9</x:v>
      </x:c>
      <x:c r="E1747" t="str">
        <x:v>Casual</x:v>
      </x:c>
      <x:c r="F1747" t="str">
        <x:v>Standard</x:v>
      </x:c>
      <x:c r="G1747" t="n">
        <x:v>42223</x:v>
      </x:c>
      <x:c r="H1747" t="str">
        <x:v>9825</x:v>
      </x:c>
      <x:c r="I1747" t="str">
        <x:v>https://www.smwcentral.net/?a=details&amp;id=9825&amp;p=section</x:v>
      </x:c>
      <x:c r="J1747" t="str">
        <x:v>https://dl.smwcentral.net/9825/Super%20Demo%20World%203.zip</x:v>
      </x:c>
    </x:row>
    <x:row r="1748">
      <x:c r="A1748" t="str">
        <x:v>Super Demo World: The Legend Continues</x:v>
      </x:c>
      <x:c r="B1748" t="str">
        <x:v>Super Demo World: The Legend Continues</x:v>
      </x:c>
      <x:c r="C1748" t="str">
        <x:v>FuSoYa, Zero-G</x:v>
      </x:c>
      <x:c r="D1748" t="n">
        <x:v>120</x:v>
      </x:c>
      <x:c r="E1748" t="str">
        <x:v>Advanced</x:v>
      </x:c>
      <x:c r="F1748" t="str">
        <x:v>Standard</x:v>
      </x:c>
      <x:c r="G1748" t="n">
        <x:v>42213</x:v>
      </x:c>
      <x:c r="H1748" t="str">
        <x:v>9678</x:v>
      </x:c>
      <x:c r="I1748" t="str">
        <x:v>https://www.smwcentral.net/?a=details&amp;id=9678&amp;p=section</x:v>
      </x:c>
      <x:c r="J1748" t="str">
        <x:v>https://dl.smwcentral.net/9678/downlaod.zip</x:v>
      </x:c>
    </x:row>
    <x:row r="1749">
      <x:c r="A1749" t="str">
        <x:v>Super Denis World</x:v>
      </x:c>
      <x:c r="B1749" t="str">
        <x:v>Super Denis World</x:v>
      </x:c>
      <x:c r="C1749" t="str">
        <x:v>Tony.Metcalfe</x:v>
      </x:c>
      <x:c r="D1749" t="n">
        <x:v>17</x:v>
      </x:c>
      <x:c r="E1749" t="str">
        <x:v>Expert</x:v>
      </x:c>
      <x:c r="F1749" t="str">
        <x:v>Kaizo</x:v>
      </x:c>
      <x:c r="G1749" t="n">
        <x:v>43388</x:v>
      </x:c>
      <x:c r="H1749" t="str">
        <x:v>18286</x:v>
      </x:c>
      <x:c r="I1749" t="str">
        <x:v>https://www.smwcentral.net/?a=details&amp;id=18286&amp;p=section</x:v>
      </x:c>
      <x:c r="J1749" t="str">
        <x:v>https://dl.smwcentral.net/18286/SuperDenisWorld_VF5.zip</x:v>
      </x:c>
    </x:row>
    <x:row r="1750">
      <x:c r="A1750" t="str">
        <x:v>Super Destructive World</x:v>
      </x:c>
      <x:c r="B1750" t="str">
        <x:v>Super Destructive World</x:v>
      </x:c>
      <x:c r="C1750" t="str">
        <x:v>SuperBeastGN</x:v>
      </x:c>
      <x:c r="D1750" t="n">
        <x:v>21</x:v>
      </x:c>
      <x:c r="E1750" t="str">
        <x:v>Intermediate</x:v>
      </x:c>
      <x:c r="F1750" t="str">
        <x:v>Kaizo</x:v>
      </x:c>
      <x:c r="G1750" t="n">
        <x:v>44584</x:v>
      </x:c>
      <x:c r="H1750" t="str">
        <x:v>29568</x:v>
      </x:c>
      <x:c r="I1750" t="str">
        <x:v>https://www.smwcentral.net/?a=details&amp;id=29568&amp;p=section</x:v>
      </x:c>
      <x:c r="J1750" t="str">
        <x:v>https://dl.smwcentral.net/29568/SuperDestructiveWorldV1.1.bps.zip</x:v>
      </x:c>
    </x:row>
    <x:row r="1751">
      <x:c r="A1751" t="str">
        <x:v>Super DGR World</x:v>
      </x:c>
      <x:c r="B1751" t="str">
        <x:v>Super DGR World</x:v>
      </x:c>
      <x:c r="C1751" t="str">
        <x:v>Sweetdude</x:v>
      </x:c>
      <x:c r="D1751" t="n">
        <x:v>32</x:v>
      </x:c>
      <x:c r="E1751" t="str">
        <x:v>Advanced</x:v>
      </x:c>
      <x:c r="F1751" t="str">
        <x:v>Kaizo</x:v>
      </x:c>
      <x:c r="G1751" t="n">
        <x:v>43349</x:v>
      </x:c>
      <x:c r="H1751" t="str">
        <x:v>18131</x:v>
      </x:c>
      <x:c r="I1751" t="str">
        <x:v>https://www.smwcentral.net/?a=details&amp;id=18131&amp;p=section</x:v>
      </x:c>
      <x:c r="J1751" t="str">
        <x:v>https://dl.smwcentral.net/18131/Super%20DGR%20World1.6.zip</x:v>
      </x:c>
    </x:row>
    <x:row r="1752">
      <x:c r="A1752" t="str">
        <x:v>Super Dram World</x:v>
      </x:c>
      <x:c r="B1752" t="str">
        <x:v>Super Dram World</x:v>
      </x:c>
      <x:c r="C1752" t="str">
        <x:v>PangaeaPanga</x:v>
      </x:c>
      <x:c r="D1752" t="n">
        <x:v>19</x:v>
      </x:c>
      <x:c r="E1752" t="str">
        <x:v>Master</x:v>
      </x:c>
      <x:c r="F1752" t="str">
        <x:v>Kaizo</x:v>
      </x:c>
      <x:c r="G1752" t="n">
        <x:v>45927</x:v>
      </x:c>
      <x:c r="H1752" t="str">
        <x:v>40663</x:v>
      </x:c>
      <x:c r="I1752" t="str">
        <x:v>https://www.smwcentral.net/?a=details&amp;id=40663&amp;p=section</x:v>
      </x:c>
      <x:c r="J1752" t="str">
        <x:v>https://dl.smwcentral.net/40663/Super%20Dram%20World%20v1.3.zip</x:v>
      </x:c>
    </x:row>
    <x:row r="1753">
      <x:c r="A1753" t="str">
        <x:v>Super Dram World 2</x:v>
      </x:c>
      <x:c r="B1753" t="str">
        <x:v>Super Dram World 2</x:v>
      </x:c>
      <x:c r="C1753" t="str">
        <x:v>PangaeaPanga</x:v>
      </x:c>
      <x:c r="D1753" t="n">
        <x:v>21</x:v>
      </x:c>
      <x:c r="E1753" t="str">
        <x:v>Master</x:v>
      </x:c>
      <x:c r="F1753" t="str">
        <x:v>Kaizo</x:v>
      </x:c>
      <x:c r="G1753" t="n">
        <x:v>45969</x:v>
      </x:c>
      <x:c r="H1753" t="str">
        <x:v>40662</x:v>
      </x:c>
      <x:c r="I1753" t="str">
        <x:v>https://www.smwcentral.net/?a=details&amp;id=40662&amp;p=section</x:v>
      </x:c>
      <x:c r="J1753" t="str">
        <x:v>https://dl.smwcentral.net/40662/Super%20Dram%20World%202%20v1.3.zip</x:v>
      </x:c>
    </x:row>
    <x:row r="1754">
      <x:c r="A1754" t="str">
        <x:v>Super Dram World 3</x:v>
      </x:c>
      <x:c r="B1754" t="str">
        <x:v>Super Dram World 3</x:v>
      </x:c>
      <x:c r="C1754" t="str">
        <x:v>PangaeaPanga</x:v>
      </x:c>
      <x:c r="D1754" t="n">
        <x:v>28</x:v>
      </x:c>
      <x:c r="E1754" t="str">
        <x:v>Grandmaster</x:v>
      </x:c>
      <x:c r="F1754" t="str">
        <x:v>Kaizo</x:v>
      </x:c>
      <x:c r="G1754" t="n">
        <x:v>46005</x:v>
      </x:c>
      <x:c r="H1754" t="str">
        <x:v>41022</x:v>
      </x:c>
      <x:c r="I1754" t="str">
        <x:v>https://www.smwcentral.net/?a=details&amp;id=41022&amp;p=section</x:v>
      </x:c>
      <x:c r="J1754" t="str">
        <x:v>https://dl.smwcentral.net/41022/Super%20Dram%20World%203%20v1.3.zip</x:v>
      </x:c>
    </x:row>
    <x:row r="1755">
      <x:c r="A1755" t="str">
        <x:v>Super Dream World</x:v>
      </x:c>
      <x:c r="B1755" t="str">
        <x:v>Super Dream World</x:v>
      </x:c>
      <x:c r="C1755" t="str">
        <x:v>Shingo</x:v>
      </x:c>
      <x:c r="D1755" t="n">
        <x:v>12</x:v>
      </x:c>
      <x:c r="E1755" t="str">
        <x:v>Advanced</x:v>
      </x:c>
      <x:c r="F1755" t="str">
        <x:v>Kaizo</x:v>
      </x:c>
      <x:c r="G1755" t="n">
        <x:v>43994</x:v>
      </x:c>
      <x:c r="H1755" t="str">
        <x:v>23193</x:v>
      </x:c>
      <x:c r="I1755" t="str">
        <x:v>https://www.smwcentral.net/?a=details&amp;id=23193&amp;p=section</x:v>
      </x:c>
      <x:c r="J1755" t="str">
        <x:v>https://dl.smwcentral.net/23193/SuperDreamWorld.zip</x:v>
      </x:c>
    </x:row>
    <x:row r="1756">
      <x:c r="A1756" t="str">
        <x:v>Super Duper Mario World W1 DEMO</x:v>
      </x:c>
      <x:c r="B1756" t="str">
        <x:v>Super Duper Mario World W1 DEMO</x:v>
      </x:c>
      <x:c r="C1756" t="str">
        <x:v>SuperWaluigiBro</x:v>
      </x:c>
      <x:c r="D1756" t="n">
        <x:v>10</x:v>
      </x:c>
      <x:c r="E1756" t="str">
        <x:v>Intermediate</x:v>
      </x:c>
      <x:c r="F1756" t="str">
        <x:v>Standard</x:v>
      </x:c>
      <x:c r="G1756" t="n">
        <x:v>46066</x:v>
      </x:c>
      <x:c r="H1756" t="str">
        <x:v>41566</x:v>
      </x:c>
      <x:c r="I1756" t="str">
        <x:v>https://www.smwcentral.net/?a=details&amp;id=41566&amp;p=section</x:v>
      </x:c>
      <x:c r="J1756" t="str">
        <x:v>https://dl.smwcentral.net/41566/SDMW%20DEMOv02c.zip</x:v>
      </x:c>
    </x:row>
    <x:row r="1757">
      <x:c r="A1757" t="str">
        <x:v>Super Duper World</x:v>
      </x:c>
      <x:c r="B1757" t="str">
        <x:v>Super Duper World</x:v>
      </x:c>
      <x:c r="C1757" t="str">
        <x:v>Partly Marble</x:v>
      </x:c>
      <x:c r="D1757" t="n">
        <x:v>4</x:v>
      </x:c>
      <x:c r="E1757" t="str">
        <x:v>Advanced</x:v>
      </x:c>
      <x:c r="F1757" t="str">
        <x:v>Kaizo</x:v>
      </x:c>
      <x:c r="G1757" t="n">
        <x:v>43290</x:v>
      </x:c>
      <x:c r="H1757" t="str">
        <x:v>17625</x:v>
      </x:c>
      <x:c r="I1757" t="str">
        <x:v>https://www.smwcentral.net/?a=details&amp;id=17625&amp;p=section</x:v>
      </x:c>
      <x:c r="J1757" t="str">
        <x:v>https://dl.smwcentral.net/17625/Super%20Duper%20World.zip</x:v>
      </x:c>
    </x:row>
    <x:row r="1758">
      <x:c r="A1758" t="str">
        <x:v>Super Empty Land</x:v>
      </x:c>
      <x:c r="B1758" t="str">
        <x:v>Super Empty Land</x:v>
      </x:c>
      <x:c r="C1758" t="str">
        <x:v>Firstnamebutt</x:v>
      </x:c>
      <x:c r="D1758" t="n">
        <x:v>5</x:v>
      </x:c>
      <x:c r="E1758" t="str">
        <x:v>Intermediate</x:v>
      </x:c>
      <x:c r="F1758" t="str">
        <x:v>Kaizo</x:v>
      </x:c>
      <x:c r="G1758" t="n">
        <x:v>45704</x:v>
      </x:c>
      <x:c r="H1758" t="str">
        <x:v>39264</x:v>
      </x:c>
      <x:c r="I1758" t="str">
        <x:v>https://www.smwcentral.net/?a=details&amp;id=39264&amp;p=section</x:v>
      </x:c>
      <x:c r="J1758" t="str">
        <x:v>https://dl.smwcentral.net/39264/SuperEmptyLand.zip</x:v>
      </x:c>
    </x:row>
    <x:row r="1759">
      <x:c r="A1759" t="str">
        <x:v>Super Enan World</x:v>
      </x:c>
      <x:c r="B1759" t="str">
        <x:v>Super Enan World</x:v>
      </x:c>
      <x:c r="C1759" t="str">
        <x:v>Enan63, Green Jerry</x:v>
      </x:c>
      <x:c r="D1759" t="n">
        <x:v>35</x:v>
      </x:c>
      <x:c r="E1759" t="str">
        <x:v>Intermediate</x:v>
      </x:c>
      <x:c r="F1759" t="str">
        <x:v>Standard</x:v>
      </x:c>
      <x:c r="G1759" t="n">
        <x:v>44044</x:v>
      </x:c>
      <x:c r="H1759" t="str">
        <x:v>23960</x:v>
      </x:c>
      <x:c r="I1759" t="str">
        <x:v>https://www.smwcentral.net/?a=details&amp;id=23960&amp;p=section</x:v>
      </x:c>
      <x:c r="J1759" t="str">
        <x:v>https://dl.smwcentral.net/23960/Super%20Enan%20World%20-%20Demo%203.2.4.zip</x:v>
      </x:c>
    </x:row>
    <x:row r="1760">
      <x:c r="A1760" t="str">
        <x:v>Super Endoplasm World</x:v>
      </x:c>
      <x:c r="B1760" t="str">
        <x:v>Super Endoplasm World</x:v>
      </x:c>
      <x:c r="C1760" t="str">
        <x:v>Octopus</x:v>
      </x:c>
      <x:c r="D1760" t="n">
        <x:v>24</x:v>
      </x:c>
      <x:c r="E1760" t="str">
        <x:v>Casual</x:v>
      </x:c>
      <x:c r="F1760" t="str">
        <x:v>Standard</x:v>
      </x:c>
      <x:c r="G1760" t="n">
        <x:v>41572</x:v>
      </x:c>
      <x:c r="H1760" t="str">
        <x:v>5519</x:v>
      </x:c>
      <x:c r="I1760" t="str">
        <x:v>https://www.smwcentral.net/?a=details&amp;id=5519&amp;p=section</x:v>
      </x:c>
      <x:c r="J1760" t="str">
        <x:v>https://dl.smwcentral.net/5519/SEW.zip</x:v>
      </x:c>
    </x:row>
    <x:row r="1761">
      <x:c r="A1761" t="str">
        <x:v>Super Enemy World</x:v>
      </x:c>
      <x:c r="B1761" t="str">
        <x:v>Super Enemy World</x:v>
      </x:c>
      <x:c r="C1761" t="str">
        <x:v>Yoshiboy</x:v>
      </x:c>
      <x:c r="D1761" t="n">
        <x:v>20</x:v>
      </x:c>
      <x:c r="E1761" t="str">
        <x:v>Casual</x:v>
      </x:c>
      <x:c r="F1761" t="str">
        <x:v>Standard</x:v>
      </x:c>
      <x:c r="G1761" t="n">
        <x:v>42222</x:v>
      </x:c>
      <x:c r="H1761" t="str">
        <x:v>9836</x:v>
      </x:c>
      <x:c r="I1761" t="str">
        <x:v>https://www.smwcentral.net/?a=details&amp;id=9836&amp;p=section</x:v>
      </x:c>
      <x:c r="J1761" t="str">
        <x:v>https://dl.smwcentral.net/9836/Super%20Enemy%20World.zip</x:v>
      </x:c>
    </x:row>
    <x:row r="1762">
      <x:c r="A1762" t="str">
        <x:v>Super Fail World</x:v>
      </x:c>
      <x:c r="B1762" t="str">
        <x:v>Super Fail World</x:v>
      </x:c>
      <x:c r="C1762" t="str">
        <x:v>dubefest</x:v>
      </x:c>
      <x:c r="D1762" t="n">
        <x:v>13</x:v>
      </x:c>
      <x:c r="E1762" t="str">
        <x:v>Intermediate</x:v>
      </x:c>
      <x:c r="F1762" t="str">
        <x:v>Standard</x:v>
      </x:c>
      <x:c r="G1762" t="n">
        <x:v>42271</x:v>
      </x:c>
      <x:c r="H1762" t="str">
        <x:v>10067</x:v>
      </x:c>
      <x:c r="I1762" t="str">
        <x:v>https://www.smwcentral.net/?a=details&amp;id=10067&amp;p=section</x:v>
      </x:c>
      <x:c r="J1762" t="str">
        <x:v>https://dl.smwcentral.net/10067/SuperFailWorld.zip</x:v>
      </x:c>
    </x:row>
    <x:row r="1763">
      <x:c r="A1763" t="str">
        <x:v>Super Fart World</x:v>
      </x:c>
      <x:c r="B1763" t="str">
        <x:v>Super Fart World</x:v>
      </x:c>
      <x:c r="C1763" t="str">
        <x:v>NaroGugul</x:v>
      </x:c>
      <x:c r="D1763" t="n">
        <x:v>15</x:v>
      </x:c>
      <x:c r="E1763" t="str">
        <x:v>Master</x:v>
      </x:c>
      <x:c r="F1763" t="str">
        <x:v>Kaizo</x:v>
      </x:c>
      <x:c r="G1763" t="n">
        <x:v>43582</x:v>
      </x:c>
      <x:c r="H1763" t="str">
        <x:v>19571</x:v>
      </x:c>
      <x:c r="I1763" t="str">
        <x:v>https://www.smwcentral.net/?a=details&amp;id=19571&amp;p=section</x:v>
      </x:c>
      <x:c r="J1763" t="str">
        <x:v>https://dl.smwcentral.net/19571/SuperFartWorld.zip</x:v>
      </x:c>
    </x:row>
    <x:row r="1764">
      <x:c r="A1764" t="str">
        <x:v>Super Fast World</x:v>
      </x:c>
      <x:c r="B1764" t="str">
        <x:v>Super Fast World</x:v>
      </x:c>
      <x:c r="C1764" t="str">
        <x:v>the_pilger</x:v>
      </x:c>
      <x:c r="D1764" t="n">
        <x:v>3</x:v>
      </x:c>
      <x:c r="E1764" t="str">
        <x:v>Intermediate</x:v>
      </x:c>
      <x:c r="F1764" t="str">
        <x:v>Kaizo</x:v>
      </x:c>
      <x:c r="G1764" t="n">
        <x:v>44254</x:v>
      </x:c>
      <x:c r="H1764" t="str">
        <x:v>26267</x:v>
      </x:c>
      <x:c r="I1764" t="str">
        <x:v>https://www.smwcentral.net/?a=details&amp;id=26267&amp;p=section</x:v>
      </x:c>
      <x:c r="J1764" t="str">
        <x:v>https://dl.smwcentral.net/26267/Super%20Fast%20World.zip</x:v>
      </x:c>
    </x:row>
    <x:row r="1765">
      <x:c r="A1765" t="str">
        <x:v>Super Fedora World</x:v>
      </x:c>
      <x:c r="B1765" t="str">
        <x:v>Super Fedora World</x:v>
      </x:c>
      <x:c r="C1765" t="str">
        <x:v>FridayFables</x:v>
      </x:c>
      <x:c r="D1765" t="n">
        <x:v>22</x:v>
      </x:c>
      <x:c r="E1765" t="str">
        <x:v>Casual</x:v>
      </x:c>
      <x:c r="F1765" t="str">
        <x:v>Standard</x:v>
      </x:c>
      <x:c r="G1765" t="n">
        <x:v>42983</x:v>
      </x:c>
      <x:c r="H1765" t="str">
        <x:v>16099</x:v>
      </x:c>
      <x:c r="I1765" t="str">
        <x:v>https://www.smwcentral.net/?a=details&amp;id=16099&amp;p=section</x:v>
      </x:c>
      <x:c r="J1765" t="str">
        <x:v>https://dl.smwcentral.net/16099/Super%20Fedora%20World.zip</x:v>
      </x:c>
    </x:row>
    <x:row r="1766">
      <x:c r="A1766" t="str">
        <x:v>Super Fish World</x:v>
      </x:c>
      <x:c r="B1766" t="str">
        <x:v>Super Fish World</x:v>
      </x:c>
      <x:c r="C1766" t="str">
        <x:v>Perkward</x:v>
      </x:c>
      <x:c r="D1766" t="n">
        <x:v>1</x:v>
      </x:c>
      <x:c r="E1766" t="str">
        <x:v>Casual</x:v>
      </x:c>
      <x:c r="F1766" t="str">
        <x:v>Standard</x:v>
      </x:c>
      <x:c r="G1766" t="n">
        <x:v>46028</x:v>
      </x:c>
      <x:c r="H1766" t="str">
        <x:v>41357</x:v>
      </x:c>
      <x:c r="I1766" t="str">
        <x:v>https://www.smwcentral.net/?a=details&amp;id=41357&amp;p=section</x:v>
      </x:c>
      <x:c r="J1766" t="str">
        <x:v>https://dl.smwcentral.net/41357/Follow%20the%20Fish.zip</x:v>
      </x:c>
    </x:row>
    <x:row r="1767">
      <x:c r="A1767" t="str">
        <x:v>Super Flash World</x:v>
      </x:c>
      <x:c r="B1767" t="str">
        <x:v>Super Flash World</x:v>
      </x:c>
      <x:c r="C1767" t="str">
        <x:v>Scags</x:v>
      </x:c>
      <x:c r="D1767" t="n">
        <x:v>20</x:v>
      </x:c>
      <x:c r="E1767" t="str">
        <x:v>Expert</x:v>
      </x:c>
      <x:c r="F1767" t="str">
        <x:v>Kaizo</x:v>
      </x:c>
      <x:c r="G1767" t="n">
        <x:v>44757</x:v>
      </x:c>
      <x:c r="H1767" t="str">
        <x:v>31454</x:v>
      </x:c>
      <x:c r="I1767" t="str">
        <x:v>https://www.smwcentral.net/?a=details&amp;id=31454&amp;p=section</x:v>
      </x:c>
      <x:c r="J1767" t="str">
        <x:v>https://dl.smwcentral.net/31454/FlashWorld.zip</x:v>
      </x:c>
    </x:row>
    <x:row r="1768">
      <x:c r="A1768" t="str">
        <x:v>Super Flash World 2</x:v>
      </x:c>
      <x:c r="B1768" t="str">
        <x:v>Super Flash World 2</x:v>
      </x:c>
      <x:c r="C1768" t="str">
        <x:v>Scags</x:v>
      </x:c>
      <x:c r="D1768" t="n">
        <x:v>23</x:v>
      </x:c>
      <x:c r="E1768" t="str">
        <x:v>Expert</x:v>
      </x:c>
      <x:c r="F1768" t="str">
        <x:v>Kaizo</x:v>
      </x:c>
      <x:c r="G1768" t="n">
        <x:v>46089</x:v>
      </x:c>
      <x:c r="H1768" t="str">
        <x:v>41538</x:v>
      </x:c>
      <x:c r="I1768" t="str">
        <x:v>https://www.smwcentral.net/?a=details&amp;id=41538&amp;p=section</x:v>
      </x:c>
      <x:c r="J1768" t="str">
        <x:v>https://dl.smwcentral.net/41538/FlashWorld2.zip</x:v>
      </x:c>
    </x:row>
    <x:row r="1769">
      <x:c r="A1769" t="str">
        <x:v>Super Focused World</x:v>
      </x:c>
      <x:c r="B1769" t="str">
        <x:v>Super Focused World</x:v>
      </x:c>
      <x:c r="C1769" t="str">
        <x:v>DigitalSine</x:v>
      </x:c>
      <x:c r="D1769" t="n">
        <x:v>22</x:v>
      </x:c>
      <x:c r="E1769" t="str">
        <x:v>Expert</x:v>
      </x:c>
      <x:c r="F1769" t="str">
        <x:v>Kaizo</x:v>
      </x:c>
      <x:c r="G1769" t="n">
        <x:v>43373</x:v>
      </x:c>
      <x:c r="H1769" t="str">
        <x:v>18172</x:v>
      </x:c>
      <x:c r="I1769" t="str">
        <x:v>https://www.smwcentral.net/?a=details&amp;id=18172&amp;p=section</x:v>
      </x:c>
      <x:c r="J1769" t="str">
        <x:v>https://dl.smwcentral.net/18172/Super%20Focused%20World.zip</x:v>
      </x:c>
    </x:row>
    <x:row r="1770">
      <x:c r="A1770" t="str">
        <x:v>Super Foo World</x:v>
      </x:c>
      <x:c r="B1770" t="str">
        <x:v>Super Foo World</x:v>
      </x:c>
      <x:c r="C1770" t="str">
        <x:v>xhsdf</x:v>
      </x:c>
      <x:c r="D1770" t="n">
        <x:v>27</x:v>
      </x:c>
      <x:c r="E1770" t="str">
        <x:v>Expert</x:v>
      </x:c>
      <x:c r="F1770" t="str">
        <x:v>Kaizo</x:v>
      </x:c>
      <x:c r="G1770" t="n">
        <x:v>44739</x:v>
      </x:c>
      <x:c r="H1770" t="str">
        <x:v>31166</x:v>
      </x:c>
      <x:c r="I1770" t="str">
        <x:v>https://www.smwcentral.net/?a=details&amp;id=31166&amp;p=section</x:v>
      </x:c>
      <x:c r="J1770" t="str">
        <x:v>https://dl.smwcentral.net/31166/Super%20Foo%20World%201.1.zip</x:v>
      </x:c>
    </x:row>
    <x:row r="1771">
      <x:c r="A1771" t="str">
        <x:v>Super Foo World -1</x:v>
      </x:c>
      <x:c r="B1771" t="str">
        <x:v>Super Foo World -1</x:v>
      </x:c>
      <x:c r="C1771" t="str">
        <x:v>xhsdf</x:v>
      </x:c>
      <x:c r="D1771" t="n">
        <x:v>9</x:v>
      </x:c>
      <x:c r="E1771" t="str">
        <x:v>Advanced</x:v>
      </x:c>
      <x:c r="F1771" t="str">
        <x:v>Kaizo</x:v>
      </x:c>
      <x:c r="G1771" t="n">
        <x:v>45715</x:v>
      </x:c>
      <x:c r="H1771" t="str">
        <x:v>39471</x:v>
      </x:c>
      <x:c r="I1771" t="str">
        <x:v>https://www.smwcentral.net/?a=details&amp;id=39471&amp;p=section</x:v>
      </x:c>
      <x:c r="J1771" t="str">
        <x:v>https://dl.smwcentral.net/39471/Super%20Foo%20World%20-1.zip</x:v>
      </x:c>
    </x:row>
    <x:row r="1772">
      <x:c r="A1772" t="str">
        <x:v>Super Foo World 0</x:v>
      </x:c>
      <x:c r="B1772" t="str">
        <x:v>Super Foo World 0</x:v>
      </x:c>
      <x:c r="C1772" t="str">
        <x:v>xhsdf</x:v>
      </x:c>
      <x:c r="D1772" t="n">
        <x:v>7</x:v>
      </x:c>
      <x:c r="E1772" t="str">
        <x:v>Expert</x:v>
      </x:c>
      <x:c r="F1772" t="str">
        <x:v>Kaizo</x:v>
      </x:c>
      <x:c r="G1772" t="n">
        <x:v>45162</x:v>
      </x:c>
      <x:c r="H1772" t="str">
        <x:v>34929</x:v>
      </x:c>
      <x:c r="I1772" t="str">
        <x:v>https://www.smwcentral.net/?a=details&amp;id=34929&amp;p=section</x:v>
      </x:c>
      <x:c r="J1772" t="str">
        <x:v>https://dl.smwcentral.net/34929/Super%20Foo%20World%200.zip</x:v>
      </x:c>
    </x:row>
    <x:row r="1773">
      <x:c r="A1773" t="str">
        <x:v>Super Foo World 2</x:v>
      </x:c>
      <x:c r="B1773" t="str">
        <x:v>Super Foo World 2</x:v>
      </x:c>
      <x:c r="C1773" t="str">
        <x:v>xhsdf</x:v>
      </x:c>
      <x:c r="D1773" t="n">
        <x:v>18</x:v>
      </x:c>
      <x:c r="E1773" t="str">
        <x:v>Advanced</x:v>
      </x:c>
      <x:c r="F1773" t="str">
        <x:v>Kaizo</x:v>
      </x:c>
      <x:c r="G1773" t="n">
        <x:v>45117</x:v>
      </x:c>
      <x:c r="H1773" t="str">
        <x:v>34184</x:v>
      </x:c>
      <x:c r="I1773" t="str">
        <x:v>https://www.smwcentral.net/?a=details&amp;id=34184&amp;p=section</x:v>
      </x:c>
      <x:c r="J1773" t="str">
        <x:v>https://dl.smwcentral.net/34184/Super%20Foo%20World%202%20v1.1.zip</x:v>
      </x:c>
    </x:row>
    <x:row r="1774">
      <x:c r="A1774" t="str">
        <x:v>Super Foo World 3</x:v>
      </x:c>
      <x:c r="B1774" t="str">
        <x:v>Super Foo World 3</x:v>
      </x:c>
      <x:c r="C1774" t="str">
        <x:v>xhsdf</x:v>
      </x:c>
      <x:c r="D1774" t="n">
        <x:v>18</x:v>
      </x:c>
      <x:c r="E1774" t="str">
        <x:v>Expert</x:v>
      </x:c>
      <x:c r="F1774" t="str">
        <x:v>Kaizo</x:v>
      </x:c>
      <x:c r="G1774" t="n">
        <x:v>45571</x:v>
      </x:c>
      <x:c r="H1774" t="str">
        <x:v>38458</x:v>
      </x:c>
      <x:c r="I1774" t="str">
        <x:v>https://www.smwcentral.net/?a=details&amp;id=38458&amp;p=section</x:v>
      </x:c>
      <x:c r="J1774" t="str">
        <x:v>https://dl.smwcentral.net/38458/Super%20Foo%20World%203%20v1.1.zip</x:v>
      </x:c>
    </x:row>
    <x:row r="1775">
      <x:c r="A1775" t="str">
        <x:v>Super Foo World Lite</x:v>
      </x:c>
      <x:c r="B1775" t="str">
        <x:v>Super Foo World Lite</x:v>
      </x:c>
      <x:c r="C1775" t="str">
        <x:v>xhsdf</x:v>
      </x:c>
      <x:c r="D1775" t="n">
        <x:v>13</x:v>
      </x:c>
      <x:c r="E1775" t="str">
        <x:v>Expert</x:v>
      </x:c>
      <x:c r="F1775" t="str">
        <x:v>Kaizo</x:v>
      </x:c>
      <x:c r="G1775" t="n">
        <x:v>44732</x:v>
      </x:c>
      <x:c r="H1775" t="str">
        <x:v>31123</x:v>
      </x:c>
      <x:c r="I1775" t="str">
        <x:v>https://www.smwcentral.net/?a=details&amp;id=31123&amp;p=section</x:v>
      </x:c>
      <x:c r="J1775" t="str">
        <x:v>https://dl.smwcentral.net/31123/Super%20Foo%20World%20Lite.zip</x:v>
      </x:c>
    </x:row>
    <x:row r="1776">
      <x:c r="A1776" t="str">
        <x:v>Super Foss World</x:v>
      </x:c>
      <x:c r="B1776" t="str">
        <x:v>Super Foss World</x:v>
      </x:c>
      <x:c r="C1776" t="str">
        <x:v>PangaeaPanga</x:v>
      </x:c>
      <x:c r="D1776" t="n">
        <x:v>22</x:v>
      </x:c>
      <x:c r="E1776" t="str">
        <x:v>Expert</x:v>
      </x:c>
      <x:c r="F1776" t="str">
        <x:v>Kaizo, Puzzle</x:v>
      </x:c>
      <x:c r="G1776" t="n">
        <x:v>42237</x:v>
      </x:c>
      <x:c r="H1776" t="str">
        <x:v>11932</x:v>
      </x:c>
      <x:c r="I1776" t="str">
        <x:v>https://www.smwcentral.net/?a=details&amp;id=11932&amp;p=section</x:v>
      </x:c>
      <x:c r="J1776" t="str">
        <x:v>https://dl.smwcentral.net/11932/Super%20Foss%20World%20v1.31.zip</x:v>
      </x:c>
    </x:row>
    <x:row r="1777">
      <x:c r="A1777" t="str">
        <x:v>Super Fruits 'n Veggies World</x:v>
      </x:c>
      <x:c r="B1777" t="str">
        <x:v>Super Fruits 'n Veggies World</x:v>
      </x:c>
      <x:c r="C1777" t="str">
        <x:v>JeepySol</x:v>
      </x:c>
      <x:c r="D1777" t="n">
        <x:v>21</x:v>
      </x:c>
      <x:c r="E1777" t="str">
        <x:v>Advanced</x:v>
      </x:c>
      <x:c r="F1777" t="str">
        <x:v>Kaizo</x:v>
      </x:c>
      <x:c r="G1777" t="n">
        <x:v>45152</x:v>
      </x:c>
      <x:c r="H1777" t="str">
        <x:v>34846</x:v>
      </x:c>
      <x:c r="I1777" t="str">
        <x:v>https://www.smwcentral.net/?a=details&amp;id=34846&amp;p=section</x:v>
      </x:c>
      <x:c r="J1777" t="str">
        <x:v>https://dl.smwcentral.net/34846/Super%20Fruits%20%27n%20Veggies%20World.zip</x:v>
      </x:c>
    </x:row>
    <x:row r="1778">
      <x:c r="A1778" t="str">
        <x:v>Super Galega World</x:v>
      </x:c>
      <x:c r="B1778" t="str">
        <x:v>Super Galega World</x:v>
      </x:c>
      <x:c r="C1778" t="str">
        <x:v>Rapha2k</x:v>
      </x:c>
      <x:c r="D1778" t="n">
        <x:v>6</x:v>
      </x:c>
      <x:c r="E1778" t="str">
        <x:v>Intermediate</x:v>
      </x:c>
      <x:c r="F1778" t="str">
        <x:v>Kaizo</x:v>
      </x:c>
      <x:c r="G1778" t="n">
        <x:v>45334</x:v>
      </x:c>
      <x:c r="H1778" t="str">
        <x:v>36828</x:v>
      </x:c>
      <x:c r="I1778" t="str">
        <x:v>https://www.smwcentral.net/?a=details&amp;id=36828&amp;p=section</x:v>
      </x:c>
      <x:c r="J1778" t="str">
        <x:v>https://dl.smwcentral.net/36828/Super%20Galega%20World%201.1.zip</x:v>
      </x:c>
    </x:row>
    <x:row r="1779">
      <x:c r="A1779" t="str">
        <x:v>Super germdove World</x:v>
      </x:c>
      <x:c r="B1779" t="str">
        <x:v>Super germdove World</x:v>
      </x:c>
      <x:c r="C1779" t="str">
        <x:v>dobbsworks</x:v>
      </x:c>
      <x:c r="D1779" t="n">
        <x:v>9</x:v>
      </x:c>
      <x:c r="E1779" t="str">
        <x:v>Intermediate</x:v>
      </x:c>
      <x:c r="F1779" t="str">
        <x:v>Kaizo</x:v>
      </x:c>
      <x:c r="G1779" t="n">
        <x:v>44553</x:v>
      </x:c>
      <x:c r="H1779" t="str">
        <x:v>29056</x:v>
      </x:c>
      <x:c r="I1779" t="str">
        <x:v>https://www.smwcentral.net/?a=details&amp;id=29056&amp;p=section</x:v>
      </x:c>
      <x:c r="J1779" t="str">
        <x:v>https://dl.smwcentral.net/29056/Super%20germdove%20World.zip</x:v>
      </x:c>
    </x:row>
    <x:row r="1780">
      <x:c r="A1780" t="str">
        <x:v>Super Ghetto World</x:v>
      </x:c>
      <x:c r="B1780" t="str">
        <x:v>Super Ghetto World</x:v>
      </x:c>
      <x:c r="C1780" t="str">
        <x:v>ghettoyouth</x:v>
      </x:c>
      <x:c r="D1780" t="n">
        <x:v>22</x:v>
      </x:c>
      <x:c r="E1780" t="str">
        <x:v>Casual</x:v>
      </x:c>
      <x:c r="F1780" t="str">
        <x:v>Standard</x:v>
      </x:c>
      <x:c r="G1780" t="n">
        <x:v>42213</x:v>
      </x:c>
      <x:c r="H1780" t="str">
        <x:v>9664</x:v>
      </x:c>
      <x:c r="I1780" t="str">
        <x:v>https://www.smwcentral.net/?a=details&amp;id=9664&amp;p=section</x:v>
      </x:c>
      <x:c r="J1780" t="str">
        <x:v>https://dl.smwcentral.net/9664/Super_Ghettoworld_final.zip</x:v>
      </x:c>
    </x:row>
    <x:row r="1781">
      <x:c r="A1781" t="str">
        <x:v>Super Glitchcat World</x:v>
      </x:c>
      <x:c r="B1781" t="str">
        <x:v>Super Glitchcat World</x:v>
      </x:c>
      <x:c r="C1781" t="str">
        <x:v>NeXuS15</x:v>
      </x:c>
      <x:c r="D1781" t="n">
        <x:v>15</x:v>
      </x:c>
      <x:c r="E1781" t="str">
        <x:v>Expert</x:v>
      </x:c>
      <x:c r="F1781" t="str">
        <x:v>Kaizo</x:v>
      </x:c>
      <x:c r="G1781" t="n">
        <x:v>42812</x:v>
      </x:c>
      <x:c r="H1781" t="str">
        <x:v>15216</x:v>
      </x:c>
      <x:c r="I1781" t="str">
        <x:v>https://www.smwcentral.net/?a=details&amp;id=15216&amp;p=section</x:v>
      </x:c>
      <x:c r="J1781" t="str">
        <x:v>https://dl.smwcentral.net/15216/Super%20Glitchcat%20World.zip</x:v>
      </x:c>
    </x:row>
    <x:row r="1782">
      <x:c r="A1782" t="str">
        <x:v>SUPER Glumper WORLD</x:v>
      </x:c>
      <x:c r="B1782" t="str">
        <x:v>SUPER Glumper WORLD</x:v>
      </x:c>
      <x:c r="C1782" t="str">
        <x:v>Lmao</x:v>
      </x:c>
      <x:c r="D1782" t="n">
        <x:v>5</x:v>
      </x:c>
      <x:c r="E1782" t="str">
        <x:v>Casual</x:v>
      </x:c>
      <x:c r="F1782" t="str">
        <x:v>Standard</x:v>
      </x:c>
      <x:c r="G1782" t="n">
        <x:v>45109</x:v>
      </x:c>
      <x:c r="H1782" t="str">
        <x:v>34189</x:v>
      </x:c>
      <x:c r="I1782" t="str">
        <x:v>https://www.smwcentral.net/?a=details&amp;id=34189&amp;p=section</x:v>
      </x:c>
      <x:c r="J1782" t="str">
        <x:v>https://dl.smwcentral.net/34189/glump.zip</x:v>
      </x:c>
    </x:row>
    <x:row r="1783">
      <x:c r="A1783" t="str">
        <x:v>Super Godly Worl 69</x:v>
      </x:c>
      <x:c r="B1783" t="str">
        <x:v>Super Godly Worl 69</x:v>
      </x:c>
      <x:c r="C1783" t="str">
        <x:v>Godly</x:v>
      </x:c>
      <x:c r="D1783" t="n">
        <x:v>2</x:v>
      </x:c>
      <x:c r="E1783" t="str">
        <x:v>Intermediate</x:v>
      </x:c>
      <x:c r="F1783" t="str">
        <x:v>Standard</x:v>
      </x:c>
      <x:c r="G1783" t="n">
        <x:v>43980</x:v>
      </x:c>
      <x:c r="H1783" t="str">
        <x:v>23156</x:v>
      </x:c>
      <x:c r="I1783" t="str">
        <x:v>https://www.smwcentral.net/?a=details&amp;id=23156&amp;p=section</x:v>
      </x:c>
      <x:c r="J1783" t="str">
        <x:v>https://dl.smwcentral.net/23156/Super%20Godly%20Worl%2069.zip</x:v>
      </x:c>
    </x:row>
    <x:row r="1784">
      <x:c r="A1784" t="str">
        <x:v>Super Goober World</x:v>
      </x:c>
      <x:c r="B1784" t="str">
        <x:v>Super Goober World</x:v>
      </x:c>
      <x:c r="C1784" t="str">
        <x:v>Gumby</x:v>
      </x:c>
      <x:c r="D1784" t="n">
        <x:v>7</x:v>
      </x:c>
      <x:c r="E1784" t="str">
        <x:v>Expert</x:v>
      </x:c>
      <x:c r="F1784" t="str">
        <x:v>Kaizo</x:v>
      </x:c>
      <x:c r="G1784" t="n">
        <x:v>45908</x:v>
      </x:c>
      <x:c r="H1784" t="str">
        <x:v>40585</x:v>
      </x:c>
      <x:c r="I1784" t="str">
        <x:v>https://www.smwcentral.net/?a=details&amp;id=40585&amp;p=section</x:v>
      </x:c>
      <x:c r="J1784" t="str">
        <x:v>https://dl.smwcentral.net/40585/SuperGooberWorld.zip</x:v>
      </x:c>
    </x:row>
    <x:row r="1785">
      <x:c r="A1785" t="str">
        <x:v>Super Gracie World</x:v>
      </x:c>
      <x:c r="B1785" t="str">
        <x:v>Super Gracie World</x:v>
      </x:c>
      <x:c r="C1785" t="str">
        <x:v>white_moth</x:v>
      </x:c>
      <x:c r="D1785" t="n">
        <x:v>14</x:v>
      </x:c>
      <x:c r="E1785" t="str">
        <x:v>Advanced</x:v>
      </x:c>
      <x:c r="F1785" t="str">
        <x:v>Kaizo</x:v>
      </x:c>
      <x:c r="G1785" t="n">
        <x:v>43213</x:v>
      </x:c>
      <x:c r="H1785" t="str">
        <x:v>17395</x:v>
      </x:c>
      <x:c r="I1785" t="str">
        <x:v>https://www.smwcentral.net/?a=details&amp;id=17395&amp;p=section</x:v>
      </x:c>
      <x:c r="J1785" t="str">
        <x:v>https://dl.smwcentral.net/17395/Super%20Gracie%20World%20v1.3.bps.zip</x:v>
      </x:c>
    </x:row>
    <x:row r="1786">
      <x:c r="A1786" t="str">
        <x:v>Super Hacked World</x:v>
      </x:c>
      <x:c r="B1786" t="str">
        <x:v>Super Hacked World</x:v>
      </x:c>
      <x:c r="C1786" t="str">
        <x:v>videolegoboy123</x:v>
      </x:c>
      <x:c r="D1786" t="n">
        <x:v>6</x:v>
      </x:c>
      <x:c r="E1786" t="str">
        <x:v>Casual</x:v>
      </x:c>
      <x:c r="F1786" t="str">
        <x:v>Standard</x:v>
      </x:c>
      <x:c r="G1786" t="n">
        <x:v>42292</x:v>
      </x:c>
      <x:c r="H1786" t="str">
        <x:v>9964</x:v>
      </x:c>
      <x:c r="I1786" t="str">
        <x:v>https://www.smwcentral.net/?a=details&amp;id=9964&amp;p=section</x:v>
      </x:c>
      <x:c r="J1786" t="str">
        <x:v>https://dl.smwcentral.net/9964/Super%20Hacked%20World%20%28V1.1%29%20%5BDemo%20Release%201%5D.zip</x:v>
      </x:c>
    </x:row>
    <x:row r="1787">
      <x:c r="A1787" t="str">
        <x:v>Super Hark Bros</x:v>
      </x:c>
      <x:c r="B1787" t="str">
        <x:v>Super Hark Bros</x:v>
      </x:c>
      <x:c r="C1787" t="str">
        <x:v>ChrisG___</x:v>
      </x:c>
      <x:c r="D1787" t="n">
        <x:v>16</x:v>
      </x:c>
      <x:c r="E1787" t="str">
        <x:v>Advanced</x:v>
      </x:c>
      <x:c r="F1787" t="str">
        <x:v>Kaizo</x:v>
      </x:c>
      <x:c r="G1787" t="n">
        <x:v>43193</x:v>
      </x:c>
      <x:c r="H1787" t="str">
        <x:v>17304</x:v>
      </x:c>
      <x:c r="I1787" t="str">
        <x:v>https://www.smwcentral.net/?a=details&amp;id=17304&amp;p=section</x:v>
      </x:c>
      <x:c r="J1787" t="str">
        <x:v>https://dl.smwcentral.net/17304/Super%20Hark%20Bros%201.21.zip</x:v>
      </x:c>
    </x:row>
    <x:row r="1788">
      <x:c r="A1788" t="str">
        <x:v>Super Hark Bros 2</x:v>
      </x:c>
      <x:c r="B1788" t="str">
        <x:v>Super Hark Bros 2</x:v>
      </x:c>
      <x:c r="C1788" t="str">
        <x:v>ChrisG___</x:v>
      </x:c>
      <x:c r="D1788" t="n">
        <x:v>24</x:v>
      </x:c>
      <x:c r="E1788" t="str">
        <x:v>Expert</x:v>
      </x:c>
      <x:c r="F1788" t="str">
        <x:v>Kaizo</x:v>
      </x:c>
      <x:c r="G1788" t="n">
        <x:v>45276</x:v>
      </x:c>
      <x:c r="H1788" t="str">
        <x:v>35698</x:v>
      </x:c>
      <x:c r="I1788" t="str">
        <x:v>https://www.smwcentral.net/?a=details&amp;id=35698&amp;p=section</x:v>
      </x:c>
      <x:c r="J1788" t="str">
        <x:v>https://dl.smwcentral.net/35698/Super%20Hark%20Bros%202.zip</x:v>
      </x:c>
    </x:row>
    <x:row r="1789">
      <x:c r="A1789" t="str">
        <x:v>Super Herbihalt World</x:v>
      </x:c>
      <x:c r="B1789" t="str">
        <x:v>Super Herbihalt World</x:v>
      </x:c>
      <x:c r="C1789" t="str">
        <x:v>OEO6</x:v>
      </x:c>
      <x:c r="D1789" t="n">
        <x:v>8</x:v>
      </x:c>
      <x:c r="E1789" t="str">
        <x:v>Intermediate</x:v>
      </x:c>
      <x:c r="F1789" t="str">
        <x:v>Standard</x:v>
      </x:c>
      <x:c r="G1789" t="n">
        <x:v>43534</x:v>
      </x:c>
      <x:c r="H1789" t="str">
        <x:v>19280</x:v>
      </x:c>
      <x:c r="I1789" t="str">
        <x:v>https://www.smwcentral.net/?a=details&amp;id=19280&amp;p=section</x:v>
      </x:c>
      <x:c r="J1789" t="str">
        <x:v>https://dl.smwcentral.net/19280/Super%20Herbihalt%20World.zip</x:v>
      </x:c>
    </x:row>
    <x:row r="1790">
      <x:c r="A1790" t="str">
        <x:v>Super Herbihalt World 2</x:v>
      </x:c>
      <x:c r="B1790" t="str">
        <x:v>Super Herbihalt World 2</x:v>
      </x:c>
      <x:c r="C1790" t="str">
        <x:v>OEO6</x:v>
      </x:c>
      <x:c r="D1790" t="n">
        <x:v>8</x:v>
      </x:c>
      <x:c r="E1790" t="str">
        <x:v>Casual</x:v>
      </x:c>
      <x:c r="F1790" t="str">
        <x:v>Standard</x:v>
      </x:c>
      <x:c r="G1790" t="n">
        <x:v>43604</x:v>
      </x:c>
      <x:c r="H1790" t="str">
        <x:v>19661</x:v>
      </x:c>
      <x:c r="I1790" t="str">
        <x:v>https://www.smwcentral.net/?a=details&amp;id=19661&amp;p=section</x:v>
      </x:c>
      <x:c r="J1790" t="str">
        <x:v>https://dl.smwcentral.net/19661/Super%20Herbihalt%20World%202.zip</x:v>
      </x:c>
    </x:row>
    <x:row r="1791">
      <x:c r="A1791" t="str">
        <x:v>Super Herbihalt World 3</x:v>
      </x:c>
      <x:c r="B1791" t="str">
        <x:v>Super Herbihalt World 3</x:v>
      </x:c>
      <x:c r="C1791" t="str">
        <x:v>OEO6</x:v>
      </x:c>
      <x:c r="D1791" t="n">
        <x:v>8</x:v>
      </x:c>
      <x:c r="E1791" t="str">
        <x:v>Intermediate</x:v>
      </x:c>
      <x:c r="F1791" t="str">
        <x:v>Standard</x:v>
      </x:c>
      <x:c r="G1791" t="n">
        <x:v>43784</x:v>
      </x:c>
      <x:c r="H1791" t="str">
        <x:v>21337</x:v>
      </x:c>
      <x:c r="I1791" t="str">
        <x:v>https://www.smwcentral.net/?a=details&amp;id=21337&amp;p=section</x:v>
      </x:c>
      <x:c r="J1791" t="str">
        <x:v>https://dl.smwcentral.net/21337/Super%20Herbihalt%20World%203%20%2820102019%29.zip</x:v>
      </x:c>
    </x:row>
    <x:row r="1792">
      <x:c r="A1792" t="str">
        <x:v>Super Huh World</x:v>
      </x:c>
      <x:c r="B1792" t="str">
        <x:v>Super Huh World</x:v>
      </x:c>
      <x:c r="C1792" t="str">
        <x:v>SolveForX</x:v>
      </x:c>
      <x:c r="D1792" t="n">
        <x:v>6</x:v>
      </x:c>
      <x:c r="E1792" t="str">
        <x:v>Master</x:v>
      </x:c>
      <x:c r="F1792" t="str">
        <x:v>Kaizo</x:v>
      </x:c>
      <x:c r="G1792" t="n">
        <x:v>45125</x:v>
      </x:c>
      <x:c r="H1792" t="str">
        <x:v>34151</x:v>
      </x:c>
      <x:c r="I1792" t="str">
        <x:v>https://www.smwcentral.net/?a=details&amp;id=34151&amp;p=section</x:v>
      </x:c>
      <x:c r="J1792" t="str">
        <x:v>https://dl.smwcentral.net/34151/superHuhWorld.zip</x:v>
      </x:c>
    </x:row>
    <x:row r="1793">
      <x:c r="A1793" t="str">
        <x:v>Super Husky World</x:v>
      </x:c>
      <x:c r="B1793" t="str">
        <x:v>Super Husky World</x:v>
      </x:c>
      <x:c r="C1793" t="str">
        <x:v>Daffoxy</x:v>
      </x:c>
      <x:c r="D1793" t="n">
        <x:v>12</x:v>
      </x:c>
      <x:c r="E1793" t="str">
        <x:v>Advanced</x:v>
      </x:c>
      <x:c r="F1793" t="str">
        <x:v>Kaizo</x:v>
      </x:c>
      <x:c r="G1793" t="n">
        <x:v>44481</x:v>
      </x:c>
      <x:c r="H1793" t="str">
        <x:v>28570</x:v>
      </x:c>
      <x:c r="I1793" t="str">
        <x:v>https://www.smwcentral.net/?a=details&amp;id=28570&amp;p=section</x:v>
      </x:c>
      <x:c r="J1793" t="str">
        <x:v>https://dl.smwcentral.net/28570/Super_Husky_World_1.1.zip</x:v>
      </x:c>
    </x:row>
    <x:row r="1794">
      <x:c r="A1794" t="str">
        <x:v>Super Husky World 2</x:v>
      </x:c>
      <x:c r="B1794" t="str">
        <x:v>Super Husky World 2</x:v>
      </x:c>
      <x:c r="C1794" t="str">
        <x:v>Daffoxy</x:v>
      </x:c>
      <x:c r="D1794" t="n">
        <x:v>15</x:v>
      </x:c>
      <x:c r="E1794" t="str">
        <x:v>Advanced</x:v>
      </x:c>
      <x:c r="F1794" t="str">
        <x:v>Kaizo</x:v>
      </x:c>
      <x:c r="G1794" t="n">
        <x:v>44944</x:v>
      </x:c>
      <x:c r="H1794" t="str">
        <x:v>32933</x:v>
      </x:c>
      <x:c r="I1794" t="str">
        <x:v>https://www.smwcentral.net/?a=details&amp;id=32933&amp;p=section</x:v>
      </x:c>
      <x:c r="J1794" t="str">
        <x:v>https://dl.smwcentral.net/32933/Super_Husky_World2v1.2.zip</x:v>
      </x:c>
    </x:row>
    <x:row r="1795">
      <x:c r="A1795" t="str">
        <x:v>Super I Will Make One Level a Day Until Doopu Publishes SHINE World</x:v>
      </x:c>
      <x:c r="B1795" t="str">
        <x:v>Super I Will Make One Level a Day Until Doopu Publishes SHINE World</x:v>
      </x:c>
      <x:c r="C1795" t="str">
        <x:v>EvilAdmiralKivi</x:v>
      </x:c>
      <x:c r="D1795" t="n">
        <x:v>14</x:v>
      </x:c>
      <x:c r="E1795" t="str">
        <x:v>Expert</x:v>
      </x:c>
      <x:c r="F1795" t="str">
        <x:v>Kaizo</x:v>
      </x:c>
      <x:c r="G1795" t="n">
        <x:v>45706</x:v>
      </x:c>
      <x:c r="H1795" t="str">
        <x:v>39366</x:v>
      </x:c>
      <x:c r="I1795" t="str">
        <x:v>https://www.smwcentral.net/?a=details&amp;id=39366&amp;p=section</x:v>
      </x:c>
      <x:c r="J1795" t="str">
        <x:v>https://dl.smwcentral.net/39366/super-iwmoladudps-world_v0.0.6.zip</x:v>
      </x:c>
    </x:row>
    <x:row r="1796">
      <x:c r="A1796" t="str">
        <x:v>Super Impressive World</x:v>
      </x:c>
      <x:c r="B1796" t="str">
        <x:v>Super Impressive World</x:v>
      </x:c>
      <x:c r="C1796" t="str">
        <x:v>Jack Levin</x:v>
      </x:c>
      <x:c r="D1796" t="n">
        <x:v>6</x:v>
      </x:c>
      <x:c r="E1796" t="str">
        <x:v>Newcomer</x:v>
      </x:c>
      <x:c r="F1796" t="str">
        <x:v>Standard</x:v>
      </x:c>
      <x:c r="G1796" t="n">
        <x:v>42236</x:v>
      </x:c>
      <x:c r="H1796" t="str">
        <x:v>9881</x:v>
      </x:c>
      <x:c r="I1796" t="str">
        <x:v>https://www.smwcentral.net/?a=details&amp;id=9881&amp;p=section</x:v>
      </x:c>
      <x:c r="J1796" t="str">
        <x:v>https://dl.smwcentral.net/9881/Super%20impressive%20world.zip</x:v>
      </x:c>
    </x:row>
    <x:row r="1797">
      <x:c r="A1797" t="str">
        <x:v>Super Insecure World</x:v>
      </x:c>
      <x:c r="B1797" t="str">
        <x:v>Super Insecure World</x:v>
      </x:c>
      <x:c r="C1797" t="str">
        <x:v>mmmdoggy</x:v>
      </x:c>
      <x:c r="D1797" t="n">
        <x:v>10</x:v>
      </x:c>
      <x:c r="E1797" t="str">
        <x:v>Advanced</x:v>
      </x:c>
      <x:c r="F1797" t="str">
        <x:v>Kaizo</x:v>
      </x:c>
      <x:c r="G1797" t="n">
        <x:v>45099</x:v>
      </x:c>
      <x:c r="H1797" t="str">
        <x:v>34138</x:v>
      </x:c>
      <x:c r="I1797" t="str">
        <x:v>https://www.smwcentral.net/?a=details&amp;id=34138&amp;p=section</x:v>
      </x:c>
      <x:c r="J1797" t="str">
        <x:v>https://dl.smwcentral.net/34138/Super%20Insecure%20World.zip</x:v>
      </x:c>
    </x:row>
    <x:row r="1798">
      <x:c r="A1798" t="str">
        <x:v>Super interdimensional crossroad world</x:v>
      </x:c>
      <x:c r="B1798" t="str">
        <x:v>Super interdimensional crossroad world</x:v>
      </x:c>
      <x:c r="C1798" t="str">
        <x:v>ageVerrly</x:v>
      </x:c>
      <x:c r="D1798" t="n">
        <x:v>1</x:v>
      </x:c>
      <x:c r="E1798" t="str">
        <x:v>Advanced</x:v>
      </x:c>
      <x:c r="F1798" t="str">
        <x:v>Standard, Kaizo</x:v>
      </x:c>
      <x:c r="G1798" t="n">
        <x:v>44062</x:v>
      </x:c>
      <x:c r="H1798" t="str">
        <x:v>24299</x:v>
      </x:c>
      <x:c r="I1798" t="str">
        <x:v>https://www.smwcentral.net/?a=details&amp;id=24299&amp;p=section</x:v>
      </x:c>
      <x:c r="J1798" t="str">
        <x:v>https://dl.smwcentral.net/24299/crossroad.zip</x:v>
      </x:c>
    </x:row>
    <x:row r="1799">
      <x:c r="A1799" t="str">
        <x:v>Super Irresponsible World</x:v>
      </x:c>
      <x:c r="B1799" t="str">
        <x:v>Super Irresponsible World</x:v>
      </x:c>
      <x:c r="C1799" t="str">
        <x:v>51690</x:v>
      </x:c>
      <x:c r="D1799" t="n">
        <x:v>9</x:v>
      </x:c>
      <x:c r="E1799" t="str">
        <x:v>Master</x:v>
      </x:c>
      <x:c r="F1799" t="str">
        <x:v>Kaizo</x:v>
      </x:c>
      <x:c r="G1799" t="n">
        <x:v>44580</x:v>
      </x:c>
      <x:c r="H1799" t="str">
        <x:v>28880</x:v>
      </x:c>
      <x:c r="I1799" t="str">
        <x:v>https://www.smwcentral.net/?a=details&amp;id=28880&amp;p=section</x:v>
      </x:c>
      <x:c r="J1799" t="str">
        <x:v>https://dl.smwcentral.net/28880/siw_1.1.zip</x:v>
      </x:c>
    </x:row>
    <x:row r="1800">
      <x:c r="A1800" t="str">
        <x:v>Super IsCamden World</x:v>
      </x:c>
      <x:c r="B1800" t="str">
        <x:v>Super IsCamden World</x:v>
      </x:c>
      <x:c r="C1800" t="str">
        <x:v>fancypanda98</x:v>
      </x:c>
      <x:c r="D1800" t="n">
        <x:v>12</x:v>
      </x:c>
      <x:c r="E1800" t="str">
        <x:v>Advanced</x:v>
      </x:c>
      <x:c r="F1800" t="str">
        <x:v>Kaizo</x:v>
      </x:c>
      <x:c r="G1800" t="n">
        <x:v>42729</x:v>
      </x:c>
      <x:c r="H1800" t="str">
        <x:v>14819</x:v>
      </x:c>
      <x:c r="I1800" t="str">
        <x:v>https://www.smwcentral.net/?a=details&amp;id=14819&amp;p=section</x:v>
      </x:c>
      <x:c r="J1800" t="str">
        <x:v>https://dl.smwcentral.net/14819/Super%20IsCamden%20World%20v%201.6.zip</x:v>
      </x:c>
    </x:row>
    <x:row r="1801">
      <x:c r="A1801" t="str">
        <x:v>Super Isikoro Mario World</x:v>
      </x:c>
      <x:c r="B1801" t="str">
        <x:v>Super Isikoro Mario World</x:v>
      </x:c>
      <x:c r="C1801" t="str">
        <x:v>Isikoro</x:v>
      </x:c>
      <x:c r="D1801" t="n">
        <x:v>116</x:v>
      </x:c>
      <x:c r="E1801" t="str">
        <x:v>Master</x:v>
      </x:c>
      <x:c r="F1801" t="str">
        <x:v>Standard</x:v>
      </x:c>
      <x:c r="G1801" t="n">
        <x:v>45114</x:v>
      </x:c>
      <x:c r="H1801" t="str">
        <x:v>33988</x:v>
      </x:c>
      <x:c r="I1801" t="str">
        <x:v>https://www.smwcentral.net/?a=details&amp;id=33988&amp;p=section</x:v>
      </x:c>
      <x:c r="J1801" t="str">
        <x:v>https://dl.smwcentral.net/33988/IsikoroMario.zip</x:v>
      </x:c>
    </x:row>
    <x:row r="1802">
      <x:c r="A1802" t="str">
        <x:v>Super IzToat World</x:v>
      </x:c>
      <x:c r="B1802" t="str">
        <x:v>Super IzToat World</x:v>
      </x:c>
      <x:c r="C1802" t="str">
        <x:v>Scags</x:v>
      </x:c>
      <x:c r="D1802" t="n">
        <x:v>11</x:v>
      </x:c>
      <x:c r="E1802" t="str">
        <x:v>Advanced</x:v>
      </x:c>
      <x:c r="F1802" t="str">
        <x:v>Kaizo</x:v>
      </x:c>
      <x:c r="G1802" t="n">
        <x:v>45995</x:v>
      </x:c>
      <x:c r="H1802" t="str">
        <x:v>41099</x:v>
      </x:c>
      <x:c r="I1802" t="str">
        <x:v>https://www.smwcentral.net/?a=details&amp;id=41099&amp;p=section</x:v>
      </x:c>
      <x:c r="J1802" t="str">
        <x:v>https://dl.smwcentral.net/41099/IzToat%20World.zip</x:v>
      </x:c>
    </x:row>
    <x:row r="1803">
      <x:c r="A1803" t="str">
        <x:v>Super Jars World</x:v>
      </x:c>
      <x:c r="B1803" t="str">
        <x:v>Super Jars World</x:v>
      </x:c>
      <x:c r="C1803" t="str">
        <x:v>Hwailaluta, JCSII, Mithrillionaire, SpaceGlam, Stucat, djEnby</x:v>
      </x:c>
      <x:c r="D1803" t="n">
        <x:v>20</x:v>
      </x:c>
      <x:c r="E1803" t="str">
        <x:v>Expert</x:v>
      </x:c>
      <x:c r="F1803" t="str">
        <x:v>Standard, Kaizo, Puzzle</x:v>
      </x:c>
      <x:c r="G1803" t="n">
        <x:v>46117</x:v>
      </x:c>
      <x:c r="H1803" t="str">
        <x:v>42097</x:v>
      </x:c>
      <x:c r="I1803" t="str">
        <x:v>https://www.smwcentral.net/?a=details&amp;id=42097&amp;p=section</x:v>
      </x:c>
      <x:c r="J1803" t="str">
        <x:v>https://dl.smwcentral.net/42097/Super%20Jars%20World.zip</x:v>
      </x:c>
    </x:row>
    <x:row r="1804">
      <x:c r="A1804" t="str">
        <x:v>Super Joe Bros 3</x:v>
      </x:c>
      <x:c r="B1804" t="str">
        <x:v>Super Joe Bros 3</x:v>
      </x:c>
      <x:c r="C1804" t="str">
        <x:v>NBSpider, Resnov23, The Voipah, Wolfguy423</x:v>
      </x:c>
      <x:c r="D1804" t="n">
        <x:v>23</x:v>
      </x:c>
      <x:c r="E1804" t="str">
        <x:v>Advanced</x:v>
      </x:c>
      <x:c r="F1804" t="str">
        <x:v>Kaizo</x:v>
      </x:c>
      <x:c r="G1804" t="n">
        <x:v>45203</x:v>
      </x:c>
      <x:c r="H1804" t="str">
        <x:v>35025</x:v>
      </x:c>
      <x:c r="I1804" t="str">
        <x:v>https://www.smwcentral.net/?a=details&amp;id=35025&amp;p=section</x:v>
      </x:c>
      <x:c r="J1804" t="str">
        <x:v>https://dl.smwcentral.net/35025/Super%20Joe%20Bros%203%20V1.1.zip</x:v>
      </x:c>
    </x:row>
    <x:row r="1805">
      <x:c r="A1805" t="str">
        <x:v>Super Joe Bros.</x:v>
      </x:c>
      <x:c r="B1805" t="str">
        <x:v>Super Joe Bros.</x:v>
      </x:c>
      <x:c r="C1805" t="str">
        <x:v>Wolfguy423</x:v>
      </x:c>
      <x:c r="D1805" t="n">
        <x:v>12</x:v>
      </x:c>
      <x:c r="E1805" t="str">
        <x:v>Intermediate</x:v>
      </x:c>
      <x:c r="F1805" t="str">
        <x:v>Kaizo</x:v>
      </x:c>
      <x:c r="G1805" t="n">
        <x:v>44318</x:v>
      </x:c>
      <x:c r="H1805" t="str">
        <x:v>26882</x:v>
      </x:c>
      <x:c r="I1805" t="str">
        <x:v>https://www.smwcentral.net/?a=details&amp;id=26882&amp;p=section</x:v>
      </x:c>
      <x:c r="J1805" t="str">
        <x:v>https://dl.smwcentral.net/26882/Super%20Joe%20Bros%20V3.0.zip</x:v>
      </x:c>
    </x:row>
    <x:row r="1806">
      <x:c r="A1806" t="str">
        <x:v>Super Joe Bros. 2</x:v>
      </x:c>
      <x:c r="B1806" t="str">
        <x:v>Super Joe Bros. 2</x:v>
      </x:c>
      <x:c r="C1806" t="str">
        <x:v>Wolfguy423</x:v>
      </x:c>
      <x:c r="D1806" t="n">
        <x:v>21</x:v>
      </x:c>
      <x:c r="E1806" t="str">
        <x:v>Advanced</x:v>
      </x:c>
      <x:c r="F1806" t="str">
        <x:v>Kaizo</x:v>
      </x:c>
      <x:c r="G1806" t="n">
        <x:v>44791</x:v>
      </x:c>
      <x:c r="H1806" t="str">
        <x:v>31836</x:v>
      </x:c>
      <x:c r="I1806" t="str">
        <x:v>https://www.smwcentral.net/?a=details&amp;id=31836&amp;p=section</x:v>
      </x:c>
      <x:c r="J1806" t="str">
        <x:v>https://dl.smwcentral.net/31836/Joe%20Bros%202%20V1.5.zip</x:v>
      </x:c>
    </x:row>
    <x:row r="1807">
      <x:c r="A1807" t="str">
        <x:v>Super Kaizo Nightmare</x:v>
      </x:c>
      <x:c r="B1807" t="str">
        <x:v>Super Kaizo Nightmare</x:v>
      </x:c>
      <x:c r="C1807" t="str">
        <x:v>Anonymous</x:v>
      </x:c>
      <x:c r="D1807" t="n">
        <x:v>8</x:v>
      </x:c>
      <x:c r="E1807" t="str">
        <x:v>Expert</x:v>
      </x:c>
      <x:c r="F1807" t="str">
        <x:v>Kaizo</x:v>
      </x:c>
      <x:c r="G1807" t="n">
        <x:v>45699</x:v>
      </x:c>
      <x:c r="H1807" t="str">
        <x:v>39039</x:v>
      </x:c>
      <x:c r="I1807" t="str">
        <x:v>https://www.smwcentral.net/?a=details&amp;id=39039&amp;p=section</x:v>
      </x:c>
      <x:c r="J1807" t="str">
        <x:v>https://dl.smwcentral.net/39039/SKN.zip</x:v>
      </x:c>
    </x:row>
    <x:row r="1808">
      <x:c r="A1808" t="str">
        <x:v>Super Kamek World</x:v>
      </x:c>
      <x:c r="B1808" t="str">
        <x:v>Super Kamek World</x:v>
      </x:c>
      <x:c r="C1808" t="str">
        <x:v>Zoreo</x:v>
      </x:c>
      <x:c r="D1808" t="n">
        <x:v>31</x:v>
      </x:c>
      <x:c r="E1808" t="str">
        <x:v>Advanced</x:v>
      </x:c>
      <x:c r="F1808" t="str">
        <x:v>Standard</x:v>
      </x:c>
      <x:c r="G1808" t="n">
        <x:v>45278</x:v>
      </x:c>
      <x:c r="H1808" t="str">
        <x:v>35498</x:v>
      </x:c>
      <x:c r="I1808" t="str">
        <x:v>https://www.smwcentral.net/?a=details&amp;id=35498&amp;p=section</x:v>
      </x:c>
      <x:c r="J1808" t="str">
        <x:v>https://dl.smwcentral.net/35498/Kamek%20World.zip</x:v>
      </x:c>
    </x:row>
    <x:row r="1809">
      <x:c r="A1809" t="str">
        <x:v>Super Kekcroc World 2 - A Croc Throughout Time</x:v>
      </x:c>
      <x:c r="B1809" t="str">
        <x:v>Super Kekcroc World 2 - A Croc Throughout Time</x:v>
      </x:c>
      <x:c r="C1809" t="str">
        <x:v>Knucklesfan</x:v>
      </x:c>
      <x:c r="D1809" t="n">
        <x:v>13</x:v>
      </x:c>
      <x:c r="E1809" t="str">
        <x:v>Intermediate</x:v>
      </x:c>
      <x:c r="F1809" t="str">
        <x:v>Standard</x:v>
      </x:c>
      <x:c r="G1809" t="n">
        <x:v>43692</x:v>
      </x:c>
      <x:c r="H1809" t="str">
        <x:v>20773</x:v>
      </x:c>
      <x:c r="I1809" t="str">
        <x:v>https://www.smwcentral.net/?a=details&amp;id=20773&amp;p=section</x:v>
      </x:c>
      <x:c r="J1809" t="str">
        <x:v>https://dl.smwcentral.net/20773/Super%20Kekcroc%20World%202%20A%20Croc%20Throughout%20Time%20Minor%20Update2.zip</x:v>
      </x:c>
    </x:row>
    <x:row r="1810">
      <x:c r="A1810" t="str">
        <x:v>Super Kekcroc World 3</x:v>
      </x:c>
      <x:c r="B1810" t="str">
        <x:v>Super Kekcroc World 3</x:v>
      </x:c>
      <x:c r="C1810" t="str">
        <x:v>Knucklesfan</x:v>
      </x:c>
      <x:c r="D1810" t="n">
        <x:v>12</x:v>
      </x:c>
      <x:c r="E1810" t="str">
        <x:v>Intermediate</x:v>
      </x:c>
      <x:c r="F1810" t="str">
        <x:v>Standard</x:v>
      </x:c>
      <x:c r="G1810" t="n">
        <x:v>44168</x:v>
      </x:c>
      <x:c r="H1810" t="str">
        <x:v>25202</x:v>
      </x:c>
      <x:c r="I1810" t="str">
        <x:v>https://www.smwcentral.net/?a=details&amp;id=25202&amp;p=section</x:v>
      </x:c>
      <x:c r="J1810" t="str">
        <x:v>https://dl.smwcentral.net/25202/Super%20Kekcroc%20World%203%20Ver%201.6.zip</x:v>
      </x:c>
    </x:row>
    <x:row r="1811">
      <x:c r="A1811" t="str">
        <x:v>Super Kekcroc World: Kekcroc in Space</x:v>
      </x:c>
      <x:c r="B1811" t="str">
        <x:v>Super Kekcroc World: Kekcroc in Space</x:v>
      </x:c>
      <x:c r="C1811" t="str">
        <x:v>Knucklesfan</x:v>
      </x:c>
      <x:c r="D1811" t="n">
        <x:v>16</x:v>
      </x:c>
      <x:c r="E1811" t="str">
        <x:v>Intermediate</x:v>
      </x:c>
      <x:c r="F1811" t="str">
        <x:v>Standard</x:v>
      </x:c>
      <x:c r="G1811" t="n">
        <x:v>43301</x:v>
      </x:c>
      <x:c r="H1811" t="str">
        <x:v>17909</x:v>
      </x:c>
      <x:c r="I1811" t="str">
        <x:v>https://www.smwcentral.net/?a=details&amp;id=17909&amp;p=section</x:v>
      </x:c>
      <x:c r="J1811" t="str">
        <x:v>https://dl.smwcentral.net/17909/Super%20Kekcroc%20World%20Official%20Release.zip</x:v>
      </x:c>
    </x:row>
    <x:row r="1812">
      <x:c r="A1812" t="str">
        <x:v>Super Kentucky Bros</x:v>
      </x:c>
      <x:c r="B1812" t="str">
        <x:v>Super Kentucky Bros</x:v>
      </x:c>
      <x:c r="C1812" t="str">
        <x:v>KBF</x:v>
      </x:c>
      <x:c r="D1812" t="n">
        <x:v>17</x:v>
      </x:c>
      <x:c r="E1812" t="str">
        <x:v>Expert</x:v>
      </x:c>
      <x:c r="F1812" t="str">
        <x:v>Kaizo</x:v>
      </x:c>
      <x:c r="G1812" t="n">
        <x:v>43600</x:v>
      </x:c>
      <x:c r="H1812" t="str">
        <x:v>19910</x:v>
      </x:c>
      <x:c r="I1812" t="str">
        <x:v>https://www.smwcentral.net/?a=details&amp;id=19910&amp;p=section</x:v>
      </x:c>
      <x:c r="J1812" t="str">
        <x:v>https://dl.smwcentral.net/19910/SKB1.1.zip</x:v>
      </x:c>
    </x:row>
    <x:row r="1813">
      <x:c r="A1813" t="str">
        <x:v>Super Kilik World</x:v>
      </x:c>
      <x:c r="B1813" t="str">
        <x:v>Super Kilik World</x:v>
      </x:c>
      <x:c r="C1813" t="str">
        <x:v>Kilik</x:v>
      </x:c>
      <x:c r="D1813" t="n">
        <x:v>8</x:v>
      </x:c>
      <x:c r="E1813" t="str">
        <x:v>Casual</x:v>
      </x:c>
      <x:c r="F1813" t="str">
        <x:v>Standard</x:v>
      </x:c>
      <x:c r="G1813" t="n">
        <x:v>42258</x:v>
      </x:c>
      <x:c r="H1813" t="str">
        <x:v>9989</x:v>
      </x:c>
      <x:c r="I1813" t="str">
        <x:v>https://www.smwcentral.net/?a=details&amp;id=9989&amp;p=section</x:v>
      </x:c>
      <x:c r="J1813" t="str">
        <x:v>https://dl.smwcentral.net/9989/Super%20Kilik%20World.zip</x:v>
      </x:c>
    </x:row>
    <x:row r="1814">
      <x:c r="A1814" t="str">
        <x:v>Super Killer World</x:v>
      </x:c>
      <x:c r="B1814" t="str">
        <x:v>Super Killer World</x:v>
      </x:c>
      <x:c r="C1814" t="str">
        <x:v>Wieus96</x:v>
      </x:c>
      <x:c r="D1814" t="n">
        <x:v>13</x:v>
      </x:c>
      <x:c r="E1814" t="str">
        <x:v>Advanced</x:v>
      </x:c>
      <x:c r="F1814" t="str">
        <x:v>Kaizo</x:v>
      </x:c>
      <x:c r="G1814" t="n">
        <x:v>43077</x:v>
      </x:c>
      <x:c r="H1814" t="str">
        <x:v>16725</x:v>
      </x:c>
      <x:c r="I1814" t="str">
        <x:v>https://www.smwcentral.net/?a=details&amp;id=16725&amp;p=section</x:v>
      </x:c>
      <x:c r="J1814" t="str">
        <x:v>https://dl.smwcentral.net/16725/Super%20Killer%20World%201.3.zip</x:v>
      </x:c>
    </x:row>
    <x:row r="1815">
      <x:c r="A1815" t="str">
        <x:v>Super King Jay World</x:v>
      </x:c>
      <x:c r="B1815" t="str">
        <x:v>Super King Jay World</x:v>
      </x:c>
      <x:c r="C1815" t="str">
        <x:v>Hiroki</x:v>
      </x:c>
      <x:c r="D1815" t="n">
        <x:v>14</x:v>
      </x:c>
      <x:c r="E1815" t="str">
        <x:v>Expert</x:v>
      </x:c>
      <x:c r="F1815" t="str">
        <x:v>Kaizo</x:v>
      </x:c>
      <x:c r="G1815" t="n">
        <x:v>45078</x:v>
      </x:c>
      <x:c r="H1815" t="str">
        <x:v>34039</x:v>
      </x:c>
      <x:c r="I1815" t="str">
        <x:v>https://www.smwcentral.net/?a=details&amp;id=34039&amp;p=section</x:v>
      </x:c>
      <x:c r="J1815" t="str">
        <x:v>https://dl.smwcentral.net/34039/SKJWv1.1.zip</x:v>
      </x:c>
    </x:row>
    <x:row r="1816">
      <x:c r="A1816" t="str">
        <x:v>Super Kroeti Kaizo World</x:v>
      </x:c>
      <x:c r="B1816" t="str">
        <x:v>Super Kroeti Kaizo World</x:v>
      </x:c>
      <x:c r="C1816" t="str">
        <x:v>Steffi4689</x:v>
      </x:c>
      <x:c r="D1816" t="n">
        <x:v>14</x:v>
      </x:c>
      <x:c r="E1816" t="str">
        <x:v>Advanced</x:v>
      </x:c>
      <x:c r="F1816" t="str">
        <x:v>Kaizo</x:v>
      </x:c>
      <x:c r="G1816" t="n">
        <x:v>44503</x:v>
      </x:c>
      <x:c r="H1816" t="str">
        <x:v>28658</x:v>
      </x:c>
      <x:c r="I1816" t="str">
        <x:v>https://www.smwcentral.net/?a=details&amp;id=28658&amp;p=section</x:v>
      </x:c>
      <x:c r="J1816" t="str">
        <x:v>https://dl.smwcentral.net/28658/SuperKroetiKaizoWorld.zip</x:v>
      </x:c>
    </x:row>
    <x:row r="1817">
      <x:c r="A1817" t="str">
        <x:v>Super Kuso World</x:v>
      </x:c>
      <x:c r="B1817" t="str">
        <x:v>Super Kuso World</x:v>
      </x:c>
      <x:c r="C1817" t="str">
        <x:v>Volpey</x:v>
      </x:c>
      <x:c r="D1817" t="n">
        <x:v>14</x:v>
      </x:c>
      <x:c r="E1817" t="str">
        <x:v>Master</x:v>
      </x:c>
      <x:c r="F1817" t="str">
        <x:v>Kaizo</x:v>
      </x:c>
      <x:c r="G1817" t="n">
        <x:v>43107</x:v>
      </x:c>
      <x:c r="H1817" t="str">
        <x:v>16700</x:v>
      </x:c>
      <x:c r="I1817" t="str">
        <x:v>https://www.smwcentral.net/?a=details&amp;id=16700&amp;p=section</x:v>
      </x:c>
      <x:c r="J1817" t="str">
        <x:v>https://dl.smwcentral.net/16700/Super%20Kuso%20World.zip</x:v>
      </x:c>
    </x:row>
    <x:row r="1818">
      <x:c r="A1818" t="str">
        <x:v>Super LAME World</x:v>
      </x:c>
      <x:c r="B1818" t="str">
        <x:v>Super LAME World</x:v>
      </x:c>
      <x:c r="C1818" t="str">
        <x:v>Big Brawler</x:v>
      </x:c>
      <x:c r="D1818" t="n">
        <x:v>76</x:v>
      </x:c>
      <x:c r="E1818" t="str">
        <x:v>Newcomer</x:v>
      </x:c>
      <x:c r="F1818" t="str">
        <x:v>Standard</x:v>
      </x:c>
      <x:c r="G1818" t="n">
        <x:v>45822</x:v>
      </x:c>
      <x:c r="H1818" t="str">
        <x:v>39964</x:v>
      </x:c>
      <x:c r="I1818" t="str">
        <x:v>https://www.smwcentral.net/?a=details&amp;id=39964&amp;p=section</x:v>
      </x:c>
      <x:c r="J1818" t="str">
        <x:v>https://dl.smwcentral.net/39964/LAME%201.1.zip</x:v>
      </x:c>
    </x:row>
    <x:row r="1819">
      <x:c r="A1819" t="str">
        <x:v>Super Lani World (Remastered)</x:v>
      </x:c>
      <x:c r="B1819" t="str">
        <x:v>Super Lani World (Remastered)</x:v>
      </x:c>
      <x:c r="C1819" t="str">
        <x:v>Dan2point5</x:v>
      </x:c>
      <x:c r="D1819" t="n">
        <x:v>24</x:v>
      </x:c>
      <x:c r="E1819" t="str">
        <x:v>Expert</x:v>
      </x:c>
      <x:c r="F1819" t="str">
        <x:v>Kaizo</x:v>
      </x:c>
      <x:c r="G1819" t="n">
        <x:v>44318</x:v>
      </x:c>
      <x:c r="H1819" t="str">
        <x:v>26877</x:v>
      </x:c>
      <x:c r="I1819" t="str">
        <x:v>https://www.smwcentral.net/?a=details&amp;id=26877&amp;p=section</x:v>
      </x:c>
      <x:c r="J1819" t="str">
        <x:v>https://dl.smwcentral.net/26877/Super%20Lani%20World.zip</x:v>
      </x:c>
    </x:row>
    <x:row r="1820">
      <x:c r="A1820" t="str">
        <x:v>Super Lani World 2 (Remastered)</x:v>
      </x:c>
      <x:c r="B1820" t="str">
        <x:v>Super Lani World 2 (Remastered)</x:v>
      </x:c>
      <x:c r="C1820" t="str">
        <x:v>Dan2point5</x:v>
      </x:c>
      <x:c r="D1820" t="n">
        <x:v>21</x:v>
      </x:c>
      <x:c r="E1820" t="str">
        <x:v>Expert</x:v>
      </x:c>
      <x:c r="F1820" t="str">
        <x:v>Kaizo</x:v>
      </x:c>
      <x:c r="G1820" t="n">
        <x:v>44343</x:v>
      </x:c>
      <x:c r="H1820" t="str">
        <x:v>27103</x:v>
      </x:c>
      <x:c r="I1820" t="str">
        <x:v>https://www.smwcentral.net/?a=details&amp;id=27103&amp;p=section</x:v>
      </x:c>
      <x:c r="J1820" t="str">
        <x:v>https://dl.smwcentral.net/27103/Super%20Lani%20World%202%20%28Remastered%29.zip</x:v>
      </x:c>
    </x:row>
    <x:row r="1821">
      <x:c r="A1821" t="str">
        <x:v>Super Lani World 3</x:v>
      </x:c>
      <x:c r="B1821" t="str">
        <x:v>Super Lani World 3</x:v>
      </x:c>
      <x:c r="C1821" t="str">
        <x:v>Dan2point5</x:v>
      </x:c>
      <x:c r="D1821" t="n">
        <x:v>35</x:v>
      </x:c>
      <x:c r="E1821" t="str">
        <x:v>Expert</x:v>
      </x:c>
      <x:c r="F1821" t="str">
        <x:v>Kaizo</x:v>
      </x:c>
      <x:c r="G1821" t="n">
        <x:v>45579</x:v>
      </x:c>
      <x:c r="H1821" t="str">
        <x:v>38590</x:v>
      </x:c>
      <x:c r="I1821" t="str">
        <x:v>https://www.smwcentral.net/?a=details&amp;id=38590&amp;p=section</x:v>
      </x:c>
      <x:c r="J1821" t="str">
        <x:v>https://dl.smwcentral.net/38590/Super%20Lani%20World%203%20v1.1.zip</x:v>
      </x:c>
    </x:row>
    <x:row r="1822">
      <x:c r="A1822" t="str">
        <x:v>Super Linkdead World</x:v>
      </x:c>
      <x:c r="B1822" t="str">
        <x:v>Super Linkdead World</x:v>
      </x:c>
      <x:c r="C1822" t="str">
        <x:v>GbreezeSunset</x:v>
      </x:c>
      <x:c r="D1822" t="n">
        <x:v>10</x:v>
      </x:c>
      <x:c r="E1822" t="str">
        <x:v>Master</x:v>
      </x:c>
      <x:c r="F1822" t="str">
        <x:v>Kaizo</x:v>
      </x:c>
      <x:c r="G1822" t="n">
        <x:v>42438</x:v>
      </x:c>
      <x:c r="H1822" t="str">
        <x:v>12923</x:v>
      </x:c>
      <x:c r="I1822" t="str">
        <x:v>https://www.smwcentral.net/?a=details&amp;id=12923&amp;p=section</x:v>
      </x:c>
      <x:c r="J1822" t="str">
        <x:v>https://dl.smwcentral.net/12923/Super%20Linkdead%20World.zip</x:v>
      </x:c>
    </x:row>
    <x:row r="1823">
      <x:c r="A1823" t="str">
        <x:v>Super Linkdeadx Dream</x:v>
      </x:c>
      <x:c r="B1823" t="str">
        <x:v>Super Linkdeadx Dream</x:v>
      </x:c>
      <x:c r="C1823" t="str">
        <x:v>MarioFan1337</x:v>
      </x:c>
      <x:c r="D1823" t="n">
        <x:v>0</x:v>
      </x:c>
      <x:c r="E1823" t="str">
        <x:v>Expert</x:v>
      </x:c>
      <x:c r="F1823" t="str">
        <x:v>Kaizo</x:v>
      </x:c>
      <x:c r="G1823" t="n">
        <x:v>45869</x:v>
      </x:c>
      <x:c r="H1823" t="str">
        <x:v>40178</x:v>
      </x:c>
      <x:c r="I1823" t="str">
        <x:v>https://www.smwcentral.net/?a=details&amp;id=40178&amp;p=section</x:v>
      </x:c>
      <x:c r="J1823" t="str">
        <x:v>https://dl.smwcentral.net/40178/Super%20Linkdeadx%20Dream.zip</x:v>
      </x:c>
    </x:row>
    <x:row r="1824">
      <x:c r="A1824" t="str">
        <x:v>Super Little Miss A.D.D. World</x:v>
      </x:c>
      <x:c r="B1824" t="str">
        <x:v>Super Little Miss A.D.D. World</x:v>
      </x:c>
      <x:c r="C1824" t="str">
        <x:v>AttentionDeficitDad</x:v>
      </x:c>
      <x:c r="D1824" t="n">
        <x:v>83</x:v>
      </x:c>
      <x:c r="E1824" t="str">
        <x:v>Newcomer</x:v>
      </x:c>
      <x:c r="F1824" t="str">
        <x:v>Standard, Kaizo</x:v>
      </x:c>
      <x:c r="G1824" t="n">
        <x:v>44906</x:v>
      </x:c>
      <x:c r="H1824" t="str">
        <x:v>32714</x:v>
      </x:c>
      <x:c r="I1824" t="str">
        <x:v>https://www.smwcentral.net/?a=details&amp;id=32714&amp;p=section</x:v>
      </x:c>
      <x:c r="J1824" t="str">
        <x:v>https://dl.smwcentral.net/32714/Super_Little_Miss_ADD_World_v1_0.zip</x:v>
      </x:c>
    </x:row>
    <x:row r="1825">
      <x:c r="A1825" t="str">
        <x:v>Super Little Miss ADD World DEMO</x:v>
      </x:c>
      <x:c r="B1825" t="str">
        <x:v>Super Little Miss ADD World DEMO</x:v>
      </x:c>
      <x:c r="C1825" t="str">
        <x:v>AttentionDeficitDad</x:v>
      </x:c>
      <x:c r="D1825" t="n">
        <x:v>21</x:v>
      </x:c>
      <x:c r="E1825" t="str">
        <x:v>Newcomer</x:v>
      </x:c>
      <x:c r="F1825" t="str">
        <x:v>Standard</x:v>
      </x:c>
      <x:c r="G1825" t="n">
        <x:v>44599</x:v>
      </x:c>
      <x:c r="H1825" t="str">
        <x:v>29719</x:v>
      </x:c>
      <x:c r="I1825" t="str">
        <x:v>https://www.smwcentral.net/?a=details&amp;id=29719&amp;p=section</x:v>
      </x:c>
      <x:c r="J1825" t="str">
        <x:v>https://dl.smwcentral.net/29719/Super%20Little%20Miss%20ADD%20World%20DEMO%20V1_0.zip</x:v>
      </x:c>
    </x:row>
    <x:row r="1826">
      <x:c r="A1826" t="str">
        <x:v>Super Logic World 1</x:v>
      </x:c>
      <x:c r="B1826" t="str">
        <x:v>Super Logic World 1</x:v>
      </x:c>
      <x:c r="C1826" t="str">
        <x:v>AKKA</x:v>
      </x:c>
      <x:c r="D1826" t="n">
        <x:v>7</x:v>
      </x:c>
      <x:c r="E1826" t="str">
        <x:v>Casual</x:v>
      </x:c>
      <x:c r="F1826" t="str">
        <x:v>Standard</x:v>
      </x:c>
      <x:c r="G1826" t="n">
        <x:v>45145</x:v>
      </x:c>
      <x:c r="H1826" t="str">
        <x:v>34469</x:v>
      </x:c>
      <x:c r="I1826" t="str">
        <x:v>https://www.smwcentral.net/?a=details&amp;id=34469&amp;p=section</x:v>
      </x:c>
      <x:c r="J1826" t="str">
        <x:v>https://dl.smwcentral.net/34469/Super%20Logic%20World%201.zip</x:v>
      </x:c>
    </x:row>
    <x:row r="1827">
      <x:c r="A1827" t="str">
        <x:v>Super LouisDoucet World</x:v>
      </x:c>
      <x:c r="B1827" t="str">
        <x:v>Super LouisDoucet World</x:v>
      </x:c>
      <x:c r="C1827" t="str">
        <x:v>gui</x:v>
      </x:c>
      <x:c r="D1827" t="n">
        <x:v>11</x:v>
      </x:c>
      <x:c r="E1827" t="str">
        <x:v>Expert</x:v>
      </x:c>
      <x:c r="F1827" t="str">
        <x:v>Kaizo</x:v>
      </x:c>
      <x:c r="G1827" t="n">
        <x:v>44692</x:v>
      </x:c>
      <x:c r="H1827" t="str">
        <x:v>30838</x:v>
      </x:c>
      <x:c r="I1827" t="str">
        <x:v>https://www.smwcentral.net/?a=details&amp;id=30838&amp;p=section</x:v>
      </x:c>
      <x:c r="J1827" t="str">
        <x:v>https://dl.smwcentral.net/30838/LOUISFINALE.zip</x:v>
      </x:c>
    </x:row>
    <x:row r="1828">
      <x:c r="A1828" t="str">
        <x:v>Super LouisDoucet World 2</x:v>
      </x:c>
      <x:c r="B1828" t="str">
        <x:v>Super LouisDoucet World 2</x:v>
      </x:c>
      <x:c r="C1828" t="str">
        <x:v>gui</x:v>
      </x:c>
      <x:c r="D1828" t="n">
        <x:v>30</x:v>
      </x:c>
      <x:c r="E1828" t="str">
        <x:v>Master</x:v>
      </x:c>
      <x:c r="F1828" t="str">
        <x:v>Kaizo</x:v>
      </x:c>
      <x:c r="G1828" t="n">
        <x:v>45020</x:v>
      </x:c>
      <x:c r="H1828" t="str">
        <x:v>33563</x:v>
      </x:c>
      <x:c r="I1828" t="str">
        <x:v>https://www.smwcentral.net/?a=details&amp;id=33563&amp;p=section</x:v>
      </x:c>
      <x:c r="J1828" t="str">
        <x:v>https://dl.smwcentral.net/33563/Super%20LouisDoucet%20World%202%20%28v1.1%29.zip</x:v>
      </x:c>
    </x:row>
    <x:row r="1829">
      <x:c r="A1829" t="str">
        <x:v>Super LSG World</x:v>
      </x:c>
      <x:c r="B1829" t="str">
        <x:v>Super LSG World</x:v>
      </x:c>
      <x:c r="C1829" t="str">
        <x:v>Insanit</x:v>
      </x:c>
      <x:c r="D1829" t="n">
        <x:v>15</x:v>
      </x:c>
      <x:c r="E1829" t="str">
        <x:v>Intermediate</x:v>
      </x:c>
      <x:c r="F1829" t="str">
        <x:v>Kaizo</x:v>
      </x:c>
      <x:c r="G1829" t="n">
        <x:v>44238</x:v>
      </x:c>
      <x:c r="H1829" t="str">
        <x:v>26130</x:v>
      </x:c>
      <x:c r="I1829" t="str">
        <x:v>https://www.smwcentral.net/?a=details&amp;id=26130&amp;p=section</x:v>
      </x:c>
      <x:c r="J1829" t="str">
        <x:v>https://dl.smwcentral.net/26130/Super%20LSG%20World%201.2.zip</x:v>
      </x:c>
    </x:row>
    <x:row r="1830">
      <x:c r="A1830" t="str">
        <x:v>Super LSG World (B-Side)</x:v>
      </x:c>
      <x:c r="B1830" t="str">
        <x:v>Super LSG World (B-Side)</x:v>
      </x:c>
      <x:c r="C1830" t="str">
        <x:v>Insanit</x:v>
      </x:c>
      <x:c r="D1830" t="n">
        <x:v>6</x:v>
      </x:c>
      <x:c r="E1830" t="str">
        <x:v>Expert</x:v>
      </x:c>
      <x:c r="F1830" t="str">
        <x:v>Kaizo</x:v>
      </x:c>
      <x:c r="G1830" t="n">
        <x:v>44992</x:v>
      </x:c>
      <x:c r="H1830" t="str">
        <x:v>33322</x:v>
      </x:c>
      <x:c r="I1830" t="str">
        <x:v>https://www.smwcentral.net/?a=details&amp;id=33322&amp;p=section</x:v>
      </x:c>
      <x:c r="J1830" t="str">
        <x:v>https://dl.smwcentral.net/33322/LSGB-Side1.03.zip</x:v>
      </x:c>
    </x:row>
    <x:row r="1831">
      <x:c r="A1831" t="str">
        <x:v>Super Luigi Arcade</x:v>
      </x:c>
      <x:c r="B1831" t="str">
        <x:v>Super Luigi Arcade</x:v>
      </x:c>
      <x:c r="C1831" t="str">
        <x:v>zacmario</x:v>
      </x:c>
      <x:c r="D1831" t="n">
        <x:v>24</x:v>
      </x:c>
      <x:c r="E1831" t="str">
        <x:v>Intermediate</x:v>
      </x:c>
      <x:c r="F1831" t="str">
        <x:v>Standard</x:v>
      </x:c>
      <x:c r="G1831" t="n">
        <x:v>42890</x:v>
      </x:c>
      <x:c r="H1831" t="str">
        <x:v>15639</x:v>
      </x:c>
      <x:c r="I1831" t="str">
        <x:v>https://www.smwcentral.net/?a=details&amp;id=15639&amp;p=section</x:v>
      </x:c>
      <x:c r="J1831" t="str">
        <x:v>https://dl.smwcentral.net/15639/SLA.zip</x:v>
      </x:c>
    </x:row>
    <x:row r="1832">
      <x:c r="A1832" t="str">
        <x:v>Super Luigi Bros: Mystery Of the 7 Jewels</x:v>
      </x:c>
      <x:c r="B1832" t="str">
        <x:v>Super Luigi Bros: Mystery Of the 7 Jewels</x:v>
      </x:c>
      <x:c r="C1832" t="str">
        <x:v>Lexator</x:v>
      </x:c>
      <x:c r="D1832" t="n">
        <x:v>37</x:v>
      </x:c>
      <x:c r="E1832" t="str">
        <x:v>Casual</x:v>
      </x:c>
      <x:c r="F1832" t="str">
        <x:v>Standard</x:v>
      </x:c>
      <x:c r="G1832" t="n">
        <x:v>41599</x:v>
      </x:c>
      <x:c r="H1832" t="str">
        <x:v>5594</x:v>
      </x:c>
      <x:c r="I1832" t="str">
        <x:v>https://www.smwcentral.net/?a=details&amp;id=5594&amp;p=section</x:v>
      </x:c>
      <x:c r="J1832" t="str">
        <x:v>https://dl.smwcentral.net/5594/Super%20Luigi%20Bros%20m7j%20demo2%20%28fixed%29.zip</x:v>
      </x:c>
    </x:row>
    <x:row r="1833">
      <x:c r="A1833" t="str">
        <x:v>Super Luigi Land</x:v>
      </x:c>
      <x:c r="B1833" t="str">
        <x:v>Super Luigi Land</x:v>
      </x:c>
      <x:c r="C1833" t="str">
        <x:v>Gamma V</x:v>
      </x:c>
      <x:c r="D1833" t="n">
        <x:v>108</x:v>
      </x:c>
      <x:c r="E1833" t="str">
        <x:v>Casual</x:v>
      </x:c>
      <x:c r="F1833" t="str">
        <x:v>Standard</x:v>
      </x:c>
      <x:c r="G1833" t="n">
        <x:v>43799</x:v>
      </x:c>
      <x:c r="H1833" t="str">
        <x:v>21515</x:v>
      </x:c>
      <x:c r="I1833" t="str">
        <x:v>https://www.smwcentral.net/?a=details&amp;id=21515&amp;p=section</x:v>
      </x:c>
      <x:c r="J1833" t="str">
        <x:v>https://dl.smwcentral.net/21515/Super%20Luigi%20Land%20Rev.%2011-20-2019.zip</x:v>
      </x:c>
    </x:row>
    <x:row r="1834">
      <x:c r="A1834" t="str">
        <x:v>Super Luigi Land 2</x:v>
      </x:c>
      <x:c r="B1834" t="str">
        <x:v>Super Luigi Land 2</x:v>
      </x:c>
      <x:c r="C1834" t="str">
        <x:v>Gamma V</x:v>
      </x:c>
      <x:c r="D1834" t="n">
        <x:v>64</x:v>
      </x:c>
      <x:c r="E1834" t="str">
        <x:v>Casual</x:v>
      </x:c>
      <x:c r="F1834" t="str">
        <x:v>Standard</x:v>
      </x:c>
      <x:c r="G1834" t="n">
        <x:v>46066</x:v>
      </x:c>
      <x:c r="H1834" t="str">
        <x:v>41555</x:v>
      </x:c>
      <x:c r="I1834" t="str">
        <x:v>https://www.smwcentral.net/?a=details&amp;id=41555&amp;p=section</x:v>
      </x:c>
      <x:c r="J1834" t="str">
        <x:v>https://dl.smwcentral.net/41555/SLL2%20NewIntro.zip</x:v>
      </x:c>
    </x:row>
    <x:row r="1835">
      <x:c r="A1835" t="str">
        <x:v>Super Luigi RPG World</x:v>
      </x:c>
      <x:c r="B1835" t="str">
        <x:v>Super Luigi RPG World</x:v>
      </x:c>
      <x:c r="C1835" t="str">
        <x:v>Luigi</x:v>
      </x:c>
      <x:c r="D1835" t="n">
        <x:v>5</x:v>
      </x:c>
      <x:c r="E1835" t="str">
        <x:v>Intermediate</x:v>
      </x:c>
      <x:c r="F1835" t="str">
        <x:v>Standard</x:v>
      </x:c>
      <x:c r="G1835" t="n">
        <x:v>42062</x:v>
      </x:c>
      <x:c r="H1835" t="str">
        <x:v>9753</x:v>
      </x:c>
      <x:c r="I1835" t="str">
        <x:v>https://www.smwcentral.net/?a=details&amp;id=9753&amp;p=section</x:v>
      </x:c>
      <x:c r="J1835" t="str">
        <x:v>https://dl.smwcentral.net/9753/SLRPGW%20%28Demo%201%29.zip</x:v>
      </x:c>
    </x:row>
    <x:row r="1836">
      <x:c r="A1836" t="str">
        <x:v>Super Luigi World 0.5</x:v>
      </x:c>
      <x:c r="B1836" t="str">
        <x:v>Super Luigi World 0.5</x:v>
      </x:c>
      <x:c r="C1836" t="str">
        <x:v>Dark Prince, Gamma V, The Cursed Goomba, h.carrell</x:v>
      </x:c>
      <x:c r="D1836" t="n">
        <x:v>24</x:v>
      </x:c>
      <x:c r="E1836" t="str">
        <x:v>Intermediate</x:v>
      </x:c>
      <x:c r="F1836" t="str">
        <x:v>Standard</x:v>
      </x:c>
      <x:c r="G1836" t="n">
        <x:v>45285</x:v>
      </x:c>
      <x:c r="H1836" t="str">
        <x:v>35747</x:v>
      </x:c>
      <x:c r="I1836" t="str">
        <x:v>https://www.smwcentral.net/?a=details&amp;id=35747&amp;p=section</x:v>
      </x:c>
      <x:c r="J1836" t="str">
        <x:v>https://dl.smwcentral.net/35747/slw0.5_w2_demo%20v0.5.zip</x:v>
      </x:c>
    </x:row>
    <x:row r="1837">
      <x:c r="A1837" t="str">
        <x:v>Super Luigi World DELUXE</x:v>
      </x:c>
      <x:c r="B1837" t="str">
        <x:v>Super Luigi World DELUXE</x:v>
      </x:c>
      <x:c r="C1837" t="str">
        <x:v>SMW Miguelix</x:v>
      </x:c>
      <x:c r="D1837" t="n">
        <x:v>34</x:v>
      </x:c>
      <x:c r="E1837" t="str">
        <x:v>Casual</x:v>
      </x:c>
      <x:c r="F1837" t="str">
        <x:v>Standard</x:v>
      </x:c>
      <x:c r="G1837" t="n">
        <x:v>45897</x:v>
      </x:c>
      <x:c r="H1837" t="str">
        <x:v>40430</x:v>
      </x:c>
      <x:c r="I1837" t="str">
        <x:v>https://www.smwcentral.net/?a=details&amp;id=40430&amp;p=section</x:v>
      </x:c>
      <x:c r="J1837" t="str">
        <x:v>https://dl.smwcentral.net/40430/SuperLuigiWorldDeluxe.zip</x:v>
      </x:c>
    </x:row>
    <x:row r="1838">
      <x:c r="A1838" t="str">
        <x:v>Super Luigi World: Luigi's Fantastic Dream</x:v>
      </x:c>
      <x:c r="B1838" t="str">
        <x:v>Super Luigi World: Luigi's Fantastic Dream</x:v>
      </x:c>
      <x:c r="C1838" t="str">
        <x:v>Magi</x:v>
      </x:c>
      <x:c r="D1838" t="n">
        <x:v>18</x:v>
      </x:c>
      <x:c r="E1838" t="str">
        <x:v>Intermediate</x:v>
      </x:c>
      <x:c r="F1838" t="str">
        <x:v>Standard</x:v>
      </x:c>
      <x:c r="G1838" t="n">
        <x:v>42130</x:v>
      </x:c>
      <x:c r="H1838" t="str">
        <x:v>10049</x:v>
      </x:c>
      <x:c r="I1838" t="str">
        <x:v>https://www.smwcentral.net/?a=details&amp;id=10049&amp;p=section</x:v>
      </x:c>
      <x:c r="J1838" t="str">
        <x:v>https://dl.smwcentral.net/10049/SLWLFD%20demo.zip</x:v>
      </x:c>
    </x:row>
    <x:row r="1839">
      <x:c r="A1839" t="str">
        <x:v>Super Luigi World: Luigi's Quest!</x:v>
      </x:c>
      <x:c r="B1839" t="str">
        <x:v>Super Luigi World: Luigi's Quest!</x:v>
      </x:c>
      <x:c r="C1839" t="str">
        <x:v>Yashum</x:v>
      </x:c>
      <x:c r="D1839" t="n">
        <x:v>96</x:v>
      </x:c>
      <x:c r="E1839" t="str">
        <x:v>Intermediate</x:v>
      </x:c>
      <x:c r="F1839" t="str">
        <x:v>Standard</x:v>
      </x:c>
      <x:c r="G1839" t="n">
        <x:v>42337</x:v>
      </x:c>
      <x:c r="H1839" t="str">
        <x:v>9717</x:v>
      </x:c>
      <x:c r="I1839" t="str">
        <x:v>https://www.smwcentral.net/?a=details&amp;id=9717&amp;p=section</x:v>
      </x:c>
      <x:c r="J1839" t="str">
        <x:v>https://dl.smwcentral.net/9717/Super%20Luigi%20World%20-%20Luigi%27s%20Quest%21.zip</x:v>
      </x:c>
    </x:row>
    <x:row r="1840">
      <x:c r="A1840" t="str">
        <x:v>Super Luigi: King Koopa and the PU</x:v>
      </x:c>
      <x:c r="B1840" t="str">
        <x:v>Super Luigi: King Koopa and the PU</x:v>
      </x:c>
      <x:c r="C1840" t="str">
        <x:v>edgar</x:v>
      </x:c>
      <x:c r="D1840" t="n">
        <x:v>12</x:v>
      </x:c>
      <x:c r="E1840" t="str">
        <x:v>Intermediate</x:v>
      </x:c>
      <x:c r="F1840" t="str">
        <x:v>Standard</x:v>
      </x:c>
      <x:c r="G1840" t="n">
        <x:v>44571</x:v>
      </x:c>
      <x:c r="H1840" t="str">
        <x:v>29309</x:v>
      </x:c>
      <x:c r="I1840" t="str">
        <x:v>https://www.smwcentral.net/?a=details&amp;id=29309&amp;p=section</x:v>
      </x:c>
      <x:c r="J1840" t="str">
        <x:v>https://dl.smwcentral.net/29309/Super%20Luigi%20King%20Koopa%20and%20the%20PU.zip</x:v>
      </x:c>
    </x:row>
    <x:row r="1841">
      <x:c r="A1841" t="str">
        <x:v>Super Luigi: The Regular Quest</x:v>
      </x:c>
      <x:c r="B1841" t="str">
        <x:v>Super Luigi: The Regular Quest</x:v>
      </x:c>
      <x:c r="C1841" t="str">
        <x:v>Blittle McNilsen</x:v>
      </x:c>
      <x:c r="D1841" t="n">
        <x:v>6</x:v>
      </x:c>
      <x:c r="E1841" t="str">
        <x:v>Newcomer</x:v>
      </x:c>
      <x:c r="F1841" t="str">
        <x:v>Standard</x:v>
      </x:c>
      <x:c r="G1841" t="n">
        <x:v>42334</x:v>
      </x:c>
      <x:c r="H1841" t="str">
        <x:v>12758</x:v>
      </x:c>
      <x:c r="I1841" t="str">
        <x:v>https://www.smwcentral.net/?a=details&amp;id=12758&amp;p=section</x:v>
      </x:c>
      <x:c r="J1841" t="str">
        <x:v>https://dl.smwcentral.net/12758/Super%20Luigi%20-%20The%20Regular%20Quest%20DEMO%201.2.zip</x:v>
      </x:c>
    </x:row>
    <x:row r="1842">
      <x:c r="A1842" t="str">
        <x:v>Super Machok World</x:v>
      </x:c>
      <x:c r="B1842" t="str">
        <x:v>Super Machok World</x:v>
      </x:c>
      <x:c r="C1842" t="str">
        <x:v>Kurukururin</x:v>
      </x:c>
      <x:c r="D1842" t="n">
        <x:v>11</x:v>
      </x:c>
      <x:c r="E1842" t="str">
        <x:v>Advanced</x:v>
      </x:c>
      <x:c r="F1842" t="str">
        <x:v>Kaizo</x:v>
      </x:c>
      <x:c r="G1842" t="n">
        <x:v>43305</x:v>
      </x:c>
      <x:c r="H1842" t="str">
        <x:v>17936</x:v>
      </x:c>
      <x:c r="I1842" t="str">
        <x:v>https://www.smwcentral.net/?a=details&amp;id=17936&amp;p=section</x:v>
      </x:c>
      <x:c r="J1842" t="str">
        <x:v>https://dl.smwcentral.net/17936/Super_Machok_World_1.0.zip</x:v>
      </x:c>
    </x:row>
    <x:row r="1843">
      <x:c r="A1843" t="str">
        <x:v>Super Macron World</x:v>
      </x:c>
      <x:c r="B1843" t="str">
        <x:v>Super Macron World</x:v>
      </x:c>
      <x:c r="C1843" t="str">
        <x:v>fanfan21</x:v>
      </x:c>
      <x:c r="D1843" t="n">
        <x:v>4</x:v>
      </x:c>
      <x:c r="E1843" t="str">
        <x:v>Advanced</x:v>
      </x:c>
      <x:c r="F1843" t="str">
        <x:v>Kaizo, Tool-Assisted</x:v>
      </x:c>
      <x:c r="G1843" t="n">
        <x:v>45811</x:v>
      </x:c>
      <x:c r="H1843" t="str">
        <x:v>39777</x:v>
      </x:c>
      <x:c r="I1843" t="str">
        <x:v>https://www.smwcentral.net/?a=details&amp;id=39777&amp;p=section</x:v>
      </x:c>
      <x:c r="J1843" t="str">
        <x:v>https://dl.smwcentral.net/39777/Super%20Macron%20World%20%28Fixed%29.zip</x:v>
      </x:c>
    </x:row>
    <x:row r="1844">
      <x:c r="A1844" t="str">
        <x:v>Super Macron World: Ultra Lite</x:v>
      </x:c>
      <x:c r="B1844" t="str">
        <x:v>Super Macron World: Ultra Lite</x:v>
      </x:c>
      <x:c r="C1844" t="str">
        <x:v>fanfan21</x:v>
      </x:c>
      <x:c r="D1844" t="n">
        <x:v>4</x:v>
      </x:c>
      <x:c r="E1844" t="str">
        <x:v>Intermediate</x:v>
      </x:c>
      <x:c r="F1844" t="str">
        <x:v>Kaizo</x:v>
      </x:c>
      <x:c r="G1844" t="n">
        <x:v>45942</x:v>
      </x:c>
      <x:c r="H1844" t="str">
        <x:v>40742</x:v>
      </x:c>
      <x:c r="I1844" t="str">
        <x:v>https://www.smwcentral.net/?a=details&amp;id=40742&amp;p=section</x:v>
      </x:c>
      <x:c r="J1844" t="str">
        <x:v>https://dl.smwcentral.net/40742/Super%20Macron%20World%20Ultra%20Lite.zip</x:v>
      </x:c>
    </x:row>
    <x:row r="1845">
      <x:c r="A1845" t="str">
        <x:v>Super MADE World</x:v>
      </x:c>
      <x:c r="B1845" t="str">
        <x:v>Super MADE World</x:v>
      </x:c>
      <x:c r="C1845" t="str">
        <x:v>detroitkoza</x:v>
      </x:c>
      <x:c r="D1845" t="n">
        <x:v>10</x:v>
      </x:c>
      <x:c r="E1845" t="str">
        <x:v>Advanced</x:v>
      </x:c>
      <x:c r="F1845" t="str">
        <x:v>Kaizo</x:v>
      </x:c>
      <x:c r="G1845" t="n">
        <x:v>46185</x:v>
      </x:c>
      <x:c r="H1845" t="str">
        <x:v>42519</x:v>
      </x:c>
      <x:c r="I1845" t="str">
        <x:v>https://www.smwcentral.net/?a=details&amp;id=42519&amp;p=section</x:v>
      </x:c>
      <x:c r="J1845" t="str">
        <x:v>https://dl.smwcentral.net/42519/Super%20MADE%20World.zip</x:v>
      </x:c>
    </x:row>
    <x:row r="1846">
      <x:c r="A1846" t="str">
        <x:v>Super Mallow World</x:v>
      </x:c>
      <x:c r="B1846" t="str">
        <x:v>Super Mallow World</x:v>
      </x:c>
      <x:c r="C1846" t="str">
        <x:v>Deakula, FerpyMcFrosting, Flabort, FridayFables, FuryfulFawful, IanBoy, Joe Smo, MarkAlarm, Uzerro, frost_heart</x:v>
      </x:c>
      <x:c r="D1846" t="n">
        <x:v>71</x:v>
      </x:c>
      <x:c r="E1846" t="str">
        <x:v>Intermediate</x:v>
      </x:c>
      <x:c r="F1846" t="str">
        <x:v>Standard</x:v>
      </x:c>
      <x:c r="G1846" t="n">
        <x:v>43140</x:v>
      </x:c>
      <x:c r="H1846" t="str">
        <x:v>17104</x:v>
      </x:c>
      <x:c r="I1846" t="str">
        <x:v>https://www.smwcentral.net/?a=details&amp;id=17104&amp;p=section</x:v>
      </x:c>
      <x:c r="J1846" t="str">
        <x:v>https://dl.smwcentral.net/17104/SuperMallowWorld.zip</x:v>
      </x:c>
    </x:row>
    <x:row r="1847">
      <x:c r="A1847" t="str">
        <x:v>Super Mallow World - Master Quest</x:v>
      </x:c>
      <x:c r="B1847" t="str">
        <x:v>Super Mallow World - Master Quest</x:v>
      </x:c>
      <x:c r="C1847" t="str">
        <x:v>Deakula, FerpyMcFrosting, Flabort, FridayFables, FuryfulFawful, IanBoy, Joe Smo, MarkAlarm, Uzerro, frost_heart</x:v>
      </x:c>
      <x:c r="D1847" t="n">
        <x:v>11</x:v>
      </x:c>
      <x:c r="E1847" t="str">
        <x:v>Master</x:v>
      </x:c>
      <x:c r="F1847" t="str">
        <x:v>Kaizo</x:v>
      </x:c>
      <x:c r="G1847" t="n">
        <x:v>43112</x:v>
      </x:c>
      <x:c r="H1847" t="str">
        <x:v>16893</x:v>
      </x:c>
      <x:c r="I1847" t="str">
        <x:v>https://www.smwcentral.net/?a=details&amp;id=16893&amp;p=section</x:v>
      </x:c>
      <x:c r="J1847" t="str">
        <x:v>https://dl.smwcentral.net/16893/Super_Mallow_World_Master_Quest.zip</x:v>
      </x:c>
    </x:row>
    <x:row r="1848">
      <x:c r="A1848" t="str">
        <x:v>Super Maple World</x:v>
      </x:c>
      <x:c r="B1848" t="str">
        <x:v>Super Maple World</x:v>
      </x:c>
      <x:c r="C1848" t="str">
        <x:v>Letsmangle</x:v>
      </x:c>
      <x:c r="D1848" t="n">
        <x:v>8</x:v>
      </x:c>
      <x:c r="E1848" t="str">
        <x:v>Advanced</x:v>
      </x:c>
      <x:c r="F1848" t="str">
        <x:v>Kaizo</x:v>
      </x:c>
      <x:c r="G1848" t="n">
        <x:v>43849</x:v>
      </x:c>
      <x:c r="H1848" t="str">
        <x:v>21953</x:v>
      </x:c>
      <x:c r="I1848" t="str">
        <x:v>https://www.smwcentral.net/?a=details&amp;id=21953&amp;p=section</x:v>
      </x:c>
      <x:c r="J1848" t="str">
        <x:v>https://dl.smwcentral.net/21953/Super%20Maple%20World%20v1.1.zip</x:v>
      </x:c>
    </x:row>
    <x:row r="1849">
      <x:c r="A1849" t="str">
        <x:v>Super Marina World</x:v>
      </x:c>
      <x:c r="B1849" t="str">
        <x:v>Super Marina World</x:v>
      </x:c>
      <x:c r="C1849" t="str">
        <x:v>kona</x:v>
      </x:c>
      <x:c r="D1849" t="n">
        <x:v>100</x:v>
      </x:c>
      <x:c r="E1849" t="str">
        <x:v>Advanced</x:v>
      </x:c>
      <x:c r="F1849" t="str">
        <x:v>Standard</x:v>
      </x:c>
      <x:c r="G1849" t="n">
        <x:v>43877</x:v>
      </x:c>
      <x:c r="H1849" t="str">
        <x:v>21832</x:v>
      </x:c>
      <x:c r="I1849" t="str">
        <x:v>https://www.smwcentral.net/?a=details&amp;id=21832&amp;p=section</x:v>
      </x:c>
      <x:c r="J1849" t="str">
        <x:v>https://dl.smwcentral.net/21832/SuperMarinaWorldv2.2.zip</x:v>
      </x:c>
    </x:row>
    <x:row r="1850">
      <x:c r="A1850" t="str">
        <x:v>Super Mario (Tentative Title)</x:v>
      </x:c>
      <x:c r="B1850" t="str">
        <x:v>Super Mario (Tentative Title)</x:v>
      </x:c>
      <x:c r="C1850" t="str">
        <x:v>LunarDrake</x:v>
      </x:c>
      <x:c r="D1850" t="n">
        <x:v>7</x:v>
      </x:c>
      <x:c r="E1850" t="str">
        <x:v>Newcomer</x:v>
      </x:c>
      <x:c r="F1850" t="str">
        <x:v>Standard</x:v>
      </x:c>
      <x:c r="G1850" t="n">
        <x:v>41493</x:v>
      </x:c>
      <x:c r="H1850" t="str">
        <x:v>5150</x:v>
      </x:c>
      <x:c r="I1850" t="str">
        <x:v>https://www.smwcentral.net/?a=details&amp;id=5150&amp;p=section</x:v>
      </x:c>
      <x:c r="J1850" t="str">
        <x:v>https://dl.smwcentral.net/5150/supermario.zip</x:v>
      </x:c>
    </x:row>
    <x:row r="1851">
      <x:c r="A1851" t="str">
        <x:v>Super Mario - Bowser's Secret Weapon</x:v>
      </x:c>
      <x:c r="B1851" t="str">
        <x:v>Super Mario - Bowser's Secret Weapon</x:v>
      </x:c>
      <x:c r="C1851" t="str">
        <x:v>Zerio</x:v>
      </x:c>
      <x:c r="D1851" t="n">
        <x:v>7</x:v>
      </x:c>
      <x:c r="E1851" t="str">
        <x:v>Newcomer</x:v>
      </x:c>
      <x:c r="F1851" t="str">
        <x:v>Standard</x:v>
      </x:c>
      <x:c r="G1851" t="n">
        <x:v>42293</x:v>
      </x:c>
      <x:c r="H1851" t="str">
        <x:v>9910</x:v>
      </x:c>
      <x:c r="I1851" t="str">
        <x:v>https://www.smwcentral.net/?a=details&amp;id=9910&amp;p=section</x:v>
      </x:c>
      <x:c r="J1851" t="str">
        <x:v>https://dl.smwcentral.net/9910/Super%20Mario%20-%20Bowser%27s%20Secret%20Weapon%20Demo%201%20By%20Zerio.zip</x:v>
      </x:c>
    </x:row>
    <x:row r="1852">
      <x:c r="A1852" t="str">
        <x:v>Super Mario - Modo Competitivo (Competitive Mode)</x:v>
      </x:c>
      <x:c r="B1852" t="str">
        <x:v>Super Mario - Modo Competitivo (Competitive Mode)</x:v>
      </x:c>
      <x:c r="C1852" t="str">
        <x:v>Leozoppi</x:v>
      </x:c>
      <x:c r="D1852" t="n">
        <x:v>32</x:v>
      </x:c>
      <x:c r="E1852" t="str">
        <x:v>Intermediate</x:v>
      </x:c>
      <x:c r="F1852" t="str">
        <x:v>Standard</x:v>
      </x:c>
      <x:c r="G1852" t="n">
        <x:v>44474</x:v>
      </x:c>
      <x:c r="H1852" t="str">
        <x:v>27968</x:v>
      </x:c>
      <x:c r="I1852" t="str">
        <x:v>https://www.smwcentral.net/?a=details&amp;id=27968&amp;p=section</x:v>
      </x:c>
      <x:c r="J1852" t="str">
        <x:v>https://dl.smwcentral.net/27968/Super%20Mario%20-%20Modo%20Competitivo.zip</x:v>
      </x:c>
    </x:row>
    <x:row r="1853">
      <x:c r="A1853" t="str">
        <x:v>Super Mario - The Ultimate Challenge</x:v>
      </x:c>
      <x:c r="B1853" t="str">
        <x:v>Super Mario - The Ultimate Challenge</x:v>
      </x:c>
      <x:c r="C1853" t="str">
        <x:v>UltimateMeh</x:v>
      </x:c>
      <x:c r="D1853" t="n">
        <x:v>5</x:v>
      </x:c>
      <x:c r="E1853" t="str">
        <x:v>Newcomer</x:v>
      </x:c>
      <x:c r="F1853" t="str">
        <x:v>Standard</x:v>
      </x:c>
      <x:c r="G1853" t="n">
        <x:v>42302</x:v>
      </x:c>
      <x:c r="H1853" t="str">
        <x:v>10053</x:v>
      </x:c>
      <x:c r="I1853" t="str">
        <x:v>https://www.smwcentral.net/?a=details&amp;id=10053&amp;p=section</x:v>
      </x:c>
      <x:c r="J1853" t="str">
        <x:v>https://dl.smwcentral.net/10053/Super%20Mario%20-%20The%20Ultimate%20Challenge%20-%20Demo.zip</x:v>
      </x:c>
    </x:row>
    <x:row r="1854">
      <x:c r="A1854" t="str">
        <x:v>Super Mario 16: The Fall of Yoshi</x:v>
      </x:c>
      <x:c r="B1854" t="str">
        <x:v>Super Mario 16: The Fall of Yoshi</x:v>
      </x:c>
      <x:c r="C1854" t="str">
        <x:v>Alex No</x:v>
      </x:c>
      <x:c r="D1854" t="n">
        <x:v>77</x:v>
      </x:c>
      <x:c r="E1854" t="str">
        <x:v>Casual</x:v>
      </x:c>
      <x:c r="F1854" t="str">
        <x:v>Standard</x:v>
      </x:c>
      <x:c r="G1854" t="n">
        <x:v>45789</x:v>
      </x:c>
      <x:c r="H1854" t="str">
        <x:v>39344</x:v>
      </x:c>
      <x:c r="I1854" t="str">
        <x:v>https://www.smwcentral.net/?a=details&amp;id=39344&amp;p=section</x:v>
      </x:c>
      <x:c r="J1854" t="str">
        <x:v>https://dl.smwcentral.net/39344/Super%20Mario%2016%20The%20Fall%20of%20Yoshi%20v1.54.zip</x:v>
      </x:c>
    </x:row>
    <x:row r="1855">
      <x:c r="A1855" t="str">
        <x:v>Super Mario 2D Land</x:v>
      </x:c>
      <x:c r="B1855" t="str">
        <x:v>Super Mario 2D Land</x:v>
      </x:c>
      <x:c r="C1855" t="str">
        <x:v>Alex No</x:v>
      </x:c>
      <x:c r="D1855" t="n">
        <x:v>87</x:v>
      </x:c>
      <x:c r="E1855" t="str">
        <x:v>Casual</x:v>
      </x:c>
      <x:c r="F1855" t="str">
        <x:v>Standard</x:v>
      </x:c>
      <x:c r="G1855" t="n">
        <x:v>41654</x:v>
      </x:c>
      <x:c r="H1855" t="str">
        <x:v>6068</x:v>
      </x:c>
      <x:c r="I1855" t="str">
        <x:v>https://www.smwcentral.net/?a=details&amp;id=6068&amp;p=section</x:v>
      </x:c>
      <x:c r="J1855" t="str">
        <x:v>https://dl.smwcentral.net/6068/Super%20Mario%202D%20Land%20fix%20Desember%202013.zip</x:v>
      </x:c>
    </x:row>
    <x:row r="1856">
      <x:c r="A1856" t="str">
        <x:v>Super Mario 32 Levels</x:v>
      </x:c>
      <x:c r="B1856" t="str">
        <x:v>Super Mario 32 Levels</x:v>
      </x:c>
      <x:c r="C1856" t="str">
        <x:v>Leozoppi</x:v>
      </x:c>
      <x:c r="D1856" t="n">
        <x:v>31</x:v>
      </x:c>
      <x:c r="E1856" t="str">
        <x:v>Casual</x:v>
      </x:c>
      <x:c r="F1856" t="str">
        <x:v>Standard</x:v>
      </x:c>
      <x:c r="G1856" t="n">
        <x:v>44041</x:v>
      </x:c>
      <x:c r="H1856" t="str">
        <x:v>23339</x:v>
      </x:c>
      <x:c r="I1856" t="str">
        <x:v>https://www.smwcentral.net/?a=details&amp;id=23339&amp;p=section</x:v>
      </x:c>
      <x:c r="J1856" t="str">
        <x:v>https://dl.smwcentral.net/23339/Super%20Mario%2032%20Levels.zip</x:v>
      </x:c>
    </x:row>
    <x:row r="1857">
      <x:c r="A1857" t="str">
        <x:v>Super Mario 32 Levels (R4.0)</x:v>
      </x:c>
      <x:c r="B1857" t="str">
        <x:v>Super Mario 32 Levels (R4.0)</x:v>
      </x:c>
      <x:c r="C1857" t="str">
        <x:v>Leozoppi</x:v>
      </x:c>
      <x:c r="D1857" t="n">
        <x:v>33</x:v>
      </x:c>
      <x:c r="E1857" t="str">
        <x:v>Intermediate</x:v>
      </x:c>
      <x:c r="F1857" t="str">
        <x:v>Standard</x:v>
      </x:c>
      <x:c r="G1857" t="n">
        <x:v>44068</x:v>
      </x:c>
      <x:c r="H1857" t="str">
        <x:v>24103</x:v>
      </x:c>
      <x:c r="I1857" t="str">
        <x:v>https://www.smwcentral.net/?a=details&amp;id=24103&amp;p=section</x:v>
      </x:c>
      <x:c r="J1857" t="str">
        <x:v>https://dl.smwcentral.net/24103/Super%20Mario%2032%20Levels%20%28R4.0%29.zip</x:v>
      </x:c>
    </x:row>
    <x:row r="1858">
      <x:c r="A1858" t="str">
        <x:v>Super Mario 64/4</x:v>
      </x:c>
      <x:c r="B1858" t="str">
        <x:v>Super Mario 64/4</x:v>
      </x:c>
      <x:c r="C1858" t="str">
        <x:v>Jagfillit</x:v>
      </x:c>
      <x:c r="D1858" t="n">
        <x:v>6</x:v>
      </x:c>
      <x:c r="E1858" t="str">
        <x:v>Newcomer</x:v>
      </x:c>
      <x:c r="F1858" t="str">
        <x:v>Standard</x:v>
      </x:c>
      <x:c r="G1858" t="n">
        <x:v>41531</x:v>
      </x:c>
      <x:c r="H1858" t="str">
        <x:v>5267</x:v>
      </x:c>
      <x:c r="I1858" t="str">
        <x:v>https://www.smwcentral.net/?a=details&amp;id=5267&amp;p=section</x:v>
      </x:c>
      <x:c r="J1858" t="str">
        <x:v>https://dl.smwcentral.net/5267/Mario64over4.zip</x:v>
      </x:c>
    </x:row>
    <x:row r="1859">
      <x:c r="A1859" t="str">
        <x:v>Super Mario 96: Adventures in Parallel Land</x:v>
      </x:c>
      <x:c r="B1859" t="str">
        <x:v>Super Mario 96: Adventures in Parallel Land</x:v>
      </x:c>
      <x:c r="C1859" t="str">
        <x:v>K3Blue64</x:v>
      </x:c>
      <x:c r="D1859" t="n">
        <x:v>14</x:v>
      </x:c>
      <x:c r="E1859" t="str">
        <x:v>Newcomer</x:v>
      </x:c>
      <x:c r="F1859" t="str">
        <x:v>Standard</x:v>
      </x:c>
      <x:c r="G1859" t="n">
        <x:v>41648</x:v>
      </x:c>
      <x:c r="H1859" t="str">
        <x:v>6070</x:v>
      </x:c>
      <x:c r="I1859" t="str">
        <x:v>https://www.smwcentral.net/?a=details&amp;id=6070&amp;p=section</x:v>
      </x:c>
      <x:c r="J1859" t="str">
        <x:v>https://dl.smwcentral.net/6070/sm96.zip</x:v>
      </x:c>
    </x:row>
    <x:row r="1860">
      <x:c r="A1860" t="str">
        <x:v>Super Mario Adventure [SMWC #10103]</x:v>
      </x:c>
      <x:c r="B1860" t="str">
        <x:v>Super Mario Adventure</x:v>
      </x:c>
      <x:c r="C1860" t="str">
        <x:v>JVyrn</x:v>
      </x:c>
      <x:c r="D1860" t="n">
        <x:v>0</x:v>
      </x:c>
      <x:c r="E1860" t="str">
        <x:v>Casual</x:v>
      </x:c>
      <x:c r="F1860" t="str">
        <x:v>Standard</x:v>
      </x:c>
      <x:c r="G1860" t="n">
        <x:v>42310</x:v>
      </x:c>
      <x:c r="H1860" t="str">
        <x:v>10103</x:v>
      </x:c>
      <x:c r="I1860" t="str">
        <x:v>https://www.smwcentral.net/?a=details&amp;id=10103&amp;p=section</x:v>
      </x:c>
      <x:c r="J1860" t="str">
        <x:v>https://dl.smwcentral.net/10103/Super%20Mario%20Adventure%20C3%20Fall%202010%20v1.2.zip</x:v>
      </x:c>
    </x:row>
    <x:row r="1861">
      <x:c r="A1861" t="str">
        <x:v>Super Mario Adventure [SMWC #5248]</x:v>
      </x:c>
      <x:c r="B1861" t="str">
        <x:v>Super Mario Adventure</x:v>
      </x:c>
      <x:c r="C1861" t="str">
        <x:v>BlackMageMario</x:v>
      </x:c>
      <x:c r="D1861" t="n">
        <x:v>8</x:v>
      </x:c>
      <x:c r="E1861" t="str">
        <x:v>Newcomer</x:v>
      </x:c>
      <x:c r="F1861" t="str">
        <x:v>Standard</x:v>
      </x:c>
      <x:c r="G1861" t="n">
        <x:v>41544</x:v>
      </x:c>
      <x:c r="H1861" t="str">
        <x:v>5248</x:v>
      </x:c>
      <x:c r="I1861" t="str">
        <x:v>https://www.smwcentral.net/?a=details&amp;id=5248&amp;p=section</x:v>
      </x:c>
      <x:c r="J1861" t="str">
        <x:v>https://dl.smwcentral.net/5248/SMA%20Demo%201.zip</x:v>
      </x:c>
    </x:row>
    <x:row r="1862">
      <x:c r="A1862" t="str">
        <x:v>Super Mario Adventures</x:v>
      </x:c>
      <x:c r="B1862" t="str">
        <x:v>Super Mario Adventures</x:v>
      </x:c>
      <x:c r="C1862" t="str">
        <x:v>xAsianjay</x:v>
      </x:c>
      <x:c r="D1862" t="n">
        <x:v>7</x:v>
      </x:c>
      <x:c r="E1862" t="str">
        <x:v>Casual</x:v>
      </x:c>
      <x:c r="F1862" t="str">
        <x:v>Standard</x:v>
      </x:c>
      <x:c r="G1862" t="n">
        <x:v>41666</x:v>
      </x:c>
      <x:c r="H1862" t="str">
        <x:v>6207</x:v>
      </x:c>
      <x:c r="I1862" t="str">
        <x:v>https://www.smwcentral.net/?a=details&amp;id=6207&amp;p=section</x:v>
      </x:c>
      <x:c r="J1862" t="str">
        <x:v>https://dl.smwcentral.net/6207/Mario%27s%20adventure.zip</x:v>
      </x:c>
    </x:row>
    <x:row r="1863">
      <x:c r="A1863" t="str">
        <x:v>Super Mario and Luigi World: Brotherhood</x:v>
      </x:c>
      <x:c r="B1863" t="str">
        <x:v>Super Mario and Luigi World: Brotherhood</x:v>
      </x:c>
      <x:c r="C1863" t="str">
        <x:v>CircleFriendo</x:v>
      </x:c>
      <x:c r="D1863" t="n">
        <x:v>12</x:v>
      </x:c>
      <x:c r="E1863" t="str">
        <x:v>Intermediate</x:v>
      </x:c>
      <x:c r="F1863" t="str">
        <x:v>Kaizo</x:v>
      </x:c>
      <x:c r="G1863" t="n">
        <x:v>46212</x:v>
      </x:c>
      <x:c r="H1863" t="str">
        <x:v>42669</x:v>
      </x:c>
      <x:c r="I1863" t="str">
        <x:v>https://www.smwcentral.net/?a=details&amp;id=42669&amp;p=section</x:v>
      </x:c>
      <x:c r="J1863" t="str">
        <x:v>https://dl.smwcentral.net/42669/brotherhood.zip</x:v>
      </x:c>
    </x:row>
    <x:row r="1864">
      <x:c r="A1864" t="str">
        <x:v>Super Mario And Super Alli World</x:v>
      </x:c>
      <x:c r="B1864" t="str">
        <x:v>Super Mario And Super Alli World</x:v>
      </x:c>
      <x:c r="C1864" t="str">
        <x:v>RealMarioGamer</x:v>
      </x:c>
      <x:c r="D1864" t="n">
        <x:v>9</x:v>
      </x:c>
      <x:c r="E1864" t="str">
        <x:v>Newcomer</x:v>
      </x:c>
      <x:c r="F1864" t="str">
        <x:v>Standard</x:v>
      </x:c>
      <x:c r="G1864" t="n">
        <x:v>42279</x:v>
      </x:c>
      <x:c r="H1864" t="str">
        <x:v>9702</x:v>
      </x:c>
      <x:c r="I1864" t="str">
        <x:v>https://www.smwcentral.net/?a=details&amp;id=9702&amp;p=section</x:v>
      </x:c>
      <x:c r="J1864" t="str">
        <x:v>https://dl.smwcentral.net/9702/Super%20Mario%20and%20Super%20Alli%20World.zip</x:v>
      </x:c>
    </x:row>
    <x:row r="1865">
      <x:c r="A1865" t="str">
        <x:v>Super Mario and the Cretaceous Castle</x:v>
      </x:c>
      <x:c r="B1865" t="str">
        <x:v>Super Mario and the Cretaceous Castle</x:v>
      </x:c>
      <x:c r="C1865" t="str">
        <x:v>TheStellarstrix</x:v>
      </x:c>
      <x:c r="D1865" t="n">
        <x:v>20</x:v>
      </x:c>
      <x:c r="E1865" t="str">
        <x:v>Expert</x:v>
      </x:c>
      <x:c r="F1865" t="str">
        <x:v>Kaizo</x:v>
      </x:c>
      <x:c r="G1865" t="n">
        <x:v>43631</x:v>
      </x:c>
      <x:c r="H1865" t="str">
        <x:v>20201</x:v>
      </x:c>
      <x:c r="I1865" t="str">
        <x:v>https://www.smwcentral.net/?a=details&amp;id=20201&amp;p=section</x:v>
      </x:c>
      <x:c r="J1865" t="str">
        <x:v>https://dl.smwcentral.net/20201/Super%20Mario%20and%20the%20Cretaceous%20Castle.zip</x:v>
      </x:c>
    </x:row>
    <x:row r="1866">
      <x:c r="A1866" t="str">
        <x:v>Super Mario and the Missing Mushroom Coins</x:v>
      </x:c>
      <x:c r="B1866" t="str">
        <x:v>Super Mario and the Missing Mushroom Coins</x:v>
      </x:c>
      <x:c r="C1866" t="str">
        <x:v>Cellcen</x:v>
      </x:c>
      <x:c r="D1866" t="n">
        <x:v>8</x:v>
      </x:c>
      <x:c r="E1866" t="str">
        <x:v>Intermediate</x:v>
      </x:c>
      <x:c r="F1866" t="str">
        <x:v>Standard</x:v>
      </x:c>
      <x:c r="G1866" t="n">
        <x:v>41541</x:v>
      </x:c>
      <x:c r="H1866" t="str">
        <x:v>5034</x:v>
      </x:c>
      <x:c r="I1866" t="str">
        <x:v>https://www.smwcentral.net/?a=details&amp;id=5034&amp;p=section</x:v>
      </x:c>
      <x:c r="J1866" t="str">
        <x:v>https://dl.smwcentral.net/5034/Super%20Mario%20and%20the%20missing%20Mushroom%20Coins%20Demo%201.zip</x:v>
      </x:c>
    </x:row>
    <x:row r="1867">
      <x:c r="A1867" t="str">
        <x:v>Super Mario and the Undersea Lab</x:v>
      </x:c>
      <x:c r="B1867" t="str">
        <x:v>Super Mario and the Undersea Lab</x:v>
      </x:c>
      <x:c r="C1867" t="str">
        <x:v>Yonowaaru</x:v>
      </x:c>
      <x:c r="D1867" t="n">
        <x:v>7</x:v>
      </x:c>
      <x:c r="E1867" t="str">
        <x:v>Casual</x:v>
      </x:c>
      <x:c r="F1867" t="str">
        <x:v>Standard</x:v>
      </x:c>
      <x:c r="G1867" t="n">
        <x:v>42297</x:v>
      </x:c>
      <x:c r="H1867" t="str">
        <x:v>10130</x:v>
      </x:c>
      <x:c r="I1867" t="str">
        <x:v>https://www.smwcentral.net/?a=details&amp;id=10130&amp;p=section</x:v>
      </x:c>
      <x:c r="J1867" t="str">
        <x:v>https://dl.smwcentral.net/10130/Super%20Mario%20and%20the%20Underwater%20Lab.zip</x:v>
      </x:c>
    </x:row>
    <x:row r="1868">
      <x:c r="A1868" t="str">
        <x:v>Super Mario Another Retro</x:v>
      </x:c>
      <x:c r="B1868" t="str">
        <x:v>Super Mario Another Retro</x:v>
      </x:c>
      <x:c r="C1868" t="str">
        <x:v>Zavok</x:v>
      </x:c>
      <x:c r="D1868" t="n">
        <x:v>70</x:v>
      </x:c>
      <x:c r="E1868" t="str">
        <x:v>Casual</x:v>
      </x:c>
      <x:c r="F1868" t="str">
        <x:v>Standard</x:v>
      </x:c>
      <x:c r="G1868" t="n">
        <x:v>43910</x:v>
      </x:c>
      <x:c r="H1868" t="str">
        <x:v>22012</x:v>
      </x:c>
      <x:c r="I1868" t="str">
        <x:v>https://www.smwcentral.net/?a=details&amp;id=22012&amp;p=section</x:v>
      </x:c>
      <x:c r="J1868" t="str">
        <x:v>https://dl.smwcentral.net/22012/Super%20Mario%20Another%20Retro%20%28Full-version%29.zip</x:v>
      </x:c>
    </x:row>
    <x:row r="1869">
      <x:c r="A1869" t="str">
        <x:v>Super Mario Another Retro 2 (Demo)</x:v>
      </x:c>
      <x:c r="B1869" t="str">
        <x:v>Super Mario Another Retro 2 (Demo)</x:v>
      </x:c>
      <x:c r="C1869" t="str">
        <x:v>Zavok</x:v>
      </x:c>
      <x:c r="D1869" t="n">
        <x:v>19</x:v>
      </x:c>
      <x:c r="E1869" t="str">
        <x:v>Casual</x:v>
      </x:c>
      <x:c r="F1869" t="str">
        <x:v>Standard</x:v>
      </x:c>
      <x:c r="G1869" t="n">
        <x:v>46074</x:v>
      </x:c>
      <x:c r="H1869" t="str">
        <x:v>41602</x:v>
      </x:c>
      <x:c r="I1869" t="str">
        <x:v>https://www.smwcentral.net/?a=details&amp;id=41602&amp;p=section</x:v>
      </x:c>
      <x:c r="J1869" t="str">
        <x:v>https://dl.smwcentral.net/41602/SMAR2%20%28Demo%29.zip</x:v>
      </x:c>
    </x:row>
    <x:row r="1870">
      <x:c r="A1870" t="str">
        <x:v>Super Mario Arbitrium - Demo 2</x:v>
      </x:c>
      <x:c r="B1870" t="str">
        <x:v>Super Mario Arbitrium - Demo 2</x:v>
      </x:c>
      <x:c r="C1870" t="str">
        <x:v>Evernn</x:v>
      </x:c>
      <x:c r="D1870" t="n">
        <x:v>24</x:v>
      </x:c>
      <x:c r="E1870" t="str">
        <x:v>Advanced</x:v>
      </x:c>
      <x:c r="F1870" t="str">
        <x:v>Standard</x:v>
      </x:c>
      <x:c r="G1870" t="n">
        <x:v>45192</x:v>
      </x:c>
      <x:c r="H1870" t="str">
        <x:v>34256</x:v>
      </x:c>
      <x:c r="I1870" t="str">
        <x:v>https://www.smwcentral.net/?a=details&amp;id=34256&amp;p=section</x:v>
      </x:c>
      <x:c r="J1870" t="str">
        <x:v>https://dl.smwcentral.net/34256/Super_Mario_Arbitrium_Demo_2.zip</x:v>
      </x:c>
    </x:row>
    <x:row r="1871">
      <x:c r="A1871" t="str">
        <x:v>Super Mario Arcade</x:v>
      </x:c>
      <x:c r="B1871" t="str">
        <x:v>Super Mario Arcade</x:v>
      </x:c>
      <x:c r="C1871" t="str">
        <x:v>zacmario</x:v>
      </x:c>
      <x:c r="D1871" t="n">
        <x:v>24</x:v>
      </x:c>
      <x:c r="E1871" t="str">
        <x:v>Intermediate</x:v>
      </x:c>
      <x:c r="F1871" t="str">
        <x:v>Standard</x:v>
      </x:c>
      <x:c r="G1871" t="n">
        <x:v>42847</x:v>
      </x:c>
      <x:c r="H1871" t="str">
        <x:v>15456</x:v>
      </x:c>
      <x:c r="I1871" t="str">
        <x:v>https://www.smwcentral.net/?a=details&amp;id=15456&amp;p=section</x:v>
      </x:c>
      <x:c r="J1871" t="str">
        <x:v>https://dl.smwcentral.net/15456/SMAv1.6.zip</x:v>
      </x:c>
    </x:row>
    <x:row r="1872">
      <x:c r="A1872" t="str">
        <x:v>Super Mario Archipelago</x:v>
      </x:c>
      <x:c r="B1872" t="str">
        <x:v>Super Mario Archipelago</x:v>
      </x:c>
      <x:c r="C1872" t="str">
        <x:v>PROMETHEUS</x:v>
      </x:c>
      <x:c r="D1872" t="n">
        <x:v>44</x:v>
      </x:c>
      <x:c r="E1872" t="str">
        <x:v>Intermediate</x:v>
      </x:c>
      <x:c r="F1872" t="str">
        <x:v>Standard</x:v>
      </x:c>
      <x:c r="G1872" t="n">
        <x:v>43861</x:v>
      </x:c>
      <x:c r="H1872" t="str">
        <x:v>21493</x:v>
      </x:c>
      <x:c r="I1872" t="str">
        <x:v>https://www.smwcentral.net/?a=details&amp;id=21493&amp;p=section</x:v>
      </x:c>
      <x:c r="J1872" t="str">
        <x:v>https://dl.smwcentral.net/21493/Super%20Mario%20Archipelago.zip</x:v>
      </x:c>
    </x:row>
    <x:row r="1873">
      <x:c r="A1873" t="str">
        <x:v>Super Mario Aways - Redrawn</x:v>
      </x:c>
      <x:c r="B1873" t="str">
        <x:v>Super Mario Aways - Redrawn</x:v>
      </x:c>
      <x:c r="C1873" t="str">
        <x:v>Mr. MS</x:v>
      </x:c>
      <x:c r="D1873" t="n">
        <x:v>8</x:v>
      </x:c>
      <x:c r="E1873" t="str">
        <x:v>Casual</x:v>
      </x:c>
      <x:c r="F1873" t="str">
        <x:v>Standard</x:v>
      </x:c>
      <x:c r="G1873" t="n">
        <x:v>43155</x:v>
      </x:c>
      <x:c r="H1873" t="str">
        <x:v>17086</x:v>
      </x:c>
      <x:c r="I1873" t="str">
        <x:v>https://www.smwcentral.net/?a=details&amp;id=17086&amp;p=section</x:v>
      </x:c>
      <x:c r="J1873" t="str">
        <x:v>https://dl.smwcentral.net/17086/Super%20Mario%20Aways%20-%20Redrawn.zip</x:v>
      </x:c>
    </x:row>
    <x:row r="1874">
      <x:c r="A1874" t="str">
        <x:v>Super Mario Balloon World</x:v>
      </x:c>
      <x:c r="B1874" t="str">
        <x:v>Super Mario Balloon World</x:v>
      </x:c>
      <x:c r="C1874" t="str">
        <x:v>Blue Leaf</x:v>
      </x:c>
      <x:c r="D1874" t="n">
        <x:v>79</x:v>
      </x:c>
      <x:c r="E1874" t="str">
        <x:v>Advanced</x:v>
      </x:c>
      <x:c r="F1874" t="str">
        <x:v>Standard</x:v>
      </x:c>
      <x:c r="G1874" t="n">
        <x:v>44213</x:v>
      </x:c>
      <x:c r="H1874" t="str">
        <x:v>25840</x:v>
      </x:c>
      <x:c r="I1874" t="str">
        <x:v>https://www.smwcentral.net/?a=details&amp;id=25840&amp;p=section</x:v>
      </x:c>
      <x:c r="J1874" t="str">
        <x:v>https://dl.smwcentral.net/25840/SuperMarioBalloonWorld.zip</x:v>
      </x:c>
    </x:row>
    <x:row r="1875">
      <x:c r="A1875" t="str">
        <x:v>Super Mario Blooper World</x:v>
      </x:c>
      <x:c r="B1875" t="str">
        <x:v>Super Mario Blooper World</x:v>
      </x:c>
      <x:c r="C1875" t="str">
        <x:v>Megaman765</x:v>
      </x:c>
      <x:c r="D1875" t="n">
        <x:v>29</x:v>
      </x:c>
      <x:c r="E1875" t="str">
        <x:v>Casual</x:v>
      </x:c>
      <x:c r="F1875" t="str">
        <x:v>Standard</x:v>
      </x:c>
      <x:c r="G1875" t="n">
        <x:v>42213</x:v>
      </x:c>
      <x:c r="H1875" t="str">
        <x:v>9692</x:v>
      </x:c>
      <x:c r="I1875" t="str">
        <x:v>https://www.smwcentral.net/?a=details&amp;id=9692&amp;p=section</x:v>
      </x:c>
      <x:c r="J1875" t="str">
        <x:v>https://dl.smwcentral.net/9692/Hack.zip</x:v>
      </x:c>
    </x:row>
    <x:row r="1876">
      <x:c r="A1876" t="str">
        <x:v>Super Mario Brain Dead</x:v>
      </x:c>
      <x:c r="B1876" t="str">
        <x:v>Super Mario Brain Dead</x:v>
      </x:c>
      <x:c r="C1876" t="str">
        <x:v>Rock</x:v>
      </x:c>
      <x:c r="D1876" t="n">
        <x:v>17</x:v>
      </x:c>
      <x:c r="E1876" t="str">
        <x:v>Casual</x:v>
      </x:c>
      <x:c r="F1876" t="str">
        <x:v>Standard</x:v>
      </x:c>
      <x:c r="G1876" t="n">
        <x:v>42223</x:v>
      </x:c>
      <x:c r="H1876" t="str">
        <x:v>9830</x:v>
      </x:c>
      <x:c r="I1876" t="str">
        <x:v>https://www.smwcentral.net/?a=details&amp;id=9830&amp;p=section</x:v>
      </x:c>
      <x:c r="J1876" t="str">
        <x:v>https://dl.smwcentral.net/9830/Brain%20Dead.zip</x:v>
      </x:c>
    </x:row>
    <x:row r="1877">
      <x:c r="A1877" t="str">
        <x:v>Super Mario Broken Anomaly: Prototype version</x:v>
      </x:c>
      <x:c r="B1877" t="str">
        <x:v>Super Mario Broken Anomaly: Prototype version</x:v>
      </x:c>
      <x:c r="C1877" t="str">
        <x:v>Airbourne Bubblun</x:v>
      </x:c>
      <x:c r="D1877" t="n">
        <x:v>5</x:v>
      </x:c>
      <x:c r="E1877" t="str">
        <x:v>Newcomer</x:v>
      </x:c>
      <x:c r="F1877" t="str">
        <x:v>Standard</x:v>
      </x:c>
      <x:c r="G1877" t="n">
        <x:v>41528</x:v>
      </x:c>
      <x:c r="H1877" t="str">
        <x:v>5333</x:v>
      </x:c>
      <x:c r="I1877" t="str">
        <x:v>https://www.smwcentral.net/?a=details&amp;id=5333&amp;p=section</x:v>
      </x:c>
      <x:c r="J1877" t="str">
        <x:v>https://dl.smwcentral.net/5333/Super%20Mario%20Broken%20Anomaly.zip</x:v>
      </x:c>
    </x:row>
    <x:row r="1878">
      <x:c r="A1878" t="str">
        <x:v>Super Mario Bros - Merry Mountain Christmas Adventure</x:v>
      </x:c>
      <x:c r="B1878" t="str">
        <x:v>Super Mario Bros - Merry Mountain Christmas Adventure</x:v>
      </x:c>
      <x:c r="C1878" t="str">
        <x:v>Bensalot, Nowieso</x:v>
      </x:c>
      <x:c r="D1878" t="n">
        <x:v>31</x:v>
      </x:c>
      <x:c r="E1878" t="str">
        <x:v>Casual</x:v>
      </x:c>
      <x:c r="F1878" t="str">
        <x:v>Standard</x:v>
      </x:c>
      <x:c r="G1878" t="n">
        <x:v>45333</x:v>
      </x:c>
      <x:c r="H1878" t="str">
        <x:v>35786</x:v>
      </x:c>
      <x:c r="I1878" t="str">
        <x:v>https://www.smwcentral.net/?a=details&amp;id=35786&amp;p=section</x:v>
      </x:c>
      <x:c r="J1878" t="str">
        <x:v>https://dl.smwcentral.net/35786/Super%20Mario%20Bros%20-%20Merry%20Moutaint%20Christmas%20Adventure%20-%20SMW%20Christmas%20Edition%20V3.2.zip</x:v>
      </x:c>
    </x:row>
    <x:row r="1879">
      <x:c r="A1879" t="str">
        <x:v>Super Mario Bros 2 Dream Courses</x:v>
      </x:c>
      <x:c r="B1879" t="str">
        <x:v>Super Mario Bros 2 Dream Courses</x:v>
      </x:c>
      <x:c r="C1879" t="str">
        <x:v>Alex No</x:v>
      </x:c>
      <x:c r="D1879" t="n">
        <x:v>22</x:v>
      </x:c>
      <x:c r="E1879" t="str">
        <x:v>Intermediate</x:v>
      </x:c>
      <x:c r="F1879" t="str">
        <x:v>Standard</x:v>
      </x:c>
      <x:c r="G1879" t="n">
        <x:v>41571</x:v>
      </x:c>
      <x:c r="H1879" t="str">
        <x:v>5400</x:v>
      </x:c>
      <x:c r="I1879" t="str">
        <x:v>https://www.smwcentral.net/?a=details&amp;id=5400&amp;p=section</x:v>
      </x:c>
      <x:c r="J1879" t="str">
        <x:v>https://dl.smwcentral.net/5400/Super%20Mario%20Bros%202%20Dream%20Courses.zip</x:v>
      </x:c>
    </x:row>
    <x:row r="1880">
      <x:c r="A1880" t="str">
        <x:v>Super Mario Bros 2: Mega Mario X</x:v>
      </x:c>
      <x:c r="B1880" t="str">
        <x:v>Super Mario Bros 2: Mega Mario X</x:v>
      </x:c>
      <x:c r="C1880" t="str">
        <x:v>Alex No</x:v>
      </x:c>
      <x:c r="D1880" t="n">
        <x:v>75</x:v>
      </x:c>
      <x:c r="E1880" t="str">
        <x:v>Casual</x:v>
      </x:c>
      <x:c r="F1880" t="str">
        <x:v>Standard</x:v>
      </x:c>
      <x:c r="G1880" t="n">
        <x:v>43271</x:v>
      </x:c>
      <x:c r="H1880" t="str">
        <x:v>17554</x:v>
      </x:c>
      <x:c r="I1880" t="str">
        <x:v>https://www.smwcentral.net/?a=details&amp;id=17554&amp;p=section</x:v>
      </x:c>
      <x:c r="J1880" t="str">
        <x:v>https://dl.smwcentral.net/17554/Super%20Mario%20Bros%202%20Mega%20Mario%20X%20version%201.2.zip</x:v>
      </x:c>
    </x:row>
    <x:row r="1881">
      <x:c r="A1881" t="str">
        <x:v>Super Mario Bros 3 as Dinosaur Land</x:v>
      </x:c>
      <x:c r="B1881" t="str">
        <x:v>Super Mario Bros 3 as Dinosaur Land</x:v>
      </x:c>
      <x:c r="C1881" t="str">
        <x:v>Fento34</x:v>
      </x:c>
      <x:c r="D1881" t="n">
        <x:v>120</x:v>
      </x:c>
      <x:c r="E1881" t="str">
        <x:v>Advanced</x:v>
      </x:c>
      <x:c r="F1881" t="str">
        <x:v>Standard</x:v>
      </x:c>
      <x:c r="G1881" t="n">
        <x:v>46168</x:v>
      </x:c>
      <x:c r="H1881" t="str">
        <x:v>42366</x:v>
      </x:c>
      <x:c r="I1881" t="str">
        <x:v>https://www.smwcentral.net/?a=details&amp;id=42366&amp;p=section</x:v>
      </x:c>
      <x:c r="J1881" t="str">
        <x:v>https://dl.smwcentral.net/42366/SMB3%20as%20Dinosaur%20Land%20v3.4.zip</x:v>
      </x:c>
    </x:row>
    <x:row r="1882">
      <x:c r="A1882" t="str">
        <x:v>Super Mario Bros. - The Castle</x:v>
      </x:c>
      <x:c r="B1882" t="str">
        <x:v>Super Mario Bros. - The Castle</x:v>
      </x:c>
      <x:c r="C1882" t="str">
        <x:v>Lightvayne</x:v>
      </x:c>
      <x:c r="D1882" t="n">
        <x:v>2</x:v>
      </x:c>
      <x:c r="E1882" t="str">
        <x:v>Casual</x:v>
      </x:c>
      <x:c r="F1882" t="str">
        <x:v>Standard</x:v>
      </x:c>
      <x:c r="G1882" t="n">
        <x:v>42209</x:v>
      </x:c>
      <x:c r="H1882" t="str">
        <x:v>9696</x:v>
      </x:c>
      <x:c r="I1882" t="str">
        <x:v>https://www.smwcentral.net/?a=details&amp;id=9696&amp;p=section</x:v>
      </x:c>
      <x:c r="J1882" t="str">
        <x:v>https://dl.smwcentral.net/9696/smbthecastle.zip</x:v>
      </x:c>
    </x:row>
    <x:row r="1883">
      <x:c r="A1883" t="str">
        <x:v>Super Mario Bros. - The Key Of Nightmares</x:v>
      </x:c>
      <x:c r="B1883" t="str">
        <x:v>Super Mario Bros. - The Key Of Nightmares</x:v>
      </x:c>
      <x:c r="C1883" t="str">
        <x:v>Kaeru</x:v>
      </x:c>
      <x:c r="D1883" t="n">
        <x:v>19</x:v>
      </x:c>
      <x:c r="E1883" t="str">
        <x:v>Casual</x:v>
      </x:c>
      <x:c r="F1883" t="str">
        <x:v>Standard</x:v>
      </x:c>
      <x:c r="G1883" t="n">
        <x:v>42221</x:v>
      </x:c>
      <x:c r="H1883" t="str">
        <x:v>9749</x:v>
      </x:c>
      <x:c r="I1883" t="str">
        <x:v>https://www.smwcentral.net/?a=details&amp;id=9749&amp;p=section</x:v>
      </x:c>
      <x:c r="J1883" t="str">
        <x:v>https://dl.smwcentral.net/9749/Super%20Mario%20Bros.%20-%20The%20Key%20Of%20Nightmares.zip</x:v>
      </x:c>
    </x:row>
    <x:row r="1884">
      <x:c r="A1884" t="str">
        <x:v>Super Mario Bros. - The Lost Mario Quest</x:v>
      </x:c>
      <x:c r="B1884" t="str">
        <x:v>Super Mario Bros. - The Lost Mario Quest</x:v>
      </x:c>
      <x:c r="C1884" t="str">
        <x:v>Bullymario</x:v>
      </x:c>
      <x:c r="D1884" t="n">
        <x:v>89</x:v>
      </x:c>
      <x:c r="E1884" t="str">
        <x:v>Intermediate</x:v>
      </x:c>
      <x:c r="F1884" t="str">
        <x:v>Standard</x:v>
      </x:c>
      <x:c r="G1884" t="n">
        <x:v>45364</x:v>
      </x:c>
      <x:c r="H1884" t="str">
        <x:v>37334</x:v>
      </x:c>
      <x:c r="I1884" t="str">
        <x:v>https://www.smwcentral.net/?a=details&amp;id=37334&amp;p=section</x:v>
      </x:c>
      <x:c r="J1884" t="str">
        <x:v>https://dl.smwcentral.net/37334/SMBTLMQ%20v2.2.zip</x:v>
      </x:c>
    </x:row>
    <x:row r="1885">
      <x:c r="A1885" t="str">
        <x:v>Super Mario Bros. - The Seven Wands</x:v>
      </x:c>
      <x:c r="B1885" t="str">
        <x:v>Super Mario Bros. - The Seven Wands</x:v>
      </x:c>
      <x:c r="C1885" t="str">
        <x:v>Dark Bob-Omb</x:v>
      </x:c>
      <x:c r="D1885" t="n">
        <x:v>14</x:v>
      </x:c>
      <x:c r="E1885" t="str">
        <x:v>Casual</x:v>
      </x:c>
      <x:c r="F1885" t="str">
        <x:v>Standard</x:v>
      </x:c>
      <x:c r="G1885" t="n">
        <x:v>42222</x:v>
      </x:c>
      <x:c r="H1885" t="str">
        <x:v>9762</x:v>
      </x:c>
      <x:c r="I1885" t="str">
        <x:v>https://www.smwcentral.net/?a=details&amp;id=9762&amp;p=section</x:v>
      </x:c>
      <x:c r="J1885" t="str">
        <x:v>https://dl.smwcentral.net/9762/Super%20Mario%20Bros.%20-%20The%20Seven%20Wands.zip</x:v>
      </x:c>
    </x:row>
    <x:row r="1886">
      <x:c r="A1886" t="str">
        <x:v>Super Mario Bros. 1X</x:v>
      </x:c>
      <x:c r="B1886" t="str">
        <x:v>Super Mario Bros. 1X</x:v>
      </x:c>
      <x:c r="C1886" t="str">
        <x:v>Koyuki</x:v>
      </x:c>
      <x:c r="D1886" t="n">
        <x:v>66</x:v>
      </x:c>
      <x:c r="E1886" t="str">
        <x:v>Casual</x:v>
      </x:c>
      <x:c r="F1886" t="str">
        <x:v>Standard</x:v>
      </x:c>
      <x:c r="G1886" t="n">
        <x:v>43338</x:v>
      </x:c>
      <x:c r="H1886" t="str">
        <x:v>18086</x:v>
      </x:c>
      <x:c r="I1886" t="str">
        <x:v>https://www.smwcentral.net/?a=details&amp;id=18086&amp;p=section</x:v>
      </x:c>
      <x:c r="J1886" t="str">
        <x:v>https://dl.smwcentral.net/18086/SMB1X%20v1.6.zip</x:v>
      </x:c>
    </x:row>
    <x:row r="1887">
      <x:c r="A1887" t="str">
        <x:v>Super Mario Bros. 2 DX</x:v>
      </x:c>
      <x:c r="B1887" t="str">
        <x:v>Super Mario Bros. 2 DX</x:v>
      </x:c>
      <x:c r="C1887" t="str">
        <x:v>SSM</x:v>
      </x:c>
      <x:c r="D1887" t="n">
        <x:v>24</x:v>
      </x:c>
      <x:c r="E1887" t="str">
        <x:v>Casual</x:v>
      </x:c>
      <x:c r="F1887" t="str">
        <x:v>Standard</x:v>
      </x:c>
      <x:c r="G1887" t="n">
        <x:v>42220</x:v>
      </x:c>
      <x:c r="H1887" t="str">
        <x:v>9682</x:v>
      </x:c>
      <x:c r="I1887" t="str">
        <x:v>https://www.smwcentral.net/?a=details&amp;id=9682&amp;p=section</x:v>
      </x:c>
      <x:c r="J1887" t="str">
        <x:v>https://dl.smwcentral.net/9682/Super%20Mario%20Bros.%202%20DX.zip</x:v>
      </x:c>
    </x:row>
    <x:row r="1888">
      <x:c r="A1888" t="str">
        <x:v>Super Mario Bros. 3 Redrawn</x:v>
      </x:c>
      <x:c r="B1888" t="str">
        <x:v>Super Mario Bros. 3 Redrawn</x:v>
      </x:c>
      <x:c r="C1888" t="str">
        <x:v>ghettoyouth</x:v>
      </x:c>
      <x:c r="D1888" t="n">
        <x:v>0</x:v>
      </x:c>
      <x:c r="E1888" t="str">
        <x:v>Newcomer</x:v>
      </x:c>
      <x:c r="F1888" t="str">
        <x:v>Standard</x:v>
      </x:c>
      <x:c r="G1888" t="n">
        <x:v>42213</x:v>
      </x:c>
      <x:c r="H1888" t="str">
        <x:v>9670</x:v>
      </x:c>
      <x:c r="I1888" t="str">
        <x:v>https://www.smwcentral.net/?a=details&amp;id=9670&amp;p=section</x:v>
      </x:c>
      <x:c r="J1888" t="str">
        <x:v>https://dl.smwcentral.net/9670/SMB3r.zip</x:v>
      </x:c>
    </x:row>
    <x:row r="1889">
      <x:c r="A1889" t="str">
        <x:v>Super Mario Bros. 3 X</x:v>
      </x:c>
      <x:c r="B1889" t="str">
        <x:v>Super Mario Bros. 3 X</x:v>
      </x:c>
      <x:c r="C1889" t="str">
        <x:v>Koyuki</x:v>
      </x:c>
      <x:c r="D1889" t="n">
        <x:v>70</x:v>
      </x:c>
      <x:c r="E1889" t="str">
        <x:v>Casual</x:v>
      </x:c>
      <x:c r="F1889" t="str">
        <x:v>Standard</x:v>
      </x:c>
      <x:c r="G1889" t="n">
        <x:v>41818</x:v>
      </x:c>
      <x:c r="H1889" t="str">
        <x:v>6764</x:v>
      </x:c>
      <x:c r="I1889" t="str">
        <x:v>https://www.smwcentral.net/?a=details&amp;id=6764&amp;p=section</x:v>
      </x:c>
      <x:c r="J1889" t="str">
        <x:v>https://dl.smwcentral.net/6764/SMB3X%20Final%202.6.zip</x:v>
      </x:c>
    </x:row>
    <x:row r="1890">
      <x:c r="A1890" t="str">
        <x:v>Super Mario Bros. 3: Golden</x:v>
      </x:c>
      <x:c r="B1890" t="str">
        <x:v>Super Mario Bros. 3: Golden</x:v>
      </x:c>
      <x:c r="C1890" t="str">
        <x:v>1339</x:v>
      </x:c>
      <x:c r="D1890" t="n">
        <x:v>88</x:v>
      </x:c>
      <x:c r="E1890" t="str">
        <x:v>Casual</x:v>
      </x:c>
      <x:c r="F1890" t="str">
        <x:v>Standard</x:v>
      </x:c>
      <x:c r="G1890" t="n">
        <x:v>42218</x:v>
      </x:c>
      <x:c r="H1890" t="str">
        <x:v>9786</x:v>
      </x:c>
      <x:c r="I1890" t="str">
        <x:v>https://www.smwcentral.net/?a=details&amp;id=9786&amp;p=section</x:v>
      </x:c>
      <x:c r="J1890" t="str">
        <x:v>https://dl.smwcentral.net/9786/smb3.zip</x:v>
      </x:c>
    </x:row>
    <x:row r="1891">
      <x:c r="A1891" t="str">
        <x:v>Super Mario Bros. 3: The Secret Place</x:v>
      </x:c>
      <x:c r="B1891" t="str">
        <x:v>Super Mario Bros. 3: The Secret Place</x:v>
      </x:c>
      <x:c r="C1891" t="str">
        <x:v>Hinalyte</x:v>
      </x:c>
      <x:c r="D1891" t="n">
        <x:v>27</x:v>
      </x:c>
      <x:c r="E1891" t="str">
        <x:v>Intermediate</x:v>
      </x:c>
      <x:c r="F1891" t="str">
        <x:v>Standard</x:v>
      </x:c>
      <x:c r="G1891" t="n">
        <x:v>41690</x:v>
      </x:c>
      <x:c r="H1891" t="str">
        <x:v>6195</x:v>
      </x:c>
      <x:c r="I1891" t="str">
        <x:v>https://www.smwcentral.net/?a=details&amp;id=6195&amp;p=section</x:v>
      </x:c>
      <x:c r="J1891" t="str">
        <x:v>https://dl.smwcentral.net/6195/SMB3TSP%200.5.zip</x:v>
      </x:c>
    </x:row>
    <x:row r="1892">
      <x:c r="A1892" t="str">
        <x:v>Super Mario Bros. 4 - The Mystery Of The Five Stones</x:v>
      </x:c>
      <x:c r="B1892" t="str">
        <x:v>Super Mario Bros. 4 - The Mystery Of The Five Stones</x:v>
      </x:c>
      <x:c r="C1892" t="str">
        <x:v>Lexator</x:v>
      </x:c>
      <x:c r="D1892" t="n">
        <x:v>76</x:v>
      </x:c>
      <x:c r="E1892" t="str">
        <x:v>Casual</x:v>
      </x:c>
      <x:c r="F1892" t="str">
        <x:v>Standard</x:v>
      </x:c>
      <x:c r="G1892" t="n">
        <x:v>42280</x:v>
      </x:c>
      <x:c r="H1892" t="str">
        <x:v>10047</x:v>
      </x:c>
      <x:c r="I1892" t="str">
        <x:v>https://www.smwcentral.net/?a=details&amp;id=10047&amp;p=section</x:v>
      </x:c>
      <x:c r="J1892" t="str">
        <x:v>https://dl.smwcentral.net/10047/smb4.zip.zip</x:v>
      </x:c>
    </x:row>
    <x:row r="1893">
      <x:c r="A1893" t="str">
        <x:v>Super Mario Bros. 4: Super Mario World | Mario and Luigi's Return to The Plains</x:v>
      </x:c>
      <x:c r="B1893" t="str">
        <x:v>Super Mario Bros. 4: Super Mario World | Mario and Luigi's Return to The Plains</x:v>
      </x:c>
      <x:c r="C1893" t="str">
        <x:v>MomentBruh</x:v>
      </x:c>
      <x:c r="D1893" t="n">
        <x:v>18</x:v>
      </x:c>
      <x:c r="E1893" t="str">
        <x:v>Casual</x:v>
      </x:c>
      <x:c r="F1893" t="str">
        <x:v>Standard</x:v>
      </x:c>
      <x:c r="G1893" t="n">
        <x:v>44739</x:v>
      </x:c>
      <x:c r="H1893" t="str">
        <x:v>31151</x:v>
      </x:c>
      <x:c r="I1893" t="str">
        <x:v>https://www.smwcentral.net/?a=details&amp;id=31151&amp;p=section</x:v>
      </x:c>
      <x:c r="J1893" t="str">
        <x:v>https://dl.smwcentral.net/31151/hac.zip</x:v>
      </x:c>
    </x:row>
    <x:row r="1894">
      <x:c r="A1894" t="str">
        <x:v>Super Mario Bros. 5 Reborn</x:v>
      </x:c>
      <x:c r="B1894" t="str">
        <x:v>Super Mario Bros. 5 Reborn</x:v>
      </x:c>
      <x:c r="C1894" t="str">
        <x:v>Gamma V</x:v>
      </x:c>
      <x:c r="D1894" t="n">
        <x:v>85</x:v>
      </x:c>
      <x:c r="E1894" t="str">
        <x:v>Newcomer</x:v>
      </x:c>
      <x:c r="F1894" t="str">
        <x:v>Standard</x:v>
      </x:c>
      <x:c r="G1894" t="n">
        <x:v>42288</x:v>
      </x:c>
      <x:c r="H1894" t="str">
        <x:v>10171</x:v>
      </x:c>
      <x:c r="I1894" t="str">
        <x:v>https://www.smwcentral.net/?a=details&amp;id=10171&amp;p=section</x:v>
      </x:c>
      <x:c r="J1894" t="str">
        <x:v>https://dl.smwcentral.net/10171/SMB5Rv5.zip</x:v>
      </x:c>
    </x:row>
    <x:row r="1895">
      <x:c r="A1895" t="str">
        <x:v>Super Mario Bros. Advance 2 : Super Mario Bros. 3</x:v>
      </x:c>
      <x:c r="B1895" t="str">
        <x:v>Super Mario Bros. Advance 2 : Super Mario Bros. 3</x:v>
      </x:c>
      <x:c r="C1895" t="str">
        <x:v>King Mayro</x:v>
      </x:c>
      <x:c r="D1895" t="n">
        <x:v>10</x:v>
      </x:c>
      <x:c r="E1895" t="str">
        <x:v>Casual</x:v>
      </x:c>
      <x:c r="F1895" t="str">
        <x:v>Standard</x:v>
      </x:c>
      <x:c r="G1895" t="n">
        <x:v>44190</x:v>
      </x:c>
      <x:c r="H1895" t="str">
        <x:v>25236</x:v>
      </x:c>
      <x:c r="I1895" t="str">
        <x:v>https://www.smwcentral.net/?a=details&amp;id=25236&amp;p=section</x:v>
      </x:c>
      <x:c r="J1895" t="str">
        <x:v>https://dl.smwcentral.net/25236/SMBA2%20V1.0.zip</x:v>
      </x:c>
    </x:row>
    <x:row r="1896">
      <x:c r="A1896" t="str">
        <x:v>Super Mario Bros. Chaos</x:v>
      </x:c>
      <x:c r="B1896" t="str">
        <x:v>Super Mario Bros. Chaos</x:v>
      </x:c>
      <x:c r="C1896" t="str">
        <x:v>Koyuki</x:v>
      </x:c>
      <x:c r="D1896" t="n">
        <x:v>8</x:v>
      </x:c>
      <x:c r="E1896" t="str">
        <x:v>Newcomer</x:v>
      </x:c>
      <x:c r="F1896" t="str">
        <x:v>Standard</x:v>
      </x:c>
      <x:c r="G1896" t="n">
        <x:v>41511</x:v>
      </x:c>
      <x:c r="H1896" t="str">
        <x:v>5151</x:v>
      </x:c>
      <x:c r="I1896" t="str">
        <x:v>https://www.smwcentral.net/?a=details&amp;id=5151&amp;p=section</x:v>
      </x:c>
      <x:c r="J1896" t="str">
        <x:v>https://dl.smwcentral.net/5151/SMB%20Chaos%20Demo.zip</x:v>
      </x:c>
    </x:row>
    <x:row r="1897">
      <x:c r="A1897" t="str">
        <x:v>Super Mario Bros. Easter Adventure</x:v>
      </x:c>
      <x:c r="B1897" t="str">
        <x:v>Super Mario Bros. Easter Adventure</x:v>
      </x:c>
      <x:c r="C1897" t="str">
        <x:v>Demonsul</x:v>
      </x:c>
      <x:c r="D1897" t="n">
        <x:v>1</x:v>
      </x:c>
      <x:c r="E1897" t="str">
        <x:v>Newcomer</x:v>
      </x:c>
      <x:c r="F1897" t="str">
        <x:v>Standard</x:v>
      </x:c>
      <x:c r="G1897" t="n">
        <x:v>42207</x:v>
      </x:c>
      <x:c r="H1897" t="str">
        <x:v>9894</x:v>
      </x:c>
      <x:c r="I1897" t="str">
        <x:v>https://www.smwcentral.net/?a=details&amp;id=9894&amp;p=section</x:v>
      </x:c>
      <x:c r="J1897" t="str">
        <x:v>https://dl.smwcentral.net/9894/Easter.zip</x:v>
      </x:c>
    </x:row>
    <x:row r="1898">
      <x:c r="A1898" t="str">
        <x:v>Super Mario Bros. Enhanced</x:v>
      </x:c>
      <x:c r="B1898" t="str">
        <x:v>Super Mario Bros. Enhanced</x:v>
      </x:c>
      <x:c r="C1898" t="str">
        <x:v>Pac</x:v>
      </x:c>
      <x:c r="D1898" t="n">
        <x:v>42</x:v>
      </x:c>
      <x:c r="E1898" t="str">
        <x:v>Casual</x:v>
      </x:c>
      <x:c r="F1898" t="str">
        <x:v>Standard</x:v>
      </x:c>
      <x:c r="G1898" t="n">
        <x:v>42298</x:v>
      </x:c>
      <x:c r="H1898" t="str">
        <x:v>10223</x:v>
      </x:c>
      <x:c r="I1898" t="str">
        <x:v>https://www.smwcentral.net/?a=details&amp;id=10223&amp;p=section</x:v>
      </x:c>
      <x:c r="J1898" t="str">
        <x:v>https://dl.smwcentral.net/10223/smbe.zip</x:v>
      </x:c>
    </x:row>
    <x:row r="1899">
      <x:c r="A1899" t="str">
        <x:v>Super Mario Bros. For Lost Players</x:v>
      </x:c>
      <x:c r="B1899" t="str">
        <x:v>Super Mario Bros. For Lost Players</x:v>
      </x:c>
      <x:c r="C1899" t="str">
        <x:v>Adam, Truxton, beasteye89, lolyoshi, rextep</x:v>
      </x:c>
      <x:c r="D1899" t="n">
        <x:v>36</x:v>
      </x:c>
      <x:c r="E1899" t="str">
        <x:v>Advanced</x:v>
      </x:c>
      <x:c r="F1899" t="str">
        <x:v>Standard</x:v>
      </x:c>
      <x:c r="G1899" t="n">
        <x:v>44558</x:v>
      </x:c>
      <x:c r="H1899" t="str">
        <x:v>29052</x:v>
      </x:c>
      <x:c r="I1899" t="str">
        <x:v>https://www.smwcentral.net/?a=details&amp;id=29052&amp;p=section</x:v>
      </x:c>
      <x:c r="J1899" t="str">
        <x:v>https://dl.smwcentral.net/29052/JAM_ALERT.zip</x:v>
      </x:c>
    </x:row>
    <x:row r="1900">
      <x:c r="A1900" t="str">
        <x:v>Super Mario Bros. Peach's Adventure</x:v>
      </x:c>
      <x:c r="B1900" t="str">
        <x:v>Super Mario Bros. Peach's Adventure</x:v>
      </x:c>
      <x:c r="C1900" t="str">
        <x:v>Rosicom</x:v>
      </x:c>
      <x:c r="D1900" t="n">
        <x:v>61</x:v>
      </x:c>
      <x:c r="E1900" t="str">
        <x:v>Casual</x:v>
      </x:c>
      <x:c r="F1900" t="str">
        <x:v>Standard</x:v>
      </x:c>
      <x:c r="G1900" t="n">
        <x:v>44239</x:v>
      </x:c>
      <x:c r="H1900" t="str">
        <x:v>25738</x:v>
      </x:c>
      <x:c r="I1900" t="str">
        <x:v>https://www.smwcentral.net/?a=details&amp;id=25738&amp;p=section</x:v>
      </x:c>
      <x:c r="J1900" t="str">
        <x:v>https://dl.smwcentral.net/25738/Super%20Mario%20Bros.%20Peach%27s%20Adventure.zip</x:v>
      </x:c>
    </x:row>
    <x:row r="1901">
      <x:c r="A1901" t="str">
        <x:v>Super Mario Bros. Remix</x:v>
      </x:c>
      <x:c r="B1901" t="str">
        <x:v>Super Mario Bros. Remix</x:v>
      </x:c>
      <x:c r="C1901" t="str">
        <x:v>Phantom Kid</x:v>
      </x:c>
      <x:c r="D1901" t="n">
        <x:v>14</x:v>
      </x:c>
      <x:c r="E1901" t="str">
        <x:v>Intermediate</x:v>
      </x:c>
      <x:c r="F1901" t="str">
        <x:v>Standard</x:v>
      </x:c>
      <x:c r="G1901" t="n">
        <x:v>42306</x:v>
      </x:c>
      <x:c r="H1901" t="str">
        <x:v>10036</x:v>
      </x:c>
      <x:c r="I1901" t="str">
        <x:v>https://www.smwcentral.net/?a=details&amp;id=10036&amp;p=section</x:v>
      </x:c>
      <x:c r="J1901" t="str">
        <x:v>https://dl.smwcentral.net/10036/Super%20Mario%20Bros.%20Remix.zip</x:v>
      </x:c>
    </x:row>
    <x:row r="1902">
      <x:c r="A1902" t="str">
        <x:v>Super Mario Bros. The Hunt For The Magical Key</x:v>
      </x:c>
      <x:c r="B1902" t="str">
        <x:v>Super Mario Bros. The Hunt For The Magical Key</x:v>
      </x:c>
      <x:c r="C1902" t="str">
        <x:v>Alex No</x:v>
      </x:c>
      <x:c r="D1902" t="n">
        <x:v>120</x:v>
      </x:c>
      <x:c r="E1902" t="str">
        <x:v>Casual</x:v>
      </x:c>
      <x:c r="F1902" t="str">
        <x:v>Standard</x:v>
      </x:c>
      <x:c r="G1902" t="n">
        <x:v>41982</x:v>
      </x:c>
      <x:c r="H1902" t="str">
        <x:v>9535</x:v>
      </x:c>
      <x:c r="I1902" t="str">
        <x:v>https://www.smwcentral.net/?a=details&amp;id=9535&amp;p=section</x:v>
      </x:c>
      <x:c r="J1902" t="str">
        <x:v>https://dl.smwcentral.net/9535/Super%20Mario%20Bros.%20The%20Hunt%20For%20The%20Magical%20Key.zip</x:v>
      </x:c>
    </x:row>
    <x:row r="1903">
      <x:c r="A1903" t="str">
        <x:v>Super Mario Bros. The Invaders of Mushroom Kingdom</x:v>
      </x:c>
      <x:c r="B1903" t="str">
        <x:v>Super Mario Bros. The Invaders of Mushroom Kingdom</x:v>
      </x:c>
      <x:c r="C1903" t="str">
        <x:v>Alex No</x:v>
      </x:c>
      <x:c r="D1903" t="n">
        <x:v>58</x:v>
      </x:c>
      <x:c r="E1903" t="str">
        <x:v>Casual</x:v>
      </x:c>
      <x:c r="F1903" t="str">
        <x:v>Standard</x:v>
      </x:c>
      <x:c r="G1903" t="n">
        <x:v>42091</x:v>
      </x:c>
      <x:c r="H1903" t="str">
        <x:v>11063</x:v>
      </x:c>
      <x:c r="I1903" t="str">
        <x:v>https://www.smwcentral.net/?a=details&amp;id=11063&amp;p=section</x:v>
      </x:c>
      <x:c r="J1903" t="str">
        <x:v>https://dl.smwcentral.net/11063/Super%20Mario%20Bros.%20The%20Invaders%20of%20Mushroom%20Kingdom%201.22.zip</x:v>
      </x:c>
    </x:row>
    <x:row r="1904">
      <x:c r="A1904" t="str">
        <x:v>Super Mario Bros. The Search for Bowser</x:v>
      </x:c>
      <x:c r="B1904" t="str">
        <x:v>Super Mario Bros. The Search for Bowser</x:v>
      </x:c>
      <x:c r="C1904" t="str">
        <x:v>yoshiguy978</x:v>
      </x:c>
      <x:c r="D1904" t="n">
        <x:v>7</x:v>
      </x:c>
      <x:c r="E1904" t="str">
        <x:v>Newcomer</x:v>
      </x:c>
      <x:c r="F1904" t="str">
        <x:v>Standard</x:v>
      </x:c>
      <x:c r="G1904" t="n">
        <x:v>42279</x:v>
      </x:c>
      <x:c r="H1904" t="str">
        <x:v>10095</x:v>
      </x:c>
      <x:c r="I1904" t="str">
        <x:v>https://www.smwcentral.net/?a=details&amp;id=10095&amp;p=section</x:v>
      </x:c>
      <x:c r="J1904" t="str">
        <x:v>https://dl.smwcentral.net/10095/Super%20Mario%20Bros.%20the%20search%20for%20bowser%20demo%201.zip</x:v>
      </x:c>
    </x:row>
    <x:row r="1905">
      <x:c r="A1905" t="str">
        <x:v>Super Mario Bros.: Peach's Challenge</x:v>
      </x:c>
      <x:c r="B1905" t="str">
        <x:v>Super Mario Bros.: Peach's Challenge</x:v>
      </x:c>
      <x:c r="C1905" t="str">
        <x:v>Marioman</x:v>
      </x:c>
      <x:c r="D1905" t="n">
        <x:v>7</x:v>
      </x:c>
      <x:c r="E1905" t="str">
        <x:v>Casual</x:v>
      </x:c>
      <x:c r="F1905" t="str">
        <x:v>Standard</x:v>
      </x:c>
      <x:c r="G1905" t="n">
        <x:v>42062</x:v>
      </x:c>
      <x:c r="H1905" t="str">
        <x:v>9793</x:v>
      </x:c>
      <x:c r="I1905" t="str">
        <x:v>https://www.smwcentral.net/?a=details&amp;id=9793&amp;p=section</x:v>
      </x:c>
      <x:c r="J1905" t="str">
        <x:v>https://dl.smwcentral.net/9793/SMB%20PC.zip</x:v>
      </x:c>
    </x:row>
    <x:row r="1906">
      <x:c r="A1906" t="str">
        <x:v>Super Mario Bros.: The Last Showdown</x:v>
      </x:c>
      <x:c r="B1906" t="str">
        <x:v>Super Mario Bros.: The Last Showdown</x:v>
      </x:c>
      <x:c r="C1906" t="str">
        <x:v>Kaeru</x:v>
      </x:c>
      <x:c r="D1906" t="n">
        <x:v>3</x:v>
      </x:c>
      <x:c r="E1906" t="str">
        <x:v>Intermediate</x:v>
      </x:c>
      <x:c r="F1906" t="str">
        <x:v>Standard</x:v>
      </x:c>
      <x:c r="G1906" t="n">
        <x:v>42323</x:v>
      </x:c>
      <x:c r="H1906" t="str">
        <x:v>9729</x:v>
      </x:c>
      <x:c r="I1906" t="str">
        <x:v>https://www.smwcentral.net/?a=details&amp;id=9729&amp;p=section</x:v>
      </x:c>
      <x:c r="J1906" t="str">
        <x:v>https://dl.smwcentral.net/9729/Super%20Mario%20Bros.%20-%20The%20Last%20Showdown.zip</x:v>
      </x:c>
    </x:row>
    <x:row r="1907">
      <x:c r="A1907" t="str">
        <x:v>Super Mario Bros.: The Lost Levels 2</x:v>
      </x:c>
      <x:c r="B1907" t="str">
        <x:v>Super Mario Bros.: The Lost Levels 2</x:v>
      </x:c>
      <x:c r="C1907" t="str">
        <x:v>Pete3k</x:v>
      </x:c>
      <x:c r="D1907" t="n">
        <x:v>32</x:v>
      </x:c>
      <x:c r="E1907" t="str">
        <x:v>Newcomer</x:v>
      </x:c>
      <x:c r="F1907" t="str">
        <x:v>Standard</x:v>
      </x:c>
      <x:c r="G1907" t="n">
        <x:v>42288</x:v>
      </x:c>
      <x:c r="H1907" t="str">
        <x:v>10156</x:v>
      </x:c>
      <x:c r="I1907" t="str">
        <x:v>https://www.smwcentral.net/?a=details&amp;id=10156&amp;p=section</x:v>
      </x:c>
      <x:c r="J1907" t="str">
        <x:v>https://dl.smwcentral.net/10156/Lost%20Levels%202.zip</x:v>
      </x:c>
    </x:row>
    <x:row r="1908">
      <x:c r="A1908" t="str">
        <x:v>Super Mario Bros.: The Minus World</x:v>
      </x:c>
      <x:c r="B1908" t="str">
        <x:v>Super Mario Bros.: The Minus World</x:v>
      </x:c>
      <x:c r="C1908" t="str">
        <x:v>Lexi</x:v>
      </x:c>
      <x:c r="D1908" t="n">
        <x:v>4</x:v>
      </x:c>
      <x:c r="E1908" t="str">
        <x:v>Casual</x:v>
      </x:c>
      <x:c r="F1908" t="str">
        <x:v>Standard</x:v>
      </x:c>
      <x:c r="G1908" t="n">
        <x:v>42345</x:v>
      </x:c>
      <x:c r="H1908" t="str">
        <x:v>10139</x:v>
      </x:c>
      <x:c r="I1908" t="str">
        <x:v>https://www.smwcentral.net/?a=details&amp;id=10139&amp;p=section</x:v>
      </x:c>
      <x:c r="J1908" t="str">
        <x:v>https://dl.smwcentral.net/10139/SMB-TMW0.1.zip</x:v>
      </x:c>
    </x:row>
    <x:row r="1909">
      <x:c r="A1909" t="str">
        <x:v>Super Mario Bros: Bowser Chaos</x:v>
      </x:c>
      <x:c r="B1909" t="str">
        <x:v>Super Mario Bros: Bowser Chaos</x:v>
      </x:c>
      <x:c r="C1909" t="str">
        <x:v>tfpivman</x:v>
      </x:c>
      <x:c r="D1909" t="n">
        <x:v>17</x:v>
      </x:c>
      <x:c r="E1909" t="str">
        <x:v>Newcomer</x:v>
      </x:c>
      <x:c r="F1909" t="str">
        <x:v>Standard</x:v>
      </x:c>
      <x:c r="G1909" t="n">
        <x:v>41551</x:v>
      </x:c>
      <x:c r="H1909" t="str">
        <x:v>5452</x:v>
      </x:c>
      <x:c r="I1909" t="str">
        <x:v>https://www.smwcentral.net/?a=details&amp;id=5452&amp;p=section</x:v>
      </x:c>
      <x:c r="J1909" t="str">
        <x:v>https://dl.smwcentral.net/5452/smbbc%20%28demo4%29.zip</x:v>
      </x:c>
    </x:row>
    <x:row r="1910">
      <x:c r="A1910" t="str">
        <x:v>Super Mario Bros: The Castle 2</x:v>
      </x:c>
      <x:c r="B1910" t="str">
        <x:v>Super Mario Bros: The Castle 2</x:v>
      </x:c>
      <x:c r="C1910" t="str">
        <x:v>Lightvayne</x:v>
      </x:c>
      <x:c r="D1910" t="n">
        <x:v>0</x:v>
      </x:c>
      <x:c r="E1910" t="str">
        <x:v>Casual</x:v>
      </x:c>
      <x:c r="F1910" t="str">
        <x:v>Standard</x:v>
      </x:c>
      <x:c r="G1910" t="n">
        <x:v>42222</x:v>
      </x:c>
      <x:c r="H1910" t="str">
        <x:v>9712</x:v>
      </x:c>
      <x:c r="I1910" t="str">
        <x:v>https://www.smwcentral.net/?a=details&amp;id=9712&amp;p=section</x:v>
      </x:c>
      <x:c r="J1910" t="str">
        <x:v>https://dl.smwcentral.net/9712/SMBTheCastle2Demo.zip</x:v>
      </x:c>
    </x:row>
    <x:row r="1911">
      <x:c r="A1911" t="str">
        <x:v>Super Mario Bros: The Early Years</x:v>
      </x:c>
      <x:c r="B1911" t="str">
        <x:v>Super Mario Bros: The Early Years</x:v>
      </x:c>
      <x:c r="C1911" t="str">
        <x:v>Gamma V</x:v>
      </x:c>
      <x:c r="D1911" t="n">
        <x:v>47</x:v>
      </x:c>
      <x:c r="E1911" t="str">
        <x:v>Casual</x:v>
      </x:c>
      <x:c r="F1911" t="str">
        <x:v>Standard</x:v>
      </x:c>
      <x:c r="G1911" t="n">
        <x:v>42947</x:v>
      </x:c>
      <x:c r="H1911" t="str">
        <x:v>15943</x:v>
      </x:c>
      <x:c r="I1911" t="str">
        <x:v>https://www.smwcentral.net/?a=details&amp;id=15943&amp;p=section</x:v>
      </x:c>
      <x:c r="J1911" t="str">
        <x:v>https://dl.smwcentral.net/15943/SMBTEY%20Fixed%20Forever.zip</x:v>
      </x:c>
    </x:row>
    <x:row r="1912">
      <x:c r="A1912" t="str">
        <x:v>Super Mario Bros: The Search for Oreo Cakesters</x:v>
      </x:c>
      <x:c r="B1912" t="str">
        <x:v>Super Mario Bros: The Search for Oreo Cakesters</x:v>
      </x:c>
      <x:c r="C1912" t="str">
        <x:v>Apple Boy</x:v>
      </x:c>
      <x:c r="D1912" t="n">
        <x:v>3</x:v>
      </x:c>
      <x:c r="E1912" t="str">
        <x:v>Casual</x:v>
      </x:c>
      <x:c r="F1912" t="str">
        <x:v>Standard</x:v>
      </x:c>
      <x:c r="G1912" t="n">
        <x:v>44652</x:v>
      </x:c>
      <x:c r="H1912" t="str">
        <x:v>30202</x:v>
      </x:c>
      <x:c r="I1912" t="str">
        <x:v>https://www.smwcentral.net/?a=details&amp;id=30202&amp;p=section</x:v>
      </x:c>
      <x:c r="J1912" t="str">
        <x:v>https://dl.smwcentral.net/30202/Super%20Mario%20Bros.%20The%20Search%20for%20Oreo%20Cakesters.zip</x:v>
      </x:c>
    </x:row>
    <x:row r="1913">
      <x:c r="A1913" t="str">
        <x:v>Super Mario Bros: Vanilla Islands</x:v>
      </x:c>
      <x:c r="B1913" t="str">
        <x:v>Super Mario Bros: Vanilla Islands</x:v>
      </x:c>
      <x:c r="C1913" t="str">
        <x:v>Gamma V</x:v>
      </x:c>
      <x:c r="D1913" t="n">
        <x:v>32</x:v>
      </x:c>
      <x:c r="E1913" t="str">
        <x:v>Casual</x:v>
      </x:c>
      <x:c r="F1913" t="str">
        <x:v>Standard</x:v>
      </x:c>
      <x:c r="G1913" t="n">
        <x:v>44324</x:v>
      </x:c>
      <x:c r="H1913" t="str">
        <x:v>26960</x:v>
      </x:c>
      <x:c r="I1913" t="str">
        <x:v>https://www.smwcentral.net/?a=details&amp;id=26960&amp;p=section</x:v>
      </x:c>
      <x:c r="J1913" t="str">
        <x:v>https://dl.smwcentral.net/26960/Super%20Mario%20Bros%20Vanilla%20Islands%201.1.zip</x:v>
      </x:c>
    </x:row>
    <x:row r="1914">
      <x:c r="A1914" t="str">
        <x:v>Super Mario Brothers and the Giant Omelette</x:v>
      </x:c>
      <x:c r="B1914" t="str">
        <x:v>Super Mario Brothers and the Giant Omelette</x:v>
      </x:c>
      <x:c r="C1914" t="str">
        <x:v>BloodyToothBrush, TimothyBor</x:v>
      </x:c>
      <x:c r="D1914" t="n">
        <x:v>9</x:v>
      </x:c>
      <x:c r="E1914" t="str">
        <x:v>Casual</x:v>
      </x:c>
      <x:c r="F1914" t="str">
        <x:v>Standard</x:v>
      </x:c>
      <x:c r="G1914" t="n">
        <x:v>42240</x:v>
      </x:c>
      <x:c r="H1914" t="str">
        <x:v>9892</x:v>
      </x:c>
      <x:c r="I1914" t="str">
        <x:v>https://www.smwcentral.net/?a=details&amp;id=9892&amp;p=section</x:v>
      </x:c>
      <x:c r="J1914" t="str">
        <x:v>https://dl.smwcentral.net/9892/SMB%26TGO.zip</x:v>
      </x:c>
    </x:row>
    <x:row r="1915">
      <x:c r="A1915" t="str">
        <x:v>Super Mario Challenge</x:v>
      </x:c>
      <x:c r="B1915" t="str">
        <x:v>Super Mario Challenge</x:v>
      </x:c>
      <x:c r="C1915" t="str">
        <x:v>Awesomeman</x:v>
      </x:c>
      <x:c r="D1915" t="n">
        <x:v>34</x:v>
      </x:c>
      <x:c r="E1915" t="str">
        <x:v>Intermediate</x:v>
      </x:c>
      <x:c r="F1915" t="str">
        <x:v>Standard</x:v>
      </x:c>
      <x:c r="G1915" t="n">
        <x:v>44383</x:v>
      </x:c>
      <x:c r="H1915" t="str">
        <x:v>27363</x:v>
      </x:c>
      <x:c r="I1915" t="str">
        <x:v>https://www.smwcentral.net/?a=details&amp;id=27363&amp;p=section</x:v>
      </x:c>
      <x:c r="J1915" t="str">
        <x:v>https://dl.smwcentral.net/27363/Super%20Mario%20Challenge_FIXED.zip</x:v>
      </x:c>
    </x:row>
    <x:row r="1916">
      <x:c r="A1916" t="str">
        <x:v>Super Mario Classic'd</x:v>
      </x:c>
      <x:c r="B1916" t="str">
        <x:v>Super Mario Classic'd</x:v>
      </x:c>
      <x:c r="C1916" t="str">
        <x:v>blocc</x:v>
      </x:c>
      <x:c r="D1916" t="n">
        <x:v>7</x:v>
      </x:c>
      <x:c r="E1916" t="str">
        <x:v>Casual</x:v>
      </x:c>
      <x:c r="F1916" t="str">
        <x:v>Standard</x:v>
      </x:c>
      <x:c r="G1916" t="n">
        <x:v>43624</x:v>
      </x:c>
      <x:c r="H1916" t="str">
        <x:v>20166</x:v>
      </x:c>
      <x:c r="I1916" t="str">
        <x:v>https://www.smwcentral.net/?a=details&amp;id=20166&amp;p=section</x:v>
      </x:c>
      <x:c r="J1916" t="str">
        <x:v>https://dl.smwcentral.net/20166/Super%20Mario%20Classic%27d%20v2.zip</x:v>
      </x:c>
    </x:row>
    <x:row r="1917">
      <x:c r="A1917" t="str">
        <x:v>Super Mario Cosmos</x:v>
      </x:c>
      <x:c r="B1917" t="str">
        <x:v>Super Mario Cosmos</x:v>
      </x:c>
      <x:c r="C1917" t="str">
        <x:v>Xeruss</x:v>
      </x:c>
      <x:c r="D1917" t="n">
        <x:v>9</x:v>
      </x:c>
      <x:c r="E1917" t="str">
        <x:v>Casual</x:v>
      </x:c>
      <x:c r="F1917" t="str">
        <x:v>Standard</x:v>
      </x:c>
      <x:c r="G1917" t="n">
        <x:v>42065</x:v>
      </x:c>
      <x:c r="H1917" t="str">
        <x:v>9822</x:v>
      </x:c>
      <x:c r="I1917" t="str">
        <x:v>https://www.smwcentral.net/?a=details&amp;id=9822&amp;p=section</x:v>
      </x:c>
      <x:c r="J1917" t="str">
        <x:v>https://dl.smwcentral.net/9822/Super%20Mario%20Cosmos.zip</x:v>
      </x:c>
    </x:row>
    <x:row r="1918">
      <x:c r="A1918" t="str">
        <x:v>Super Mario Del Lago</x:v>
      </x:c>
      <x:c r="B1918" t="str">
        <x:v>Super Mario Del Lago</x:v>
      </x:c>
      <x:c r="C1918" t="str">
        <x:v>Slash Man</x:v>
      </x:c>
      <x:c r="D1918" t="n">
        <x:v>46</x:v>
      </x:c>
      <x:c r="E1918" t="str">
        <x:v>Casual</x:v>
      </x:c>
      <x:c r="F1918" t="str">
        <x:v>Standard</x:v>
      </x:c>
      <x:c r="G1918" t="n">
        <x:v>42228</x:v>
      </x:c>
      <x:c r="H1918" t="str">
        <x:v>9888</x:v>
      </x:c>
      <x:c r="I1918" t="str">
        <x:v>https://www.smwcentral.net/?a=details&amp;id=9888&amp;p=section</x:v>
      </x:c>
      <x:c r="J1918" t="str">
        <x:v>https://dl.smwcentral.net/9888/Super%20Mario%20Del%20Lago.zip</x:v>
      </x:c>
    </x:row>
    <x:row r="1919">
      <x:c r="A1919" t="str">
        <x:v>Super Mario Denied World</x:v>
      </x:c>
      <x:c r="B1919" t="str">
        <x:v>Super Mario Denied World</x:v>
      </x:c>
      <x:c r="C1919" t="str">
        <x:v>Major Flare</x:v>
      </x:c>
      <x:c r="D1919" t="n">
        <x:v>6</x:v>
      </x:c>
      <x:c r="E1919" t="str">
        <x:v>Newcomer</x:v>
      </x:c>
      <x:c r="F1919" t="str">
        <x:v>Standard</x:v>
      </x:c>
      <x:c r="G1919" t="n">
        <x:v>42246</x:v>
      </x:c>
      <x:c r="H1919" t="str">
        <x:v>10010</x:v>
      </x:c>
      <x:c r="I1919" t="str">
        <x:v>https://www.smwcentral.net/?a=details&amp;id=10010&amp;p=section</x:v>
      </x:c>
      <x:c r="J1919" t="str">
        <x:v>https://dl.smwcentral.net/10010/Denied.zip</x:v>
      </x:c>
    </x:row>
    <x:row r="1920">
      <x:c r="A1920" t="str">
        <x:v>Super Mario Dream World</x:v>
      </x:c>
      <x:c r="B1920" t="str">
        <x:v>Super Mario Dream World</x:v>
      </x:c>
      <x:c r="C1920" t="str">
        <x:v>Andyana Jonseph</x:v>
      </x:c>
      <x:c r="D1920" t="n">
        <x:v>59</x:v>
      </x:c>
      <x:c r="E1920" t="str">
        <x:v>Casual</x:v>
      </x:c>
      <x:c r="F1920" t="str">
        <x:v>Standard</x:v>
      </x:c>
      <x:c r="G1920" t="n">
        <x:v>42726</x:v>
      </x:c>
      <x:c r="H1920" t="str">
        <x:v>14786</x:v>
      </x:c>
      <x:c r="I1920" t="str">
        <x:v>https://www.smwcentral.net/?a=details&amp;id=14786&amp;p=section</x:v>
      </x:c>
      <x:c r="J1920" t="str">
        <x:v>https://dl.smwcentral.net/14786/Super%20Mario%20Dream%20World.zip</x:v>
      </x:c>
    </x:row>
    <x:row r="1921">
      <x:c r="A1921" t="str">
        <x:v>Super Mario DX</x:v>
      </x:c>
      <x:c r="B1921" t="str">
        <x:v>Super Mario DX</x:v>
      </x:c>
      <x:c r="C1921" t="str">
        <x:v>Reynner's</x:v>
      </x:c>
      <x:c r="D1921" t="n">
        <x:v>48</x:v>
      </x:c>
      <x:c r="E1921" t="str">
        <x:v>Casual</x:v>
      </x:c>
      <x:c r="F1921" t="str">
        <x:v>Standard</x:v>
      </x:c>
      <x:c r="G1921" t="n">
        <x:v>46015</x:v>
      </x:c>
      <x:c r="H1921" t="str">
        <x:v>41188</x:v>
      </x:c>
      <x:c r="I1921" t="str">
        <x:v>https://www.smwcentral.net/?a=details&amp;id=41188&amp;p=section</x:v>
      </x:c>
      <x:c r="J1921" t="str">
        <x:v>https://dl.smwcentral.net/41188/Super%20Mario%20DX.zip</x:v>
      </x:c>
    </x:row>
    <x:row r="1922">
      <x:c r="A1922" t="str">
        <x:v>Super Mario Element Worlds</x:v>
      </x:c>
      <x:c r="B1922" t="str">
        <x:v>Super Mario Element Worlds</x:v>
      </x:c>
      <x:c r="C1922" t="str">
        <x:v>New Skyon</x:v>
      </x:c>
      <x:c r="D1922" t="n">
        <x:v>12</x:v>
      </x:c>
      <x:c r="E1922" t="str">
        <x:v>Casual</x:v>
      </x:c>
      <x:c r="F1922" t="str">
        <x:v>Standard</x:v>
      </x:c>
      <x:c r="G1922" t="n">
        <x:v>42873</x:v>
      </x:c>
      <x:c r="H1922" t="str">
        <x:v>15576</x:v>
      </x:c>
      <x:c r="I1922" t="str">
        <x:v>https://www.smwcentral.net/?a=details&amp;id=15576&amp;p=section</x:v>
      </x:c>
      <x:c r="J1922" t="str">
        <x:v>https://dl.smwcentral.net/15576/Super%20Mario%20Element%20Worlds%20FIXED.zip</x:v>
      </x:c>
    </x:row>
    <x:row r="1923">
      <x:c r="A1923" t="str">
        <x:v>Super Mario Emulator (PTB)</x:v>
      </x:c>
      <x:c r="B1923" t="str">
        <x:v>Super Mario Emulator (PTB)</x:v>
      </x:c>
      <x:c r="C1923" t="str">
        <x:v>noname</x:v>
      </x:c>
      <x:c r="D1923" t="n">
        <x:v>25</x:v>
      </x:c>
      <x:c r="E1923" t="str">
        <x:v>Newcomer</x:v>
      </x:c>
      <x:c r="F1923" t="str">
        <x:v>Standard</x:v>
      </x:c>
      <x:c r="G1923" t="n">
        <x:v>42293</x:v>
      </x:c>
      <x:c r="H1923" t="str">
        <x:v>10022</x:v>
      </x:c>
      <x:c r="I1923" t="str">
        <x:v>https://www.smwcentral.net/?a=details&amp;id=10022&amp;p=section</x:v>
      </x:c>
      <x:c r="J1923" t="str">
        <x:v>https://dl.smwcentral.net/10022/SME%20patch.zip</x:v>
      </x:c>
    </x:row>
    <x:row r="1924">
      <x:c r="A1924" t="str">
        <x:v>Super Mario Endless World</x:v>
      </x:c>
      <x:c r="B1924" t="str">
        <x:v>Super Mario Endless World</x:v>
      </x:c>
      <x:c r="C1924" t="str">
        <x:v>Haithius</x:v>
      </x:c>
      <x:c r="D1924" t="n">
        <x:v>12</x:v>
      </x:c>
      <x:c r="E1924" t="str">
        <x:v>Casual</x:v>
      </x:c>
      <x:c r="F1924" t="str">
        <x:v>Standard</x:v>
      </x:c>
      <x:c r="G1924" t="n">
        <x:v>43726</x:v>
      </x:c>
      <x:c r="H1924" t="str">
        <x:v>21176</x:v>
      </x:c>
      <x:c r="I1924" t="str">
        <x:v>https://www.smwcentral.net/?a=details&amp;id=21176&amp;p=section</x:v>
      </x:c>
      <x:c r="J1924" t="str">
        <x:v>https://dl.smwcentral.net/21176/Super%20Mario%20Endless%20World%20DEMO.zip</x:v>
      </x:c>
    </x:row>
    <x:row r="1925">
      <x:c r="A1925" t="str">
        <x:v>Super Mario Escapades</x:v>
      </x:c>
      <x:c r="B1925" t="str">
        <x:v>Super Mario Escapades</x:v>
      </x:c>
      <x:c r="C1925" t="str">
        <x:v>GammaSlap</x:v>
      </x:c>
      <x:c r="D1925" t="n">
        <x:v>7</x:v>
      </x:c>
      <x:c r="E1925" t="str">
        <x:v>Casual</x:v>
      </x:c>
      <x:c r="F1925" t="str">
        <x:v>Standard</x:v>
      </x:c>
      <x:c r="G1925" t="n">
        <x:v>42421</x:v>
      </x:c>
      <x:c r="H1925" t="str">
        <x:v>13342</x:v>
      </x:c>
      <x:c r="I1925" t="str">
        <x:v>https://www.smwcentral.net/?a=details&amp;id=13342&amp;p=section</x:v>
      </x:c>
      <x:c r="J1925" t="str">
        <x:v>https://dl.smwcentral.net/13342/Super%20Mario%20Escapades%20DEMO.zip</x:v>
      </x:c>
    </x:row>
    <x:row r="1926">
      <x:c r="A1926" t="str">
        <x:v>Super Mario Expedition</x:v>
      </x:c>
      <x:c r="B1926" t="str">
        <x:v>Super Mario Expedition</x:v>
      </x:c>
      <x:c r="C1926" t="str">
        <x:v>akacesfan</x:v>
      </x:c>
      <x:c r="D1926" t="n">
        <x:v>8</x:v>
      </x:c>
      <x:c r="E1926" t="str">
        <x:v>Newcomer</x:v>
      </x:c>
      <x:c r="F1926" t="str">
        <x:v>Standard</x:v>
      </x:c>
      <x:c r="G1926" t="n">
        <x:v>42314</x:v>
      </x:c>
      <x:c r="H1926" t="str">
        <x:v>10184</x:v>
      </x:c>
      <x:c r="I1926" t="str">
        <x:v>https://www.smwcentral.net/?a=details&amp;id=10184&amp;p=section</x:v>
      </x:c>
      <x:c r="J1926" t="str">
        <x:v>https://dl.smwcentral.net/10184/Super%20Mario%20Expedition.zip</x:v>
      </x:c>
    </x:row>
    <x:row r="1927">
      <x:c r="A1927" t="str">
        <x:v>Super Mario Fiwerland</x:v>
      </x:c>
      <x:c r="B1927" t="str">
        <x:v>Super Mario Fiwerland</x:v>
      </x:c>
      <x:c r="C1927" t="str">
        <x:v>Cristian Cardoso</x:v>
      </x:c>
      <x:c r="D1927" t="n">
        <x:v>73</x:v>
      </x:c>
      <x:c r="E1927" t="str">
        <x:v>Intermediate</x:v>
      </x:c>
      <x:c r="F1927" t="str">
        <x:v>Standard</x:v>
      </x:c>
      <x:c r="G1927" t="n">
        <x:v>44950</x:v>
      </x:c>
      <x:c r="H1927" t="str">
        <x:v>32985</x:v>
      </x:c>
      <x:c r="I1927" t="str">
        <x:v>https://www.smwcentral.net/?a=details&amp;id=32985&amp;p=section</x:v>
      </x:c>
      <x:c r="J1927" t="str">
        <x:v>https://dl.smwcentral.net/32985/Super%20Mario%20Fiwerland.zip</x:v>
      </x:c>
    </x:row>
    <x:row r="1928">
      <x:c r="A1928" t="str">
        <x:v>Super Mario Flash 2: SMW Remake</x:v>
      </x:c>
      <x:c r="B1928" t="str">
        <x:v>Super Mario Flash 2: SMW Remake</x:v>
      </x:c>
      <x:c r="C1928" t="str">
        <x:v>Apple Boy, Dark Prince, Donut, Segment1Zone2, Stivi</x:v>
      </x:c>
      <x:c r="D1928" t="n">
        <x:v>20</x:v>
      </x:c>
      <x:c r="E1928" t="str">
        <x:v>Casual</x:v>
      </x:c>
      <x:c r="F1928" t="str">
        <x:v>Standard</x:v>
      </x:c>
      <x:c r="G1928" t="n">
        <x:v>44384</x:v>
      </x:c>
      <x:c r="H1928" t="str">
        <x:v>27400</x:v>
      </x:c>
      <x:c r="I1928" t="str">
        <x:v>https://www.smwcentral.net/?a=details&amp;id=27400&amp;p=section</x:v>
      </x:c>
      <x:c r="J1928" t="str">
        <x:v>https://dl.smwcentral.net/27400/Super%20Mario%20Flash%202%20-%20SMW%20Remake%201.3.zip</x:v>
      </x:c>
    </x:row>
    <x:row r="1929">
      <x:c r="A1929" t="str">
        <x:v>Super Mario Flash: Super Mario World Remake</x:v>
      </x:c>
      <x:c r="B1929" t="str">
        <x:v>Super Mario Flash: Super Mario World Remake</x:v>
      </x:c>
      <x:c r="C1929" t="str">
        <x:v>Dark Prince</x:v>
      </x:c>
      <x:c r="D1929" t="n">
        <x:v>10</x:v>
      </x:c>
      <x:c r="E1929" t="str">
        <x:v>Intermediate</x:v>
      </x:c>
      <x:c r="F1929" t="str">
        <x:v>Standard</x:v>
      </x:c>
      <x:c r="G1929" t="n">
        <x:v>45135</x:v>
      </x:c>
      <x:c r="H1929" t="str">
        <x:v>34419</x:v>
      </x:c>
      <x:c r="I1929" t="str">
        <x:v>https://www.smwcentral.net/?a=details&amp;id=34419&amp;p=section</x:v>
      </x:c>
      <x:c r="J1929" t="str">
        <x:v>https://dl.smwcentral.net/34419/Super%20Mario%20Flash.zip</x:v>
      </x:c>
    </x:row>
    <x:row r="1930">
      <x:c r="A1930" t="str">
        <x:v>Super Mario Fooland</x:v>
      </x:c>
      <x:c r="B1930" t="str">
        <x:v>Super Mario Fooland</x:v>
      </x:c>
      <x:c r="C1930" t="str">
        <x:v>Fullcannon</x:v>
      </x:c>
      <x:c r="D1930" t="n">
        <x:v>8</x:v>
      </x:c>
      <x:c r="E1930" t="str">
        <x:v>Casual</x:v>
      </x:c>
      <x:c r="F1930" t="str">
        <x:v>Standard</x:v>
      </x:c>
      <x:c r="G1930" t="n">
        <x:v>43558</x:v>
      </x:c>
      <x:c r="H1930" t="str">
        <x:v>19560</x:v>
      </x:c>
      <x:c r="I1930" t="str">
        <x:v>https://www.smwcentral.net/?a=details&amp;id=19560&amp;p=section</x:v>
      </x:c>
      <x:c r="J1930" t="str">
        <x:v>https://dl.smwcentral.net/19560/smfooland34.zip</x:v>
      </x:c>
    </x:row>
    <x:row r="1931">
      <x:c r="A1931" t="str">
        <x:v>Super Mario Gaia</x:v>
      </x:c>
      <x:c r="B1931" t="str">
        <x:v>Super Mario Gaia</x:v>
      </x:c>
      <x:c r="C1931" t="str">
        <x:v>grisu</x:v>
      </x:c>
      <x:c r="D1931" t="n">
        <x:v>28</x:v>
      </x:c>
      <x:c r="E1931" t="str">
        <x:v>Advanced</x:v>
      </x:c>
      <x:c r="F1931" t="str">
        <x:v>Kaizo</x:v>
      </x:c>
      <x:c r="G1931" t="n">
        <x:v>44740</x:v>
      </x:c>
      <x:c r="H1931" t="str">
        <x:v>31243</x:v>
      </x:c>
      <x:c r="I1931" t="str">
        <x:v>https://www.smwcentral.net/?a=details&amp;id=31243&amp;p=section</x:v>
      </x:c>
      <x:c r="J1931" t="str">
        <x:v>https://dl.smwcentral.net/31243/Super%20Mario%20Gaia%201.1.zip</x:v>
      </x:c>
    </x:row>
    <x:row r="1932">
      <x:c r="A1932" t="str">
        <x:v>Super Mario Hack</x:v>
      </x:c>
      <x:c r="B1932" t="str">
        <x:v>Super Mario Hack</x:v>
      </x:c>
      <x:c r="C1932" t="str">
        <x:v>Kyanite</x:v>
      </x:c>
      <x:c r="D1932" t="n">
        <x:v>8</x:v>
      </x:c>
      <x:c r="E1932" t="str">
        <x:v>Casual</x:v>
      </x:c>
      <x:c r="F1932" t="str">
        <x:v>Standard</x:v>
      </x:c>
      <x:c r="G1932" t="n">
        <x:v>42846</x:v>
      </x:c>
      <x:c r="H1932" t="str">
        <x:v>15487</x:v>
      </x:c>
      <x:c r="I1932" t="str">
        <x:v>https://www.smwcentral.net/?a=details&amp;id=15487&amp;p=section</x:v>
      </x:c>
      <x:c r="J1932" t="str">
        <x:v>https://dl.smwcentral.net/15487/Super%20Mario%20Hack%20v1.7.zip</x:v>
      </x:c>
    </x:row>
    <x:row r="1933">
      <x:c r="A1933" t="str">
        <x:v>Super Mario Hack - Uma Nova Aventura - A New Adventure (Lite Version)</x:v>
      </x:c>
      <x:c r="B1933" t="str">
        <x:v>Super Mario Hack - Uma Nova Aventura - A New Adventure (Lite Version)</x:v>
      </x:c>
      <x:c r="C1933" t="str">
        <x:v>Leozoppi</x:v>
      </x:c>
      <x:c r="D1933" t="n">
        <x:v>33</x:v>
      </x:c>
      <x:c r="E1933" t="str">
        <x:v>Intermediate</x:v>
      </x:c>
      <x:c r="F1933" t="str">
        <x:v>Standard</x:v>
      </x:c>
      <x:c r="G1933" t="n">
        <x:v>44466</x:v>
      </x:c>
      <x:c r="H1933" t="str">
        <x:v>28153</x:v>
      </x:c>
      <x:c r="I1933" t="str">
        <x:v>https://www.smwcentral.net/?a=details&amp;id=28153&amp;p=section</x:v>
      </x:c>
      <x:c r="J1933" t="str">
        <x:v>https://dl.smwcentral.net/28153/Super%20Mario%20Hack%20-%20Uma%20Nova%20Aventura%20-%20A%20New%20Adventure.zip</x:v>
      </x:c>
    </x:row>
    <x:row r="1934">
      <x:c r="A1934" t="str">
        <x:v>Super Mario Heroes</x:v>
      </x:c>
      <x:c r="B1934" t="str">
        <x:v>Super Mario Heroes</x:v>
      </x:c>
      <x:c r="C1934" t="str">
        <x:v>543</x:v>
      </x:c>
      <x:c r="D1934" t="n">
        <x:v>2</x:v>
      </x:c>
      <x:c r="E1934" t="str">
        <x:v>Newcomer</x:v>
      </x:c>
      <x:c r="F1934" t="str">
        <x:v>Standard</x:v>
      </x:c>
      <x:c r="G1934" t="n">
        <x:v>42037</x:v>
      </x:c>
      <x:c r="H1934" t="str">
        <x:v>9854</x:v>
      </x:c>
      <x:c r="I1934" t="str">
        <x:v>https://www.smwcentral.net/?a=details&amp;id=9854&amp;p=section</x:v>
      </x:c>
      <x:c r="J1934" t="str">
        <x:v>https://dl.smwcentral.net/9854/smheroes2.zip</x:v>
      </x:c>
    </x:row>
    <x:row r="1935">
      <x:c r="A1935" t="str">
        <x:v>Super Mario Horizons 1.0b</x:v>
      </x:c>
      <x:c r="B1935" t="str">
        <x:v>Super Mario Horizons 1.0b</x:v>
      </x:c>
      <x:c r="C1935" t="str">
        <x:v>MegacesarCG</x:v>
      </x:c>
      <x:c r="D1935" t="n">
        <x:v>57</x:v>
      </x:c>
      <x:c r="E1935" t="str">
        <x:v>Intermediate</x:v>
      </x:c>
      <x:c r="F1935" t="str">
        <x:v>Standard</x:v>
      </x:c>
      <x:c r="G1935" t="n">
        <x:v>45215</x:v>
      </x:c>
      <x:c r="H1935" t="str">
        <x:v>35232</x:v>
      </x:c>
      <x:c r="I1935" t="str">
        <x:v>https://www.smwcentral.net/?a=details&amp;id=35232&amp;p=section</x:v>
      </x:c>
      <x:c r="J1935" t="str">
        <x:v>https://dl.smwcentral.net/35232/SMH1.0b.zip</x:v>
      </x:c>
    </x:row>
    <x:row r="1936">
      <x:c r="A1936" t="str">
        <x:v>Super Mario Iggy's Revenge</x:v>
      </x:c>
      <x:c r="B1936" t="str">
        <x:v>Super Mario Iggy's Revenge</x:v>
      </x:c>
      <x:c r="C1936" t="str">
        <x:v>Doseianasan</x:v>
      </x:c>
      <x:c r="D1936" t="n">
        <x:v>19</x:v>
      </x:c>
      <x:c r="E1936" t="str">
        <x:v>Casual</x:v>
      </x:c>
      <x:c r="F1936" t="str">
        <x:v>Standard</x:v>
      </x:c>
      <x:c r="G1936" t="n">
        <x:v>42282</x:v>
      </x:c>
      <x:c r="H1936" t="str">
        <x:v>10076</x:v>
      </x:c>
      <x:c r="I1936" t="str">
        <x:v>https://www.smwcentral.net/?a=details&amp;id=10076&amp;p=section</x:v>
      </x:c>
      <x:c r="J1936" t="str">
        <x:v>https://dl.smwcentral.net/10076/Super%20Mario%20Iggy%27s%20Revenge.zip</x:v>
      </x:c>
    </x:row>
    <x:row r="1937">
      <x:c r="A1937" t="str">
        <x:v>Super Mario In Element World</x:v>
      </x:c>
      <x:c r="B1937" t="str">
        <x:v>Super Mario In Element World</x:v>
      </x:c>
      <x:c r="C1937" t="str">
        <x:v>TheInsanity115</x:v>
      </x:c>
      <x:c r="D1937" t="n">
        <x:v>32</x:v>
      </x:c>
      <x:c r="E1937" t="str">
        <x:v>Casual</x:v>
      </x:c>
      <x:c r="F1937" t="str">
        <x:v>Standard</x:v>
      </x:c>
      <x:c r="G1937" t="n">
        <x:v>41814</x:v>
      </x:c>
      <x:c r="H1937" t="str">
        <x:v>6745</x:v>
      </x:c>
      <x:c r="I1937" t="str">
        <x:v>https://www.smwcentral.net/?a=details&amp;id=6745&amp;p=section</x:v>
      </x:c>
      <x:c r="J1937" t="str">
        <x:v>https://dl.smwcentral.net/6745/SMW%20patch.zip</x:v>
      </x:c>
    </x:row>
    <x:row r="1938">
      <x:c r="A1938" t="str">
        <x:v>Super Mario In Element World 2: The Master Hand Revenge</x:v>
      </x:c>
      <x:c r="B1938" t="str">
        <x:v>Super Mario In Element World 2: The Master Hand Revenge</x:v>
      </x:c>
      <x:c r="C1938" t="str">
        <x:v>TheInsanity115</x:v>
      </x:c>
      <x:c r="D1938" t="n">
        <x:v>7</x:v>
      </x:c>
      <x:c r="E1938" t="str">
        <x:v>Newcomer</x:v>
      </x:c>
      <x:c r="F1938" t="str">
        <x:v>Standard</x:v>
      </x:c>
      <x:c r="G1938" t="n">
        <x:v>41819</x:v>
      </x:c>
      <x:c r="H1938" t="str">
        <x:v>6794</x:v>
      </x:c>
      <x:c r="I1938" t="str">
        <x:v>https://www.smwcentral.net/?a=details&amp;id=6794&amp;p=section</x:v>
      </x:c>
      <x:c r="J1938" t="str">
        <x:v>https://dl.smwcentral.net/6794/smw%20patch.zip</x:v>
      </x:c>
    </x:row>
    <x:row r="1939">
      <x:c r="A1939" t="str">
        <x:v>Super Mario in Miscland 2: GrisBoo's Switches!</x:v>
      </x:c>
      <x:c r="B1939" t="str">
        <x:v>Super Mario in Miscland 2: GrisBoo's Switches!</x:v>
      </x:c>
      <x:c r="C1939" t="str">
        <x:v>Saturn the Donkey</x:v>
      </x:c>
      <x:c r="D1939" t="n">
        <x:v>5</x:v>
      </x:c>
      <x:c r="E1939" t="str">
        <x:v>Intermediate</x:v>
      </x:c>
      <x:c r="F1939" t="str">
        <x:v>Standard</x:v>
      </x:c>
      <x:c r="G1939" t="n">
        <x:v>42160</x:v>
      </x:c>
      <x:c r="H1939" t="str">
        <x:v>10070</x:v>
      </x:c>
      <x:c r="I1939" t="str">
        <x:v>https://www.smwcentral.net/?a=details&amp;id=10070&amp;p=section</x:v>
      </x:c>
      <x:c r="J1939" t="str">
        <x:v>https://dl.smwcentral.net/10070/Miscland2.zip</x:v>
      </x:c>
    </x:row>
    <x:row r="1940">
      <x:c r="A1940" t="str">
        <x:v>Super Mario in the Health Advocacy Project</x:v>
      </x:c>
      <x:c r="B1940" t="str">
        <x:v>Super Mario in the Health Advocacy Project</x:v>
      </x:c>
      <x:c r="C1940" t="str">
        <x:v>Herobrine81902</x:v>
      </x:c>
      <x:c r="D1940" t="n">
        <x:v>4</x:v>
      </x:c>
      <x:c r="E1940" t="str">
        <x:v>Newcomer</x:v>
      </x:c>
      <x:c r="F1940" t="str">
        <x:v>Standard</x:v>
      </x:c>
      <x:c r="G1940" t="n">
        <x:v>43123</x:v>
      </x:c>
      <x:c r="H1940" t="str">
        <x:v>17022</x:v>
      </x:c>
      <x:c r="I1940" t="str">
        <x:v>https://www.smwcentral.net/?a=details&amp;id=17022&amp;p=section</x:v>
      </x:c>
      <x:c r="J1940" t="str">
        <x:v>https://dl.smwcentral.net/17022/Super%20Mario%20in%20the%20Health%20Advocacy%20Project.zip</x:v>
      </x:c>
    </x:row>
    <x:row r="1941">
      <x:c r="A1941" t="str">
        <x:v>Super Mario in the Vanilla Forest</x:v>
      </x:c>
      <x:c r="B1941" t="str">
        <x:v>Super Mario in the Vanilla Forest</x:v>
      </x:c>
      <x:c r="C1941" t="str">
        <x:v>DatLeon</x:v>
      </x:c>
      <x:c r="D1941" t="n">
        <x:v>2</x:v>
      </x:c>
      <x:c r="E1941" t="str">
        <x:v>Intermediate</x:v>
      </x:c>
      <x:c r="F1941" t="str">
        <x:v>Standard</x:v>
      </x:c>
      <x:c r="G1941" t="n">
        <x:v>42044</x:v>
      </x:c>
      <x:c r="H1941" t="str">
        <x:v>10205</x:v>
      </x:c>
      <x:c r="I1941" t="str">
        <x:v>https://www.smwcentral.net/?a=details&amp;id=10205&amp;p=section</x:v>
      </x:c>
      <x:c r="J1941" t="str">
        <x:v>https://dl.smwcentral.net/10205/Vanilla%20Land%20%28EN%29.zip</x:v>
      </x:c>
    </x:row>
    <x:row r="1942">
      <x:c r="A1942" t="str">
        <x:v>Super Mario in Yoshi Heaven</x:v>
      </x:c>
      <x:c r="B1942" t="str">
        <x:v>Super Mario in Yoshi Heaven</x:v>
      </x:c>
      <x:c r="C1942" t="str">
        <x:v>wtfweb</x:v>
      </x:c>
      <x:c r="D1942" t="n">
        <x:v>13</x:v>
      </x:c>
      <x:c r="E1942" t="str">
        <x:v>Casual</x:v>
      </x:c>
      <x:c r="F1942" t="str">
        <x:v>Standard</x:v>
      </x:c>
      <x:c r="G1942" t="n">
        <x:v>41559</x:v>
      </x:c>
      <x:c r="H1942" t="str">
        <x:v>5000</x:v>
      </x:c>
      <x:c r="I1942" t="str">
        <x:v>https://www.smwcentral.net/?a=details&amp;id=5000&amp;p=section</x:v>
      </x:c>
      <x:c r="J1942" t="str">
        <x:v>https://dl.smwcentral.net/5000/yoshi_heaven.zip</x:v>
      </x:c>
    </x:row>
    <x:row r="1943">
      <x:c r="A1943" t="str">
        <x:v>Super Mario in: Yoshi's Revenge</x:v>
      </x:c>
      <x:c r="B1943" t="str">
        <x:v>Super Mario in: Yoshi's Revenge</x:v>
      </x:c>
      <x:c r="C1943" t="str">
        <x:v>2dareduck</x:v>
      </x:c>
      <x:c r="D1943" t="n">
        <x:v>53</x:v>
      </x:c>
      <x:c r="E1943" t="str">
        <x:v>Casual</x:v>
      </x:c>
      <x:c r="F1943" t="str">
        <x:v>Standard</x:v>
      </x:c>
      <x:c r="G1943" t="n">
        <x:v>42308</x:v>
      </x:c>
      <x:c r="H1943" t="str">
        <x:v>10187</x:v>
      </x:c>
      <x:c r="I1943" t="str">
        <x:v>https://www.smwcentral.net/?a=details&amp;id=10187&amp;p=section</x:v>
      </x:c>
      <x:c r="J1943" t="str">
        <x:v>https://dl.smwcentral.net/10187/YRV1-4.zip</x:v>
      </x:c>
    </x:row>
    <x:row r="1944">
      <x:c r="A1944" t="str">
        <x:v>Super Mario Infinity 2: The Cursed Gem</x:v>
      </x:c>
      <x:c r="B1944" t="str">
        <x:v>Super Mario Infinity 2: The Cursed Gem</x:v>
      </x:c>
      <x:c r="C1944" t="str">
        <x:v>Reading</x:v>
      </x:c>
      <x:c r="D1944" t="n">
        <x:v>114</x:v>
      </x:c>
      <x:c r="E1944" t="str">
        <x:v>Expert</x:v>
      </x:c>
      <x:c r="F1944" t="str">
        <x:v>Standard</x:v>
      </x:c>
      <x:c r="G1944" t="n">
        <x:v>43690</x:v>
      </x:c>
      <x:c r="H1944" t="str">
        <x:v>20859</x:v>
      </x:c>
      <x:c r="I1944" t="str">
        <x:v>https://www.smwcentral.net/?a=details&amp;id=20859&amp;p=section</x:v>
      </x:c>
      <x:c r="J1944" t="str">
        <x:v>https://dl.smwcentral.net/20859/smi2.zip</x:v>
      </x:c>
    </x:row>
    <x:row r="1945">
      <x:c r="A1945" t="str">
        <x:v>Super Mario Infinity: Mystery of the Magic Wand</x:v>
      </x:c>
      <x:c r="B1945" t="str">
        <x:v>Super Mario Infinity: Mystery of the Magic Wand</x:v>
      </x:c>
      <x:c r="C1945" t="str">
        <x:v>Reading</x:v>
      </x:c>
      <x:c r="D1945" t="n">
        <x:v>114</x:v>
      </x:c>
      <x:c r="E1945" t="str">
        <x:v>Advanced</x:v>
      </x:c>
      <x:c r="F1945" t="str">
        <x:v>Standard</x:v>
      </x:c>
      <x:c r="G1945" t="n">
        <x:v>43575</x:v>
      </x:c>
      <x:c r="H1945" t="str">
        <x:v>19547</x:v>
      </x:c>
      <x:c r="I1945" t="str">
        <x:v>https://www.smwcentral.net/?a=details&amp;id=19547&amp;p=section</x:v>
      </x:c>
      <x:c r="J1945" t="str">
        <x:v>https://dl.smwcentral.net/19547/smi.zip</x:v>
      </x:c>
    </x:row>
    <x:row r="1946">
      <x:c r="A1946" t="str">
        <x:v>Super Mario Islands</x:v>
      </x:c>
      <x:c r="B1946" t="str">
        <x:v>Super Mario Islands</x:v>
      </x:c>
      <x:c r="C1946" t="str">
        <x:v>bkbusters</x:v>
      </x:c>
      <x:c r="D1946" t="n">
        <x:v>8</x:v>
      </x:c>
      <x:c r="E1946" t="str">
        <x:v>Newcomer</x:v>
      </x:c>
      <x:c r="F1946" t="str">
        <x:v>Standard</x:v>
      </x:c>
      <x:c r="G1946" t="n">
        <x:v>42066</x:v>
      </x:c>
      <x:c r="H1946" t="str">
        <x:v>9804</x:v>
      </x:c>
      <x:c r="I1946" t="str">
        <x:v>https://www.smwcentral.net/?a=details&amp;id=9804&amp;p=section</x:v>
      </x:c>
      <x:c r="J1946" t="str">
        <x:v>https://dl.smwcentral.net/9804/Super%20Mario%20Islands%20Demo%202.zip</x:v>
      </x:c>
    </x:row>
    <x:row r="1947">
      <x:c r="A1947" t="str">
        <x:v>Super Mario Justice</x:v>
      </x:c>
      <x:c r="B1947" t="str">
        <x:v>Super Mario Justice</x:v>
      </x:c>
      <x:c r="C1947" t="str">
        <x:v>RpGaming</x:v>
      </x:c>
      <x:c r="D1947" t="n">
        <x:v>13</x:v>
      </x:c>
      <x:c r="E1947" t="str">
        <x:v>Casual</x:v>
      </x:c>
      <x:c r="F1947" t="str">
        <x:v>Standard</x:v>
      </x:c>
      <x:c r="G1947" t="n">
        <x:v>41895</x:v>
      </x:c>
      <x:c r="H1947" t="str">
        <x:v>8983</x:v>
      </x:c>
      <x:c r="I1947" t="str">
        <x:v>https://www.smwcentral.net/?a=details&amp;id=8983&amp;p=section</x:v>
      </x:c>
      <x:c r="J1947" t="str">
        <x:v>https://dl.smwcentral.net/8983/Super%20Mario%20Justice%20-%20Demo%20I.zip</x:v>
      </x:c>
    </x:row>
    <x:row r="1948">
      <x:c r="A1948" t="str">
        <x:v>Super Mario Land 2.5</x:v>
      </x:c>
      <x:c r="B1948" t="str">
        <x:v>Super Mario Land 2.5</x:v>
      </x:c>
      <x:c r="C1948" t="str">
        <x:v>Lexator</x:v>
      </x:c>
      <x:c r="D1948" t="n">
        <x:v>57</x:v>
      </x:c>
      <x:c r="E1948" t="str">
        <x:v>Intermediate</x:v>
      </x:c>
      <x:c r="F1948" t="str">
        <x:v>Standard</x:v>
      </x:c>
      <x:c r="G1948" t="n">
        <x:v>42607</x:v>
      </x:c>
      <x:c r="H1948" t="str">
        <x:v>14243</x:v>
      </x:c>
      <x:c r="I1948" t="str">
        <x:v>https://www.smwcentral.net/?a=details&amp;id=14243&amp;p=section</x:v>
      </x:c>
      <x:c r="J1948" t="str">
        <x:v>https://dl.smwcentral.net/14243/sml%20demo2.zip</x:v>
      </x:c>
    </x:row>
    <x:row r="1949">
      <x:c r="A1949" t="str">
        <x:v>Super Mario Land 3: Tatanga's Return</x:v>
      </x:c>
      <x:c r="B1949" t="str">
        <x:v>Super Mario Land 3: Tatanga's Return</x:v>
      </x:c>
      <x:c r="C1949" t="str">
        <x:v>Gamma V</x:v>
      </x:c>
      <x:c r="D1949" t="n">
        <x:v>70</x:v>
      </x:c>
      <x:c r="E1949" t="str">
        <x:v>Casual</x:v>
      </x:c>
      <x:c r="F1949" t="str">
        <x:v>Standard</x:v>
      </x:c>
      <x:c r="G1949" t="n">
        <x:v>42502</x:v>
      </x:c>
      <x:c r="H1949" t="str">
        <x:v>13608</x:v>
      </x:c>
      <x:c r="I1949" t="str">
        <x:v>https://www.smwcentral.net/?a=details&amp;id=13608&amp;p=section</x:v>
      </x:c>
      <x:c r="J1949" t="str">
        <x:v>https://dl.smwcentral.net/13608/TatangasReturn2.1.zip</x:v>
      </x:c>
    </x:row>
    <x:row r="1950">
      <x:c r="A1950" t="str">
        <x:v>Super Mario Land 4</x:v>
      </x:c>
      <x:c r="B1950" t="str">
        <x:v>Super Mario Land 4</x:v>
      </x:c>
      <x:c r="C1950" t="str">
        <x:v>Lexator</x:v>
      </x:c>
      <x:c r="D1950" t="n">
        <x:v>28</x:v>
      </x:c>
      <x:c r="E1950" t="str">
        <x:v>Casual</x:v>
      </x:c>
      <x:c r="F1950" t="str">
        <x:v>Standard</x:v>
      </x:c>
      <x:c r="G1950" t="n">
        <x:v>42329</x:v>
      </x:c>
      <x:c r="H1950" t="str">
        <x:v>9963</x:v>
      </x:c>
      <x:c r="I1950" t="str">
        <x:v>https://www.smwcentral.net/?a=details&amp;id=9963&amp;p=section</x:v>
      </x:c>
      <x:c r="J1950" t="str">
        <x:v>https://dl.smwcentral.net/9963/SML4_C3%20demo%5Bfr%5D.zip</x:v>
      </x:c>
    </x:row>
    <x:row r="1951">
      <x:c r="A1951" t="str">
        <x:v>Super Mario Land Arcade!</x:v>
      </x:c>
      <x:c r="B1951" t="str">
        <x:v>Super Mario Land Arcade!</x:v>
      </x:c>
      <x:c r="C1951" t="str">
        <x:v>DonnyKD</x:v>
      </x:c>
      <x:c r="D1951" t="n">
        <x:v>3</x:v>
      </x:c>
      <x:c r="E1951" t="str">
        <x:v>Newcomer</x:v>
      </x:c>
      <x:c r="F1951" t="str">
        <x:v>Standard</x:v>
      </x:c>
      <x:c r="G1951" t="n">
        <x:v>42153</x:v>
      </x:c>
      <x:c r="H1951" t="str">
        <x:v>10260</x:v>
      </x:c>
      <x:c r="I1951" t="str">
        <x:v>https://www.smwcentral.net/?a=details&amp;id=10260&amp;p=section</x:v>
      </x:c>
      <x:c r="J1951" t="str">
        <x:v>https://dl.smwcentral.net/10260/SMLA%20demo%201.zip</x:v>
      </x:c>
    </x:row>
    <x:row r="1952">
      <x:c r="A1952" t="str">
        <x:v>Super Mario Land World</x:v>
      </x:c>
      <x:c r="B1952" t="str">
        <x:v>Super Mario Land World</x:v>
      </x:c>
      <x:c r="C1952" t="str">
        <x:v>Lush_50</x:v>
      </x:c>
      <x:c r="D1952" t="n">
        <x:v>13</x:v>
      </x:c>
      <x:c r="E1952" t="str">
        <x:v>Casual</x:v>
      </x:c>
      <x:c r="F1952" t="str">
        <x:v>Standard</x:v>
      </x:c>
      <x:c r="G1952" t="n">
        <x:v>45497</x:v>
      </x:c>
      <x:c r="H1952" t="str">
        <x:v>38127</x:v>
      </x:c>
      <x:c r="I1952" t="str">
        <x:v>https://www.smwcentral.net/?a=details&amp;id=38127&amp;p=section</x:v>
      </x:c>
      <x:c r="J1952" t="str">
        <x:v>https://dl.smwcentral.net/38127/Super%20Mario%20Land%20World%20V1.1%20%28%202024%20%29.zip</x:v>
      </x:c>
    </x:row>
    <x:row r="1953">
      <x:c r="A1953" t="str">
        <x:v>Super Mario Legacy</x:v>
      </x:c>
      <x:c r="B1953" t="str">
        <x:v>Super Mario Legacy</x:v>
      </x:c>
      <x:c r="C1953" t="str">
        <x:v>Ragey</x:v>
      </x:c>
      <x:c r="D1953" t="n">
        <x:v>140</x:v>
      </x:c>
      <x:c r="E1953" t="str">
        <x:v>Intermediate</x:v>
      </x:c>
      <x:c r="F1953" t="str">
        <x:v>Standard</x:v>
      </x:c>
      <x:c r="G1953" t="n">
        <x:v>43247</x:v>
      </x:c>
      <x:c r="H1953" t="str">
        <x:v>17478</x:v>
      </x:c>
      <x:c r="I1953" t="str">
        <x:v>https://www.smwcentral.net/?a=details&amp;id=17478&amp;p=section</x:v>
      </x:c>
      <x:c r="J1953" t="str">
        <x:v>https://dl.smwcentral.net/17478/Super%20Mario%20Legacy.zip</x:v>
      </x:c>
    </x:row>
    <x:row r="1954">
      <x:c r="A1954" t="str">
        <x:v>Super Mario Logic</x:v>
      </x:c>
      <x:c r="B1954" t="str">
        <x:v>Super Mario Logic</x:v>
      </x:c>
      <x:c r="C1954" t="str">
        <x:v>Final Theory</x:v>
      </x:c>
      <x:c r="D1954" t="n">
        <x:v>94</x:v>
      </x:c>
      <x:c r="E1954" t="str">
        <x:v>Casual</x:v>
      </x:c>
      <x:c r="F1954" t="str">
        <x:v>Standard, Puzzle</x:v>
      </x:c>
      <x:c r="G1954" t="n">
        <x:v>43121</x:v>
      </x:c>
      <x:c r="H1954" t="str">
        <x:v>17005</x:v>
      </x:c>
      <x:c r="I1954" t="str">
        <x:v>https://www.smwcentral.net/?a=details&amp;id=17005&amp;p=section</x:v>
      </x:c>
      <x:c r="J1954" t="str">
        <x:v>https://dl.smwcentral.net/17005/Super%20Mario%20Logic.zip</x:v>
      </x:c>
    </x:row>
    <x:row r="1955">
      <x:c r="A1955" t="str">
        <x:v>Super Mario Lost in Monochrome</x:v>
      </x:c>
      <x:c r="B1955" t="str">
        <x:v>Super Mario Lost in Monochrome</x:v>
      </x:c>
      <x:c r="C1955" t="str">
        <x:v>EL santo</x:v>
      </x:c>
      <x:c r="D1955" t="n">
        <x:v>16</x:v>
      </x:c>
      <x:c r="E1955" t="str">
        <x:v>Casual</x:v>
      </x:c>
      <x:c r="F1955" t="str">
        <x:v>Standard</x:v>
      </x:c>
      <x:c r="G1955" t="n">
        <x:v>42312</x:v>
      </x:c>
      <x:c r="H1955" t="str">
        <x:v>10191</x:v>
      </x:c>
      <x:c r="I1955" t="str">
        <x:v>https://www.smwcentral.net/?a=details&amp;id=10191&amp;p=section</x:v>
      </x:c>
      <x:c r="J1955" t="str">
        <x:v>https://dl.smwcentral.net/10191/Super%20Mario%20Lost%20in%20Monochrome%20%28v1.4v%29.zip</x:v>
      </x:c>
    </x:row>
    <x:row r="1956">
      <x:c r="A1956" t="str">
        <x:v>Super Mario Lost World</x:v>
      </x:c>
      <x:c r="B1956" t="str">
        <x:v>Super Mario Lost World</x:v>
      </x:c>
      <x:c r="C1956" t="str">
        <x:v>Andyana Jonseph, RussianMan, darken, niko</x:v>
      </x:c>
      <x:c r="D1956" t="n">
        <x:v>10</x:v>
      </x:c>
      <x:c r="E1956" t="str">
        <x:v>Advanced</x:v>
      </x:c>
      <x:c r="F1956" t="str">
        <x:v>Standard</x:v>
      </x:c>
      <x:c r="G1956" t="n">
        <x:v>42964</x:v>
      </x:c>
      <x:c r="H1956" t="str">
        <x:v>16048</x:v>
      </x:c>
      <x:c r="I1956" t="str">
        <x:v>https://www.smwcentral.net/?a=details&amp;id=16048&amp;p=section</x:v>
      </x:c>
      <x:c r="J1956" t="str">
        <x:v>https://dl.smwcentral.net/16048/Super%20Mario%20Lost%20World%20Demo.zip</x:v>
      </x:c>
    </x:row>
    <x:row r="1957">
      <x:c r="A1957" t="str">
        <x:v>Super Mario Makers' Holiday Extravaganza</x:v>
      </x:c>
      <x:c r="B1957" t="str">
        <x:v>Super Mario Makers' Holiday Extravaganza</x:v>
      </x:c>
      <x:c r="C1957" t="str">
        <x:v>Brakkie, Buflen, Donkeymint, JeepySol, NewPointless, Scags, mmmdoggy, revolug</x:v>
      </x:c>
      <x:c r="D1957" t="n">
        <x:v>21</x:v>
      </x:c>
      <x:c r="E1957" t="str">
        <x:v>Expert</x:v>
      </x:c>
      <x:c r="F1957" t="str">
        <x:v>Standard, Kaizo</x:v>
      </x:c>
      <x:c r="G1957" t="n">
        <x:v>46063</x:v>
      </x:c>
      <x:c r="H1957" t="str">
        <x:v>41494</x:v>
      </x:c>
      <x:c r="I1957" t="str">
        <x:v>https://www.smwcentral.net/?a=details&amp;id=41494&amp;p=section</x:v>
      </x:c>
      <x:c r="J1957" t="str">
        <x:v>https://dl.smwcentral.net/41494/SuperMarioMakersHolidayExtravaganza1_1.zip</x:v>
      </x:c>
    </x:row>
    <x:row r="1958">
      <x:c r="A1958" t="str">
        <x:v>Super Mario Mania</x:v>
      </x:c>
      <x:c r="B1958" t="str">
        <x:v>Super Mario Mania</x:v>
      </x:c>
      <x:c r="C1958" t="str">
        <x:v>OiMuka</x:v>
      </x:c>
      <x:c r="D1958" t="n">
        <x:v>9</x:v>
      </x:c>
      <x:c r="E1958" t="str">
        <x:v>Casual</x:v>
      </x:c>
      <x:c r="F1958" t="str">
        <x:v>Standard</x:v>
      </x:c>
      <x:c r="G1958" t="n">
        <x:v>46136</x:v>
      </x:c>
      <x:c r="H1958" t="str">
        <x:v>42235</x:v>
      </x:c>
      <x:c r="I1958" t="str">
        <x:v>https://www.smwcentral.net/?a=details&amp;id=42235&amp;p=section</x:v>
      </x:c>
      <x:c r="J1958" t="str">
        <x:v>https://dl.smwcentral.net/42235/SMM%20-%20Demo%20V1.1.zip</x:v>
      </x:c>
    </x:row>
    <x:row r="1959">
      <x:c r="A1959" t="str">
        <x:v>Super Mario New Life!</x:v>
      </x:c>
      <x:c r="B1959" t="str">
        <x:v>Super Mario New Life!</x:v>
      </x:c>
      <x:c r="C1959" t="str">
        <x:v>FamilyTeamProductions</x:v>
      </x:c>
      <x:c r="D1959" t="n">
        <x:v>4</x:v>
      </x:c>
      <x:c r="E1959" t="str">
        <x:v>Newcomer</x:v>
      </x:c>
      <x:c r="F1959" t="str">
        <x:v>Standard</x:v>
      </x:c>
      <x:c r="G1959" t="n">
        <x:v>42338</x:v>
      </x:c>
      <x:c r="H1959" t="str">
        <x:v>10168</x:v>
      </x:c>
      <x:c r="I1959" t="str">
        <x:v>https://www.smwcentral.net/?a=details&amp;id=10168&amp;p=section</x:v>
      </x:c>
      <x:c r="J1959" t="str">
        <x:v>https://dl.smwcentral.net/10168/SMNL.zip</x:v>
      </x:c>
    </x:row>
    <x:row r="1960">
      <x:c r="A1960" t="str">
        <x:v>Super Mario Ocean</x:v>
      </x:c>
      <x:c r="B1960" t="str">
        <x:v>Super Mario Ocean</x:v>
      </x:c>
      <x:c r="C1960" t="str">
        <x:v>yogui</x:v>
      </x:c>
      <x:c r="D1960" t="n">
        <x:v>36</x:v>
      </x:c>
      <x:c r="E1960" t="str">
        <x:v>Casual</x:v>
      </x:c>
      <x:c r="F1960" t="str">
        <x:v>Standard</x:v>
      </x:c>
      <x:c r="G1960" t="n">
        <x:v>42215</x:v>
      </x:c>
      <x:c r="H1960" t="str">
        <x:v>9761</x:v>
      </x:c>
      <x:c r="I1960" t="str">
        <x:v>https://www.smwcentral.net/?a=details&amp;id=9761&amp;p=section</x:v>
      </x:c>
      <x:c r="J1960" t="str">
        <x:v>https://dl.smwcentral.net/9761/SuperMarioOcean.zip</x:v>
      </x:c>
    </x:row>
    <x:row r="1961">
      <x:c r="A1961" t="str">
        <x:v>Super Mario Odyssey</x:v>
      </x:c>
      <x:c r="B1961" t="str">
        <x:v>Super Mario Odyssey</x:v>
      </x:c>
      <x:c r="C1961" t="str">
        <x:v>Rachel Mae</x:v>
      </x:c>
      <x:c r="D1961" t="n">
        <x:v>20</x:v>
      </x:c>
      <x:c r="E1961" t="str">
        <x:v>Casual</x:v>
      </x:c>
      <x:c r="F1961" t="str">
        <x:v>Standard</x:v>
      </x:c>
      <x:c r="G1961" t="n">
        <x:v>41448</x:v>
      </x:c>
      <x:c r="H1961" t="str">
        <x:v>4987</x:v>
      </x:c>
      <x:c r="I1961" t="str">
        <x:v>https://www.smwcentral.net/?a=details&amp;id=4987&amp;p=section</x:v>
      </x:c>
      <x:c r="J1961" t="str">
        <x:v>https://dl.smwcentral.net/4987/odyssey_v02.zip</x:v>
      </x:c>
    </x:row>
    <x:row r="1962">
      <x:c r="A1962" t="str">
        <x:v>Super Mario Omega</x:v>
      </x:c>
      <x:c r="B1962" t="str">
        <x:v>Super Mario Omega</x:v>
      </x:c>
      <x:c r="C1962" t="str">
        <x:v>Higsby</x:v>
      </x:c>
      <x:c r="D1962" t="n">
        <x:v>100</x:v>
      </x:c>
      <x:c r="E1962" t="str">
        <x:v>Intermediate</x:v>
      </x:c>
      <x:c r="F1962" t="str">
        <x:v>Standard</x:v>
      </x:c>
      <x:c r="G1962" t="n">
        <x:v>41531</x:v>
      </x:c>
      <x:c r="H1962" t="str">
        <x:v>5252</x:v>
      </x:c>
      <x:c r="I1962" t="str">
        <x:v>https://www.smwcentral.net/?a=details&amp;id=5252&amp;p=section</x:v>
      </x:c>
      <x:c r="J1962" t="str">
        <x:v>https://dl.smwcentral.net/5252/Super%20Mario%20Omega%20V1.07.zip</x:v>
      </x:c>
    </x:row>
    <x:row r="1963">
      <x:c r="A1963" t="str">
        <x:v>Super Mario Outbreak</x:v>
      </x:c>
      <x:c r="B1963" t="str">
        <x:v>Super Mario Outbreak</x:v>
      </x:c>
      <x:c r="C1963" t="str">
        <x:v>Gamma V</x:v>
      </x:c>
      <x:c r="D1963" t="n">
        <x:v>20</x:v>
      </x:c>
      <x:c r="E1963" t="str">
        <x:v>Casual</x:v>
      </x:c>
      <x:c r="F1963" t="str">
        <x:v>Standard</x:v>
      </x:c>
      <x:c r="G1963" t="n">
        <x:v>43961</x:v>
      </x:c>
      <x:c r="H1963" t="str">
        <x:v>22929</x:v>
      </x:c>
      <x:c r="I1963" t="str">
        <x:v>https://www.smwcentral.net/?a=details&amp;id=22929&amp;p=section</x:v>
      </x:c>
      <x:c r="J1963" t="str">
        <x:v>https://dl.smwcentral.net/22929/Outbreak%20Demo%20-%20Fixed.zip</x:v>
      </x:c>
    </x:row>
    <x:row r="1964">
      <x:c r="A1964" t="str">
        <x:v>Super Mario OWMS</x:v>
      </x:c>
      <x:c r="B1964" t="str">
        <x:v>Super Mario OWMS</x:v>
      </x:c>
      <x:c r="C1964" t="str">
        <x:v>BanzaiChuck</x:v>
      </x:c>
      <x:c r="D1964" t="n">
        <x:v>13</x:v>
      </x:c>
      <x:c r="E1964" t="str">
        <x:v>Expert</x:v>
      </x:c>
      <x:c r="F1964" t="str">
        <x:v>Kaizo</x:v>
      </x:c>
      <x:c r="G1964" t="n">
        <x:v>43260</x:v>
      </x:c>
      <x:c r="H1964" t="str">
        <x:v>17584</x:v>
      </x:c>
      <x:c r="I1964" t="str">
        <x:v>https://www.smwcentral.net/?a=details&amp;id=17584&amp;p=section</x:v>
      </x:c>
      <x:c r="J1964" t="str">
        <x:v>https://dl.smwcentral.net/17584/Super%20Mario%20OWMS.zip</x:v>
      </x:c>
    </x:row>
    <x:row r="1965">
      <x:c r="A1965" t="str">
        <x:v>Super Mario Pants World</x:v>
      </x:c>
      <x:c r="B1965" t="str">
        <x:v>Super Mario Pants World</x:v>
      </x:c>
      <x:c r="C1965" t="str">
        <x:v>Romano338</x:v>
      </x:c>
      <x:c r="D1965" t="n">
        <x:v>7</x:v>
      </x:c>
      <x:c r="E1965" t="str">
        <x:v>Expert</x:v>
      </x:c>
      <x:c r="F1965" t="str">
        <x:v>Kaizo</x:v>
      </x:c>
      <x:c r="G1965" t="n">
        <x:v>43017</x:v>
      </x:c>
      <x:c r="H1965" t="str">
        <x:v>16416</x:v>
      </x:c>
      <x:c r="I1965" t="str">
        <x:v>https://www.smwcentral.net/?a=details&amp;id=16416&amp;p=section</x:v>
      </x:c>
      <x:c r="J1965" t="str">
        <x:v>https://dl.smwcentral.net/16416/SMPWv2.zip</x:v>
      </x:c>
    </x:row>
    <x:row r="1966">
      <x:c r="A1966" t="str">
        <x:v>Super Mario Place</x:v>
      </x:c>
      <x:c r="B1966" t="str">
        <x:v>Super Mario Place</x:v>
      </x:c>
      <x:c r="C1966" t="str">
        <x:v>Angel Astronaut</x:v>
      </x:c>
      <x:c r="D1966" t="n">
        <x:v>81</x:v>
      </x:c>
      <x:c r="E1966" t="str">
        <x:v>Intermediate</x:v>
      </x:c>
      <x:c r="F1966" t="str">
        <x:v>Standard</x:v>
      </x:c>
      <x:c r="G1966" t="n">
        <x:v>41531</x:v>
      </x:c>
      <x:c r="H1966" t="str">
        <x:v>5175</x:v>
      </x:c>
      <x:c r="I1966" t="str">
        <x:v>https://www.smwcentral.net/?a=details&amp;id=5175&amp;p=section</x:v>
      </x:c>
      <x:c r="J1966" t="str">
        <x:v>https://dl.smwcentral.net/5175/Super%20Mario%20Place.zip</x:v>
      </x:c>
    </x:row>
    <x:row r="1967">
      <x:c r="A1967" t="str">
        <x:v>Super Mario Planet</x:v>
      </x:c>
      <x:c r="B1967" t="str">
        <x:v>Super Mario Planet</x:v>
      </x:c>
      <x:c r="C1967" t="str">
        <x:v>Merthacks</x:v>
      </x:c>
      <x:c r="D1967" t="n">
        <x:v>7</x:v>
      </x:c>
      <x:c r="E1967" t="str">
        <x:v>Casual</x:v>
      </x:c>
      <x:c r="F1967" t="str">
        <x:v>Standard</x:v>
      </x:c>
      <x:c r="G1967" t="n">
        <x:v>41517</x:v>
      </x:c>
      <x:c r="H1967" t="str">
        <x:v>5520</x:v>
      </x:c>
      <x:c r="I1967" t="str">
        <x:v>https://www.smwcentral.net/?a=details&amp;id=5520&amp;p=section</x:v>
      </x:c>
      <x:c r="J1967" t="str">
        <x:v>https://dl.smwcentral.net/5520/Super%20Mario%20Planet.zip</x:v>
      </x:c>
    </x:row>
    <x:row r="1968">
      <x:c r="A1968" t="str">
        <x:v>Super Mario Quest</x:v>
      </x:c>
      <x:c r="B1968" t="str">
        <x:v>Super Mario Quest</x:v>
      </x:c>
      <x:c r="C1968" t="str">
        <x:v>nathanx365</x:v>
      </x:c>
      <x:c r="D1968" t="n">
        <x:v>19</x:v>
      </x:c>
      <x:c r="E1968" t="str">
        <x:v>Casual</x:v>
      </x:c>
      <x:c r="F1968" t="str">
        <x:v>Standard</x:v>
      </x:c>
      <x:c r="G1968" t="n">
        <x:v>42166</x:v>
      </x:c>
      <x:c r="H1968" t="str">
        <x:v>11428</x:v>
      </x:c>
      <x:c r="I1968" t="str">
        <x:v>https://www.smwcentral.net/?a=details&amp;id=11428&amp;p=section</x:v>
      </x:c>
      <x:c r="J1968" t="str">
        <x:v>https://dl.smwcentral.net/11428/Super%20Mario%20Quest.zip</x:v>
      </x:c>
    </x:row>
    <x:row r="1969">
      <x:c r="A1969" t="str">
        <x:v>Super Mario Radish Kingdom Adventure</x:v>
      </x:c>
      <x:c r="B1969" t="str">
        <x:v>Super Mario Radish Kingdom Adventure</x:v>
      </x:c>
      <x:c r="C1969" t="str">
        <x:v>autisticsceptile1993</x:v>
      </x:c>
      <x:c r="D1969" t="n">
        <x:v>88</x:v>
      </x:c>
      <x:c r="E1969" t="str">
        <x:v>Advanced</x:v>
      </x:c>
      <x:c r="F1969" t="str">
        <x:v>Standard</x:v>
      </x:c>
      <x:c r="G1969" t="n">
        <x:v>44208</x:v>
      </x:c>
      <x:c r="H1969" t="str">
        <x:v>25875</x:v>
      </x:c>
      <x:c r="I1969" t="str">
        <x:v>https://www.smwcentral.net/?a=details&amp;id=25875&amp;p=section</x:v>
      </x:c>
      <x:c r="J1969" t="str">
        <x:v>https://dl.smwcentral.net/25875/Super%20Mario%20Radish%20Kingdom%20Adventure%20V3.1.zip</x:v>
      </x:c>
    </x:row>
    <x:row r="1970">
      <x:c r="A1970" t="str">
        <x:v>Super Mario Redux</x:v>
      </x:c>
      <x:c r="B1970" t="str">
        <x:v>Super Mario Redux</x:v>
      </x:c>
      <x:c r="C1970" t="str">
        <x:v>Noivern</x:v>
      </x:c>
      <x:c r="D1970" t="n">
        <x:v>62</x:v>
      </x:c>
      <x:c r="E1970" t="str">
        <x:v>Casual</x:v>
      </x:c>
      <x:c r="F1970" t="str">
        <x:v>Standard</x:v>
      </x:c>
      <x:c r="G1970" t="n">
        <x:v>42304</x:v>
      </x:c>
      <x:c r="H1970" t="str">
        <x:v>10100</x:v>
      </x:c>
      <x:c r="I1970" t="str">
        <x:v>https://www.smwcentral.net/?a=details&amp;id=10100&amp;p=section</x:v>
      </x:c>
      <x:c r="J1970" t="str">
        <x:v>https://dl.smwcentral.net/10100/Redux.zip</x:v>
      </x:c>
    </x:row>
    <x:row r="1971">
      <x:c r="A1971" t="str">
        <x:v>Super Mario Revelations</x:v>
      </x:c>
      <x:c r="B1971" t="str">
        <x:v>Super Mario Revelations</x:v>
      </x:c>
      <x:c r="C1971" t="str">
        <x:v>ItsSnowyTime</x:v>
      </x:c>
      <x:c r="D1971" t="n">
        <x:v>12</x:v>
      </x:c>
      <x:c r="E1971" t="str">
        <x:v>Casual</x:v>
      </x:c>
      <x:c r="F1971" t="str">
        <x:v>Standard</x:v>
      </x:c>
      <x:c r="G1971" t="n">
        <x:v>42065</x:v>
      </x:c>
      <x:c r="H1971" t="str">
        <x:v>9750</x:v>
      </x:c>
      <x:c r="I1971" t="str">
        <x:v>https://www.smwcentral.net/?a=details&amp;id=9750&amp;p=section</x:v>
      </x:c>
      <x:c r="J1971" t="str">
        <x:v>https://dl.smwcentral.net/9750/Super_Mario_Revelations.zip</x:v>
      </x:c>
    </x:row>
    <x:row r="1972">
      <x:c r="A1972" t="str">
        <x:v>Super Mario Robotical Trouble</x:v>
      </x:c>
      <x:c r="B1972" t="str">
        <x:v>Super Mario Robotical Trouble</x:v>
      </x:c>
      <x:c r="C1972" t="str">
        <x:v>Dark Yoshi</x:v>
      </x:c>
      <x:c r="D1972" t="n">
        <x:v>8</x:v>
      </x:c>
      <x:c r="E1972" t="str">
        <x:v>Casual</x:v>
      </x:c>
      <x:c r="F1972" t="str">
        <x:v>Standard</x:v>
      </x:c>
      <x:c r="G1972" t="n">
        <x:v>41517</x:v>
      </x:c>
      <x:c r="H1972" t="str">
        <x:v>5464</x:v>
      </x:c>
      <x:c r="I1972" t="str">
        <x:v>https://www.smwcentral.net/?a=details&amp;id=5464&amp;p=section</x:v>
      </x:c>
      <x:c r="J1972" t="str">
        <x:v>https://dl.smwcentral.net/5464/Super%20Mario%20Robotical%20Trouble.zip</x:v>
      </x:c>
    </x:row>
    <x:row r="1973">
      <x:c r="A1973" t="str">
        <x:v>Super Mario SS2 - Bowser is Back</x:v>
      </x:c>
      <x:c r="B1973" t="str">
        <x:v>Super Mario SS2 - Bowser is Back</x:v>
      </x:c>
      <x:c r="C1973" t="str">
        <x:v>EmuGamer</x:v>
      </x:c>
      <x:c r="D1973" t="n">
        <x:v>34</x:v>
      </x:c>
      <x:c r="E1973" t="str">
        <x:v>Casual</x:v>
      </x:c>
      <x:c r="F1973" t="str">
        <x:v>Standard</x:v>
      </x:c>
      <x:c r="G1973" t="n">
        <x:v>43281</x:v>
      </x:c>
      <x:c r="H1973" t="str">
        <x:v>17597</x:v>
      </x:c>
      <x:c r="I1973" t="str">
        <x:v>https://www.smwcentral.net/?a=details&amp;id=17597&amp;p=section</x:v>
      </x:c>
      <x:c r="J1973" t="str">
        <x:v>https://dl.smwcentral.net/17597/Super%20Mario%20SS2%20-%20Bowser%20is%20Back.zip</x:v>
      </x:c>
    </x:row>
    <x:row r="1974">
      <x:c r="A1974" t="str">
        <x:v>Super Mario SS3 - PU</x:v>
      </x:c>
      <x:c r="B1974" t="str">
        <x:v>Super Mario SS3 - PU</x:v>
      </x:c>
      <x:c r="C1974" t="str">
        <x:v>EmuGamer</x:v>
      </x:c>
      <x:c r="D1974" t="n">
        <x:v>32</x:v>
      </x:c>
      <x:c r="E1974" t="str">
        <x:v>Intermediate</x:v>
      </x:c>
      <x:c r="F1974" t="str">
        <x:v>Standard</x:v>
      </x:c>
      <x:c r="G1974" t="n">
        <x:v>44242</x:v>
      </x:c>
      <x:c r="H1974" t="str">
        <x:v>26132</x:v>
      </x:c>
      <x:c r="I1974" t="str">
        <x:v>https://www.smwcentral.net/?a=details&amp;id=26132&amp;p=section</x:v>
      </x:c>
      <x:c r="J1974" t="str">
        <x:v>https://dl.smwcentral.net/26132/Super%20Mario%20SS3.zip</x:v>
      </x:c>
    </x:row>
    <x:row r="1975">
      <x:c r="A1975" t="str">
        <x:v>Super Mario Starlight</x:v>
      </x:c>
      <x:c r="B1975" t="str">
        <x:v>Super Mario Starlight</x:v>
      </x:c>
      <x:c r="C1975" t="str">
        <x:v>hendog30_</x:v>
      </x:c>
      <x:c r="D1975" t="n">
        <x:v>30</x:v>
      </x:c>
      <x:c r="E1975" t="str">
        <x:v>Intermediate</x:v>
      </x:c>
      <x:c r="F1975" t="str">
        <x:v>Standard</x:v>
      </x:c>
      <x:c r="G1975" t="n">
        <x:v>45206</x:v>
      </x:c>
      <x:c r="H1975" t="str">
        <x:v>35049</x:v>
      </x:c>
      <x:c r="I1975" t="str">
        <x:v>https://www.smwcentral.net/?a=details&amp;id=35049&amp;p=section</x:v>
      </x:c>
      <x:c r="J1975" t="str">
        <x:v>https://dl.smwcentral.net/35049/SuperMarioStarlight.zip</x:v>
      </x:c>
    </x:row>
    <x:row r="1976">
      <x:c r="A1976" t="str">
        <x:v>Super Mario Starlight Remix</x:v>
      </x:c>
      <x:c r="B1976" t="str">
        <x:v>Super Mario Starlight Remix</x:v>
      </x:c>
      <x:c r="C1976" t="str">
        <x:v>Gamma V</x:v>
      </x:c>
      <x:c r="D1976" t="n">
        <x:v>96</x:v>
      </x:c>
      <x:c r="E1976" t="str">
        <x:v>Newcomer</x:v>
      </x:c>
      <x:c r="F1976" t="str">
        <x:v>Standard</x:v>
      </x:c>
      <x:c r="G1976" t="n">
        <x:v>42292</x:v>
      </x:c>
      <x:c r="H1976" t="str">
        <x:v>10060</x:v>
      </x:c>
      <x:c r="I1976" t="str">
        <x:v>https://www.smwcentral.net/?a=details&amp;id=10060&amp;p=section</x:v>
      </x:c>
      <x:c r="J1976" t="str">
        <x:v>https://dl.smwcentral.net/10060/SM%20Starlight%20Remix%20Version%202.1.zip</x:v>
      </x:c>
    </x:row>
    <x:row r="1977">
      <x:c r="A1977" t="str">
        <x:v>Super Mario Stole the Souls of the Innocent and Now Must Climb a Tower to Reclaim his Humanity World</x:v>
      </x:c>
      <x:c r="B1977" t="str">
        <x:v>Super Mario Stole the Souls of the Innocent and Now Must Climb a Tower to Reclaim his Humanity World</x:v>
      </x:c>
      <x:c r="C1977" t="str">
        <x:v>Jamie</x:v>
      </x:c>
      <x:c r="D1977" t="n">
        <x:v>1</x:v>
      </x:c>
      <x:c r="E1977" t="str">
        <x:v>Master</x:v>
      </x:c>
      <x:c r="F1977" t="str">
        <x:v>Kaizo</x:v>
      </x:c>
      <x:c r="G1977" t="n">
        <x:v>45487</x:v>
      </x:c>
      <x:c r="H1977" t="str">
        <x:v>38051</x:v>
      </x:c>
      <x:c r="I1977" t="str">
        <x:v>https://www.smwcentral.net/?a=details&amp;id=38051&amp;p=section</x:v>
      </x:c>
      <x:c r="J1977" t="str">
        <x:v>https://dl.smwcentral.net/38051/Mario%20Climbs%20A%20Tower.zip</x:v>
      </x:c>
    </x:row>
    <x:row r="1978">
      <x:c r="A1978" t="str">
        <x:v>Super Mario Super Quest (demo)</x:v>
      </x:c>
      <x:c r="B1978" t="str">
        <x:v>Super Mario Super Quest (demo)</x:v>
      </x:c>
      <x:c r="C1978" t="str">
        <x:v>Greeeen</x:v>
      </x:c>
      <x:c r="D1978" t="n">
        <x:v>20</x:v>
      </x:c>
      <x:c r="E1978" t="str">
        <x:v>Casual</x:v>
      </x:c>
      <x:c r="F1978" t="str">
        <x:v>Standard</x:v>
      </x:c>
      <x:c r="G1978" t="n">
        <x:v>45980</x:v>
      </x:c>
      <x:c r="H1978" t="str">
        <x:v>41047</x:v>
      </x:c>
      <x:c r="I1978" t="str">
        <x:v>https://www.smwcentral.net/?a=details&amp;id=41047&amp;p=section</x:v>
      </x:c>
      <x:c r="J1978" t="str">
        <x:v>https://dl.smwcentral.net/41047/SMSQ%20demo.zip</x:v>
      </x:c>
    </x:row>
    <x:row r="1979">
      <x:c r="A1979" t="str">
        <x:v>Super Mario SuperStar</x:v>
      </x:c>
      <x:c r="B1979" t="str">
        <x:v>Super Mario SuperStar</x:v>
      </x:c>
      <x:c r="C1979" t="str">
        <x:v>Super Mario 64</x:v>
      </x:c>
      <x:c r="D1979" t="n">
        <x:v>8</x:v>
      </x:c>
      <x:c r="E1979" t="str">
        <x:v>Casual</x:v>
      </x:c>
      <x:c r="F1979" t="str">
        <x:v>Standard</x:v>
      </x:c>
      <x:c r="G1979" t="n">
        <x:v>42209</x:v>
      </x:c>
      <x:c r="H1979" t="str">
        <x:v>9791</x:v>
      </x:c>
      <x:c r="I1979" t="str">
        <x:v>https://www.smwcentral.net/?a=details&amp;id=9791&amp;p=section</x:v>
      </x:c>
      <x:c r="J1979" t="str">
        <x:v>https://dl.smwcentral.net/9791/SMSSW1.zip</x:v>
      </x:c>
    </x:row>
    <x:row r="1980">
      <x:c r="A1980" t="str">
        <x:v>Super Mario Tales!</x:v>
      </x:c>
      <x:c r="B1980" t="str">
        <x:v>Super Mario Tales!</x:v>
      </x:c>
      <x:c r="C1980" t="str">
        <x:v>Kobrah</x:v>
      </x:c>
      <x:c r="D1980" t="n">
        <x:v>6</x:v>
      </x:c>
      <x:c r="E1980" t="str">
        <x:v>Newcomer</x:v>
      </x:c>
      <x:c r="F1980" t="str">
        <x:v>Standard</x:v>
      </x:c>
      <x:c r="G1980" t="n">
        <x:v>41530</x:v>
      </x:c>
      <x:c r="H1980" t="str">
        <x:v>5581</x:v>
      </x:c>
      <x:c r="I1980" t="str">
        <x:v>https://www.smwcentral.net/?a=details&amp;id=5581&amp;p=section</x:v>
      </x:c>
      <x:c r="J1980" t="str">
        <x:v>https://dl.smwcentral.net/5581/Super%20Mario%20Tales%20DEMO.zip</x:v>
      </x:c>
    </x:row>
    <x:row r="1981">
      <x:c r="A1981" t="str">
        <x:v>Super Mario The Trip</x:v>
      </x:c>
      <x:c r="B1981" t="str">
        <x:v>Super Mario The Trip</x:v>
      </x:c>
      <x:c r="C1981" t="str">
        <x:v>Sig_AM</x:v>
      </x:c>
      <x:c r="D1981" t="n">
        <x:v>75</x:v>
      </x:c>
      <x:c r="E1981" t="str">
        <x:v>Casual</x:v>
      </x:c>
      <x:c r="F1981" t="str">
        <x:v>Standard</x:v>
      </x:c>
      <x:c r="G1981" t="n">
        <x:v>44693</x:v>
      </x:c>
      <x:c r="H1981" t="str">
        <x:v>30265</x:v>
      </x:c>
      <x:c r="I1981" t="str">
        <x:v>https://www.smwcentral.net/?a=details&amp;id=30265&amp;p=section</x:v>
      </x:c>
      <x:c r="J1981" t="str">
        <x:v>https://dl.smwcentral.net/30265/Super%20Mario%20The%20Trip.zip</x:v>
      </x:c>
    </x:row>
    <x:row r="1982">
      <x:c r="A1982" t="str">
        <x:v>Super Mario Thousand Islands</x:v>
      </x:c>
      <x:c r="B1982" t="str">
        <x:v>Super Mario Thousand Islands</x:v>
      </x:c>
      <x:c r="C1982" t="str">
        <x:v>blueyosh</x:v>
      </x:c>
      <x:c r="D1982" t="n">
        <x:v>17</x:v>
      </x:c>
      <x:c r="E1982" t="str">
        <x:v>Newcomer</x:v>
      </x:c>
      <x:c r="F1982" t="str">
        <x:v>Standard</x:v>
      </x:c>
      <x:c r="G1982" t="n">
        <x:v>42227</x:v>
      </x:c>
      <x:c r="H1982" t="str">
        <x:v>9841</x:v>
      </x:c>
      <x:c r="I1982" t="str">
        <x:v>https://www.smwcentral.net/?a=details&amp;id=9841&amp;p=section</x:v>
      </x:c>
      <x:c r="J1982" t="str">
        <x:v>https://dl.smwcentral.net/9841/SMTI2.zip</x:v>
      </x:c>
    </x:row>
    <x:row r="1983">
      <x:c r="A1983" t="str">
        <x:v>Super Mario TKO</x:v>
      </x:c>
      <x:c r="B1983" t="str">
        <x:v>Super Mario TKO</x:v>
      </x:c>
      <x:c r="C1983" t="str">
        <x:v>Dispari Scuro, Heisanevilgenius</x:v>
      </x:c>
      <x:c r="D1983" t="n">
        <x:v>17</x:v>
      </x:c>
      <x:c r="E1983" t="str">
        <x:v>Casual</x:v>
      </x:c>
      <x:c r="F1983" t="str">
        <x:v>Standard</x:v>
      </x:c>
      <x:c r="G1983" t="n">
        <x:v>41447</x:v>
      </x:c>
      <x:c r="H1983" t="str">
        <x:v>5038</x:v>
      </x:c>
      <x:c r="I1983" t="str">
        <x:v>https://www.smwcentral.net/?a=details&amp;id=5038&amp;p=section</x:v>
      </x:c>
      <x:c r="J1983" t="str">
        <x:v>https://dl.smwcentral.net/5038/smtko_demo_1.zip</x:v>
      </x:c>
    </x:row>
    <x:row r="1984">
      <x:c r="A1984" t="str">
        <x:v>Super Mario Ubs</x:v>
      </x:c>
      <x:c r="B1984" t="str">
        <x:v>Super Mario Ubs</x:v>
      </x:c>
      <x:c r="C1984" t="str">
        <x:v>Ubsje</x:v>
      </x:c>
      <x:c r="D1984" t="n">
        <x:v>7</x:v>
      </x:c>
      <x:c r="E1984" t="str">
        <x:v>Casual</x:v>
      </x:c>
      <x:c r="F1984" t="str">
        <x:v>Standard</x:v>
      </x:c>
      <x:c r="G1984" t="n">
        <x:v>43029</x:v>
      </x:c>
      <x:c r="H1984" t="str">
        <x:v>16490</x:v>
      </x:c>
      <x:c r="I1984" t="str">
        <x:v>https://www.smwcentral.net/?a=details&amp;id=16490&amp;p=section</x:v>
      </x:c>
      <x:c r="J1984" t="str">
        <x:v>https://dl.smwcentral.net/16490/Super%20mario%20Ubs.zip</x:v>
      </x:c>
    </x:row>
    <x:row r="1985">
      <x:c r="A1985" t="str">
        <x:v>Super Mario Ultima</x:v>
      </x:c>
      <x:c r="B1985" t="str">
        <x:v>Super Mario Ultima</x:v>
      </x:c>
      <x:c r="C1985" t="str">
        <x:v>Time Traveler</x:v>
      </x:c>
      <x:c r="D1985" t="n">
        <x:v>3</x:v>
      </x:c>
      <x:c r="E1985" t="str">
        <x:v>Intermediate</x:v>
      </x:c>
      <x:c r="F1985" t="str">
        <x:v>Standard</x:v>
      </x:c>
      <x:c r="G1985" t="n">
        <x:v>42066</x:v>
      </x:c>
      <x:c r="H1985" t="str">
        <x:v>9808</x:v>
      </x:c>
      <x:c r="I1985" t="str">
        <x:v>https://www.smwcentral.net/?a=details&amp;id=9808&amp;p=section</x:v>
      </x:c>
      <x:c r="J1985" t="str">
        <x:v>https://dl.smwcentral.net/9808/Ultima%20World.zip</x:v>
      </x:c>
    </x:row>
    <x:row r="1986">
      <x:c r="A1986" t="str">
        <x:v>Super Mario Ultra World</x:v>
      </x:c>
      <x:c r="B1986" t="str">
        <x:v>Super Mario Ultra World</x:v>
      </x:c>
      <x:c r="C1986" t="str">
        <x:v>Andrew Ultra Gamer</x:v>
      </x:c>
      <x:c r="D1986" t="n">
        <x:v>9</x:v>
      </x:c>
      <x:c r="E1986" t="str">
        <x:v>Newcomer</x:v>
      </x:c>
      <x:c r="F1986" t="str">
        <x:v>Standard</x:v>
      </x:c>
      <x:c r="G1986" t="n">
        <x:v>44508</x:v>
      </x:c>
      <x:c r="H1986" t="str">
        <x:v>28587</x:v>
      </x:c>
      <x:c r="I1986" t="str">
        <x:v>https://www.smwcentral.net/?a=details&amp;id=28587&amp;p=section</x:v>
      </x:c>
      <x:c r="J1986" t="str">
        <x:v>https://dl.smwcentral.net/28587/Super%20Mario%20Ultra%20World%20Demo.zip</x:v>
      </x:c>
    </x:row>
    <x:row r="1987">
      <x:c r="A1987" t="str">
        <x:v>Super Mario Underworld</x:v>
      </x:c>
      <x:c r="B1987" t="str">
        <x:v>Super Mario Underworld</x:v>
      </x:c>
      <x:c r="C1987" t="str">
        <x:v>Golden Yoshi, Uhrix</x:v>
      </x:c>
      <x:c r="D1987" t="n">
        <x:v>4</x:v>
      </x:c>
      <x:c r="E1987" t="str">
        <x:v>Casual</x:v>
      </x:c>
      <x:c r="F1987" t="str">
        <x:v>Standard</x:v>
      </x:c>
      <x:c r="G1987" t="n">
        <x:v>41530</x:v>
      </x:c>
      <x:c r="H1987" t="str">
        <x:v>5356</x:v>
      </x:c>
      <x:c r="I1987" t="str">
        <x:v>https://www.smwcentral.net/?a=details&amp;id=5356&amp;p=section</x:v>
      </x:c>
      <x:c r="J1987" t="str">
        <x:v>https://dl.smwcentral.net/5356/Super%20Mario%20Underworld-%20Final%20Version.zip</x:v>
      </x:c>
    </x:row>
    <x:row r="1988">
      <x:c r="A1988" t="str">
        <x:v>Super Mario Universe 2: The Adventure Resumes</x:v>
      </x:c>
      <x:c r="B1988" t="str">
        <x:v>Super Mario Universe 2: The Adventure Resumes</x:v>
      </x:c>
      <x:c r="C1988" t="str">
        <x:v>Black Crystal Wisher, Marino.EXE</x:v>
      </x:c>
      <x:c r="D1988" t="n">
        <x:v>62</x:v>
      </x:c>
      <x:c r="E1988" t="str">
        <x:v>Newcomer</x:v>
      </x:c>
      <x:c r="F1988" t="str">
        <x:v>Standard</x:v>
      </x:c>
      <x:c r="G1988" t="n">
        <x:v>42213</x:v>
      </x:c>
      <x:c r="H1988" t="str">
        <x:v>9817</x:v>
      </x:c>
      <x:c r="I1988" t="str">
        <x:v>https://www.smwcentral.net/?a=details&amp;id=9817&amp;p=section</x:v>
      </x:c>
      <x:c r="J1988" t="str">
        <x:v>https://dl.smwcentral.net/9817/Super%20Mario%20Universe%20II%20-%20The%20Adventure%20Resumes.zip</x:v>
      </x:c>
    </x:row>
    <x:row r="1989">
      <x:c r="A1989" t="str">
        <x:v>Super Mario Universe [SMWC #25489]</x:v>
      </x:c>
      <x:c r="B1989" t="str">
        <x:v>Super Mario Universe</x:v>
      </x:c>
      <x:c r="C1989" t="str">
        <x:v>hendog30_</x:v>
      </x:c>
      <x:c r="D1989" t="n">
        <x:v>30</x:v>
      </x:c>
      <x:c r="E1989" t="str">
        <x:v>Casual</x:v>
      </x:c>
      <x:c r="F1989" t="str">
        <x:v>Standard</x:v>
      </x:c>
      <x:c r="G1989" t="n">
        <x:v>44189</x:v>
      </x:c>
      <x:c r="H1989" t="str">
        <x:v>25489</x:v>
      </x:c>
      <x:c r="I1989" t="str">
        <x:v>https://www.smwcentral.net/?a=details&amp;id=25489&amp;p=section</x:v>
      </x:c>
      <x:c r="J1989" t="str">
        <x:v>https://dl.smwcentral.net/25489/Super%20Mario%20Universe.zip</x:v>
      </x:c>
    </x:row>
    <x:row r="1990">
      <x:c r="A1990" t="str">
        <x:v>Super Mario Universe [SMWC #9855]</x:v>
      </x:c>
      <x:c r="B1990" t="str">
        <x:v>Super Mario Universe</x:v>
      </x:c>
      <x:c r="C1990" t="str">
        <x:v>Black Crystal Wisher</x:v>
      </x:c>
      <x:c r="D1990" t="n">
        <x:v>80</x:v>
      </x:c>
      <x:c r="E1990" t="str">
        <x:v>Casual</x:v>
      </x:c>
      <x:c r="F1990" t="str">
        <x:v>Standard</x:v>
      </x:c>
      <x:c r="G1990" t="n">
        <x:v>42236</x:v>
      </x:c>
      <x:c r="H1990" t="str">
        <x:v>9855</x:v>
      </x:c>
      <x:c r="I1990" t="str">
        <x:v>https://www.smwcentral.net/?a=details&amp;id=9855&amp;p=section</x:v>
      </x:c>
      <x:c r="J1990" t="str">
        <x:v>https://dl.smwcentral.net/9855/smu.zip</x:v>
      </x:c>
    </x:row>
    <x:row r="1991">
      <x:c r="A1991" t="str">
        <x:v>Super Mario Universe Deluxe</x:v>
      </x:c>
      <x:c r="B1991" t="str">
        <x:v>Super Mario Universe Deluxe</x:v>
      </x:c>
      <x:c r="C1991" t="str">
        <x:v>hendog30_</x:v>
      </x:c>
      <x:c r="D1991" t="n">
        <x:v>40</x:v>
      </x:c>
      <x:c r="E1991" t="str">
        <x:v>Casual</x:v>
      </x:c>
      <x:c r="F1991" t="str">
        <x:v>Standard</x:v>
      </x:c>
      <x:c r="G1991" t="n">
        <x:v>44621</x:v>
      </x:c>
      <x:c r="H1991" t="str">
        <x:v>29968</x:v>
      </x:c>
      <x:c r="I1991" t="str">
        <x:v>https://www.smwcentral.net/?a=details&amp;id=29968&amp;p=section</x:v>
      </x:c>
      <x:c r="J1991" t="str">
        <x:v>https://dl.smwcentral.net/29968/SuperMarioUniverseDELUXE.zip</x:v>
      </x:c>
    </x:row>
    <x:row r="1992">
      <x:c r="A1992" t="str">
        <x:v>Super Mario Versus Bowser's New Army</x:v>
      </x:c>
      <x:c r="B1992" t="str">
        <x:v>Super Mario Versus Bowser's New Army</x:v>
      </x:c>
      <x:c r="C1992" t="str">
        <x:v>yogui</x:v>
      </x:c>
      <x:c r="D1992" t="n">
        <x:v>19</x:v>
      </x:c>
      <x:c r="E1992" t="str">
        <x:v>Casual</x:v>
      </x:c>
      <x:c r="F1992" t="str">
        <x:v>Standard</x:v>
      </x:c>
      <x:c r="G1992" t="n">
        <x:v>41508</x:v>
      </x:c>
      <x:c r="H1992" t="str">
        <x:v>5198</x:v>
      </x:c>
      <x:c r="I1992" t="str">
        <x:v>https://www.smwcentral.net/?a=details&amp;id=5198&amp;p=section</x:v>
      </x:c>
      <x:c r="J1992" t="str">
        <x:v>https://dl.smwcentral.net/5198/SuperMarioVersusBowsersNewArmy.zip</x:v>
      </x:c>
    </x:row>
    <x:row r="1993">
      <x:c r="A1993" t="str">
        <x:v>Super Mario World (Super Mario Bros. 4) : A Trip Full Of Fun!</x:v>
      </x:c>
      <x:c r="B1993" t="str">
        <x:v>Super Mario World (Super Mario Bros. 4) : A Trip Full Of Fun!</x:v>
      </x:c>
      <x:c r="C1993" t="str">
        <x:v>Dark Prince</x:v>
      </x:c>
      <x:c r="D1993" t="n">
        <x:v>5</x:v>
      </x:c>
      <x:c r="E1993" t="str">
        <x:v>Casual</x:v>
      </x:c>
      <x:c r="F1993" t="str">
        <x:v>Standard</x:v>
      </x:c>
      <x:c r="G1993" t="n">
        <x:v>43536</x:v>
      </x:c>
      <x:c r="H1993" t="str">
        <x:v>19293</x:v>
      </x:c>
      <x:c r="I1993" t="str">
        <x:v>https://www.smwcentral.net/?a=details&amp;id=19293&amp;p=section</x:v>
      </x:c>
      <x:c r="J1993" t="str">
        <x:v>https://dl.smwcentral.net/19293/smw%20smb4%20a%20trip%20full%20of%20fun%20fixed%2Cagain%2Cyes.zip</x:v>
      </x:c>
    </x:row>
    <x:row r="1994">
      <x:c r="A1994" t="str">
        <x:v>Super Mario World + Land</x:v>
      </x:c>
      <x:c r="B1994" t="str">
        <x:v>Super Mario World + Land</x:v>
      </x:c>
      <x:c r="C1994" t="str">
        <x:v>Bioma</x:v>
      </x:c>
      <x:c r="D1994" t="n">
        <x:v>96</x:v>
      </x:c>
      <x:c r="E1994" t="str">
        <x:v>Casual</x:v>
      </x:c>
      <x:c r="F1994" t="str">
        <x:v>Standard</x:v>
      </x:c>
      <x:c r="G1994" t="n">
        <x:v>42841</x:v>
      </x:c>
      <x:c r="H1994" t="str">
        <x:v>15300</x:v>
      </x:c>
      <x:c r="I1994" t="str">
        <x:v>https://www.smwcentral.net/?a=details&amp;id=15300&amp;p=section</x:v>
      </x:c>
      <x:c r="J1994" t="str">
        <x:v>https://dl.smwcentral.net/15300/SMWL.zip</x:v>
      </x:c>
    </x:row>
    <x:row r="1995">
      <x:c r="A1995" t="str">
        <x:v>Super Mario World - Bowser's Last Revenge</x:v>
      </x:c>
      <x:c r="B1995" t="str">
        <x:v>Super Mario World - Bowser's Last Revenge</x:v>
      </x:c>
      <x:c r="C1995" t="str">
        <x:v>BLR_Team, Systrem Studios</x:v>
      </x:c>
      <x:c r="D1995" t="n">
        <x:v>8</x:v>
      </x:c>
      <x:c r="E1995" t="str">
        <x:v>Newcomer</x:v>
      </x:c>
      <x:c r="F1995" t="str">
        <x:v>Standard</x:v>
      </x:c>
      <x:c r="G1995" t="n">
        <x:v>43031</x:v>
      </x:c>
      <x:c r="H1995" t="str">
        <x:v>16452</x:v>
      </x:c>
      <x:c r="I1995" t="str">
        <x:v>https://www.smwcentral.net/?a=details&amp;id=16452&amp;p=section</x:v>
      </x:c>
      <x:c r="J1995" t="str">
        <x:v>https://dl.smwcentral.net/16452/SMW%20-%20Bowser%27s%20Last%20Revenge%20DEMO%202.0.zip</x:v>
      </x:c>
    </x:row>
    <x:row r="1996">
      <x:c r="A1996" t="str">
        <x:v>Super Mario World - Bowser's Return</x:v>
      </x:c>
      <x:c r="B1996" t="str">
        <x:v>Super Mario World - Bowser's Return</x:v>
      </x:c>
      <x:c r="C1996" t="str">
        <x:v>Ice Man, ghettoyouth</x:v>
      </x:c>
      <x:c r="D1996" t="n">
        <x:v>60</x:v>
      </x:c>
      <x:c r="E1996" t="str">
        <x:v>Casual</x:v>
      </x:c>
      <x:c r="F1996" t="str">
        <x:v>Standard</x:v>
      </x:c>
      <x:c r="G1996" t="n">
        <x:v>46221</x:v>
      </x:c>
      <x:c r="H1996" t="str">
        <x:v>42676</x:v>
      </x:c>
      <x:c r="I1996" t="str">
        <x:v>https://www.smwcentral.net/?a=details&amp;id=42676&amp;p=section</x:v>
      </x:c>
      <x:c r="J1996" t="str">
        <x:v>https://dl.smwcentral.net/42676/Super%20Mario%20World%20-%20Bowser%27s%20Return%20%282026%20Version%20-%20Update%202%29.zip</x:v>
      </x:c>
    </x:row>
    <x:row r="1997">
      <x:c r="A1997" t="str">
        <x:v>Super Mario World - Bowser's Return Redux</x:v>
      </x:c>
      <x:c r="B1997" t="str">
        <x:v>Super Mario World - Bowser's Return Redux</x:v>
      </x:c>
      <x:c r="C1997" t="str">
        <x:v>Ice Man</x:v>
      </x:c>
      <x:c r="D1997" t="n">
        <x:v>62</x:v>
      </x:c>
      <x:c r="E1997" t="str">
        <x:v>Casual</x:v>
      </x:c>
      <x:c r="F1997" t="str">
        <x:v>Standard</x:v>
      </x:c>
      <x:c r="G1997" t="n">
        <x:v>46191</x:v>
      </x:c>
      <x:c r="H1997" t="str">
        <x:v>42380</x:v>
      </x:c>
      <x:c r="I1997" t="str">
        <x:v>https://www.smwcentral.net/?a=details&amp;id=42380&amp;p=section</x:v>
      </x:c>
      <x:c r="J1997" t="str">
        <x:v>https://dl.smwcentral.net/42380/Super%20Mario%20World%20-%20Bowser%27s%20Return%20Redux.zip</x:v>
      </x:c>
    </x:row>
    <x:row r="1998">
      <x:c r="A1998" t="str">
        <x:v>Super Mario World - Bulgarian Translation</x:v>
      </x:c>
      <x:c r="B1998" t="str">
        <x:v>Super Mario World - Bulgarian Translation</x:v>
      </x:c>
      <x:c r="C1998" t="str">
        <x:v>Azzara, DKL, KaptainAlexander</x:v>
      </x:c>
      <x:c r="D1998" t="n">
        <x:v>96</x:v>
      </x:c>
      <x:c r="E1998" t="str">
        <x:v>Casual</x:v>
      </x:c>
      <x:c r="F1998" t="str">
        <x:v>Standard</x:v>
      </x:c>
      <x:c r="G1998" t="n">
        <x:v>45132</x:v>
      </x:c>
      <x:c r="H1998" t="str">
        <x:v>33731</x:v>
      </x:c>
      <x:c r="I1998" t="str">
        <x:v>https://www.smwcentral.net/?a=details&amp;id=33731&amp;p=section</x:v>
      </x:c>
      <x:c r="J1998" t="str">
        <x:v>https://dl.smwcentral.net/33731/mario-world-bg-v3.1.zip</x:v>
      </x:c>
    </x:row>
    <x:row r="1999">
      <x:c r="A1999" t="str">
        <x:v>Super Mario World - Final Mysterious Quest</x:v>
      </x:c>
      <x:c r="B1999" t="str">
        <x:v>Super Mario World - Final Mysterious Quest</x:v>
      </x:c>
      <x:c r="C1999" t="str">
        <x:v>Superwan</x:v>
      </x:c>
      <x:c r="D1999" t="n">
        <x:v>53</x:v>
      </x:c>
      <x:c r="E1999" t="str">
        <x:v>Intermediate</x:v>
      </x:c>
      <x:c r="F1999" t="str">
        <x:v>Standard</x:v>
      </x:c>
      <x:c r="G1999" t="n">
        <x:v>44037</x:v>
      </x:c>
      <x:c r="H1999" t="str">
        <x:v>23494</x:v>
      </x:c>
      <x:c r="I1999" t="str">
        <x:v>https://www.smwcentral.net/?a=details&amp;id=23494&amp;p=section</x:v>
      </x:c>
      <x:c r="J1999" t="str">
        <x:v>https://dl.smwcentral.net/23494/SMWFMQ.zip</x:v>
      </x:c>
    </x:row>
    <x:row r="2000">
      <x:c r="A2000" t="str">
        <x:v>Super Mario World - Gamergull's Version</x:v>
      </x:c>
      <x:c r="B2000" t="str">
        <x:v>Super Mario World - Gamergull's Version</x:v>
      </x:c>
      <x:c r="C2000" t="str">
        <x:v>Gamergull</x:v>
      </x:c>
      <x:c r="D2000" t="n">
        <x:v>33</x:v>
      </x:c>
      <x:c r="E2000" t="str">
        <x:v>Newcomer</x:v>
      </x:c>
      <x:c r="F2000" t="str">
        <x:v>Standard</x:v>
      </x:c>
      <x:c r="G2000" t="n">
        <x:v>42304</x:v>
      </x:c>
      <x:c r="H2000" t="str">
        <x:v>10192</x:v>
      </x:c>
      <x:c r="I2000" t="str">
        <x:v>https://www.smwcentral.net/?a=details&amp;id=10192&amp;p=section</x:v>
      </x:c>
      <x:c r="J2000" t="str">
        <x:v>https://dl.smwcentral.net/10192/SMWGGV.zip</x:v>
      </x:c>
    </x:row>
    <x:row r="2001">
      <x:c r="A2001" t="str">
        <x:v>Super Mario World - Hack Project</x:v>
      </x:c>
      <x:c r="B2001" t="str">
        <x:v>Super Mario World - Hack Project</x:v>
      </x:c>
      <x:c r="C2001" t="str">
        <x:v>EvilGames</x:v>
      </x:c>
      <x:c r="D2001" t="n">
        <x:v>6</x:v>
      </x:c>
      <x:c r="E2001" t="str">
        <x:v>Newcomer</x:v>
      </x:c>
      <x:c r="F2001" t="str">
        <x:v>Standard</x:v>
      </x:c>
      <x:c r="G2001" t="n">
        <x:v>42339</x:v>
      </x:c>
      <x:c r="H2001" t="str">
        <x:v>10166</x:v>
      </x:c>
      <x:c r="I2001" t="str">
        <x:v>https://www.smwcentral.net/?a=details&amp;id=10166&amp;p=section</x:v>
      </x:c>
      <x:c r="J2001" t="str">
        <x:v>https://dl.smwcentral.net/10166/SMW-HC_Demo2_069a.zip</x:v>
      </x:c>
    </x:row>
    <x:row r="2002">
      <x:c r="A2002" t="str">
        <x:v>Super Mario World - Koopa Revenge</x:v>
      </x:c>
      <x:c r="B2002" t="str">
        <x:v>Super Mario World - Koopa Revenge</x:v>
      </x:c>
      <x:c r="C2002" t="str">
        <x:v>Maxderdachs</x:v>
      </x:c>
      <x:c r="D2002" t="n">
        <x:v>20</x:v>
      </x:c>
      <x:c r="E2002" t="str">
        <x:v>Newcomer</x:v>
      </x:c>
      <x:c r="F2002" t="str">
        <x:v>Standard</x:v>
      </x:c>
      <x:c r="G2002" t="n">
        <x:v>42214</x:v>
      </x:c>
      <x:c r="H2002" t="str">
        <x:v>9787</x:v>
      </x:c>
      <x:c r="I2002" t="str">
        <x:v>https://www.smwcentral.net/?a=details&amp;id=9787&amp;p=section</x:v>
      </x:c>
      <x:c r="J2002" t="str">
        <x:v>https://dl.smwcentral.net/9787/SMW%20Koopa%20revenge.zip</x:v>
      </x:c>
    </x:row>
    <x:row r="2003">
      <x:c r="A2003" t="str">
        <x:v>Super Mario World - Leaving Dinosaur Island</x:v>
      </x:c>
      <x:c r="B2003" t="str">
        <x:v>Super Mario World - Leaving Dinosaur Island</x:v>
      </x:c>
      <x:c r="C2003" t="str">
        <x:v>Chromite</x:v>
      </x:c>
      <x:c r="D2003" t="n">
        <x:v>5</x:v>
      </x:c>
      <x:c r="E2003" t="str">
        <x:v>Casual</x:v>
      </x:c>
      <x:c r="F2003" t="str">
        <x:v>Standard</x:v>
      </x:c>
      <x:c r="G2003" t="n">
        <x:v>42277</x:v>
      </x:c>
      <x:c r="H2003" t="str">
        <x:v>9962</x:v>
      </x:c>
      <x:c r="I2003" t="str">
        <x:v>https://www.smwcentral.net/?a=details&amp;id=9962&amp;p=section</x:v>
      </x:c>
      <x:c r="J2003" t="str">
        <x:v>https://dl.smwcentral.net/9962/SMW-LDI.zip</x:v>
      </x:c>
    </x:row>
    <x:row r="2004">
      <x:c r="A2004" t="str">
        <x:v>Super Mario World - Luigi's World Edition</x:v>
      </x:c>
      <x:c r="B2004" t="str">
        <x:v>Super Mario World - Luigi's World Edition</x:v>
      </x:c>
      <x:c r="C2004" t="str">
        <x:v>Random_Josh</x:v>
      </x:c>
      <x:c r="D2004" t="n">
        <x:v>19</x:v>
      </x:c>
      <x:c r="E2004" t="str">
        <x:v>Expert</x:v>
      </x:c>
      <x:c r="F2004" t="str">
        <x:v>Kaizo</x:v>
      </x:c>
      <x:c r="G2004" t="n">
        <x:v>42818</x:v>
      </x:c>
      <x:c r="H2004" t="str">
        <x:v>15266</x:v>
      </x:c>
      <x:c r="I2004" t="str">
        <x:v>https://www.smwcentral.net/?a=details&amp;id=15266&amp;p=section</x:v>
      </x:c>
      <x:c r="J2004" t="str">
        <x:v>https://dl.smwcentral.net/15266/SMW%20LWE.zip</x:v>
      </x:c>
    </x:row>
    <x:row r="2005">
      <x:c r="A2005" t="str">
        <x:v>Super Mario World - Mario's Expedition</x:v>
      </x:c>
      <x:c r="B2005" t="str">
        <x:v>Super Mario World - Mario's Expedition</x:v>
      </x:c>
      <x:c r="C2005" t="str">
        <x:v>Domokun007</x:v>
      </x:c>
      <x:c r="D2005" t="n">
        <x:v>1</x:v>
      </x:c>
      <x:c r="E2005" t="str">
        <x:v>Advanced</x:v>
      </x:c>
      <x:c r="F2005" t="str">
        <x:v>Standard</x:v>
      </x:c>
      <x:c r="G2005" t="n">
        <x:v>45667</x:v>
      </x:c>
      <x:c r="H2005" t="str">
        <x:v>38649</x:v>
      </x:c>
      <x:c r="I2005" t="str">
        <x:v>https://www.smwcentral.net/?a=details&amp;id=38649&amp;p=section</x:v>
      </x:c>
      <x:c r="J2005" t="str">
        <x:v>https://dl.smwcentral.net/38649/Super%20Mario%20World%20-%20Mario%27s%20Expedition%20v1.4.zip</x:v>
      </x:c>
    </x:row>
    <x:row r="2006">
      <x:c r="A2006" t="str">
        <x:v>Super Mario World - Mushroom Revolution</x:v>
      </x:c>
      <x:c r="B2006" t="str">
        <x:v>Super Mario World - Mushroom Revolution</x:v>
      </x:c>
      <x:c r="C2006" t="str">
        <x:v>PMH</x:v>
      </x:c>
      <x:c r="D2006" t="n">
        <x:v>23</x:v>
      </x:c>
      <x:c r="E2006" t="str">
        <x:v>Casual</x:v>
      </x:c>
      <x:c r="F2006" t="str">
        <x:v>Standard</x:v>
      </x:c>
      <x:c r="G2006" t="n">
        <x:v>45377</x:v>
      </x:c>
      <x:c r="H2006" t="str">
        <x:v>36862</x:v>
      </x:c>
      <x:c r="I2006" t="str">
        <x:v>https://www.smwcentral.net/?a=details&amp;id=36862&amp;p=section</x:v>
      </x:c>
      <x:c r="J2006" t="str">
        <x:v>https://dl.smwcentral.net/36862/SMW%20Mushroom%20Revolution%20%28Demo%202.5%29.zip</x:v>
      </x:c>
    </x:row>
    <x:row r="2007">
      <x:c r="A2007" t="str">
        <x:v>Super Mario World - Neeberz's Hack</x:v>
      </x:c>
      <x:c r="B2007" t="str">
        <x:v>Super Mario World - Neeberz's Hack</x:v>
      </x:c>
      <x:c r="C2007" t="str">
        <x:v>Neeberz</x:v>
      </x:c>
      <x:c r="D2007" t="n">
        <x:v>26</x:v>
      </x:c>
      <x:c r="E2007" t="str">
        <x:v>Newcomer</x:v>
      </x:c>
      <x:c r="F2007" t="str">
        <x:v>Standard</x:v>
      </x:c>
      <x:c r="G2007" t="n">
        <x:v>44186</x:v>
      </x:c>
      <x:c r="H2007" t="str">
        <x:v>25462</x:v>
      </x:c>
      <x:c r="I2007" t="str">
        <x:v>https://www.smwcentral.net/?a=details&amp;id=25462&amp;p=section</x:v>
      </x:c>
      <x:c r="J2007" t="str">
        <x:v>https://dl.smwcentral.net/25462/Super%20Mario%20World%20-%20Neeberz%27s%20Hack.zip</x:v>
      </x:c>
    </x:row>
    <x:row r="2008">
      <x:c r="A2008" t="str">
        <x:v>Super Mario World - Parodian Art Edition</x:v>
      </x:c>
      <x:c r="B2008" t="str">
        <x:v>Super Mario World - Parodian Art Edition</x:v>
      </x:c>
      <x:c r="C2008" t="str">
        <x:v>Parodian Dark</x:v>
      </x:c>
      <x:c r="D2008" t="n">
        <x:v>9</x:v>
      </x:c>
      <x:c r="E2008" t="str">
        <x:v>Casual</x:v>
      </x:c>
      <x:c r="F2008" t="str">
        <x:v>Standard</x:v>
      </x:c>
      <x:c r="G2008" t="n">
        <x:v>44940</x:v>
      </x:c>
      <x:c r="H2008" t="str">
        <x:v>32917</x:v>
      </x:c>
      <x:c r="I2008" t="str">
        <x:v>https://www.smwcentral.net/?a=details&amp;id=32917&amp;p=section</x:v>
      </x:c>
      <x:c r="J2008" t="str">
        <x:v>https://dl.smwcentral.net/32917/SMWPAE.zip</x:v>
      </x:c>
    </x:row>
    <x:row r="2009">
      <x:c r="A2009" t="str">
        <x:v>Super Mario World - Some Random Adventure</x:v>
      </x:c>
      <x:c r="B2009" t="str">
        <x:v>Super Mario World - Some Random Adventure</x:v>
      </x:c>
      <x:c r="C2009" t="str">
        <x:v>TheSpeedyJay</x:v>
      </x:c>
      <x:c r="D2009" t="n">
        <x:v>15</x:v>
      </x:c>
      <x:c r="E2009" t="str">
        <x:v>Casual</x:v>
      </x:c>
      <x:c r="F2009" t="str">
        <x:v>Standard</x:v>
      </x:c>
      <x:c r="G2009" t="n">
        <x:v>43560</x:v>
      </x:c>
      <x:c r="H2009" t="str">
        <x:v>19535</x:v>
      </x:c>
      <x:c r="I2009" t="str">
        <x:v>https://www.smwcentral.net/?a=details&amp;id=19535&amp;p=section</x:v>
      </x:c>
      <x:c r="J2009" t="str">
        <x:v>https://dl.smwcentral.net/19535/Super%20Mario%20World%20-%20Some%20Random%20Adventure%20%28Demo%202%29.zip</x:v>
      </x:c>
    </x:row>
    <x:row r="2010">
      <x:c r="A2010" t="str">
        <x:v>Super Mario World - The 4 Elemental Jewels</x:v>
      </x:c>
      <x:c r="B2010" t="str">
        <x:v>Super Mario World - The 4 Elemental Jewels</x:v>
      </x:c>
      <x:c r="C2010" t="str">
        <x:v>SacredSilverYoshi</x:v>
      </x:c>
      <x:c r="D2010" t="n">
        <x:v>8</x:v>
      </x:c>
      <x:c r="E2010" t="str">
        <x:v>Casual</x:v>
      </x:c>
      <x:c r="F2010" t="str">
        <x:v>Standard</x:v>
      </x:c>
      <x:c r="G2010" t="n">
        <x:v>42322</x:v>
      </x:c>
      <x:c r="H2010" t="str">
        <x:v>10085</x:v>
      </x:c>
      <x:c r="I2010" t="str">
        <x:v>https://www.smwcentral.net/?a=details&amp;id=10085&amp;p=section</x:v>
      </x:c>
      <x:c r="J2010" t="str">
        <x:v>https://dl.smwcentral.net/10085/T4J6-23-2010.zip</x:v>
      </x:c>
    </x:row>
    <x:row r="2011">
      <x:c r="A2011" t="str">
        <x:v>Super Mario World - The search of Luigi</x:v>
      </x:c>
      <x:c r="B2011" t="str">
        <x:v>Super Mario World - The search of Luigi</x:v>
      </x:c>
      <x:c r="C2011" t="str">
        <x:v>tmauri</x:v>
      </x:c>
      <x:c r="D2011" t="n">
        <x:v>7</x:v>
      </x:c>
      <x:c r="E2011" t="str">
        <x:v>Casual</x:v>
      </x:c>
      <x:c r="F2011" t="str">
        <x:v>Standard</x:v>
      </x:c>
      <x:c r="G2011" t="n">
        <x:v>43038</x:v>
      </x:c>
      <x:c r="H2011" t="str">
        <x:v>16522</x:v>
      </x:c>
      <x:c r="I2011" t="str">
        <x:v>https://www.smwcentral.net/?a=details&amp;id=16522&amp;p=section</x:v>
      </x:c>
      <x:c r="J2011" t="str">
        <x:v>https://dl.smwcentral.net/16522/SMWTSOL.zip</x:v>
      </x:c>
    </x:row>
    <x:row r="2012">
      <x:c r="A2012" t="str">
        <x:v>Super Mario World - The Secret Levels</x:v>
      </x:c>
      <x:c r="B2012" t="str">
        <x:v>Super Mario World - The Secret Levels</x:v>
      </x:c>
      <x:c r="C2012" t="str">
        <x:v>JOSHUAPLAYER2002</x:v>
      </x:c>
      <x:c r="D2012" t="n">
        <x:v>3</x:v>
      </x:c>
      <x:c r="E2012" t="str">
        <x:v>Newcomer</x:v>
      </x:c>
      <x:c r="F2012" t="str">
        <x:v>Standard</x:v>
      </x:c>
      <x:c r="G2012" t="n">
        <x:v>42781</x:v>
      </x:c>
      <x:c r="H2012" t="str">
        <x:v>15187</x:v>
      </x:c>
      <x:c r="I2012" t="str">
        <x:v>https://www.smwcentral.net/?a=details&amp;id=15187&amp;p=section</x:v>
      </x:c>
      <x:c r="J2012" t="str">
        <x:v>https://dl.smwcentral.net/15187/Super%20Mario%20World.The%20Secret%20Levels.zip</x:v>
      </x:c>
    </x:row>
    <x:row r="2013">
      <x:c r="A2013" t="str">
        <x:v>Super Mario World 1.5</x:v>
      </x:c>
      <x:c r="B2013" t="str">
        <x:v>Super Mario World 1.5</x:v>
      </x:c>
      <x:c r="C2013" t="str">
        <x:v>edit1754</x:v>
      </x:c>
      <x:c r="D2013" t="n">
        <x:v>66</x:v>
      </x:c>
      <x:c r="E2013" t="str">
        <x:v>Newcomer</x:v>
      </x:c>
      <x:c r="F2013" t="str">
        <x:v>Standard</x:v>
      </x:c>
      <x:c r="G2013" t="n">
        <x:v>42210</x:v>
      </x:c>
      <x:c r="H2013" t="str">
        <x:v>9853</x:v>
      </x:c>
      <x:c r="I2013" t="str">
        <x:v>https://www.smwcentral.net/?a=details&amp;id=9853&amp;p=section</x:v>
      </x:c>
      <x:c r="J2013" t="str">
        <x:v>https://dl.smwcentral.net/9853/SMW1.5.zip</x:v>
      </x:c>
    </x:row>
    <x:row r="2014">
      <x:c r="A2014" t="str">
        <x:v>Super Mario World 2</x:v>
      </x:c>
      <x:c r="B2014" t="str">
        <x:v>Super Mario World 2</x:v>
      </x:c>
      <x:c r="C2014" t="str">
        <x:v>Adam</x:v>
      </x:c>
      <x:c r="D2014" t="n">
        <x:v>7</x:v>
      </x:c>
      <x:c r="E2014" t="str">
        <x:v>Newcomer</x:v>
      </x:c>
      <x:c r="F2014" t="str">
        <x:v>Standard</x:v>
      </x:c>
      <x:c r="G2014" t="n">
        <x:v>41451</x:v>
      </x:c>
      <x:c r="H2014" t="str">
        <x:v>5237</x:v>
      </x:c>
      <x:c r="I2014" t="str">
        <x:v>https://www.smwcentral.net/?a=details&amp;id=5237&amp;p=section</x:v>
      </x:c>
      <x:c r="J2014" t="str">
        <x:v>https://dl.smwcentral.net/5237/SMW2%20Demo.zip</x:v>
      </x:c>
    </x:row>
    <x:row r="2015">
      <x:c r="A2015" t="str">
        <x:v>Super Mario World 2021 (PT-BR) + (USA)</x:v>
      </x:c>
      <x:c r="B2015" t="str">
        <x:v>Super Mario World 2021 (PT-BR) + (USA)</x:v>
      </x:c>
      <x:c r="C2015" t="str">
        <x:v>edu_dyck</x:v>
      </x:c>
      <x:c r="D2015" t="n">
        <x:v>92</x:v>
      </x:c>
      <x:c r="E2015" t="str">
        <x:v>Casual</x:v>
      </x:c>
      <x:c r="F2015" t="str">
        <x:v>Standard</x:v>
      </x:c>
      <x:c r="G2015" t="n">
        <x:v>44347</x:v>
      </x:c>
      <x:c r="H2015" t="str">
        <x:v>26444</x:v>
      </x:c>
      <x:c r="I2015" t="str">
        <x:v>https://www.smwcentral.net/?a=details&amp;id=26444&amp;p=section</x:v>
      </x:c>
      <x:c r="J2015" t="str">
        <x:v>https://dl.smwcentral.net/26444/Super%20Mario%20World%202021.zip</x:v>
      </x:c>
    </x:row>
    <x:row r="2016">
      <x:c r="A2016" t="str">
        <x:v>Super Mario World 2025</x:v>
      </x:c>
      <x:c r="B2016" t="str">
        <x:v>Super Mario World 2025</x:v>
      </x:c>
      <x:c r="C2016" t="str">
        <x:v>Hamilton64</x:v>
      </x:c>
      <x:c r="D2016" t="n">
        <x:v>93</x:v>
      </x:c>
      <x:c r="E2016" t="str">
        <x:v>Casual</x:v>
      </x:c>
      <x:c r="F2016" t="str">
        <x:v>Standard</x:v>
      </x:c>
      <x:c r="G2016" t="n">
        <x:v>45760</x:v>
      </x:c>
      <x:c r="H2016" t="str">
        <x:v>39482</x:v>
      </x:c>
      <x:c r="I2016" t="str">
        <x:v>https://www.smwcentral.net/?a=details&amp;id=39482&amp;p=section</x:v>
      </x:c>
      <x:c r="J2016" t="str">
        <x:v>https://dl.smwcentral.net/39482/Super%20Mario%20World%202025.zip</x:v>
      </x:c>
    </x:row>
    <x:row r="2017">
      <x:c r="A2017" t="str">
        <x:v>Super Mario World 3 - A whole new world</x:v>
      </x:c>
      <x:c r="B2017" t="str">
        <x:v>Super Mario World 3 - A whole new world</x:v>
      </x:c>
      <x:c r="C2017" t="str">
        <x:v>Easy Difficulty</x:v>
      </x:c>
      <x:c r="D2017" t="n">
        <x:v>44</x:v>
      </x:c>
      <x:c r="E2017" t="str">
        <x:v>Intermediate</x:v>
      </x:c>
      <x:c r="F2017" t="str">
        <x:v>Standard</x:v>
      </x:c>
      <x:c r="G2017" t="n">
        <x:v>44520</x:v>
      </x:c>
      <x:c r="H2017" t="str">
        <x:v>28563</x:v>
      </x:c>
      <x:c r="I2017" t="str">
        <x:v>https://www.smwcentral.net/?a=details&amp;id=28563&amp;p=section</x:v>
      </x:c>
      <x:c r="J2017" t="str">
        <x:v>https://dl.smwcentral.net/28563/SMW3.zip</x:v>
      </x:c>
    </x:row>
    <x:row r="2018">
      <x:c r="A2018" t="str">
        <x:v>Super Mario World 3 - Bowser's Revenge</x:v>
      </x:c>
      <x:c r="B2018" t="str">
        <x:v>Super Mario World 3 - Bowser's Revenge</x:v>
      </x:c>
      <x:c r="C2018" t="str">
        <x:v>thekenbaum</x:v>
      </x:c>
      <x:c r="D2018" t="n">
        <x:v>8</x:v>
      </x:c>
      <x:c r="E2018" t="str">
        <x:v>Newcomer</x:v>
      </x:c>
      <x:c r="F2018" t="str">
        <x:v>Standard</x:v>
      </x:c>
      <x:c r="G2018" t="n">
        <x:v>42308</x:v>
      </x:c>
      <x:c r="H2018" t="str">
        <x:v>10138</x:v>
      </x:c>
      <x:c r="I2018" t="str">
        <x:v>https://www.smwcentral.net/?a=details&amp;id=10138&amp;p=section</x:v>
      </x:c>
      <x:c r="J2018" t="str">
        <x:v>https://dl.smwcentral.net/10138/Super%20Mario%20World%20patch.zip</x:v>
      </x:c>
    </x:row>
    <x:row r="2019">
      <x:c r="A2019" t="str">
        <x:v>Super Mario World 3: The Koopas Strike Back</x:v>
      </x:c>
      <x:c r="B2019" t="str">
        <x:v>Super Mario World 3: The Koopas Strike Back</x:v>
      </x:c>
      <x:c r="C2019" t="str">
        <x:v>RZ1</x:v>
      </x:c>
      <x:c r="D2019" t="n">
        <x:v>29</x:v>
      </x:c>
      <x:c r="E2019" t="str">
        <x:v>Intermediate</x:v>
      </x:c>
      <x:c r="F2019" t="str">
        <x:v>Standard</x:v>
      </x:c>
      <x:c r="G2019" t="n">
        <x:v>44675</x:v>
      </x:c>
      <x:c r="H2019" t="str">
        <x:v>30565</x:v>
      </x:c>
      <x:c r="I2019" t="str">
        <x:v>https://www.smwcentral.net/?a=details&amp;id=30565&amp;p=section</x:v>
      </x:c>
      <x:c r="J2019" t="str">
        <x:v>https://dl.smwcentral.net/30565/SMW3%20-%20TKSB%20v1.06.zip</x:v>
      </x:c>
    </x:row>
    <x:row r="2020">
      <x:c r="A2020" t="str">
        <x:v>Super Mario World 3: The Universe's Star!</x:v>
      </x:c>
      <x:c r="B2020" t="str">
        <x:v>Super Mario World 3: The Universe's Star!</x:v>
      </x:c>
      <x:c r="C2020" t="str">
        <x:v>mariocool1999</x:v>
      </x:c>
      <x:c r="D2020" t="n">
        <x:v>10</x:v>
      </x:c>
      <x:c r="E2020" t="str">
        <x:v>Newcomer</x:v>
      </x:c>
      <x:c r="F2020" t="str">
        <x:v>Standard</x:v>
      </x:c>
      <x:c r="G2020" t="n">
        <x:v>41542</x:v>
      </x:c>
      <x:c r="H2020" t="str">
        <x:v>5245</x:v>
      </x:c>
      <x:c r="I2020" t="str">
        <x:v>https://www.smwcentral.net/?a=details&amp;id=5245&amp;p=section</x:v>
      </x:c>
      <x:c r="J2020" t="str">
        <x:v>https://dl.smwcentral.net/5245/Hack.zip</x:v>
      </x:c>
    </x:row>
    <x:row r="2021">
      <x:c r="A2021" t="str">
        <x:v>Super Mario World 4: The Shining Super Star</x:v>
      </x:c>
      <x:c r="B2021" t="str">
        <x:v>Super Mario World 4: The Shining Super Star</x:v>
      </x:c>
      <x:c r="C2021" t="str">
        <x:v>Super Buzzy Yoshi</x:v>
      </x:c>
      <x:c r="D2021" t="n">
        <x:v>6</x:v>
      </x:c>
      <x:c r="E2021" t="str">
        <x:v>Casual</x:v>
      </x:c>
      <x:c r="F2021" t="str">
        <x:v>Standard</x:v>
      </x:c>
      <x:c r="G2021" t="n">
        <x:v>43637</x:v>
      </x:c>
      <x:c r="H2021" t="str">
        <x:v>20259</x:v>
      </x:c>
      <x:c r="I2021" t="str">
        <x:v>https://www.smwcentral.net/?a=details&amp;id=20259&amp;p=section</x:v>
      </x:c>
      <x:c r="J2021" t="str">
        <x:v>https://dl.smwcentral.net/20259/SMW4.zip</x:v>
      </x:c>
    </x:row>
    <x:row r="2022">
      <x:c r="A2022" t="str">
        <x:v>Super Mario World 64</x:v>
      </x:c>
      <x:c r="B2022" t="str">
        <x:v>Super Mario World 64</x:v>
      </x:c>
      <x:c r="C2022" t="str">
        <x:v>XLer8</x:v>
      </x:c>
      <x:c r="D2022" t="n">
        <x:v>1</x:v>
      </x:c>
      <x:c r="E2022" t="str">
        <x:v>Casual</x:v>
      </x:c>
      <x:c r="F2022" t="str">
        <x:v>Standard</x:v>
      </x:c>
      <x:c r="G2022" t="n">
        <x:v>44886</x:v>
      </x:c>
      <x:c r="H2022" t="str">
        <x:v>32569</x:v>
      </x:c>
      <x:c r="I2022" t="str">
        <x:v>https://www.smwcentral.net/?a=details&amp;id=32569&amp;p=section</x:v>
      </x:c>
      <x:c r="J2022" t="str">
        <x:v>https://dl.smwcentral.net/32569/SuperMarioWorld64-DEMO.zip</x:v>
      </x:c>
    </x:row>
    <x:row r="2023">
      <x:c r="A2023" t="str">
        <x:v>Super Mario World Adventure</x:v>
      </x:c>
      <x:c r="B2023" t="str">
        <x:v>Super Mario World Adventure</x:v>
      </x:c>
      <x:c r="C2023" t="str">
        <x:v>Gregor</x:v>
      </x:c>
      <x:c r="D2023" t="n">
        <x:v>7</x:v>
      </x:c>
      <x:c r="E2023" t="str">
        <x:v>Casual</x:v>
      </x:c>
      <x:c r="F2023" t="str">
        <x:v>Standard</x:v>
      </x:c>
      <x:c r="G2023" t="n">
        <x:v>43028</x:v>
      </x:c>
      <x:c r="H2023" t="str">
        <x:v>16483</x:v>
      </x:c>
      <x:c r="I2023" t="str">
        <x:v>https://www.smwcentral.net/?a=details&amp;id=16483&amp;p=section</x:v>
      </x:c>
      <x:c r="J2023" t="str">
        <x:v>https://dl.smwcentral.net/16483/smwa.zip</x:v>
      </x:c>
    </x:row>
    <x:row r="2024">
      <x:c r="A2024" t="str">
        <x:v>Super Mario World ALPHA 2</x:v>
      </x:c>
      <x:c r="B2024" t="str">
        <x:v>Super Mario World ALPHA 2</x:v>
      </x:c>
      <x:c r="C2024" t="str">
        <x:v>tunest</x:v>
      </x:c>
      <x:c r="D2024" t="n">
        <x:v>76</x:v>
      </x:c>
      <x:c r="E2024" t="str">
        <x:v>Casual</x:v>
      </x:c>
      <x:c r="F2024" t="str">
        <x:v>Standard</x:v>
      </x:c>
      <x:c r="G2024" t="n">
        <x:v>42330</x:v>
      </x:c>
      <x:c r="H2024" t="str">
        <x:v>10056</x:v>
      </x:c>
      <x:c r="I2024" t="str">
        <x:v>https://www.smwcentral.net/?a=details&amp;id=10056&amp;p=section</x:v>
      </x:c>
      <x:c r="J2024" t="str">
        <x:v>https://dl.smwcentral.net/10056/SMWAlpha%202demo3.zip</x:v>
      </x:c>
    </x:row>
    <x:row r="2025">
      <x:c r="A2025" t="str">
        <x:v>Super Mario World and Beyond</x:v>
      </x:c>
      <x:c r="B2025" t="str">
        <x:v>Super Mario World and Beyond</x:v>
      </x:c>
      <x:c r="C2025" t="str">
        <x:v>Tox</x:v>
      </x:c>
      <x:c r="D2025" t="n">
        <x:v>5</x:v>
      </x:c>
      <x:c r="E2025" t="str">
        <x:v>Casual</x:v>
      </x:c>
      <x:c r="F2025" t="str">
        <x:v>Standard</x:v>
      </x:c>
      <x:c r="G2025" t="n">
        <x:v>42843</x:v>
      </x:c>
      <x:c r="H2025" t="str">
        <x:v>15465</x:v>
      </x:c>
      <x:c r="I2025" t="str">
        <x:v>https://www.smwcentral.net/?a=details&amp;id=15465&amp;p=section</x:v>
      </x:c>
      <x:c r="J2025" t="str">
        <x:v>https://dl.smwcentral.net/15465/Super%20Mario%20World%20and%20Beyond.zip</x:v>
      </x:c>
    </x:row>
    <x:row r="2026">
      <x:c r="A2026" t="str">
        <x:v>Super Mario World And the 8 jars</x:v>
      </x:c>
      <x:c r="B2026" t="str">
        <x:v>Super Mario World And the 8 jars</x:v>
      </x:c>
      <x:c r="C2026" t="str">
        <x:v>Mario is the best</x:v>
      </x:c>
      <x:c r="D2026" t="n">
        <x:v>9</x:v>
      </x:c>
      <x:c r="E2026" t="str">
        <x:v>Casual</x:v>
      </x:c>
      <x:c r="F2026" t="str">
        <x:v>Standard</x:v>
      </x:c>
      <x:c r="G2026" t="n">
        <x:v>44043</x:v>
      </x:c>
      <x:c r="H2026" t="str">
        <x:v>24029</x:v>
      </x:c>
      <x:c r="I2026" t="str">
        <x:v>https://www.smwcentral.net/?a=details&amp;id=24029&amp;p=section</x:v>
      </x:c>
      <x:c r="J2026" t="str">
        <x:v>https://dl.smwcentral.net/24029/7jars_new.zip</x:v>
      </x:c>
    </x:row>
    <x:row r="2027">
      <x:c r="A2027" t="str">
        <x:v>Super Mario World and the Bois!</x:v>
      </x:c>
      <x:c r="B2027" t="str">
        <x:v>Super Mario World and the Bois!</x:v>
      </x:c>
      <x:c r="C2027" t="str">
        <x:v>SubconYoshi, The Bois</x:v>
      </x:c>
      <x:c r="D2027" t="n">
        <x:v>16</x:v>
      </x:c>
      <x:c r="E2027" t="str">
        <x:v>Casual</x:v>
      </x:c>
      <x:c r="F2027" t="str">
        <x:v>Standard</x:v>
      </x:c>
      <x:c r="G2027" t="n">
        <x:v>43991</x:v>
      </x:c>
      <x:c r="H2027" t="str">
        <x:v>23276</x:v>
      </x:c>
      <x:c r="I2027" t="str">
        <x:v>https://www.smwcentral.net/?a=details&amp;id=23276&amp;p=section</x:v>
      </x:c>
      <x:c r="J2027" t="str">
        <x:v>https://dl.smwcentral.net/23276/Super%20Mario%20World%20and%20the%20Bois%21.zip</x:v>
      </x:c>
    </x:row>
    <x:row r="2028">
      <x:c r="A2028" t="str">
        <x:v>Super Mario World Arrangement</x:v>
      </x:c>
      <x:c r="B2028" t="str">
        <x:v>Super Mario World Arrangement</x:v>
      </x:c>
      <x:c r="C2028" t="str">
        <x:v>Andyana Jonseph</x:v>
      </x:c>
      <x:c r="D2028" t="n">
        <x:v>7</x:v>
      </x:c>
      <x:c r="E2028" t="str">
        <x:v>Casual</x:v>
      </x:c>
      <x:c r="F2028" t="str">
        <x:v>Standard</x:v>
      </x:c>
      <x:c r="G2028" t="n">
        <x:v>42868</x:v>
      </x:c>
      <x:c r="H2028" t="str">
        <x:v>15568</x:v>
      </x:c>
      <x:c r="I2028" t="str">
        <x:v>https://www.smwcentral.net/?a=details&amp;id=15568&amp;p=section</x:v>
      </x:c>
      <x:c r="J2028" t="str">
        <x:v>https://dl.smwcentral.net/15568/Super%20Mario%20World%20Arrangement.zip</x:v>
      </x:c>
    </x:row>
    <x:row r="2029">
      <x:c r="A2029" t="str">
        <x:v>Super Mario World Beta</x:v>
      </x:c>
      <x:c r="B2029" t="str">
        <x:v>Super Mario World Beta</x:v>
      </x:c>
      <x:c r="C2029" t="str">
        <x:v>Yoshi Master</x:v>
      </x:c>
      <x:c r="D2029" t="n">
        <x:v>17</x:v>
      </x:c>
      <x:c r="E2029" t="str">
        <x:v>Newcomer</x:v>
      </x:c>
      <x:c r="F2029" t="str">
        <x:v>Standard</x:v>
      </x:c>
      <x:c r="G2029" t="n">
        <x:v>41675</x:v>
      </x:c>
      <x:c r="H2029" t="str">
        <x:v>6267</x:v>
      </x:c>
      <x:c r="I2029" t="str">
        <x:v>https://www.smwcentral.net/?a=details&amp;id=6267&amp;p=section</x:v>
      </x:c>
      <x:c r="J2029" t="str">
        <x:v>https://dl.smwcentral.net/6267/Super%20Mario%20World%20Beta.zip</x:v>
      </x:c>
    </x:row>
    <x:row r="2030">
      <x:c r="A2030" t="str">
        <x:v>Super Mario World Bowser's Vacation (JPN)</x:v>
      </x:c>
      <x:c r="B2030" t="str">
        <x:v>Super Mario World Bowser's Vacation (JPN)</x:v>
      </x:c>
      <x:c r="C2030" t="str">
        <x:v>Esc</x:v>
      </x:c>
      <x:c r="D2030" t="n">
        <x:v>36</x:v>
      </x:c>
      <x:c r="E2030" t="str">
        <x:v>Intermediate</x:v>
      </x:c>
      <x:c r="F2030" t="str">
        <x:v>Standard</x:v>
      </x:c>
      <x:c r="G2030" t="n">
        <x:v>44963</x:v>
      </x:c>
      <x:c r="H2030" t="str">
        <x:v>32929</x:v>
      </x:c>
      <x:c r="I2030" t="str">
        <x:v>https://www.smwcentral.net/?a=details&amp;id=32929&amp;p=section</x:v>
      </x:c>
      <x:c r="J2030" t="str">
        <x:v>https://dl.smwcentral.net/32929/SMW_ver.0.5.zip</x:v>
      </x:c>
    </x:row>
    <x:row r="2031">
      <x:c r="A2031" t="str">
        <x:v>Super Mario World Central Production 2</x:v>
      </x:c>
      <x:c r="B2031" t="str">
        <x:v>Super Mario World Central Production 2</x:v>
      </x:c>
      <x:c r="C2031" t="str">
        <x:v>SMW Central</x:v>
      </x:c>
      <x:c r="D2031" t="n">
        <x:v>108</x:v>
      </x:c>
      <x:c r="E2031" t="str">
        <x:v>Intermediate</x:v>
      </x:c>
      <x:c r="F2031" t="str">
        <x:v>Standard</x:v>
      </x:c>
      <x:c r="G2031" t="n">
        <x:v>44765</x:v>
      </x:c>
      <x:c r="H2031" t="str">
        <x:v>30718</x:v>
      </x:c>
      <x:c r="I2031" t="str">
        <x:v>https://www.smwcentral.net/?a=details&amp;id=30718&amp;p=section</x:v>
      </x:c>
      <x:c r="J2031" t="str">
        <x:v>https://dl.smwcentral.net/30718/SMWCP2.zip</x:v>
      </x:c>
    </x:row>
    <x:row r="2032">
      <x:c r="A2032" t="str">
        <x:v>Super Mario World Challenges</x:v>
      </x:c>
      <x:c r="B2032" t="str">
        <x:v>Super Mario World Challenges</x:v>
      </x:c>
      <x:c r="C2032" t="str">
        <x:v>Daizo Dee Von</x:v>
      </x:c>
      <x:c r="D2032" t="n">
        <x:v>12</x:v>
      </x:c>
      <x:c r="E2032" t="str">
        <x:v>Advanced</x:v>
      </x:c>
      <x:c r="F2032" t="str">
        <x:v>Standard</x:v>
      </x:c>
      <x:c r="G2032" t="n">
        <x:v>44496</x:v>
      </x:c>
      <x:c r="H2032" t="str">
        <x:v>28581</x:v>
      </x:c>
      <x:c r="I2032" t="str">
        <x:v>https://www.smwcentral.net/?a=details&amp;id=28581&amp;p=section</x:v>
      </x:c>
      <x:c r="J2032" t="str">
        <x:v>https://dl.smwcentral.net/28581/Super%20Mario%20World%20Challenges.zip</x:v>
      </x:c>
    </x:row>
    <x:row r="2033">
      <x:c r="A2033" t="str">
        <x:v>Super Mario World Challenges 2</x:v>
      </x:c>
      <x:c r="B2033" t="str">
        <x:v>Super Mario World Challenges 2</x:v>
      </x:c>
      <x:c r="C2033" t="str">
        <x:v>Daizo Dee Von</x:v>
      </x:c>
      <x:c r="D2033" t="n">
        <x:v>6</x:v>
      </x:c>
      <x:c r="E2033" t="str">
        <x:v>Advanced</x:v>
      </x:c>
      <x:c r="F2033" t="str">
        <x:v>Standard</x:v>
      </x:c>
      <x:c r="G2033" t="n">
        <x:v>46222</x:v>
      </x:c>
      <x:c r="H2033" t="str">
        <x:v>42545</x:v>
      </x:c>
      <x:c r="I2033" t="str">
        <x:v>https://www.smwcentral.net/?a=details&amp;id=42545&amp;p=section</x:v>
      </x:c>
      <x:c r="J2033" t="str">
        <x:v>https://dl.smwcentral.net/42545/%5BHack%5D%20Super%20Mario%20World%20Challenges%202%20v1.0.2..zip</x:v>
      </x:c>
    </x:row>
    <x:row r="2034">
      <x:c r="A2034" t="str">
        <x:v>Super Mario World Classic Comebacks</x:v>
      </x:c>
      <x:c r="B2034" t="str">
        <x:v>Super Mario World Classic Comebacks</x:v>
      </x:c>
      <x:c r="C2034" t="str">
        <x:v>reghrhre</x:v>
      </x:c>
      <x:c r="D2034" t="n">
        <x:v>7</x:v>
      </x:c>
      <x:c r="E2034" t="str">
        <x:v>Newcomer</x:v>
      </x:c>
      <x:c r="F2034" t="str">
        <x:v>Standard</x:v>
      </x:c>
      <x:c r="G2034" t="n">
        <x:v>41830</x:v>
      </x:c>
      <x:c r="H2034" t="str">
        <x:v>6843</x:v>
      </x:c>
      <x:c r="I2034" t="str">
        <x:v>https://www.smwcentral.net/?a=details&amp;id=6843&amp;p=section</x:v>
      </x:c>
      <x:c r="J2034" t="str">
        <x:v>https://dl.smwcentral.net/6843/Super%20Mario%20World%20Classic%20Comebacks.zip</x:v>
      </x:c>
    </x:row>
    <x:row r="2035">
      <x:c r="A2035" t="str">
        <x:v>Super Mario World Competition Cartridge</x:v>
      </x:c>
      <x:c r="B2035" t="str">
        <x:v>Super Mario World Competition Cartridge</x:v>
      </x:c>
      <x:c r="C2035" t="str">
        <x:v>arnpoly</x:v>
      </x:c>
      <x:c r="D2035" t="n">
        <x:v>0</x:v>
      </x:c>
      <x:c r="E2035" t="str">
        <x:v>Newcomer</x:v>
      </x:c>
      <x:c r="F2035" t="str">
        <x:v>Standard</x:v>
      </x:c>
      <x:c r="G2035" t="n">
        <x:v>41466</x:v>
      </x:c>
      <x:c r="H2035" t="str">
        <x:v>5521</x:v>
      </x:c>
      <x:c r="I2035" t="str">
        <x:v>https://www.smwcentral.net/?a=details&amp;id=5521&amp;p=section</x:v>
      </x:c>
      <x:c r="J2035" t="str">
        <x:v>https://dl.smwcentral.net/5521/SMW%20Competition%20Cartridge.zip</x:v>
      </x:c>
    </x:row>
    <x:row r="2036">
      <x:c r="A2036" t="str">
        <x:v>Super Mario World feat. Marisa Kirisame</x:v>
      </x:c>
      <x:c r="B2036" t="str">
        <x:v>Super Mario World feat. Marisa Kirisame</x:v>
      </x:c>
      <x:c r="C2036" t="str">
        <x:v>FailSandwich</x:v>
      </x:c>
      <x:c r="D2036" t="n">
        <x:v>5</x:v>
      </x:c>
      <x:c r="E2036" t="str">
        <x:v>Casual</x:v>
      </x:c>
      <x:c r="F2036" t="str">
        <x:v>Standard</x:v>
      </x:c>
      <x:c r="G2036" t="n">
        <x:v>43918</x:v>
      </x:c>
      <x:c r="H2036" t="str">
        <x:v>21996</x:v>
      </x:c>
      <x:c r="I2036" t="str">
        <x:v>https://www.smwcentral.net/?a=details&amp;id=21996&amp;p=section</x:v>
      </x:c>
      <x:c r="J2036" t="str">
        <x:v>https://dl.smwcentral.net/21996/smw_ft_marisa.zip</x:v>
      </x:c>
    </x:row>
    <x:row r="2037">
      <x:c r="A2037" t="str">
        <x:v>Super Mario World Future The Shadow Queen Returns 2021</x:v>
      </x:c>
      <x:c r="B2037" t="str">
        <x:v>Super Mario World Future The Shadow Queen Returns 2021</x:v>
      </x:c>
      <x:c r="C2037" t="str">
        <x:v>TheOrangeToad</x:v>
      </x:c>
      <x:c r="D2037" t="n">
        <x:v>52</x:v>
      </x:c>
      <x:c r="E2037" t="str">
        <x:v>Casual</x:v>
      </x:c>
      <x:c r="F2037" t="str">
        <x:v>Standard</x:v>
      </x:c>
      <x:c r="G2037" t="n">
        <x:v>44271</x:v>
      </x:c>
      <x:c r="H2037" t="str">
        <x:v>26093</x:v>
      </x:c>
      <x:c r="I2037" t="str">
        <x:v>https://www.smwcentral.net/?a=details&amp;id=26093&amp;p=section</x:v>
      </x:c>
      <x:c r="J2037" t="str">
        <x:v>https://dl.smwcentral.net/26093/SMW%20Future%202021%20Demo.zip</x:v>
      </x:c>
    </x:row>
    <x:row r="2038">
      <x:c r="A2038" t="str">
        <x:v>Super Mario World Hacks 101</x:v>
      </x:c>
      <x:c r="B2038" t="str">
        <x:v>Super Mario World Hacks 101</x:v>
      </x:c>
      <x:c r="C2038" t="str">
        <x:v>Tails_155</x:v>
      </x:c>
      <x:c r="D2038" t="n">
        <x:v>20</x:v>
      </x:c>
      <x:c r="E2038" t="str">
        <x:v>Casual</x:v>
      </x:c>
      <x:c r="F2038" t="str">
        <x:v>Standard</x:v>
      </x:c>
      <x:c r="G2038" t="n">
        <x:v>43595</x:v>
      </x:c>
      <x:c r="H2038" t="str">
        <x:v>19884</x:v>
      </x:c>
      <x:c r="I2038" t="str">
        <x:v>https://www.smwcentral.net/?a=details&amp;id=19884&amp;p=section</x:v>
      </x:c>
      <x:c r="J2038" t="str">
        <x:v>https://dl.smwcentral.net/19884/SMW_Hacks_101_Fixed.zip</x:v>
      </x:c>
    </x:row>
    <x:row r="2039">
      <x:c r="A2039" t="str">
        <x:v>Super Mario World II</x:v>
      </x:c>
      <x:c r="B2039" t="str">
        <x:v>Super Mario World II</x:v>
      </x:c>
      <x:c r="C2039" t="str">
        <x:v>Saturn the Donkey</x:v>
      </x:c>
      <x:c r="D2039" t="n">
        <x:v>97</x:v>
      </x:c>
      <x:c r="E2039" t="str">
        <x:v>Intermediate</x:v>
      </x:c>
      <x:c r="F2039" t="str">
        <x:v>Standard</x:v>
      </x:c>
      <x:c r="G2039" t="n">
        <x:v>46205</x:v>
      </x:c>
      <x:c r="H2039" t="str">
        <x:v>42555</x:v>
      </x:c>
      <x:c r="I2039" t="str">
        <x:v>https://www.smwcentral.net/?a=details&amp;id=42555&amp;p=section</x:v>
      </x:c>
      <x:c r="J2039" t="str">
        <x:v>https://dl.smwcentral.net/42555/Super%20Mario%20World%20II.zip</x:v>
      </x:c>
    </x:row>
    <x:row r="2040">
      <x:c r="A2040" t="str">
        <x:v>Super Mario World Master Quest 1</x:v>
      </x:c>
      <x:c r="B2040" t="str">
        <x:v>Super Mario World Master Quest 1</x:v>
      </x:c>
      <x:c r="C2040" t="str">
        <x:v>Alex No</x:v>
      </x:c>
      <x:c r="D2040" t="n">
        <x:v>96</x:v>
      </x:c>
      <x:c r="E2040" t="str">
        <x:v>Casual</x:v>
      </x:c>
      <x:c r="F2040" t="str">
        <x:v>Standard</x:v>
      </x:c>
      <x:c r="G2040" t="n">
        <x:v>42225</x:v>
      </x:c>
      <x:c r="H2040" t="str">
        <x:v>9832</x:v>
      </x:c>
      <x:c r="I2040" t="str">
        <x:v>https://www.smwcentral.net/?a=details&amp;id=9832&amp;p=section</x:v>
      </x:c>
      <x:c r="J2040" t="str">
        <x:v>https://dl.smwcentral.net/9832/Super%20Mario%20World%20Master%20Quest%201.zip</x:v>
      </x:c>
    </x:row>
    <x:row r="2041">
      <x:c r="A2041" t="str">
        <x:v>Super Mario World Master Quest 2</x:v>
      </x:c>
      <x:c r="B2041" t="str">
        <x:v>Super Mario World Master Quest 2</x:v>
      </x:c>
      <x:c r="C2041" t="str">
        <x:v>Alex No</x:v>
      </x:c>
      <x:c r="D2041" t="n">
        <x:v>96</x:v>
      </x:c>
      <x:c r="E2041" t="str">
        <x:v>Casual</x:v>
      </x:c>
      <x:c r="F2041" t="str">
        <x:v>Standard</x:v>
      </x:c>
      <x:c r="G2041" t="n">
        <x:v>42241</x:v>
      </x:c>
      <x:c r="H2041" t="str">
        <x:v>9690</x:v>
      </x:c>
      <x:c r="I2041" t="str">
        <x:v>https://www.smwcentral.net/?a=details&amp;id=9690&amp;p=section</x:v>
      </x:c>
      <x:c r="J2041" t="str">
        <x:v>https://dl.smwcentral.net/9690/Super%20Mario%20World%20Master%20Quest%202%20%28Update%201.3%29.zip</x:v>
      </x:c>
    </x:row>
    <x:row r="2042">
      <x:c r="A2042" t="str">
        <x:v>Super Mario World Master Quest 3: The Adventure Of Mario</x:v>
      </x:c>
      <x:c r="B2042" t="str">
        <x:v>Super Mario World Master Quest 3: The Adventure Of Mario</x:v>
      </x:c>
      <x:c r="C2042" t="str">
        <x:v>Alex No</x:v>
      </x:c>
      <x:c r="D2042" t="n">
        <x:v>100</x:v>
      </x:c>
      <x:c r="E2042" t="str">
        <x:v>Intermediate</x:v>
      </x:c>
      <x:c r="F2042" t="str">
        <x:v>Standard</x:v>
      </x:c>
      <x:c r="G2042" t="n">
        <x:v>41691</x:v>
      </x:c>
      <x:c r="H2042" t="str">
        <x:v>6315</x:v>
      </x:c>
      <x:c r="I2042" t="str">
        <x:v>https://www.smwcentral.net/?a=details&amp;id=6315&amp;p=section</x:v>
      </x:c>
      <x:c r="J2042" t="str">
        <x:v>https://dl.smwcentral.net/6315/Super%20Mario%20World%20Master%20Quest%206%20%2CUPDATE%201%2C3.zip</x:v>
      </x:c>
    </x:row>
    <x:row r="2043">
      <x:c r="A2043" t="str">
        <x:v>Super Mario World Master Quest 4: Redrawn</x:v>
      </x:c>
      <x:c r="B2043" t="str">
        <x:v>Super Mario World Master Quest 4: Redrawn</x:v>
      </x:c>
      <x:c r="C2043" t="str">
        <x:v>Alex No</x:v>
      </x:c>
      <x:c r="D2043" t="n">
        <x:v>70</x:v>
      </x:c>
      <x:c r="E2043" t="str">
        <x:v>Casual</x:v>
      </x:c>
      <x:c r="F2043" t="str">
        <x:v>Standard</x:v>
      </x:c>
      <x:c r="G2043" t="n">
        <x:v>42251</x:v>
      </x:c>
      <x:c r="H2043" t="str">
        <x:v>9901</x:v>
      </x:c>
      <x:c r="I2043" t="str">
        <x:v>https://www.smwcentral.net/?a=details&amp;id=9901&amp;p=section</x:v>
      </x:c>
      <x:c r="J2043" t="str">
        <x:v>https://dl.smwcentral.net/9901/Super%20Mario%20World%20Master%20Quest%204%20Redrawn%20Update%201.2.zip</x:v>
      </x:c>
    </x:row>
    <x:row r="2044">
      <x:c r="A2044" t="str">
        <x:v>Super Mario World Master Quest 8: The Final Quest</x:v>
      </x:c>
      <x:c r="B2044" t="str">
        <x:v>Super Mario World Master Quest 8: The Final Quest</x:v>
      </x:c>
      <x:c r="C2044" t="str">
        <x:v>Alex No</x:v>
      </x:c>
      <x:c r="D2044" t="n">
        <x:v>120</x:v>
      </x:c>
      <x:c r="E2044" t="str">
        <x:v>Casual</x:v>
      </x:c>
      <x:c r="F2044" t="str">
        <x:v>Standard</x:v>
      </x:c>
      <x:c r="G2044" t="n">
        <x:v>42296</x:v>
      </x:c>
      <x:c r="H2044" t="str">
        <x:v>10186</x:v>
      </x:c>
      <x:c r="I2044" t="str">
        <x:v>https://www.smwcentral.net/?a=details&amp;id=10186&amp;p=section</x:v>
      </x:c>
      <x:c r="J2044" t="str">
        <x:v>https://dl.smwcentral.net/10186/Super%20Mario%20World%20Master%20Quest%208%20The%20Final%20Quest%201%2C3.zip</x:v>
      </x:c>
    </x:row>
    <x:row r="2045">
      <x:c r="A2045" t="str">
        <x:v>Super Mario World Master Quest Reborn</x:v>
      </x:c>
      <x:c r="B2045" t="str">
        <x:v>Super Mario World Master Quest Reborn</x:v>
      </x:c>
      <x:c r="C2045" t="str">
        <x:v>Alex No</x:v>
      </x:c>
      <x:c r="D2045" t="n">
        <x:v>89</x:v>
      </x:c>
      <x:c r="E2045" t="str">
        <x:v>Intermediate</x:v>
      </x:c>
      <x:c r="F2045" t="str">
        <x:v>Standard</x:v>
      </x:c>
      <x:c r="G2045" t="n">
        <x:v>44605</x:v>
      </x:c>
      <x:c r="H2045" t="str">
        <x:v>29698</x:v>
      </x:c>
      <x:c r="I2045" t="str">
        <x:v>https://www.smwcentral.net/?a=details&amp;id=29698&amp;p=section</x:v>
      </x:c>
      <x:c r="J2045" t="str">
        <x:v>https://dl.smwcentral.net/29698/Super_Mario_World_Master_Quest_Reborn_2.3.zip</x:v>
      </x:c>
    </x:row>
    <x:row r="2046">
      <x:c r="A2046" t="str">
        <x:v>Super Mario World Mix</x:v>
      </x:c>
      <x:c r="B2046" t="str">
        <x:v>Super Mario World Mix</x:v>
      </x:c>
      <x:c r="C2046" t="str">
        <x:v>Steven Atauchi C.</x:v>
      </x:c>
      <x:c r="D2046" t="n">
        <x:v>29</x:v>
      </x:c>
      <x:c r="E2046" t="str">
        <x:v>Intermediate</x:v>
      </x:c>
      <x:c r="F2046" t="str">
        <x:v>Standard</x:v>
      </x:c>
      <x:c r="G2046" t="n">
        <x:v>45926</x:v>
      </x:c>
      <x:c r="H2046" t="str">
        <x:v>40597</x:v>
      </x:c>
      <x:c r="I2046" t="str">
        <x:v>https://www.smwcentral.net/?a=details&amp;id=40597&amp;p=section</x:v>
      </x:c>
      <x:c r="J2046" t="str">
        <x:v>https://dl.smwcentral.net/40597/SMW_MIX_BETA2.zip</x:v>
      </x:c>
    </x:row>
    <x:row r="2047">
      <x:c r="A2047" t="str">
        <x:v>Super Mario World Random Revolution X</x:v>
      </x:c>
      <x:c r="B2047" t="str">
        <x:v>Super Mario World Random Revolution X</x:v>
      </x:c>
      <x:c r="C2047" t="str">
        <x:v>SMWRR Team</x:v>
      </x:c>
      <x:c r="D2047" t="n">
        <x:v>0</x:v>
      </x:c>
      <x:c r="E2047" t="str">
        <x:v>Advanced</x:v>
      </x:c>
      <x:c r="F2047" t="str">
        <x:v>Standard</x:v>
      </x:c>
      <x:c r="G2047" t="n">
        <x:v>45386</x:v>
      </x:c>
      <x:c r="H2047" t="str">
        <x:v>37161</x:v>
      </x:c>
      <x:c r="I2047" t="str">
        <x:v>https://www.smwcentral.net/?a=details&amp;id=37161&amp;p=section</x:v>
      </x:c>
      <x:c r="J2047" t="str">
        <x:v>https://dl.smwcentral.net/37161/Super%20Mario%20World%20Random%20Revolution%20X%20V1.0.zip</x:v>
      </x:c>
    </x:row>
    <x:row r="2048">
      <x:c r="A2048" t="str">
        <x:v>Super Mario World Reloaded</x:v>
      </x:c>
      <x:c r="B2048" t="str">
        <x:v>Super Mario World Reloaded</x:v>
      </x:c>
      <x:c r="C2048" t="str">
        <x:v>AltheronX</x:v>
      </x:c>
      <x:c r="D2048" t="n">
        <x:v>6</x:v>
      </x:c>
      <x:c r="E2048" t="str">
        <x:v>Newcomer</x:v>
      </x:c>
      <x:c r="F2048" t="str">
        <x:v>Standard</x:v>
      </x:c>
      <x:c r="G2048" t="n">
        <x:v>42315</x:v>
      </x:c>
      <x:c r="H2048" t="str">
        <x:v>10289</x:v>
      </x:c>
      <x:c r="I2048" t="str">
        <x:v>https://www.smwcentral.net/?a=details&amp;id=10289&amp;p=section</x:v>
      </x:c>
      <x:c r="J2048" t="str">
        <x:v>https://dl.smwcentral.net/10289/AltheronX.zip</x:v>
      </x:c>
    </x:row>
    <x:row r="2049">
      <x:c r="A2049" t="str">
        <x:v>Super Mario World Remix</x:v>
      </x:c>
      <x:c r="B2049" t="str">
        <x:v>Super Mario World Remix</x:v>
      </x:c>
      <x:c r="C2049" t="str">
        <x:v>YMM</x:v>
      </x:c>
      <x:c r="D2049" t="n">
        <x:v>32</x:v>
      </x:c>
      <x:c r="E2049" t="str">
        <x:v>Intermediate</x:v>
      </x:c>
      <x:c r="F2049" t="str">
        <x:v>Standard</x:v>
      </x:c>
      <x:c r="G2049" t="n">
        <x:v>44189</x:v>
      </x:c>
      <x:c r="H2049" t="str">
        <x:v>25540</x:v>
      </x:c>
      <x:c r="I2049" t="str">
        <x:v>https://www.smwcentral.net/?a=details&amp;id=25540&amp;p=section</x:v>
      </x:c>
      <x:c r="J2049" t="str">
        <x:v>https://dl.smwcentral.net/25540/SuperMarioWorldRemix.zip</x:v>
      </x:c>
    </x:row>
    <x:row r="2050">
      <x:c r="A2050" t="str">
        <x:v>Super Mario World Revamped</x:v>
      </x:c>
      <x:c r="B2050" t="str">
        <x:v>Super Mario World Revamped</x:v>
      </x:c>
      <x:c r="C2050" t="str">
        <x:v>msi810</x:v>
      </x:c>
      <x:c r="D2050" t="n">
        <x:v>5</x:v>
      </x:c>
      <x:c r="E2050" t="str">
        <x:v>Casual</x:v>
      </x:c>
      <x:c r="F2050" t="str">
        <x:v>Standard</x:v>
      </x:c>
      <x:c r="G2050" t="n">
        <x:v>42425</x:v>
      </x:c>
      <x:c r="H2050" t="str">
        <x:v>13364</x:v>
      </x:c>
      <x:c r="I2050" t="str">
        <x:v>https://www.smwcentral.net/?a=details&amp;id=13364&amp;p=section</x:v>
      </x:c>
      <x:c r="J2050" t="str">
        <x:v>https://dl.smwcentral.net/13364/Super%20Mario%20World%20Revamped.zip</x:v>
      </x:c>
    </x:row>
    <x:row r="2051">
      <x:c r="A2051" t="str">
        <x:v>Super Mario World Ridley X Hack</x:v>
      </x:c>
      <x:c r="B2051" t="str">
        <x:v>Super Mario World Ridley X Hack</x:v>
      </x:c>
      <x:c r="C2051" t="str">
        <x:v>Ridley X</x:v>
      </x:c>
      <x:c r="D2051" t="n">
        <x:v>52</x:v>
      </x:c>
      <x:c r="E2051" t="str">
        <x:v>Casual</x:v>
      </x:c>
      <x:c r="F2051" t="str">
        <x:v>Standard</x:v>
      </x:c>
      <x:c r="G2051" t="n">
        <x:v>46102</x:v>
      </x:c>
      <x:c r="H2051" t="str">
        <x:v>41928</x:v>
      </x:c>
      <x:c r="I2051" t="str">
        <x:v>https://www.smwcentral.net/?a=details&amp;id=41928&amp;p=section</x:v>
      </x:c>
      <x:c r="J2051" t="str">
        <x:v>https://dl.smwcentral.net/41928/smw%20ridleyx%20hack%20v1.0.zip</x:v>
      </x:c>
    </x:row>
    <x:row r="2052">
      <x:c r="A2052" t="str">
        <x:v>Super Mario World The Forest  Adventure</x:v>
      </x:c>
      <x:c r="B2052" t="str">
        <x:v>Super Mario World The Forest  Adventure</x:v>
      </x:c>
      <x:c r="C2052" t="str">
        <x:v>jesus angel</x:v>
      </x:c>
      <x:c r="D2052" t="n">
        <x:v>1</x:v>
      </x:c>
      <x:c r="E2052" t="str">
        <x:v>Advanced</x:v>
      </x:c>
      <x:c r="F2052" t="str">
        <x:v>Kaizo</x:v>
      </x:c>
      <x:c r="G2052" t="n">
        <x:v>44302</x:v>
      </x:c>
      <x:c r="H2052" t="str">
        <x:v>26478</x:v>
      </x:c>
      <x:c r="I2052" t="str">
        <x:v>https://www.smwcentral.net/?a=details&amp;id=26478&amp;p=section</x:v>
      </x:c>
      <x:c r="J2052" t="str">
        <x:v>https://dl.smwcentral.net/26478/Super%20Mario%20World%20The%20Forest%20Adventure.zip</x:v>
      </x:c>
    </x:row>
    <x:row r="2053">
      <x:c r="A2053" t="str">
        <x:v>Super Mario World The Garden</x:v>
      </x:c>
      <x:c r="B2053" t="str">
        <x:v>Super Mario World The Garden</x:v>
      </x:c>
      <x:c r="C2053" t="str">
        <x:v>jesus angel</x:v>
      </x:c>
      <x:c r="D2053" t="n">
        <x:v>1</x:v>
      </x:c>
      <x:c r="E2053" t="str">
        <x:v>Expert</x:v>
      </x:c>
      <x:c r="F2053" t="str">
        <x:v>Kaizo</x:v>
      </x:c>
      <x:c r="G2053" t="n">
        <x:v>44378</x:v>
      </x:c>
      <x:c r="H2053" t="str">
        <x:v>27237</x:v>
      </x:c>
      <x:c r="I2053" t="str">
        <x:v>https://www.smwcentral.net/?a=details&amp;id=27237&amp;p=section</x:v>
      </x:c>
      <x:c r="J2053" t="str">
        <x:v>https://dl.smwcentral.net/27237/Super%20Mario%20World%20The%20Garden.zip</x:v>
      </x:c>
    </x:row>
    <x:row r="2054">
      <x:c r="A2054" t="str">
        <x:v>Super Mario World The Pit Version</x:v>
      </x:c>
      <x:c r="B2054" t="str">
        <x:v>Super Mario World The Pit Version</x:v>
      </x:c>
      <x:c r="C2054" t="str">
        <x:v>Gabriel12102673</x:v>
      </x:c>
      <x:c r="D2054" t="n">
        <x:v>1</x:v>
      </x:c>
      <x:c r="E2054" t="str">
        <x:v>Expert</x:v>
      </x:c>
      <x:c r="F2054" t="str">
        <x:v>Tool-Assisted, Pit</x:v>
      </x:c>
      <x:c r="G2054" t="n">
        <x:v>43459</x:v>
      </x:c>
      <x:c r="H2054" t="str">
        <x:v>18631</x:v>
      </x:c>
      <x:c r="I2054" t="str">
        <x:v>https://www.smwcentral.net/?a=details&amp;id=18631&amp;p=section</x:v>
      </x:c>
      <x:c r="J2054" t="str">
        <x:v>https://dl.smwcentral.net/18631/SMWTPV.zip</x:v>
      </x:c>
    </x:row>
    <x:row r="2055">
      <x:c r="A2055" t="str">
        <x:v>Super Mario World the Reture</x:v>
      </x:c>
      <x:c r="B2055" t="str">
        <x:v>Super Mario World the Reture</x:v>
      </x:c>
      <x:c r="C2055" t="str">
        <x:v>Hellsingrunner, Redbone112, ShodanWii, TheRealNinjaBoy, Userofdoom, uNkNowN7642</x:v>
      </x:c>
      <x:c r="D2055" t="n">
        <x:v>6</x:v>
      </x:c>
      <x:c r="E2055" t="str">
        <x:v>Casual</x:v>
      </x:c>
      <x:c r="F2055" t="str">
        <x:v>Standard</x:v>
      </x:c>
      <x:c r="G2055" t="n">
        <x:v>42217</x:v>
      </x:c>
      <x:c r="H2055" t="str">
        <x:v>9777</x:v>
      </x:c>
      <x:c r="I2055" t="str">
        <x:v>https://www.smwcentral.net/?a=details&amp;id=9777&amp;p=section</x:v>
      </x:c>
      <x:c r="J2055" t="str">
        <x:v>https://dl.smwcentral.net/9777/SMW%20the%20Reture%201st%20World%20Demo.zip</x:v>
      </x:c>
    </x:row>
    <x:row r="2056">
      <x:c r="A2056" t="str">
        <x:v>Super Mario World Ultra</x:v>
      </x:c>
      <x:c r="B2056" t="str">
        <x:v>Super Mario World Ultra</x:v>
      </x:c>
      <x:c r="C2056" t="str">
        <x:v>LHB</x:v>
      </x:c>
      <x:c r="D2056" t="n">
        <x:v>13</x:v>
      </x:c>
      <x:c r="E2056" t="str">
        <x:v>Casual</x:v>
      </x:c>
      <x:c r="F2056" t="str">
        <x:v>Standard</x:v>
      </x:c>
      <x:c r="G2056" t="n">
        <x:v>42427</x:v>
      </x:c>
      <x:c r="H2056" t="str">
        <x:v>13341</x:v>
      </x:c>
      <x:c r="I2056" t="str">
        <x:v>https://www.smwcentral.net/?a=details&amp;id=13341&amp;p=section</x:v>
      </x:c>
      <x:c r="J2056" t="str">
        <x:v>https://dl.smwcentral.net/13341/Super%20Mario%20World%20Ultra.zip</x:v>
      </x:c>
    </x:row>
    <x:row r="2057">
      <x:c r="A2057" t="str">
        <x:v>Super Mario World-2</x:v>
      </x:c>
      <x:c r="B2057" t="str">
        <x:v>Super Mario World-2</x:v>
      </x:c>
      <x:c r="C2057" t="str">
        <x:v>Easy Difficulty</x:v>
      </x:c>
      <x:c r="D2057" t="n">
        <x:v>90</x:v>
      </x:c>
      <x:c r="E2057" t="str">
        <x:v>Advanced</x:v>
      </x:c>
      <x:c r="F2057" t="str">
        <x:v>Standard</x:v>
      </x:c>
      <x:c r="G2057" t="n">
        <x:v>45491</x:v>
      </x:c>
      <x:c r="H2057" t="str">
        <x:v>37830</x:v>
      </x:c>
      <x:c r="I2057" t="str">
        <x:v>https://www.smwcentral.net/?a=details&amp;id=37830&amp;p=section</x:v>
      </x:c>
      <x:c r="J2057" t="str">
        <x:v>https://dl.smwcentral.net/37830/SMW-2.zip</x:v>
      </x:c>
    </x:row>
    <x:row r="2058">
      <x:c r="A2058" t="str">
        <x:v>Super Mario World-3</x:v>
      </x:c>
      <x:c r="B2058" t="str">
        <x:v>Super Mario World-3</x:v>
      </x:c>
      <x:c r="C2058" t="str">
        <x:v>Easy Difficulty</x:v>
      </x:c>
      <x:c r="D2058" t="n">
        <x:v>111</x:v>
      </x:c>
      <x:c r="E2058" t="str">
        <x:v>Expert</x:v>
      </x:c>
      <x:c r="F2058" t="str">
        <x:v>Standard</x:v>
      </x:c>
      <x:c r="G2058" t="n">
        <x:v>45895</x:v>
      </x:c>
      <x:c r="H2058" t="str">
        <x:v>40129</x:v>
      </x:c>
      <x:c r="I2058" t="str">
        <x:v>https://www.smwcentral.net/?a=details&amp;id=40129&amp;p=section</x:v>
      </x:c>
      <x:c r="J2058" t="str">
        <x:v>https://dl.smwcentral.net/40129/SMW-3%20v1.1.zip</x:v>
      </x:c>
    </x:row>
    <x:row r="2059">
      <x:c r="A2059" t="str">
        <x:v>Super Mario World: "Not Over Yet"</x:v>
      </x:c>
      <x:c r="B2059" t="str">
        <x:v>Super Mario World: "Not Over Yet"</x:v>
      </x:c>
      <x:c r="C2059" t="str">
        <x:v>Mayonnai, Ringo</x:v>
      </x:c>
      <x:c r="D2059" t="n">
        <x:v>8</x:v>
      </x:c>
      <x:c r="E2059" t="str">
        <x:v>Casual</x:v>
      </x:c>
      <x:c r="F2059" t="str">
        <x:v>Standard</x:v>
      </x:c>
      <x:c r="G2059" t="n">
        <x:v>44528</x:v>
      </x:c>
      <x:c r="H2059" t="str">
        <x:v>28886</x:v>
      </x:c>
      <x:c r="I2059" t="str">
        <x:v>https://www.smwcentral.net/?a=details&amp;id=28886&amp;p=section</x:v>
      </x:c>
      <x:c r="J2059" t="str">
        <x:v>https://dl.smwcentral.net/28886/smwnoia.zip</x:v>
      </x:c>
    </x:row>
    <x:row r="2060">
      <x:c r="A2060" t="str">
        <x:v>Super Mario World: A New Adventure 2</x:v>
      </x:c>
      <x:c r="B2060" t="str">
        <x:v>Super Mario World: A New Adventure 2</x:v>
      </x:c>
      <x:c r="C2060" t="str">
        <x:v>drake-68</x:v>
      </x:c>
      <x:c r="D2060" t="n">
        <x:v>5</x:v>
      </x:c>
      <x:c r="E2060" t="str">
        <x:v>Newcomer</x:v>
      </x:c>
      <x:c r="F2060" t="str">
        <x:v>Standard</x:v>
      </x:c>
      <x:c r="G2060" t="n">
        <x:v>42130</x:v>
      </x:c>
      <x:c r="H2060" t="str">
        <x:v>10267</x:v>
      </x:c>
      <x:c r="I2060" t="str">
        <x:v>https://www.smwcentral.net/?a=details&amp;id=10267&amp;p=section</x:v>
      </x:c>
      <x:c r="J2060" t="str">
        <x:v>https://dl.smwcentral.net/10267/SMW%20A%20New%20Adventure%202.zip</x:v>
      </x:c>
    </x:row>
    <x:row r="2061">
      <x:c r="A2061" t="str">
        <x:v>Super Mario World: A Pineapple Kingdom</x:v>
      </x:c>
      <x:c r="B2061" t="str">
        <x:v>Super Mario World: A Pineapple Kingdom</x:v>
      </x:c>
      <x:c r="C2061" t="str">
        <x:v>Chromite</x:v>
      </x:c>
      <x:c r="D2061" t="n">
        <x:v>6</x:v>
      </x:c>
      <x:c r="E2061" t="str">
        <x:v>Newcomer</x:v>
      </x:c>
      <x:c r="F2061" t="str">
        <x:v>Standard</x:v>
      </x:c>
      <x:c r="G2061" t="n">
        <x:v>41542</x:v>
      </x:c>
      <x:c r="H2061" t="str">
        <x:v>5495</x:v>
      </x:c>
      <x:c r="I2061" t="str">
        <x:v>https://www.smwcentral.net/?a=details&amp;id=5495&amp;p=section</x:v>
      </x:c>
      <x:c r="J2061" t="str">
        <x:v>https://dl.smwcentral.net/5495/APK%20C3%20Demo.zip</x:v>
      </x:c>
    </x:row>
    <x:row r="2062">
      <x:c r="A2062" t="str">
        <x:v>Super Mario World: A Super Mario Adventure</x:v>
      </x:c>
      <x:c r="B2062" t="str">
        <x:v>Super Mario World: A Super Mario Adventure</x:v>
      </x:c>
      <x:c r="C2062" t="str">
        <x:v>KaidenThelens</x:v>
      </x:c>
      <x:c r="D2062" t="n">
        <x:v>50</x:v>
      </x:c>
      <x:c r="E2062" t="str">
        <x:v>Casual</x:v>
      </x:c>
      <x:c r="F2062" t="str">
        <x:v>Standard</x:v>
      </x:c>
      <x:c r="G2062" t="n">
        <x:v>44071</x:v>
      </x:c>
      <x:c r="H2062" t="str">
        <x:v>24426</x:v>
      </x:c>
      <x:c r="I2062" t="str">
        <x:v>https://www.smwcentral.net/?a=details&amp;id=24426&amp;p=section</x:v>
      </x:c>
      <x:c r="J2062" t="str">
        <x:v>https://dl.smwcentral.net/24426/A%20ROM%20Hack..zip</x:v>
      </x:c>
    </x:row>
    <x:row r="2063">
      <x:c r="A2063" t="str">
        <x:v>Super Mario World: A Super Mario Adventure 2 (V2.0)</x:v>
      </x:c>
      <x:c r="B2063" t="str">
        <x:v>Super Mario World: A Super Mario Adventure 2 (V2.0)</x:v>
      </x:c>
      <x:c r="C2063" t="str">
        <x:v>KaidenThelens</x:v>
      </x:c>
      <x:c r="D2063" t="n">
        <x:v>69</x:v>
      </x:c>
      <x:c r="E2063" t="str">
        <x:v>Intermediate</x:v>
      </x:c>
      <x:c r="F2063" t="str">
        <x:v>Standard</x:v>
      </x:c>
      <x:c r="G2063" t="n">
        <x:v>44418</x:v>
      </x:c>
      <x:c r="H2063" t="str">
        <x:v>27401</x:v>
      </x:c>
      <x:c r="I2063" t="str">
        <x:v>https://www.smwcentral.net/?a=details&amp;id=27401&amp;p=section</x:v>
      </x:c>
      <x:c r="J2063" t="str">
        <x:v>https://dl.smwcentral.net/27401/A%20Super%20Mario%20Adventure%202%20%28V2.0%29.zip</x:v>
      </x:c>
    </x:row>
    <x:row r="2064">
      <x:c r="A2064" t="str">
        <x:v>Super Mario World: A Super Mario Adventure 3</x:v>
      </x:c>
      <x:c r="B2064" t="str">
        <x:v>Super Mario World: A Super Mario Adventure 3</x:v>
      </x:c>
      <x:c r="C2064" t="str">
        <x:v>KaidenThelens</x:v>
      </x:c>
      <x:c r="D2064" t="n">
        <x:v>94</x:v>
      </x:c>
      <x:c r="E2064" t="str">
        <x:v>Intermediate</x:v>
      </x:c>
      <x:c r="F2064" t="str">
        <x:v>Standard</x:v>
      </x:c>
      <x:c r="G2064" t="n">
        <x:v>44505</x:v>
      </x:c>
      <x:c r="H2064" t="str">
        <x:v>28619</x:v>
      </x:c>
      <x:c r="I2064" t="str">
        <x:v>https://www.smwcentral.net/?a=details&amp;id=28619&amp;p=section</x:v>
      </x:c>
      <x:c r="J2064" t="str">
        <x:v>https://dl.smwcentral.net/28619/SMW%20A%20Super%20Mario%20Adventure%203%20%28V2.0%29.zip</x:v>
      </x:c>
    </x:row>
    <x:row r="2065">
      <x:c r="A2065" t="str">
        <x:v>Super Mario World: Adventure in Forest Land</x:v>
      </x:c>
      <x:c r="B2065" t="str">
        <x:v>Super Mario World: Adventure in Forest Land</x:v>
      </x:c>
      <x:c r="C2065" t="str">
        <x:v>Green Jerry</x:v>
      </x:c>
      <x:c r="D2065" t="n">
        <x:v>34</x:v>
      </x:c>
      <x:c r="E2065" t="str">
        <x:v>Intermediate</x:v>
      </x:c>
      <x:c r="F2065" t="str">
        <x:v>Standard</x:v>
      </x:c>
      <x:c r="G2065" t="n">
        <x:v>45891</x:v>
      </x:c>
      <x:c r="H2065" t="str">
        <x:v>40321</x:v>
      </x:c>
      <x:c r="I2065" t="str">
        <x:v>https://www.smwcentral.net/?a=details&amp;id=40321&amp;p=section</x:v>
      </x:c>
      <x:c r="J2065" t="str">
        <x:v>https://dl.smwcentral.net/40321/Super%20Mario%20World%20-%20Adventure%20in%20Forest%20Land%20v1.0.zip</x:v>
      </x:c>
    </x:row>
    <x:row r="2066">
      <x:c r="A2066" t="str">
        <x:v>Super Mario World: Adventures On Petite Island</x:v>
      </x:c>
      <x:c r="B2066" t="str">
        <x:v>Super Mario World: Adventures On Petite Island</x:v>
      </x:c>
      <x:c r="C2066" t="str">
        <x:v>xAsianjay</x:v>
      </x:c>
      <x:c r="D2066" t="n">
        <x:v>7</x:v>
      </x:c>
      <x:c r="E2066" t="str">
        <x:v>Intermediate</x:v>
      </x:c>
      <x:c r="F2066" t="str">
        <x:v>Standard</x:v>
      </x:c>
      <x:c r="G2066" t="n">
        <x:v>41681</x:v>
      </x:c>
      <x:c r="H2066" t="str">
        <x:v>6286</x:v>
      </x:c>
      <x:c r="I2066" t="str">
        <x:v>https://www.smwcentral.net/?a=details&amp;id=6286&amp;p=section</x:v>
      </x:c>
      <x:c r="J2066" t="str">
        <x:v>https://dl.smwcentral.net/6286/SMWAPI%20v1.1.zip</x:v>
      </x:c>
    </x:row>
    <x:row r="2067">
      <x:c r="A2067" t="str">
        <x:v>Super Mario World: Again in Dinosaur Land</x:v>
      </x:c>
      <x:c r="B2067" t="str">
        <x:v>Super Mario World: Again in Dinosaur Land</x:v>
      </x:c>
      <x:c r="C2067" t="str">
        <x:v>7 up</x:v>
      </x:c>
      <x:c r="D2067" t="n">
        <x:v>10</x:v>
      </x:c>
      <x:c r="E2067" t="str">
        <x:v>Casual</x:v>
      </x:c>
      <x:c r="F2067" t="str">
        <x:v>Standard</x:v>
      </x:c>
      <x:c r="G2067" t="n">
        <x:v>43347</x:v>
      </x:c>
      <x:c r="H2067" t="str">
        <x:v>18091</x:v>
      </x:c>
      <x:c r="I2067" t="str">
        <x:v>https://www.smwcentral.net/?a=details&amp;id=18091&amp;p=section</x:v>
      </x:c>
      <x:c r="J2067" t="str">
        <x:v>https://dl.smwcentral.net/18091/SMWAgaininDinosaurLandDEMO1.zip</x:v>
      </x:c>
    </x:row>
    <x:row r="2068">
      <x:c r="A2068" t="str">
        <x:v>Super Mario World: Another Pointless Adventure</x:v>
      </x:c>
      <x:c r="B2068" t="str">
        <x:v>Super Mario World: Another Pointless Adventure</x:v>
      </x:c>
      <x:c r="C2068" t="str">
        <x:v>Pseudogon</x:v>
      </x:c>
      <x:c r="D2068" t="n">
        <x:v>5</x:v>
      </x:c>
      <x:c r="E2068" t="str">
        <x:v>Casual</x:v>
      </x:c>
      <x:c r="F2068" t="str">
        <x:v>Standard</x:v>
      </x:c>
      <x:c r="G2068" t="n">
        <x:v>42504</x:v>
      </x:c>
      <x:c r="H2068" t="str">
        <x:v>13663</x:v>
      </x:c>
      <x:c r="I2068" t="str">
        <x:v>https://www.smwcentral.net/?a=details&amp;id=13663&amp;p=section</x:v>
      </x:c>
      <x:c r="J2068" t="str">
        <x:v>https://dl.smwcentral.net/13663/Another%20Pointless%20Adventure%20%28World%201%20Demo%29.zip</x:v>
      </x:c>
    </x:row>
    <x:row r="2069">
      <x:c r="A2069" t="str">
        <x:v>Super Mario World: Blue Flamingo</x:v>
      </x:c>
      <x:c r="B2069" t="str">
        <x:v>Super Mario World: Blue Flamingo</x:v>
      </x:c>
      <x:c r="C2069" t="str">
        <x:v>Truxton</x:v>
      </x:c>
      <x:c r="D2069" t="n">
        <x:v>8</x:v>
      </x:c>
      <x:c r="E2069" t="str">
        <x:v>Casual</x:v>
      </x:c>
      <x:c r="F2069" t="str">
        <x:v>Standard</x:v>
      </x:c>
      <x:c r="G2069" t="n">
        <x:v>41724</x:v>
      </x:c>
      <x:c r="H2069" t="str">
        <x:v>6437</x:v>
      </x:c>
      <x:c r="I2069" t="str">
        <x:v>https://www.smwcentral.net/?a=details&amp;id=6437&amp;p=section</x:v>
      </x:c>
      <x:c r="J2069" t="str">
        <x:v>https://dl.smwcentral.net/6437/BF.zip</x:v>
      </x:c>
    </x:row>
    <x:row r="2070">
      <x:c r="A2070" t="str">
        <x:v>Super Mario World: Bowser's Cataclysmic Trap</x:v>
      </x:c>
      <x:c r="B2070" t="str">
        <x:v>Super Mario World: Bowser's Cataclysmic Trap</x:v>
      </x:c>
      <x:c r="C2070" t="str">
        <x:v>Gamma V</x:v>
      </x:c>
      <x:c r="D2070" t="n">
        <x:v>82</x:v>
      </x:c>
      <x:c r="E2070" t="str">
        <x:v>Casual</x:v>
      </x:c>
      <x:c r="F2070" t="str">
        <x:v>Standard</x:v>
      </x:c>
      <x:c r="G2070" t="n">
        <x:v>42195</x:v>
      </x:c>
      <x:c r="H2070" t="str">
        <x:v>11608</x:v>
      </x:c>
      <x:c r="I2070" t="str">
        <x:v>https://www.smwcentral.net/?a=details&amp;id=11608&amp;p=section</x:v>
      </x:c>
      <x:c r="J2070" t="str">
        <x:v>https://dl.smwcentral.net/11608/BCT%201.2.2.zip</x:v>
      </x:c>
    </x:row>
    <x:row r="2071">
      <x:c r="A2071" t="str">
        <x:v>Super Mario World: Bowser's Kaizo Conspiracy</x:v>
      </x:c>
      <x:c r="B2071" t="str">
        <x:v>Super Mario World: Bowser's Kaizo Conspiracy</x:v>
      </x:c>
      <x:c r="C2071" t="str">
        <x:v>Gamma V</x:v>
      </x:c>
      <x:c r="D2071" t="n">
        <x:v>102</x:v>
      </x:c>
      <x:c r="E2071" t="str">
        <x:v>Casual</x:v>
      </x:c>
      <x:c r="F2071" t="str">
        <x:v>Standard</x:v>
      </x:c>
      <x:c r="G2071" t="n">
        <x:v>45069</x:v>
      </x:c>
      <x:c r="H2071" t="str">
        <x:v>33943</x:v>
      </x:c>
      <x:c r="I2071" t="str">
        <x:v>https://www.smwcentral.net/?a=details&amp;id=33943&amp;p=section</x:v>
      </x:c>
      <x:c r="J2071" t="str">
        <x:v>https://dl.smwcentral.net/33943/Bowser%27s%20Kaizo%20Conspiracy%20v1.2.zip</x:v>
      </x:c>
    </x:row>
    <x:row r="2072">
      <x:c r="A2072" t="str">
        <x:v>Super Mario World: Bowser's Trial</x:v>
      </x:c>
      <x:c r="B2072" t="str">
        <x:v>Super Mario World: Bowser's Trial</x:v>
      </x:c>
      <x:c r="C2072" t="str">
        <x:v>Tio broz</x:v>
      </x:c>
      <x:c r="D2072" t="n">
        <x:v>7</x:v>
      </x:c>
      <x:c r="E2072" t="str">
        <x:v>Newcomer</x:v>
      </x:c>
      <x:c r="F2072" t="str">
        <x:v>Standard</x:v>
      </x:c>
      <x:c r="G2072" t="n">
        <x:v>42270</x:v>
      </x:c>
      <x:c r="H2072" t="str">
        <x:v>9991</x:v>
      </x:c>
      <x:c r="I2072" t="str">
        <x:v>https://www.smwcentral.net/?a=details&amp;id=9991&amp;p=section</x:v>
      </x:c>
      <x:c r="J2072" t="str">
        <x:v>https://dl.smwcentral.net/9991/Bowser%27s%20Trial.zip</x:v>
      </x:c>
    </x:row>
    <x:row r="2073">
      <x:c r="A2073" t="str">
        <x:v>Super Mario World: Challenge Worlds</x:v>
      </x:c>
      <x:c r="B2073" t="str">
        <x:v>Super Mario World: Challenge Worlds</x:v>
      </x:c>
      <x:c r="C2073" t="str">
        <x:v>i'mbadwithusernames</x:v>
      </x:c>
      <x:c r="D2073" t="n">
        <x:v>11</x:v>
      </x:c>
      <x:c r="E2073" t="str">
        <x:v>Casual</x:v>
      </x:c>
      <x:c r="F2073" t="str">
        <x:v>Standard</x:v>
      </x:c>
      <x:c r="G2073" t="n">
        <x:v>41548</x:v>
      </x:c>
      <x:c r="H2073" t="str">
        <x:v>5589</x:v>
      </x:c>
      <x:c r="I2073" t="str">
        <x:v>https://www.smwcentral.net/?a=details&amp;id=5589&amp;p=section</x:v>
      </x:c>
      <x:c r="J2073" t="str">
        <x:v>https://dl.smwcentral.net/5589/Challenge%20Worlds%20Demo%202%20fixed.zip</x:v>
      </x:c>
    </x:row>
    <x:row r="2074">
      <x:c r="A2074" t="str">
        <x:v>Super Mario World: Christmas Edition</x:v>
      </x:c>
      <x:c r="B2074" t="str">
        <x:v>Super Mario World: Christmas Edition</x:v>
      </x:c>
      <x:c r="C2074" t="str">
        <x:v>Nowieso</x:v>
      </x:c>
      <x:c r="D2074" t="n">
        <x:v>28</x:v>
      </x:c>
      <x:c r="E2074" t="str">
        <x:v>Casual</x:v>
      </x:c>
      <x:c r="F2074" t="str">
        <x:v>Standard</x:v>
      </x:c>
      <x:c r="G2074" t="n">
        <x:v>43823</x:v>
      </x:c>
      <x:c r="H2074" t="str">
        <x:v>21677</x:v>
      </x:c>
      <x:c r="I2074" t="str">
        <x:v>https://www.smwcentral.net/?a=details&amp;id=21677&amp;p=section</x:v>
      </x:c>
      <x:c r="J2074" t="str">
        <x:v>https://dl.smwcentral.net/21677/SMW%20Christmas%20Edition.zip</x:v>
      </x:c>
    </x:row>
    <x:row r="2075">
      <x:c r="A2075" t="str">
        <x:v>Super Mario World: Dark Sniggerbobblian Mythos #2: Sniggerbobble's Redemption: The Crystal of Disaster</x:v>
      </x:c>
      <x:c r="B2075" t="str">
        <x:v>Super Mario World: Dark Sniggerbobblian Mythos #2: Sniggerbobble's Redemption: The Crystal of Disaster</x:v>
      </x:c>
      <x:c r="C2075" t="str">
        <x:v>Sniggerb0bble</x:v>
      </x:c>
      <x:c r="D2075" t="n">
        <x:v>8</x:v>
      </x:c>
      <x:c r="E2075" t="str">
        <x:v>Newcomer</x:v>
      </x:c>
      <x:c r="F2075" t="str">
        <x:v>Standard</x:v>
      </x:c>
      <x:c r="G2075" t="n">
        <x:v>42257</x:v>
      </x:c>
      <x:c r="H2075" t="str">
        <x:v>9661</x:v>
      </x:c>
      <x:c r="I2075" t="str">
        <x:v>https://www.smwcentral.net/?a=details&amp;id=9661&amp;p=section</x:v>
      </x:c>
      <x:c r="J2075" t="str">
        <x:v>https://dl.smwcentral.net/9661/SR%3BTCoD%20Teaser%20Demo.zip</x:v>
      </x:c>
    </x:row>
    <x:row r="2076">
      <x:c r="A2076" t="str">
        <x:v>Super Mario World: Dungeon Conquest - C3 Demo</x:v>
      </x:c>
      <x:c r="B2076" t="str">
        <x:v>Super Mario World: Dungeon Conquest - C3 Demo</x:v>
      </x:c>
      <x:c r="C2076" t="str">
        <x:v>Dispace</x:v>
      </x:c>
      <x:c r="D2076" t="n">
        <x:v>36</x:v>
      </x:c>
      <x:c r="E2076" t="str">
        <x:v>Casual</x:v>
      </x:c>
      <x:c r="F2076" t="str">
        <x:v>Standard</x:v>
      </x:c>
      <x:c r="G2076" t="n">
        <x:v>44768</x:v>
      </x:c>
      <x:c r="H2076" t="str">
        <x:v>31349</x:v>
      </x:c>
      <x:c r="I2076" t="str">
        <x:v>https://www.smwcentral.net/?a=details&amp;id=31349&amp;p=section</x:v>
      </x:c>
      <x:c r="J2076" t="str">
        <x:v>https://dl.smwcentral.net/31349/SMW%20Dungeons.zip</x:v>
      </x:c>
    </x:row>
    <x:row r="2077">
      <x:c r="A2077" t="str">
        <x:v>Super Mario World: Emberside Island</x:v>
      </x:c>
      <x:c r="B2077" t="str">
        <x:v>Super Mario World: Emberside Island</x:v>
      </x:c>
      <x:c r="C2077" t="str">
        <x:v>CaramelCupcakes</x:v>
      </x:c>
      <x:c r="D2077" t="n">
        <x:v>6</x:v>
      </x:c>
      <x:c r="E2077" t="str">
        <x:v>Casual</x:v>
      </x:c>
      <x:c r="F2077" t="str">
        <x:v>Standard</x:v>
      </x:c>
      <x:c r="G2077" t="n">
        <x:v>44819</x:v>
      </x:c>
      <x:c r="H2077" t="str">
        <x:v>32091</x:v>
      </x:c>
      <x:c r="I2077" t="str">
        <x:v>https://www.smwcentral.net/?a=details&amp;id=32091&amp;p=section</x:v>
      </x:c>
      <x:c r="J2077" t="str">
        <x:v>https://dl.smwcentral.net/32091/SMWEmbersideIslandDemo3Upd.zip</x:v>
      </x:c>
    </x:row>
    <x:row r="2078">
      <x:c r="A2078" t="str">
        <x:v>Super Mario World: Glitch Land</x:v>
      </x:c>
      <x:c r="B2078" t="str">
        <x:v>Super Mario World: Glitch Land</x:v>
      </x:c>
      <x:c r="C2078" t="str">
        <x:v>Smallhacker</x:v>
      </x:c>
      <x:c r="D2078" t="n">
        <x:v>3</x:v>
      </x:c>
      <x:c r="E2078" t="str">
        <x:v>Advanced</x:v>
      </x:c>
      <x:c r="F2078" t="str">
        <x:v>Kaizo, Tool-Assisted</x:v>
      </x:c>
      <x:c r="G2078" t="n">
        <x:v>42298</x:v>
      </x:c>
      <x:c r="H2078" t="str">
        <x:v>9792</x:v>
      </x:c>
      <x:c r="I2078" t="str">
        <x:v>https://www.smwcentral.net/?a=details&amp;id=9792&amp;p=section</x:v>
      </x:c>
      <x:c r="J2078" t="str">
        <x:v>https://dl.smwcentral.net/9792/SMW%20Glitch%20Land%20-%20Demo%201.zip</x:v>
      </x:c>
    </x:row>
    <x:row r="2079">
      <x:c r="A2079" t="str">
        <x:v>Super Mario World: Hehey!</x:v>
      </x:c>
      <x:c r="B2079" t="str">
        <x:v>Super Mario World: Hehey!</x:v>
      </x:c>
      <x:c r="C2079" t="str">
        <x:v>Grugi</x:v>
      </x:c>
      <x:c r="D2079" t="n">
        <x:v>3</x:v>
      </x:c>
      <x:c r="E2079" t="str">
        <x:v>Intermediate</x:v>
      </x:c>
      <x:c r="F2079" t="str">
        <x:v>Standard</x:v>
      </x:c>
      <x:c r="G2079" t="n">
        <x:v>42398</x:v>
      </x:c>
      <x:c r="H2079" t="str">
        <x:v>13168</x:v>
      </x:c>
      <x:c r="I2079" t="str">
        <x:v>https://www.smwcentral.net/?a=details&amp;id=13168&amp;p=section</x:v>
      </x:c>
      <x:c r="J2079" t="str">
        <x:v>https://dl.smwcentral.net/13168/SMW%20Hehey%21.zip</x:v>
      </x:c>
    </x:row>
    <x:row r="2080">
      <x:c r="A2080" t="str">
        <x:v>Super Mario World: Hunt for the Dragon Coins</x:v>
      </x:c>
      <x:c r="B2080" t="str">
        <x:v>Super Mario World: Hunt for the Dragon Coins</x:v>
      </x:c>
      <x:c r="C2080" t="str">
        <x:v>JDC</x:v>
      </x:c>
      <x:c r="D2080" t="n">
        <x:v>7</x:v>
      </x:c>
      <x:c r="E2080" t="str">
        <x:v>Newcomer</x:v>
      </x:c>
      <x:c r="F2080" t="str">
        <x:v>Standard</x:v>
      </x:c>
      <x:c r="G2080" t="n">
        <x:v>42279</x:v>
      </x:c>
      <x:c r="H2080" t="str">
        <x:v>10012</x:v>
      </x:c>
      <x:c r="I2080" t="str">
        <x:v>https://www.smwcentral.net/?a=details&amp;id=10012&amp;p=section</x:v>
      </x:c>
      <x:c r="J2080" t="str">
        <x:v>https://dl.smwcentral.net/10012/Super%20Mario%20HFTDC.zip</x:v>
      </x:c>
    </x:row>
    <x:row r="2081">
      <x:c r="A2081" t="str">
        <x:v>Super Mario World: Iggy's Island</x:v>
      </x:c>
      <x:c r="B2081" t="str">
        <x:v>Super Mario World: Iggy's Island</x:v>
      </x:c>
      <x:c r="C2081" t="str">
        <x:v>Pirate Yoshi</x:v>
      </x:c>
      <x:c r="D2081" t="n">
        <x:v>5</x:v>
      </x:c>
      <x:c r="E2081" t="str">
        <x:v>Newcomer</x:v>
      </x:c>
      <x:c r="F2081" t="str">
        <x:v>Standard</x:v>
      </x:c>
      <x:c r="G2081" t="n">
        <x:v>42223</x:v>
      </x:c>
      <x:c r="H2081" t="str">
        <x:v>9840</x:v>
      </x:c>
      <x:c r="I2081" t="str">
        <x:v>https://www.smwcentral.net/?a=details&amp;id=9840&amp;p=section</x:v>
      </x:c>
      <x:c r="J2081" t="str">
        <x:v>https://dl.smwcentral.net/9840/Iggy%27s%20Island%20Zip.zip</x:v>
      </x:c>
    </x:row>
    <x:row r="2082">
      <x:c r="A2082" t="str">
        <x:v>Super Mario World: Journey To Plover Hill</x:v>
      </x:c>
      <x:c r="B2082" t="str">
        <x:v>Super Mario World: Journey To Plover Hill</x:v>
      </x:c>
      <x:c r="C2082" t="str">
        <x:v>jcv1235</x:v>
      </x:c>
      <x:c r="D2082" t="n">
        <x:v>8</x:v>
      </x:c>
      <x:c r="E2082" t="str">
        <x:v>Newcomer</x:v>
      </x:c>
      <x:c r="F2082" t="str">
        <x:v>Standard</x:v>
      </x:c>
      <x:c r="G2082" t="n">
        <x:v>42066</x:v>
      </x:c>
      <x:c r="H2082" t="str">
        <x:v>9803</x:v>
      </x:c>
      <x:c r="I2082" t="str">
        <x:v>https://www.smwcentral.net/?a=details&amp;id=9803&amp;p=section</x:v>
      </x:c>
      <x:c r="J2082" t="str">
        <x:v>https://dl.smwcentral.net/9803/Journey%20To%20Plover%20Hill.zip</x:v>
      </x:c>
    </x:row>
    <x:row r="2083">
      <x:c r="A2083" t="str">
        <x:v>Super Mario World: Jurassic Path</x:v>
      </x:c>
      <x:c r="B2083" t="str">
        <x:v>Super Mario World: Jurassic Path</x:v>
      </x:c>
      <x:c r="C2083" t="str">
        <x:v>Mario's Dog</x:v>
      </x:c>
      <x:c r="D2083" t="n">
        <x:v>6</x:v>
      </x:c>
      <x:c r="E2083" t="str">
        <x:v>Newcomer</x:v>
      </x:c>
      <x:c r="F2083" t="str">
        <x:v>Standard</x:v>
      </x:c>
      <x:c r="G2083" t="n">
        <x:v>42066</x:v>
      </x:c>
      <x:c r="H2083" t="str">
        <x:v>9801</x:v>
      </x:c>
      <x:c r="I2083" t="str">
        <x:v>https://www.smwcentral.net/?a=details&amp;id=9801&amp;p=section</x:v>
      </x:c>
      <x:c r="J2083" t="str">
        <x:v>https://dl.smwcentral.net/9801/Super%20Mario%20World%20Jurassic%20Path%20%28Demo%201%29.zip</x:v>
      </x:c>
    </x:row>
    <x:row r="2084">
      <x:c r="A2084" t="str">
        <x:v>Super Mario World: La Nouvelle Vague</x:v>
      </x:c>
      <x:c r="B2084" t="str">
        <x:v>Super Mario World: La Nouvelle Vague</x:v>
      </x:c>
      <x:c r="C2084" t="str">
        <x:v>drake-68</x:v>
      </x:c>
      <x:c r="D2084" t="n">
        <x:v>6</x:v>
      </x:c>
      <x:c r="E2084" t="str">
        <x:v>Newcomer</x:v>
      </x:c>
      <x:c r="F2084" t="str">
        <x:v>Standard</x:v>
      </x:c>
      <x:c r="G2084" t="n">
        <x:v>41744</x:v>
      </x:c>
      <x:c r="H2084" t="str">
        <x:v>6467</x:v>
      </x:c>
      <x:c r="I2084" t="str">
        <x:v>https://www.smwcentral.net/?a=details&amp;id=6467&amp;p=section</x:v>
      </x:c>
      <x:c r="J2084" t="str">
        <x:v>https://dl.smwcentral.net/6467/SMW%20La%20Nouvelle%20Vague.zip</x:v>
      </x:c>
    </x:row>
    <x:row r="2085">
      <x:c r="A2085" t="str">
        <x:v>Super Mario World: Legend of the Four Keys</x:v>
      </x:c>
      <x:c r="B2085" t="str">
        <x:v>Super Mario World: Legend of the Four Keys</x:v>
      </x:c>
      <x:c r="C2085" t="str">
        <x:v>Gamma V</x:v>
      </x:c>
      <x:c r="D2085" t="n">
        <x:v>43</x:v>
      </x:c>
      <x:c r="E2085" t="str">
        <x:v>Casual</x:v>
      </x:c>
      <x:c r="F2085" t="str">
        <x:v>Standard</x:v>
      </x:c>
      <x:c r="G2085" t="n">
        <x:v>45848</x:v>
      </x:c>
      <x:c r="H2085" t="str">
        <x:v>39962</x:v>
      </x:c>
      <x:c r="I2085" t="str">
        <x:v>https://www.smwcentral.net/?a=details&amp;id=39962&amp;p=section</x:v>
      </x:c>
      <x:c r="J2085" t="str">
        <x:v>https://dl.smwcentral.net/39962/L4K%201.4.zip</x:v>
      </x:c>
    </x:row>
    <x:row r="2086">
      <x:c r="A2086" t="str">
        <x:v>Super Mario World: Moving Day</x:v>
      </x:c>
      <x:c r="B2086" t="str">
        <x:v>Super Mario World: Moving Day</x:v>
      </x:c>
      <x:c r="C2086" t="str">
        <x:v>Anonymous</x:v>
      </x:c>
      <x:c r="D2086" t="n">
        <x:v>7</x:v>
      </x:c>
      <x:c r="E2086" t="str">
        <x:v>Newcomer</x:v>
      </x:c>
      <x:c r="F2086" t="str">
        <x:v>Standard</x:v>
      </x:c>
      <x:c r="G2086" t="n">
        <x:v>42275</x:v>
      </x:c>
      <x:c r="H2086" t="str">
        <x:v>10074</x:v>
      </x:c>
      <x:c r="I2086" t="str">
        <x:v>https://www.smwcentral.net/?a=details&amp;id=10074&amp;p=section</x:v>
      </x:c>
      <x:c r="J2086" t="str">
        <x:v>https://dl.smwcentral.net/10074/MovingDay-Snowshoe.zip</x:v>
      </x:c>
    </x:row>
    <x:row r="2087">
      <x:c r="A2087" t="str">
        <x:v>Super Mario World: Panic In Eglet Islands</x:v>
      </x:c>
      <x:c r="B2087" t="str">
        <x:v>Super Mario World: Panic In Eglet Islands</x:v>
      </x:c>
      <x:c r="C2087" t="str">
        <x:v>Volt</x:v>
      </x:c>
      <x:c r="D2087" t="n">
        <x:v>6</x:v>
      </x:c>
      <x:c r="E2087" t="str">
        <x:v>Casual</x:v>
      </x:c>
      <x:c r="F2087" t="str">
        <x:v>Standard</x:v>
      </x:c>
      <x:c r="G2087" t="n">
        <x:v>41490</x:v>
      </x:c>
      <x:c r="H2087" t="str">
        <x:v>5266</x:v>
      </x:c>
      <x:c r="I2087" t="str">
        <x:v>https://www.smwcentral.net/?a=details&amp;id=5266&amp;p=section</x:v>
      </x:c>
      <x:c r="J2087" t="str">
        <x:v>https://dl.smwcentral.net/5266/SMWPIEI%20%28fixed%29.zip</x:v>
      </x:c>
    </x:row>
    <x:row r="2088">
      <x:c r="A2088" t="str">
        <x:v>Super Mario World: Quest up Mount Morlock.</x:v>
      </x:c>
      <x:c r="B2088" t="str">
        <x:v>Super Mario World: Quest up Mount Morlock.</x:v>
      </x:c>
      <x:c r="C2088" t="str">
        <x:v>KaidenThelens</x:v>
      </x:c>
      <x:c r="D2088" t="n">
        <x:v>29</x:v>
      </x:c>
      <x:c r="E2088" t="str">
        <x:v>Intermediate</x:v>
      </x:c>
      <x:c r="F2088" t="str">
        <x:v>Standard</x:v>
      </x:c>
      <x:c r="G2088" t="n">
        <x:v>44169</x:v>
      </x:c>
      <x:c r="H2088" t="str">
        <x:v>25129</x:v>
      </x:c>
      <x:c r="I2088" t="str">
        <x:v>https://www.smwcentral.net/?a=details&amp;id=25129&amp;p=section</x:v>
      </x:c>
      <x:c r="J2088" t="str">
        <x:v>https://dl.smwcentral.net/25129/Heres%20the%20Video%20Game%20V2.zip</x:v>
      </x:c>
    </x:row>
    <x:row r="2089">
      <x:c r="A2089" t="str">
        <x:v>Super Mario World: Return To Dinosaur Land</x:v>
      </x:c>
      <x:c r="B2089" t="str">
        <x:v>Super Mario World: Return To Dinosaur Land</x:v>
      </x:c>
      <x:c r="C2089" t="str">
        <x:v>RAGB</x:v>
      </x:c>
      <x:c r="D2089" t="n">
        <x:v>59</x:v>
      </x:c>
      <x:c r="E2089" t="str">
        <x:v>Casual</x:v>
      </x:c>
      <x:c r="F2089" t="str">
        <x:v>Standard</x:v>
      </x:c>
      <x:c r="G2089" t="n">
        <x:v>41449</x:v>
      </x:c>
      <x:c r="H2089" t="str">
        <x:v>4990</x:v>
      </x:c>
      <x:c r="I2089" t="str">
        <x:v>https://www.smwcentral.net/?a=details&amp;id=4990&amp;p=section</x:v>
      </x:c>
      <x:c r="J2089" t="str">
        <x:v>https://dl.smwcentral.net/4990/SMW-%20RDL.zip</x:v>
      </x:c>
    </x:row>
    <x:row r="2090">
      <x:c r="A2090" t="str">
        <x:v>Super Mario World: Season 2</x:v>
      </x:c>
      <x:c r="B2090" t="str">
        <x:v>Super Mario World: Season 2</x:v>
      </x:c>
      <x:c r="C2090" t="str">
        <x:v>DaHitmenGuy</x:v>
      </x:c>
      <x:c r="D2090" t="n">
        <x:v>92</x:v>
      </x:c>
      <x:c r="E2090" t="str">
        <x:v>Casual</x:v>
      </x:c>
      <x:c r="F2090" t="str">
        <x:v>Standard</x:v>
      </x:c>
      <x:c r="G2090" t="n">
        <x:v>44836</x:v>
      </x:c>
      <x:c r="H2090" t="str">
        <x:v>31925</x:v>
      </x:c>
      <x:c r="I2090" t="str">
        <x:v>https://www.smwcentral.net/?a=details&amp;id=31925&amp;p=section</x:v>
      </x:c>
      <x:c r="J2090" t="str">
        <x:v>https://dl.smwcentral.net/31925/Super%20Mario%20World%20-%20Season%202%20%282021%29.zip</x:v>
      </x:c>
    </x:row>
    <x:row r="2091">
      <x:c r="A2091" t="str">
        <x:v>Super Mario World: Season 3</x:v>
      </x:c>
      <x:c r="B2091" t="str">
        <x:v>Super Mario World: Season 3</x:v>
      </x:c>
      <x:c r="C2091" t="str">
        <x:v>DaHitmenGuy</x:v>
      </x:c>
      <x:c r="D2091" t="n">
        <x:v>29</x:v>
      </x:c>
      <x:c r="E2091" t="str">
        <x:v>Casual</x:v>
      </x:c>
      <x:c r="F2091" t="str">
        <x:v>Standard</x:v>
      </x:c>
      <x:c r="G2091" t="n">
        <x:v>44938</x:v>
      </x:c>
      <x:c r="H2091" t="str">
        <x:v>32736</x:v>
      </x:c>
      <x:c r="I2091" t="str">
        <x:v>https://www.smwcentral.net/?a=details&amp;id=32736&amp;p=section</x:v>
      </x:c>
      <x:c r="J2091" t="str">
        <x:v>https://dl.smwcentral.net/32736/Super%20Mario%20World%20-%20Season%203%20%28Demo%20V1%29.zip</x:v>
      </x:c>
    </x:row>
    <x:row r="2092">
      <x:c r="A2092" t="str">
        <x:v>Super Mario World: Seasonal Chaos!</x:v>
      </x:c>
      <x:c r="B2092" t="str">
        <x:v>Super Mario World: Seasonal Chaos!</x:v>
      </x:c>
      <x:c r="C2092" t="str">
        <x:v>Starman97</x:v>
      </x:c>
      <x:c r="D2092" t="n">
        <x:v>5</x:v>
      </x:c>
      <x:c r="E2092" t="str">
        <x:v>Newcomer</x:v>
      </x:c>
      <x:c r="F2092" t="str">
        <x:v>Standard</x:v>
      </x:c>
      <x:c r="G2092" t="n">
        <x:v>44703</x:v>
      </x:c>
      <x:c r="H2092" t="str">
        <x:v>30887</x:v>
      </x:c>
      <x:c r="I2092" t="str">
        <x:v>https://www.smwcentral.net/?a=details&amp;id=30887&amp;p=section</x:v>
      </x:c>
      <x:c r="J2092" t="str">
        <x:v>https://dl.smwcentral.net/30887/SMWSeasonalChaos%21.zip</x:v>
      </x:c>
    </x:row>
    <x:row r="2093">
      <x:c r="A2093" t="str">
        <x:v>Super Mario World: Serbow's Assault</x:v>
      </x:c>
      <x:c r="B2093" t="str">
        <x:v>Super Mario World: Serbow's Assault</x:v>
      </x:c>
      <x:c r="C2093" t="str">
        <x:v>keckcellent</x:v>
      </x:c>
      <x:c r="D2093" t="n">
        <x:v>28</x:v>
      </x:c>
      <x:c r="E2093" t="str">
        <x:v>Casual</x:v>
      </x:c>
      <x:c r="F2093" t="str">
        <x:v>Standard</x:v>
      </x:c>
      <x:c r="G2093" t="n">
        <x:v>41573</x:v>
      </x:c>
      <x:c r="H2093" t="str">
        <x:v>5446</x:v>
      </x:c>
      <x:c r="I2093" t="str">
        <x:v>https://www.smwcentral.net/?a=details&amp;id=5446&amp;p=section</x:v>
      </x:c>
      <x:c r="J2093" t="str">
        <x:v>https://dl.smwcentral.net/5446/Serbow1-3.zip</x:v>
      </x:c>
    </x:row>
    <x:row r="2094">
      <x:c r="A2094" t="str">
        <x:v>Super Mario World: Shy-Shy Island</x:v>
      </x:c>
      <x:c r="B2094" t="str">
        <x:v>Super Mario World: Shy-Shy Island</x:v>
      </x:c>
      <x:c r="C2094" t="str">
        <x:v>yupyup____</x:v>
      </x:c>
      <x:c r="D2094" t="n">
        <x:v>5</x:v>
      </x:c>
      <x:c r="E2094" t="str">
        <x:v>Casual</x:v>
      </x:c>
      <x:c r="F2094" t="str">
        <x:v>Standard</x:v>
      </x:c>
      <x:c r="G2094" t="n">
        <x:v>43971</x:v>
      </x:c>
      <x:c r="H2094" t="str">
        <x:v>23028</x:v>
      </x:c>
      <x:c r="I2094" t="str">
        <x:v>https://www.smwcentral.net/?a=details&amp;id=23028&amp;p=section</x:v>
      </x:c>
      <x:c r="J2094" t="str">
        <x:v>https://dl.smwcentral.net/23028/SMW%20shyshy%20island.zip</x:v>
      </x:c>
    </x:row>
    <x:row r="2095">
      <x:c r="A2095" t="str">
        <x:v>Super Mario World: The 4 Magic Wands</x:v>
      </x:c>
      <x:c r="B2095" t="str">
        <x:v>Super Mario World: The 4 Magic Wands</x:v>
      </x:c>
      <x:c r="C2095" t="str">
        <x:v>Green Jerry</x:v>
      </x:c>
      <x:c r="D2095" t="n">
        <x:v>24</x:v>
      </x:c>
      <x:c r="E2095" t="str">
        <x:v>Casual</x:v>
      </x:c>
      <x:c r="F2095" t="str">
        <x:v>Standard</x:v>
      </x:c>
      <x:c r="G2095" t="n">
        <x:v>45704</x:v>
      </x:c>
      <x:c r="H2095" t="str">
        <x:v>39208</x:v>
      </x:c>
      <x:c r="I2095" t="str">
        <x:v>https://www.smwcentral.net/?a=details&amp;id=39208&amp;p=section</x:v>
      </x:c>
      <x:c r="J2095" t="str">
        <x:v>https://dl.smwcentral.net/39208/Super%20Mario%20World%20-%20The%204%20Magic%20Wands%20V1.0.2.zip</x:v>
      </x:c>
    </x:row>
    <x:row r="2096">
      <x:c r="A2096" t="str">
        <x:v>Super Mario World: The 7 Elemental Yoshies</x:v>
      </x:c>
      <x:c r="B2096" t="str">
        <x:v>Super Mario World: The 7 Elemental Yoshies</x:v>
      </x:c>
      <x:c r="C2096" t="str">
        <x:v>RandomUser46</x:v>
      </x:c>
      <x:c r="D2096" t="n">
        <x:v>7</x:v>
      </x:c>
      <x:c r="E2096" t="str">
        <x:v>Newcomer</x:v>
      </x:c>
      <x:c r="F2096" t="str">
        <x:v>Standard</x:v>
      </x:c>
      <x:c r="G2096" t="n">
        <x:v>42073</x:v>
      </x:c>
      <x:c r="H2096" t="str">
        <x:v>11004</x:v>
      </x:c>
      <x:c r="I2096" t="str">
        <x:v>https://www.smwcentral.net/?a=details&amp;id=11004&amp;p=section</x:v>
      </x:c>
      <x:c r="J2096" t="str">
        <x:v>https://dl.smwcentral.net/11004/SMW%20The%207%20Elemental%20Yoshies%20DEMO.zip</x:v>
      </x:c>
    </x:row>
    <x:row r="2097">
      <x:c r="A2097" t="str">
        <x:v>Super Mario World: The 7 Koopalings Return</x:v>
      </x:c>
      <x:c r="B2097" t="str">
        <x:v>Super Mario World: The 7 Koopalings Return</x:v>
      </x:c>
      <x:c r="C2097" t="str">
        <x:v>mario and luigi</x:v>
      </x:c>
      <x:c r="D2097" t="n">
        <x:v>15</x:v>
      </x:c>
      <x:c r="E2097" t="str">
        <x:v>Casual</x:v>
      </x:c>
      <x:c r="F2097" t="str">
        <x:v>Standard</x:v>
      </x:c>
      <x:c r="G2097" t="n">
        <x:v>41885</x:v>
      </x:c>
      <x:c r="H2097" t="str">
        <x:v>9053</x:v>
      </x:c>
      <x:c r="I2097" t="str">
        <x:v>https://www.smwcentral.net/?a=details&amp;id=9053&amp;p=section</x:v>
      </x:c>
      <x:c r="J2097" t="str">
        <x:v>https://dl.smwcentral.net/9053/koopalings%20-%20demo.zip</x:v>
      </x:c>
    </x:row>
    <x:row r="2098">
      <x:c r="A2098" t="str">
        <x:v>Super Mario World: The After Years (Ultra)</x:v>
      </x:c>
      <x:c r="B2098" t="str">
        <x:v>Super Mario World: The After Years (Ultra)</x:v>
      </x:c>
      <x:c r="C2098" t="str">
        <x:v>EvilGuy0613</x:v>
      </x:c>
      <x:c r="D2098" t="n">
        <x:v>100</x:v>
      </x:c>
      <x:c r="E2098" t="str">
        <x:v>Casual</x:v>
      </x:c>
      <x:c r="F2098" t="str">
        <x:v>Standard</x:v>
      </x:c>
      <x:c r="G2098" t="n">
        <x:v>41603</x:v>
      </x:c>
      <x:c r="H2098" t="str">
        <x:v>5593</x:v>
      </x:c>
      <x:c r="I2098" t="str">
        <x:v>https://www.smwcentral.net/?a=details&amp;id=5593&amp;p=section</x:v>
      </x:c>
      <x:c r="J2098" t="str">
        <x:v>https://dl.smwcentral.net/5593/Super%20Mario%20World%20-%20The%20After%20Years%20%28Ultra%29.zip</x:v>
      </x:c>
    </x:row>
    <x:row r="2099">
      <x:c r="A2099" t="str">
        <x:v>Super Mario World: The Crazy Quest</x:v>
      </x:c>
      <x:c r="B2099" t="str">
        <x:v>Super Mario World: The Crazy Quest</x:v>
      </x:c>
      <x:c r="C2099" t="str">
        <x:v>Ayami</x:v>
      </x:c>
      <x:c r="D2099" t="n">
        <x:v>6</x:v>
      </x:c>
      <x:c r="E2099" t="str">
        <x:v>Casual</x:v>
      </x:c>
      <x:c r="F2099" t="str">
        <x:v>Standard</x:v>
      </x:c>
      <x:c r="G2099" t="n">
        <x:v>42100</x:v>
      </x:c>
      <x:c r="H2099" t="str">
        <x:v>10043</x:v>
      </x:c>
      <x:c r="I2099" t="str">
        <x:v>https://www.smwcentral.net/?a=details&amp;id=10043&amp;p=section</x:v>
      </x:c>
      <x:c r="J2099" t="str">
        <x:v>https://dl.smwcentral.net/10043/SMW%20The%20Crazy%20Quest%20%28DEMO%20v1.0%29.zip</x:v>
      </x:c>
    </x:row>
    <x:row r="2100">
      <x:c r="A2100" t="str">
        <x:v>Super Mario World: The Final Showdown!</x:v>
      </x:c>
      <x:c r="B2100" t="str">
        <x:v>Super Mario World: The Final Showdown!</x:v>
      </x:c>
      <x:c r="C2100" t="str">
        <x:v>Kyanite</x:v>
      </x:c>
      <x:c r="D2100" t="n">
        <x:v>10</x:v>
      </x:c>
      <x:c r="E2100" t="str">
        <x:v>Newcomer</x:v>
      </x:c>
      <x:c r="F2100" t="str">
        <x:v>Standard</x:v>
      </x:c>
      <x:c r="G2100" t="n">
        <x:v>42270</x:v>
      </x:c>
      <x:c r="H2100" t="str">
        <x:v>12113</x:v>
      </x:c>
      <x:c r="I2100" t="str">
        <x:v>https://www.smwcentral.net/?a=details&amp;id=12113&amp;p=section</x:v>
      </x:c>
      <x:c r="J2100" t="str">
        <x:v>https://dl.smwcentral.net/12113/SMWTheFinalShowdown%28Demo%29.zip</x:v>
      </x:c>
    </x:row>
    <x:row r="2101">
      <x:c r="A2101" t="str">
        <x:v>Super Mario World: The Huge Adventure</x:v>
      </x:c>
      <x:c r="B2101" t="str">
        <x:v>Super Mario World: The Huge Adventure</x:v>
      </x:c>
      <x:c r="C2101" t="str">
        <x:v>bandicoot</x:v>
      </x:c>
      <x:c r="D2101" t="n">
        <x:v>31</x:v>
      </x:c>
      <x:c r="E2101" t="str">
        <x:v>Casual</x:v>
      </x:c>
      <x:c r="F2101" t="str">
        <x:v>Standard</x:v>
      </x:c>
      <x:c r="G2101" t="n">
        <x:v>42222</x:v>
      </x:c>
      <x:c r="H2101" t="str">
        <x:v>10221</x:v>
      </x:c>
      <x:c r="I2101" t="str">
        <x:v>https://www.smwcentral.net/?a=details&amp;id=10221&amp;p=section</x:v>
      </x:c>
      <x:c r="J2101" t="str">
        <x:v>https://dl.smwcentral.net/10221/tha.zip</x:v>
      </x:c>
    </x:row>
    <x:row r="2102">
      <x:c r="A2102" t="str">
        <x:v>Super Mario World: The Lost Adventure - Episode I REMASTERED</x:v>
      </x:c>
      <x:c r="B2102" t="str">
        <x:v>Super Mario World: The Lost Adventure - Episode I REMASTERED</x:v>
      </x:c>
      <x:c r="C2102" t="str">
        <x:v>RichardDS90, isaix</x:v>
      </x:c>
      <x:c r="D2102" t="n">
        <x:v>93</x:v>
      </x:c>
      <x:c r="E2102" t="str">
        <x:v>Casual</x:v>
      </x:c>
      <x:c r="F2102" t="str">
        <x:v>Standard</x:v>
      </x:c>
      <x:c r="G2102" t="n">
        <x:v>45005</x:v>
      </x:c>
      <x:c r="H2102" t="str">
        <x:v>33456</x:v>
      </x:c>
      <x:c r="I2102" t="str">
        <x:v>https://www.smwcentral.net/?a=details&amp;id=33456&amp;p=section</x:v>
      </x:c>
      <x:c r="J2102" t="str">
        <x:v>https://dl.smwcentral.net/33456/SMW%20The%20Lost%20Adventure%20Episode%20I%20REMASTERED.zip</x:v>
      </x:c>
    </x:row>
    <x:row r="2103">
      <x:c r="A2103" t="str">
        <x:v>Super Mario World: The Lost Levels</x:v>
      </x:c>
      <x:c r="B2103" t="str">
        <x:v>Super Mario World: The Lost Levels</x:v>
      </x:c>
      <x:c r="C2103" t="str">
        <x:v>CargoOfDarkness, LunaStarshine</x:v>
      </x:c>
      <x:c r="D2103" t="n">
        <x:v>106</x:v>
      </x:c>
      <x:c r="E2103" t="str">
        <x:v>Master</x:v>
      </x:c>
      <x:c r="F2103" t="str">
        <x:v>Standard</x:v>
      </x:c>
      <x:c r="G2103" t="n">
        <x:v>41711</x:v>
      </x:c>
      <x:c r="H2103" t="str">
        <x:v>6410</x:v>
      </x:c>
      <x:c r="I2103" t="str">
        <x:v>https://www.smwcentral.net/?a=details&amp;id=6410&amp;p=section</x:v>
      </x:c>
      <x:c r="J2103" t="str">
        <x:v>https://dl.smwcentral.net/6410/New%20Super%20Mario%20World%20-%20The%20%20Lost%20Levels.zip</x:v>
      </x:c>
    </x:row>
    <x:row r="2104">
      <x:c r="A2104" t="str">
        <x:v>Super Mario World: The Magical Golden Mushroom</x:v>
      </x:c>
      <x:c r="B2104" t="str">
        <x:v>Super Mario World: The Magical Golden Mushroom</x:v>
      </x:c>
      <x:c r="C2104" t="str">
        <x:v>Green Jerry</x:v>
      </x:c>
      <x:c r="D2104" t="n">
        <x:v>70</x:v>
      </x:c>
      <x:c r="E2104" t="str">
        <x:v>Intermediate</x:v>
      </x:c>
      <x:c r="F2104" t="str">
        <x:v>Standard</x:v>
      </x:c>
      <x:c r="G2104" t="n">
        <x:v>46208</x:v>
      </x:c>
      <x:c r="H2104" t="str">
        <x:v>42564</x:v>
      </x:c>
      <x:c r="I2104" t="str">
        <x:v>https://www.smwcentral.net/?a=details&amp;id=42564&amp;p=section</x:v>
      </x:c>
      <x:c r="J2104" t="str">
        <x:v>https://dl.smwcentral.net/42564/Super%20Mario%20World%20-%20The%20Magical%20Golden%20Mushroom%20v1.2.zip</x:v>
      </x:c>
    </x:row>
    <x:row r="2105">
      <x:c r="A2105" t="str">
        <x:v>Super Mario World: The Magical Wand</x:v>
      </x:c>
      <x:c r="B2105" t="str">
        <x:v>Super Mario World: The Magical Wand</x:v>
      </x:c>
      <x:c r="C2105" t="str">
        <x:v>TheEvilFlashAnimator</x:v>
      </x:c>
      <x:c r="D2105" t="n">
        <x:v>6</x:v>
      </x:c>
      <x:c r="E2105" t="str">
        <x:v>Casual</x:v>
      </x:c>
      <x:c r="F2105" t="str">
        <x:v>Standard</x:v>
      </x:c>
      <x:c r="G2105" t="n">
        <x:v>42291</x:v>
      </x:c>
      <x:c r="H2105" t="str">
        <x:v>10062</x:v>
      </x:c>
      <x:c r="I2105" t="str">
        <x:v>https://www.smwcentral.net/?a=details&amp;id=10062&amp;p=section</x:v>
      </x:c>
      <x:c r="J2105" t="str">
        <x:v>https://dl.smwcentral.net/10062/SMWTMW_demo.zip</x:v>
      </x:c>
    </x:row>
    <x:row r="2106">
      <x:c r="A2106" t="str">
        <x:v>Super Mario World: The Megaman 29th anniversary adventure</x:v>
      </x:c>
      <x:c r="B2106" t="str">
        <x:v>Super Mario World: The Megaman 29th anniversary adventure</x:v>
      </x:c>
      <x:c r="C2106" t="str">
        <x:v>Roberto zampari</x:v>
      </x:c>
      <x:c r="D2106" t="n">
        <x:v>90</x:v>
      </x:c>
      <x:c r="E2106" t="str">
        <x:v>Casual</x:v>
      </x:c>
      <x:c r="F2106" t="str">
        <x:v>Standard</x:v>
      </x:c>
      <x:c r="G2106" t="n">
        <x:v>42538</x:v>
      </x:c>
      <x:c r="H2106" t="str">
        <x:v>13720</x:v>
      </x:c>
      <x:c r="I2106" t="str">
        <x:v>https://www.smwcentral.net/?a=details&amp;id=13720&amp;p=section</x:v>
      </x:c>
      <x:c r="J2106" t="str">
        <x:v>https://dl.smwcentral.net/13720/Megaman29thfull2.zip</x:v>
      </x:c>
    </x:row>
    <x:row r="2107">
      <x:c r="A2107" t="str">
        <x:v>Super Mario World: The Meteor...</x:v>
      </x:c>
      <x:c r="B2107" t="str">
        <x:v>Super Mario World: The Meteor...</x:v>
      </x:c>
      <x:c r="C2107" t="str">
        <x:v>Saturn the Donkey</x:v>
      </x:c>
      <x:c r="D2107" t="n">
        <x:v>7</x:v>
      </x:c>
      <x:c r="E2107" t="str">
        <x:v>Casual</x:v>
      </x:c>
      <x:c r="F2107" t="str">
        <x:v>Standard</x:v>
      </x:c>
      <x:c r="G2107" t="n">
        <x:v>42219</x:v>
      </x:c>
      <x:c r="H2107" t="str">
        <x:v>9643</x:v>
      </x:c>
      <x:c r="I2107" t="str">
        <x:v>https://www.smwcentral.net/?a=details&amp;id=9643&amp;p=section</x:v>
      </x:c>
      <x:c r="J2107" t="str">
        <x:v>https://dl.smwcentral.net/9643/Mario%20the%20meteor.zip</x:v>
      </x:c>
    </x:row>
    <x:row r="2108">
      <x:c r="A2108" t="str">
        <x:v>Super Mario World: The Mysterious Armada</x:v>
      </x:c>
      <x:c r="B2108" t="str">
        <x:v>Super Mario World: The Mysterious Armada</x:v>
      </x:c>
      <x:c r="C2108" t="str">
        <x:v>MetallicKreeper</x:v>
      </x:c>
      <x:c r="D2108" t="n">
        <x:v>8</x:v>
      </x:c>
      <x:c r="E2108" t="str">
        <x:v>Casual</x:v>
      </x:c>
      <x:c r="F2108" t="str">
        <x:v>Standard</x:v>
      </x:c>
      <x:c r="G2108" t="n">
        <x:v>43471</x:v>
      </x:c>
      <x:c r="H2108" t="str">
        <x:v>18817</x:v>
      </x:c>
      <x:c r="I2108" t="str">
        <x:v>https://www.smwcentral.net/?a=details&amp;id=18817&amp;p=section</x:v>
      </x:c>
      <x:c r="J2108" t="str">
        <x:v>https://dl.smwcentral.net/18817/TMA.zip</x:v>
      </x:c>
    </x:row>
    <x:row r="2109">
      <x:c r="A2109" t="str">
        <x:v>Super Mario World: The New World</x:v>
      </x:c>
      <x:c r="B2109" t="str">
        <x:v>Super Mario World: The New World</x:v>
      </x:c>
      <x:c r="C2109" t="str">
        <x:v>MrUltimateKirby</x:v>
      </x:c>
      <x:c r="D2109" t="n">
        <x:v>26</x:v>
      </x:c>
      <x:c r="E2109" t="str">
        <x:v>Casual</x:v>
      </x:c>
      <x:c r="F2109" t="str">
        <x:v>Standard</x:v>
      </x:c>
      <x:c r="G2109" t="n">
        <x:v>42750</x:v>
      </x:c>
      <x:c r="H2109" t="str">
        <x:v>14829</x:v>
      </x:c>
      <x:c r="I2109" t="str">
        <x:v>https://www.smwcentral.net/?a=details&amp;id=14829&amp;p=section</x:v>
      </x:c>
      <x:c r="J2109" t="str">
        <x:v>https://dl.smwcentral.net/14829/Super%20Mario%20World%20-%20The%20New%20World.zip</x:v>
      </x:c>
    </x:row>
    <x:row r="2110">
      <x:c r="A2110" t="str">
        <x:v>Super Mario World: The Return of Bowser</x:v>
      </x:c>
      <x:c r="B2110" t="str">
        <x:v>Super Mario World: The Return of Bowser</x:v>
      </x:c>
      <x:c r="C2110" t="str">
        <x:v>Bmann7000</x:v>
      </x:c>
      <x:c r="D2110" t="n">
        <x:v>7</x:v>
      </x:c>
      <x:c r="E2110" t="str">
        <x:v>Intermediate</x:v>
      </x:c>
      <x:c r="F2110" t="str">
        <x:v>Standard</x:v>
      </x:c>
      <x:c r="G2110" t="n">
        <x:v>42104</x:v>
      </x:c>
      <x:c r="H2110" t="str">
        <x:v>9733</x:v>
      </x:c>
      <x:c r="I2110" t="str">
        <x:v>https://www.smwcentral.net/?a=details&amp;id=9733&amp;p=section</x:v>
      </x:c>
      <x:c r="J2110" t="str">
        <x:v>https://dl.smwcentral.net/9733/Mario2008v4.zip</x:v>
      </x:c>
    </x:row>
    <x:row r="2111">
      <x:c r="A2111" t="str">
        <x:v>Super Mario World: The Secret of 4 Colour Switch</x:v>
      </x:c>
      <x:c r="B2111" t="str">
        <x:v>Super Mario World: The Secret of 4 Colour Switch</x:v>
      </x:c>
      <x:c r="C2111" t="str">
        <x:v>Reaper Fan</x:v>
      </x:c>
      <x:c r="D2111" t="n">
        <x:v>9</x:v>
      </x:c>
      <x:c r="E2111" t="str">
        <x:v>Intermediate</x:v>
      </x:c>
      <x:c r="F2111" t="str">
        <x:v>Standard</x:v>
      </x:c>
      <x:c r="G2111" t="n">
        <x:v>42180</x:v>
      </x:c>
      <x:c r="H2111" t="str">
        <x:v>11585</x:v>
      </x:c>
      <x:c r="I2111" t="str">
        <x:v>https://www.smwcentral.net/?a=details&amp;id=11585&amp;p=section</x:v>
      </x:c>
      <x:c r="J2111" t="str">
        <x:v>https://dl.smwcentral.net/11585/SMW-The%20Secret%20Of%204%20Colour%20Switch%20Demo%201.3.zip</x:v>
      </x:c>
    </x:row>
    <x:row r="2112">
      <x:c r="A2112" t="str">
        <x:v>Super Mario World: The Secret of the 7 Golden Statues</x:v>
      </x:c>
      <x:c r="B2112" t="str">
        <x:v>Super Mario World: The Secret of the 7 Golden Statues</x:v>
      </x:c>
      <x:c r="C2112" t="str">
        <x:v>mario90</x:v>
      </x:c>
      <x:c r="D2112" t="n">
        <x:v>86</x:v>
      </x:c>
      <x:c r="E2112" t="str">
        <x:v>Intermediate</x:v>
      </x:c>
      <x:c r="F2112" t="str">
        <x:v>Standard</x:v>
      </x:c>
      <x:c r="G2112" t="n">
        <x:v>44511</x:v>
      </x:c>
      <x:c r="H2112" t="str">
        <x:v>28693</x:v>
      </x:c>
      <x:c r="I2112" t="str">
        <x:v>https://www.smwcentral.net/?a=details&amp;id=28693&amp;p=section</x:v>
      </x:c>
      <x:c r="J2112" t="str">
        <x:v>https://dl.smwcentral.net/28693/Super_Mario_World_The_Secret_of_the_7_Golden_Statues.zip</x:v>
      </x:c>
    </x:row>
    <x:row r="2113">
      <x:c r="A2113" t="str">
        <x:v>Super Mario World: The Secret of the Lands!</x:v>
      </x:c>
      <x:c r="B2113" t="str">
        <x:v>Super Mario World: The Secret of the Lands!</x:v>
      </x:c>
      <x:c r="C2113" t="str">
        <x:v>mario and luigi</x:v>
      </x:c>
      <x:c r="D2113" t="n">
        <x:v>22</x:v>
      </x:c>
      <x:c r="E2113" t="str">
        <x:v>Casual</x:v>
      </x:c>
      <x:c r="F2113" t="str">
        <x:v>Standard</x:v>
      </x:c>
      <x:c r="G2113" t="n">
        <x:v>41649</x:v>
      </x:c>
      <x:c r="H2113" t="str">
        <x:v>6084</x:v>
      </x:c>
      <x:c r="I2113" t="str">
        <x:v>https://www.smwcentral.net/?a=details&amp;id=6084&amp;p=section</x:v>
      </x:c>
      <x:c r="J2113" t="str">
        <x:v>https://dl.smwcentral.net/6084/tsotl%20-%20demo%202%21.zip</x:v>
      </x:c>
    </x:row>
    <x:row r="2114">
      <x:c r="A2114" t="str">
        <x:v>Super Mario World: The Star Field</x:v>
      </x:c>
      <x:c r="B2114" t="str">
        <x:v>Super Mario World: The Star Field</x:v>
      </x:c>
      <x:c r="C2114" t="str">
        <x:v>vysethelegend47</x:v>
      </x:c>
      <x:c r="D2114" t="n">
        <x:v>58</x:v>
      </x:c>
      <x:c r="E2114" t="str">
        <x:v>Intermediate</x:v>
      </x:c>
      <x:c r="F2114" t="str">
        <x:v>Standard</x:v>
      </x:c>
      <x:c r="G2114" t="n">
        <x:v>42279</x:v>
      </x:c>
      <x:c r="H2114" t="str">
        <x:v>9966</x:v>
      </x:c>
      <x:c r="I2114" t="str">
        <x:v>https://www.smwcentral.net/?a=details&amp;id=9966&amp;p=section</x:v>
      </x:c>
      <x:c r="J2114" t="str">
        <x:v>https://dl.smwcentral.net/9966/SMWTheStarFieldDemo2.2.zip</x:v>
      </x:c>
    </x:row>
    <x:row r="2115">
      <x:c r="A2115" t="str">
        <x:v>Super Mario World: Twentieth Anniversary Edition</x:v>
      </x:c>
      <x:c r="B2115" t="str">
        <x:v>Super Mario World: Twentieth Anniversary Edition</x:v>
      </x:c>
      <x:c r="C2115" t="str">
        <x:v>Fyord</x:v>
      </x:c>
      <x:c r="D2115" t="n">
        <x:v>21</x:v>
      </x:c>
      <x:c r="E2115" t="str">
        <x:v>Newcomer</x:v>
      </x:c>
      <x:c r="F2115" t="str">
        <x:v>Standard</x:v>
      </x:c>
      <x:c r="G2115" t="n">
        <x:v>42273</x:v>
      </x:c>
      <x:c r="H2115" t="str">
        <x:v>10041</x:v>
      </x:c>
      <x:c r="I2115" t="str">
        <x:v>https://www.smwcentral.net/?a=details&amp;id=10041&amp;p=section</x:v>
      </x:c>
      <x:c r="J2115" t="str">
        <x:v>https://dl.smwcentral.net/10041/SMW%20Twentieth%20Anniversary.zip</x:v>
      </x:c>
    </x:row>
    <x:row r="2116">
      <x:c r="A2116" t="str">
        <x:v>Super Mario World: Uber Edition</x:v>
      </x:c>
      <x:c r="B2116" t="str">
        <x:v>Super Mario World: Uber Edition</x:v>
      </x:c>
      <x:c r="C2116" t="str">
        <x:v>MarioPwnz</x:v>
      </x:c>
      <x:c r="D2116" t="n">
        <x:v>6</x:v>
      </x:c>
      <x:c r="E2116" t="str">
        <x:v>Newcomer</x:v>
      </x:c>
      <x:c r="F2116" t="str">
        <x:v>Standard</x:v>
      </x:c>
      <x:c r="G2116" t="n">
        <x:v>42131</x:v>
      </x:c>
      <x:c r="H2116" t="str">
        <x:v>9772</x:v>
      </x:c>
      <x:c r="I2116" t="str">
        <x:v>https://www.smwcentral.net/?a=details&amp;id=9772&amp;p=section</x:v>
      </x:c>
      <x:c r="J2116" t="str">
        <x:v>https://dl.smwcentral.net/9772/Uber%20Mario%20World%20DEMO1.zip</x:v>
      </x:c>
    </x:row>
    <x:row r="2117">
      <x:c r="A2117" t="str">
        <x:v>Super Mario World: Winter's Delight</x:v>
      </x:c>
      <x:c r="B2117" t="str">
        <x:v>Super Mario World: Winter's Delight</x:v>
      </x:c>
      <x:c r="C2117" t="str">
        <x:v>BD132</x:v>
      </x:c>
      <x:c r="D2117" t="n">
        <x:v>4</x:v>
      </x:c>
      <x:c r="E2117" t="str">
        <x:v>Newcomer</x:v>
      </x:c>
      <x:c r="F2117" t="str">
        <x:v>Standard</x:v>
      </x:c>
      <x:c r="G2117" t="n">
        <x:v>42153</x:v>
      </x:c>
      <x:c r="H2117" t="str">
        <x:v>9847</x:v>
      </x:c>
      <x:c r="I2117" t="str">
        <x:v>https://www.smwcentral.net/?a=details&amp;id=9847&amp;p=section</x:v>
      </x:c>
      <x:c r="J2117" t="str">
        <x:v>https://dl.smwcentral.net/9847/WintersDelight.zip</x:v>
      </x:c>
    </x:row>
    <x:row r="2118">
      <x:c r="A2118" t="str">
        <x:v>Super Mario Worldwide</x:v>
      </x:c>
      <x:c r="B2118" t="str">
        <x:v>Super Mario Worldwide</x:v>
      </x:c>
      <x:c r="C2118" t="str">
        <x:v>Antroid</x:v>
      </x:c>
      <x:c r="D2118" t="n">
        <x:v>28</x:v>
      </x:c>
      <x:c r="E2118" t="str">
        <x:v>Casual</x:v>
      </x:c>
      <x:c r="F2118" t="str">
        <x:v>Standard</x:v>
      </x:c>
      <x:c r="G2118" t="n">
        <x:v>42223</x:v>
      </x:c>
      <x:c r="H2118" t="str">
        <x:v>9767</x:v>
      </x:c>
      <x:c r="I2118" t="str">
        <x:v>https://www.smwcentral.net/?a=details&amp;id=9767&amp;p=section</x:v>
      </x:c>
      <x:c r="J2118" t="str">
        <x:v>https://dl.smwcentral.net/9767/Super_Mario_Worldwide.zip</x:v>
      </x:c>
    </x:row>
    <x:row r="2119">
      <x:c r="A2119" t="str">
        <x:v>Super Mario Worldwide 2</x:v>
      </x:c>
      <x:c r="B2119" t="str">
        <x:v>Super Mario Worldwide 2</x:v>
      </x:c>
      <x:c r="C2119" t="str">
        <x:v>Antroid</x:v>
      </x:c>
      <x:c r="D2119" t="n">
        <x:v>66</x:v>
      </x:c>
      <x:c r="E2119" t="str">
        <x:v>Casual</x:v>
      </x:c>
      <x:c r="F2119" t="str">
        <x:v>Standard</x:v>
      </x:c>
      <x:c r="G2119" t="n">
        <x:v>41604</x:v>
      </x:c>
      <x:c r="H2119" t="str">
        <x:v>5370</x:v>
      </x:c>
      <x:c r="I2119" t="str">
        <x:v>https://www.smwcentral.net/?a=details&amp;id=5370&amp;p=section</x:v>
      </x:c>
      <x:c r="J2119" t="str">
        <x:v>https://dl.smwcentral.net/5370/Super_Mario_Worldwide_2.zip</x:v>
      </x:c>
    </x:row>
    <x:row r="2120">
      <x:c r="A2120" t="str">
        <x:v>Super Mario World²</x:v>
      </x:c>
      <x:c r="B2120" t="str">
        <x:v>Super Mario World²</x:v>
      </x:c>
      <x:c r="C2120" t="str">
        <x:v>Young Boi</x:v>
      </x:c>
      <x:c r="D2120" t="n">
        <x:v>6</x:v>
      </x:c>
      <x:c r="E2120" t="str">
        <x:v>Newcomer</x:v>
      </x:c>
      <x:c r="F2120" t="str">
        <x:v>Standard</x:v>
      </x:c>
      <x:c r="G2120" t="n">
        <x:v>43548</x:v>
      </x:c>
      <x:c r="H2120" t="str">
        <x:v>19292</x:v>
      </x:c>
      <x:c r="I2120" t="str">
        <x:v>https://www.smwcentral.net/?a=details&amp;id=19292&amp;p=section</x:v>
      </x:c>
      <x:c r="J2120" t="str">
        <x:v>https://dl.smwcentral.net/19292/SMW%5E2%20DEMO.zip</x:v>
      </x:c>
    </x:row>
    <x:row r="2121">
      <x:c r="A2121" t="str">
        <x:v>Super Mario Wornilla</x:v>
      </x:c>
      <x:c r="B2121" t="str">
        <x:v>Super Mario Wornilla</x:v>
      </x:c>
      <x:c r="C2121" t="str">
        <x:v>Drakel</x:v>
      </x:c>
      <x:c r="D2121" t="n">
        <x:v>77</x:v>
      </x:c>
      <x:c r="E2121" t="str">
        <x:v>Intermediate</x:v>
      </x:c>
      <x:c r="F2121" t="str">
        <x:v>Standard</x:v>
      </x:c>
      <x:c r="G2121" t="n">
        <x:v>43646</x:v>
      </x:c>
      <x:c r="H2121" t="str">
        <x:v>20336</x:v>
      </x:c>
      <x:c r="I2121" t="str">
        <x:v>https://www.smwcentral.net/?a=details&amp;id=20336&amp;p=section</x:v>
      </x:c>
      <x:c r="J2121" t="str">
        <x:v>https://dl.smwcentral.net/20336/Super%20Mario%20Wornilla.zip</x:v>
      </x:c>
    </x:row>
    <x:row r="2122">
      <x:c r="A2122" t="str">
        <x:v>Super Mario Wornilla - Lost Levels</x:v>
      </x:c>
      <x:c r="B2122" t="str">
        <x:v>Super Mario Wornilla - Lost Levels</x:v>
      </x:c>
      <x:c r="C2122" t="str">
        <x:v>Drakel</x:v>
      </x:c>
      <x:c r="D2122" t="n">
        <x:v>20</x:v>
      </x:c>
      <x:c r="E2122" t="str">
        <x:v>Master</x:v>
      </x:c>
      <x:c r="F2122" t="str">
        <x:v>Kaizo</x:v>
      </x:c>
      <x:c r="G2122" t="n">
        <x:v>43881</x:v>
      </x:c>
      <x:c r="H2122" t="str">
        <x:v>22082</x:v>
      </x:c>
      <x:c r="I2122" t="str">
        <x:v>https://www.smwcentral.net/?a=details&amp;id=22082&amp;p=section</x:v>
      </x:c>
      <x:c r="J2122" t="str">
        <x:v>https://dl.smwcentral.net/22082/Wornilla%20-%20LostLevels.zip</x:v>
      </x:c>
    </x:row>
    <x:row r="2123">
      <x:c r="A2123" t="str">
        <x:v>Super Mario X</x:v>
      </x:c>
      <x:c r="B2123" t="str">
        <x:v>Super Mario X</x:v>
      </x:c>
      <x:c r="C2123" t="str">
        <x:v>zack30</x:v>
      </x:c>
      <x:c r="D2123" t="n">
        <x:v>7</x:v>
      </x:c>
      <x:c r="E2123" t="str">
        <x:v>Newcomer</x:v>
      </x:c>
      <x:c r="F2123" t="str">
        <x:v>Standard</x:v>
      </x:c>
      <x:c r="G2123" t="n">
        <x:v>41772</x:v>
      </x:c>
      <x:c r="H2123" t="str">
        <x:v>6532</x:v>
      </x:c>
      <x:c r="I2123" t="str">
        <x:v>https://www.smwcentral.net/?a=details&amp;id=6532&amp;p=section</x:v>
      </x:c>
      <x:c r="J2123" t="str">
        <x:v>https://dl.smwcentral.net/6532/Super%20Mario%20X.zip</x:v>
      </x:c>
    </x:row>
    <x:row r="2124">
      <x:c r="A2124" t="str">
        <x:v>Super Mario Yggdrasil</x:v>
      </x:c>
      <x:c r="B2124" t="str">
        <x:v>Super Mario Yggdrasil</x:v>
      </x:c>
      <x:c r="C2124" t="str">
        <x:v>Inventalgames</x:v>
      </x:c>
      <x:c r="D2124" t="n">
        <x:v>30</x:v>
      </x:c>
      <x:c r="E2124" t="str">
        <x:v>Casual</x:v>
      </x:c>
      <x:c r="F2124" t="str">
        <x:v>Standard</x:v>
      </x:c>
      <x:c r="G2124" t="n">
        <x:v>46052</x:v>
      </x:c>
      <x:c r="H2124" t="str">
        <x:v>41496</x:v>
      </x:c>
      <x:c r="I2124" t="str">
        <x:v>https://www.smwcentral.net/?a=details&amp;id=41496&amp;p=section</x:v>
      </x:c>
      <x:c r="J2124" t="str">
        <x:v>https://dl.smwcentral.net/41496/Super%20Mario%20Yggdrasil.zip</x:v>
      </x:c>
    </x:row>
    <x:row r="2125">
      <x:c r="A2125" t="str">
        <x:v>Super Mario's Adventure To Waste Time</x:v>
      </x:c>
      <x:c r="B2125" t="str">
        <x:v>Super Mario's Adventure To Waste Time</x:v>
      </x:c>
      <x:c r="C2125" t="str">
        <x:v>lolyoshi</x:v>
      </x:c>
      <x:c r="D2125" t="n">
        <x:v>6</x:v>
      </x:c>
      <x:c r="E2125" t="str">
        <x:v>Advanced</x:v>
      </x:c>
      <x:c r="F2125" t="str">
        <x:v>Kaizo, Tool-Assisted</x:v>
      </x:c>
      <x:c r="G2125" t="n">
        <x:v>41818</x:v>
      </x:c>
      <x:c r="H2125" t="str">
        <x:v>6094</x:v>
      </x:c>
      <x:c r="I2125" t="str">
        <x:v>https://www.smwcentral.net/?a=details&amp;id=6094&amp;p=section</x:v>
      </x:c>
      <x:c r="J2125" t="str">
        <x:v>https://dl.smwcentral.net/6094/SMATWT%20v1.5.zip</x:v>
      </x:c>
    </x:row>
    <x:row r="2126">
      <x:c r="A2126" t="str">
        <x:v>Super Mario's Island Hopping Adventure</x:v>
      </x:c>
      <x:c r="B2126" t="str">
        <x:v>Super Mario's Island Hopping Adventure</x:v>
      </x:c>
      <x:c r="C2126" t="str">
        <x:v>Techokami</x:v>
      </x:c>
      <x:c r="D2126" t="n">
        <x:v>10</x:v>
      </x:c>
      <x:c r="E2126" t="str">
        <x:v>Newcomer</x:v>
      </x:c>
      <x:c r="F2126" t="str">
        <x:v>Standard</x:v>
      </x:c>
      <x:c r="G2126" t="n">
        <x:v>41447</x:v>
      </x:c>
      <x:c r="H2126" t="str">
        <x:v>5023</x:v>
      </x:c>
      <x:c r="I2126" t="str">
        <x:v>https://www.smwcentral.net/?a=details&amp;id=5023&amp;p=section</x:v>
      </x:c>
      <x:c r="J2126" t="str">
        <x:v>https://dl.smwcentral.net/5023/smiha.zip</x:v>
      </x:c>
    </x:row>
    <x:row r="2127">
      <x:c r="A2127" t="str">
        <x:v>Super Mario's Legend Quest!</x:v>
      </x:c>
      <x:c r="B2127" t="str">
        <x:v>Super Mario's Legend Quest!</x:v>
      </x:c>
      <x:c r="C2127" t="str">
        <x:v>mario56</x:v>
      </x:c>
      <x:c r="D2127" t="n">
        <x:v>11</x:v>
      </x:c>
      <x:c r="E2127" t="str">
        <x:v>Newcomer</x:v>
      </x:c>
      <x:c r="F2127" t="str">
        <x:v>Standard</x:v>
      </x:c>
      <x:c r="G2127" t="n">
        <x:v>44025</x:v>
      </x:c>
      <x:c r="H2127" t="str">
        <x:v>23762</x:v>
      </x:c>
      <x:c r="I2127" t="str">
        <x:v>https://www.smwcentral.net/?a=details&amp;id=23762&amp;p=section</x:v>
      </x:c>
      <x:c r="J2127" t="str">
        <x:v>https://dl.smwcentral.net/23762/Super_Marios_Legend_Quest_FIXED.zip</x:v>
      </x:c>
    </x:row>
    <x:row r="2128">
      <x:c r="A2128" t="str">
        <x:v>Super Mario's Legend: Vacations at the Tropics</x:v>
      </x:c>
      <x:c r="B2128" t="str">
        <x:v>Super Mario's Legend: Vacations at the Tropics</x:v>
      </x:c>
      <x:c r="C2128" t="str">
        <x:v>Blind Devil</x:v>
      </x:c>
      <x:c r="D2128" t="n">
        <x:v>9</x:v>
      </x:c>
      <x:c r="E2128" t="str">
        <x:v>Casual</x:v>
      </x:c>
      <x:c r="F2128" t="str">
        <x:v>Standard</x:v>
      </x:c>
      <x:c r="G2128" t="n">
        <x:v>41529</x:v>
      </x:c>
      <x:c r="H2128" t="str">
        <x:v>5444</x:v>
      </x:c>
      <x:c r="I2128" t="str">
        <x:v>https://www.smwcentral.net/?a=details&amp;id=5444&amp;p=section</x:v>
      </x:c>
      <x:c r="J2128" t="str">
        <x:v>https://dl.smwcentral.net/5444/Super%20Mario%27s%20Legend%20%5BD1F%5D.zip</x:v>
      </x:c>
    </x:row>
    <x:row r="2129">
      <x:c r="A2129" t="str">
        <x:v>Super Mario's New Adventure 2: The Villain's Revenge</x:v>
      </x:c>
      <x:c r="B2129" t="str">
        <x:v>Super Mario's New Adventure 2: The Villain's Revenge</x:v>
      </x:c>
      <x:c r="C2129" t="str">
        <x:v>Icon of Sin</x:v>
      </x:c>
      <x:c r="D2129" t="n">
        <x:v>10</x:v>
      </x:c>
      <x:c r="E2129" t="str">
        <x:v>Newcomer</x:v>
      </x:c>
      <x:c r="F2129" t="str">
        <x:v>Standard</x:v>
      </x:c>
      <x:c r="G2129" t="n">
        <x:v>41501</x:v>
      </x:c>
      <x:c r="H2129" t="str">
        <x:v>5183</x:v>
      </x:c>
      <x:c r="I2129" t="str">
        <x:v>https://www.smwcentral.net/?a=details&amp;id=5183&amp;p=section</x:v>
      </x:c>
      <x:c r="J2129" t="str">
        <x:v>https://dl.smwcentral.net/5183/SMA2%20Demo%201%23%20alpha%20version.zip</x:v>
      </x:c>
    </x:row>
    <x:row r="2130">
      <x:c r="A2130" t="str">
        <x:v>Super Mario's New Adventure: The Plumber's Fury</x:v>
      </x:c>
      <x:c r="B2130" t="str">
        <x:v>Super Mario's New Adventure: The Plumber's Fury</x:v>
      </x:c>
      <x:c r="C2130" t="str">
        <x:v>Icon of Sin</x:v>
      </x:c>
      <x:c r="D2130" t="n">
        <x:v>25</x:v>
      </x:c>
      <x:c r="E2130" t="str">
        <x:v>Casual</x:v>
      </x:c>
      <x:c r="F2130" t="str">
        <x:v>Standard</x:v>
      </x:c>
      <x:c r="G2130" t="n">
        <x:v>42224</x:v>
      </x:c>
      <x:c r="H2130" t="str">
        <x:v>9839</x:v>
      </x:c>
      <x:c r="I2130" t="str">
        <x:v>https://www.smwcentral.net/?a=details&amp;id=9839&amp;p=section</x:v>
      </x:c>
      <x:c r="J2130" t="str">
        <x:v>https://dl.smwcentral.net/9839/SMATPF%20Final%20Version.zip</x:v>
      </x:c>
    </x:row>
    <x:row r="2131">
      <x:c r="A2131" t="str">
        <x:v>Super Mario's Wacky Worlds SD</x:v>
      </x:c>
      <x:c r="B2131" t="str">
        <x:v>Super Mario's Wacky Worlds SD</x:v>
      </x:c>
      <x:c r="C2131" t="str">
        <x:v>figuiDOS</x:v>
      </x:c>
      <x:c r="D2131" t="n">
        <x:v>25</x:v>
      </x:c>
      <x:c r="E2131" t="str">
        <x:v>Intermediate</x:v>
      </x:c>
      <x:c r="F2131" t="str">
        <x:v>Standard</x:v>
      </x:c>
      <x:c r="G2131" t="n">
        <x:v>46059</x:v>
      </x:c>
      <x:c r="H2131" t="str">
        <x:v>41432</x:v>
      </x:c>
      <x:c r="I2131" t="str">
        <x:v>https://www.smwcentral.net/?a=details&amp;id=41432&amp;p=section</x:v>
      </x:c>
      <x:c r="J2131" t="str">
        <x:v>https://dl.smwcentral.net/41432/Super%20Mario%27s%20Wacky%20Worlds%20SD.zip</x:v>
      </x:c>
    </x:row>
    <x:row r="2132">
      <x:c r="A2132" t="str">
        <x:v>Super Mario: A Familiar Land</x:v>
      </x:c>
      <x:c r="B2132" t="str">
        <x:v>Super Mario: A Familiar Land</x:v>
      </x:c>
      <x:c r="C2132" t="str">
        <x:v>Kraken Pals v 2.0</x:v>
      </x:c>
      <x:c r="D2132" t="n">
        <x:v>7</x:v>
      </x:c>
      <x:c r="E2132" t="str">
        <x:v>Casual</x:v>
      </x:c>
      <x:c r="F2132" t="str">
        <x:v>Standard</x:v>
      </x:c>
      <x:c r="G2132" t="n">
        <x:v>42464</x:v>
      </x:c>
      <x:c r="H2132" t="str">
        <x:v>13498</x:v>
      </x:c>
      <x:c r="I2132" t="str">
        <x:v>https://www.smwcentral.net/?a=details&amp;id=13498&amp;p=section</x:v>
      </x:c>
      <x:c r="J2132" t="str">
        <x:v>https://dl.smwcentral.net/13498/Super%20Mario%20A%20Familiar%20Land.zip</x:v>
      </x:c>
    </x:row>
    <x:row r="2133">
      <x:c r="A2133" t="str">
        <x:v>Super Mario: A New Beginning</x:v>
      </x:c>
      <x:c r="B2133" t="str">
        <x:v>Super Mario: A New Beginning</x:v>
      </x:c>
      <x:c r="C2133" t="str">
        <x:v>UltiMario</x:v>
      </x:c>
      <x:c r="D2133" t="n">
        <x:v>30</x:v>
      </x:c>
      <x:c r="E2133" t="str">
        <x:v>Intermediate</x:v>
      </x:c>
      <x:c r="F2133" t="str">
        <x:v>Standard</x:v>
      </x:c>
      <x:c r="G2133" t="n">
        <x:v>42236</x:v>
      </x:c>
      <x:c r="H2133" t="str">
        <x:v>9900</x:v>
      </x:c>
      <x:c r="I2133" t="str">
        <x:v>https://www.smwcentral.net/?a=details&amp;id=9900&amp;p=section</x:v>
      </x:c>
      <x:c r="J2133" t="str">
        <x:v>https://dl.smwcentral.net/9900/SM-NB%20Demo%203.zip</x:v>
      </x:c>
    </x:row>
    <x:row r="2134">
      <x:c r="A2134" t="str">
        <x:v>Super Mario: Bowser's Last Stand</x:v>
      </x:c>
      <x:c r="B2134" t="str">
        <x:v>Super Mario: Bowser's Last Stand</x:v>
      </x:c>
      <x:c r="C2134" t="str">
        <x:v>Icon of Sin</x:v>
      </x:c>
      <x:c r="D2134" t="n">
        <x:v>12</x:v>
      </x:c>
      <x:c r="E2134" t="str">
        <x:v>Casual</x:v>
      </x:c>
      <x:c r="F2134" t="str">
        <x:v>Standard</x:v>
      </x:c>
      <x:c r="G2134" t="n">
        <x:v>42219</x:v>
      </x:c>
      <x:c r="H2134" t="str">
        <x:v>9640</x:v>
      </x:c>
      <x:c r="I2134" t="str">
        <x:v>https://www.smwcentral.net/?a=details&amp;id=9640&amp;p=section</x:v>
      </x:c>
      <x:c r="J2134" t="str">
        <x:v>https://dl.smwcentral.net/9640/SMBLS%20V2.0%20%28Final%20Final%20Fix%29.ips.zip</x:v>
      </x:c>
    </x:row>
    <x:row r="2135">
      <x:c r="A2135" t="str">
        <x:v>Super Mario: Bowser's Shinedown</x:v>
      </x:c>
      <x:c r="B2135" t="str">
        <x:v>Super Mario: Bowser's Shinedown</x:v>
      </x:c>
      <x:c r="C2135" t="str">
        <x:v>DragonFire6780</x:v>
      </x:c>
      <x:c r="D2135" t="n">
        <x:v>6</x:v>
      </x:c>
      <x:c r="E2135" t="str">
        <x:v>Newcomer</x:v>
      </x:c>
      <x:c r="F2135" t="str">
        <x:v>Standard</x:v>
      </x:c>
      <x:c r="G2135" t="n">
        <x:v>42277</x:v>
      </x:c>
      <x:c r="H2135" t="str">
        <x:v>10111</x:v>
      </x:c>
      <x:c r="I2135" t="str">
        <x:v>https://www.smwcentral.net/?a=details&amp;id=10111&amp;p=section</x:v>
      </x:c>
      <x:c r="J2135" t="str">
        <x:v>https://dl.smwcentral.net/10111/SM%20-%20BS%20dehmoh.zip</x:v>
      </x:c>
    </x:row>
    <x:row r="2136">
      <x:c r="A2136" t="str">
        <x:v>Super Mario: Buried Treasure</x:v>
      </x:c>
      <x:c r="B2136" t="str">
        <x:v>Super Mario: Buried Treasure</x:v>
      </x:c>
      <x:c r="C2136" t="str">
        <x:v>CaseP</x:v>
      </x:c>
      <x:c r="D2136" t="n">
        <x:v>23</x:v>
      </x:c>
      <x:c r="E2136" t="str">
        <x:v>Casual</x:v>
      </x:c>
      <x:c r="F2136" t="str">
        <x:v>Standard</x:v>
      </x:c>
      <x:c r="G2136" t="n">
        <x:v>41556</x:v>
      </x:c>
      <x:c r="H2136" t="str">
        <x:v>5269</x:v>
      </x:c>
      <x:c r="I2136" t="str">
        <x:v>https://www.smwcentral.net/?a=details&amp;id=5269&amp;p=section</x:v>
      </x:c>
      <x:c r="J2136" t="str">
        <x:v>https://dl.smwcentral.net/5269/Buried%20Treasure.zip</x:v>
      </x:c>
    </x:row>
    <x:row r="2137">
      <x:c r="A2137" t="str">
        <x:v>Super Mario: Christmas Season</x:v>
      </x:c>
      <x:c r="B2137" t="str">
        <x:v>Super Mario: Christmas Season</x:v>
      </x:c>
      <x:c r="C2137" t="str">
        <x:v>Master S</x:v>
      </x:c>
      <x:c r="D2137" t="n">
        <x:v>1</x:v>
      </x:c>
      <x:c r="E2137" t="str">
        <x:v>Newcomer</x:v>
      </x:c>
      <x:c r="F2137" t="str">
        <x:v>Standard</x:v>
      </x:c>
      <x:c r="G2137" t="n">
        <x:v>42093</x:v>
      </x:c>
      <x:c r="H2137" t="str">
        <x:v>9994</x:v>
      </x:c>
      <x:c r="I2137" t="str">
        <x:v>https://www.smwcentral.net/?a=details&amp;id=9994&amp;p=section</x:v>
      </x:c>
      <x:c r="J2137" t="str">
        <x:v>https://dl.smwcentral.net/9994/Super%20Mario-%20Christmas%20Season.zip</x:v>
      </x:c>
    </x:row>
    <x:row r="2138">
      <x:c r="A2138" t="str">
        <x:v>Super Mario: Daisy's Kidnapping</x:v>
      </x:c>
      <x:c r="B2138" t="str">
        <x:v>Super Mario: Daisy's Kidnapping</x:v>
      </x:c>
      <x:c r="C2138" t="str">
        <x:v>Tahixham</x:v>
      </x:c>
      <x:c r="D2138" t="n">
        <x:v>32</x:v>
      </x:c>
      <x:c r="E2138" t="str">
        <x:v>Casual</x:v>
      </x:c>
      <x:c r="F2138" t="str">
        <x:v>Standard</x:v>
      </x:c>
      <x:c r="G2138" t="n">
        <x:v>43654</x:v>
      </x:c>
      <x:c r="H2138" t="str">
        <x:v>20417</x:v>
      </x:c>
      <x:c r="I2138" t="str">
        <x:v>https://www.smwcentral.net/?a=details&amp;id=20417&amp;p=section</x:v>
      </x:c>
      <x:c r="J2138" t="str">
        <x:v>https://dl.smwcentral.net/20417/Super%20Mario%20-%20Daisy%27s%20Kidnapping%20%28C3%20July%202019%20Demo%29.zip</x:v>
      </x:c>
    </x:row>
    <x:row r="2139">
      <x:c r="A2139" t="str">
        <x:v>Super Mario: Grand Journey</x:v>
      </x:c>
      <x:c r="B2139" t="str">
        <x:v>Super Mario: Grand Journey</x:v>
      </x:c>
      <x:c r="C2139" t="str">
        <x:v>RZ1</x:v>
      </x:c>
      <x:c r="D2139" t="n">
        <x:v>15</x:v>
      </x:c>
      <x:c r="E2139" t="str">
        <x:v>Casual</x:v>
      </x:c>
      <x:c r="F2139" t="str">
        <x:v>Standard</x:v>
      </x:c>
      <x:c r="G2139" t="n">
        <x:v>42742</x:v>
      </x:c>
      <x:c r="H2139" t="str">
        <x:v>14920</x:v>
      </x:c>
      <x:c r="I2139" t="str">
        <x:v>https://www.smwcentral.net/?a=details&amp;id=14920&amp;p=section</x:v>
      </x:c>
      <x:c r="J2139" t="str">
        <x:v>https://dl.smwcentral.net/14920/Super%20Mario%20-%20Grand%20Journey%20C3.zip</x:v>
      </x:c>
    </x:row>
    <x:row r="2140">
      <x:c r="A2140" t="str">
        <x:v>Super Mario: Hunter's Revenge 2</x:v>
      </x:c>
      <x:c r="B2140" t="str">
        <x:v>Super Mario: Hunter's Revenge 2</x:v>
      </x:c>
      <x:c r="C2140" t="str">
        <x:v>amhunter</x:v>
      </x:c>
      <x:c r="D2140" t="n">
        <x:v>40</x:v>
      </x:c>
      <x:c r="E2140" t="str">
        <x:v>Casual</x:v>
      </x:c>
      <x:c r="F2140" t="str">
        <x:v>Standard</x:v>
      </x:c>
      <x:c r="G2140" t="n">
        <x:v>42214</x:v>
      </x:c>
      <x:c r="H2140" t="str">
        <x:v>9747</x:v>
      </x:c>
      <x:c r="I2140" t="str">
        <x:v>https://www.smwcentral.net/?a=details&amp;id=9747&amp;p=section</x:v>
      </x:c>
      <x:c r="J2140" t="str">
        <x:v>https://dl.smwcentral.net/9747/DEMO1.zip</x:v>
      </x:c>
    </x:row>
    <x:row r="2141">
      <x:c r="A2141" t="str">
        <x:v>Super Mario: Hunter's Revenge 3</x:v>
      </x:c>
      <x:c r="B2141" t="str">
        <x:v>Super Mario: Hunter's Revenge 3</x:v>
      </x:c>
      <x:c r="C2141" t="str">
        <x:v>amhunter</x:v>
      </x:c>
      <x:c r="D2141" t="n">
        <x:v>58</x:v>
      </x:c>
      <x:c r="E2141" t="str">
        <x:v>Intermediate</x:v>
      </x:c>
      <x:c r="F2141" t="str">
        <x:v>Standard</x:v>
      </x:c>
      <x:c r="G2141" t="n">
        <x:v>42302</x:v>
      </x:c>
      <x:c r="H2141" t="str">
        <x:v>9820</x:v>
      </x:c>
      <x:c r="I2141" t="str">
        <x:v>https://www.smwcentral.net/?a=details&amp;id=9820&amp;p=section</x:v>
      </x:c>
      <x:c r="J2141" t="str">
        <x:v>https://dl.smwcentral.net/9820/HR3%20Legacy%20Hack%20Update.zip</x:v>
      </x:c>
    </x:row>
    <x:row r="2142">
      <x:c r="A2142" t="str">
        <x:v>Super Mario: Mushroom Legacy</x:v>
      </x:c>
      <x:c r="B2142" t="str">
        <x:v>Super Mario: Mushroom Legacy</x:v>
      </x:c>
      <x:c r="C2142" t="str">
        <x:v>blue leader</x:v>
      </x:c>
      <x:c r="D2142" t="n">
        <x:v>4</x:v>
      </x:c>
      <x:c r="E2142" t="str">
        <x:v>Newcomer</x:v>
      </x:c>
      <x:c r="F2142" t="str">
        <x:v>Standard</x:v>
      </x:c>
      <x:c r="G2142" t="n">
        <x:v>42216</x:v>
      </x:c>
      <x:c r="H2142" t="str">
        <x:v>10149</x:v>
      </x:c>
      <x:c r="I2142" t="str">
        <x:v>https://www.smwcentral.net/?a=details&amp;id=10149&amp;p=section</x:v>
      </x:c>
      <x:c r="J2142" t="str">
        <x:v>https://dl.smwcentral.net/10149/Super%20Mario-Mushroom%20Legacy%28Demo%201%29.zip</x:v>
      </x:c>
    </x:row>
    <x:row r="2143">
      <x:c r="A2143" t="str">
        <x:v>Super Mario: Nozom Quest (Level Sampler)</x:v>
      </x:c>
      <x:c r="B2143" t="str">
        <x:v>Super Mario: Nozom Quest (Level Sampler)</x:v>
      </x:c>
      <x:c r="C2143" t="str">
        <x:v>Stivi</x:v>
      </x:c>
      <x:c r="D2143" t="n">
        <x:v>6</x:v>
      </x:c>
      <x:c r="E2143" t="str">
        <x:v>Intermediate</x:v>
      </x:c>
      <x:c r="F2143" t="str">
        <x:v>Standard</x:v>
      </x:c>
      <x:c r="G2143" t="n">
        <x:v>44208</x:v>
      </x:c>
      <x:c r="H2143" t="str">
        <x:v>25657</x:v>
      </x:c>
      <x:c r="I2143" t="str">
        <x:v>https://www.smwcentral.net/?a=details&amp;id=25657&amp;p=section</x:v>
      </x:c>
      <x:c r="J2143" t="str">
        <x:v>https://dl.smwcentral.net/25657/Super%20Mario%20Nozom%20Quest%20%28Level%20Sampler%29.zip</x:v>
      </x:c>
    </x:row>
    <x:row r="2144">
      <x:c r="A2144" t="str">
        <x:v>Super Mario: Oiram's Invasion</x:v>
      </x:c>
      <x:c r="B2144" t="str">
        <x:v>Super Mario: Oiram's Invasion</x:v>
      </x:c>
      <x:c r="C2144" t="str">
        <x:v>Gamma V</x:v>
      </x:c>
      <x:c r="D2144" t="n">
        <x:v>12</x:v>
      </x:c>
      <x:c r="E2144" t="str">
        <x:v>Casual</x:v>
      </x:c>
      <x:c r="F2144" t="str">
        <x:v>Standard</x:v>
      </x:c>
      <x:c r="G2144" t="n">
        <x:v>41682</x:v>
      </x:c>
      <x:c r="H2144" t="str">
        <x:v>6274</x:v>
      </x:c>
      <x:c r="I2144" t="str">
        <x:v>https://www.smwcentral.net/?a=details&amp;id=6274&amp;p=section</x:v>
      </x:c>
      <x:c r="J2144" t="str">
        <x:v>https://dl.smwcentral.net/6274/Oiram%27s%20Invasion.zip</x:v>
      </x:c>
    </x:row>
    <x:row r="2145">
      <x:c r="A2145" t="str">
        <x:v>Super Mario: Other World</x:v>
      </x:c>
      <x:c r="B2145" t="str">
        <x:v>Super Mario: Other World</x:v>
      </x:c>
      <x:c r="C2145" t="str">
        <x:v>Epic_Manky</x:v>
      </x:c>
      <x:c r="D2145" t="n">
        <x:v>31</x:v>
      </x:c>
      <x:c r="E2145" t="str">
        <x:v>Casual</x:v>
      </x:c>
      <x:c r="F2145" t="str">
        <x:v>Standard</x:v>
      </x:c>
      <x:c r="G2145" t="n">
        <x:v>43672</x:v>
      </x:c>
      <x:c r="H2145" t="str">
        <x:v>20487</x:v>
      </x:c>
      <x:c r="I2145" t="str">
        <x:v>https://www.smwcentral.net/?a=details&amp;id=20487&amp;p=section</x:v>
      </x:c>
      <x:c r="J2145" t="str">
        <x:v>https://dl.smwcentral.net/20487/Super%20Mario%20Other%20World%20%28Updated%20C3%20Summer%202019%20Demo%29.zip</x:v>
      </x:c>
    </x:row>
    <x:row r="2146">
      <x:c r="A2146" t="str">
        <x:v>Super Mario: RamzaProject</x:v>
      </x:c>
      <x:c r="B2146" t="str">
        <x:v>Super Mario: RamzaProject</x:v>
      </x:c>
      <x:c r="C2146" t="str">
        <x:v>YamiRamzaNeko</x:v>
      </x:c>
      <x:c r="D2146" t="n">
        <x:v>6</x:v>
      </x:c>
      <x:c r="E2146" t="str">
        <x:v>Casual</x:v>
      </x:c>
      <x:c r="F2146" t="str">
        <x:v>Standard</x:v>
      </x:c>
      <x:c r="G2146" t="n">
        <x:v>42163</x:v>
      </x:c>
      <x:c r="H2146" t="str">
        <x:v>9728</x:v>
      </x:c>
      <x:c r="I2146" t="str">
        <x:v>https://www.smwcentral.net/?a=details&amp;id=9728&amp;p=section</x:v>
      </x:c>
      <x:c r="J2146" t="str">
        <x:v>https://dl.smwcentral.net/9728/demo001.zip</x:v>
      </x:c>
    </x:row>
    <x:row r="2147">
      <x:c r="A2147" t="str">
        <x:v>Super Mario: Star Seeker</x:v>
      </x:c>
      <x:c r="B2147" t="str">
        <x:v>Super Mario: Star Seeker</x:v>
      </x:c>
      <x:c r="C2147" t="str">
        <x:v>K3fka</x:v>
      </x:c>
      <x:c r="D2147" t="n">
        <x:v>5</x:v>
      </x:c>
      <x:c r="E2147" t="str">
        <x:v>Casual</x:v>
      </x:c>
      <x:c r="F2147" t="str">
        <x:v>Standard</x:v>
      </x:c>
      <x:c r="G2147" t="n">
        <x:v>44212</x:v>
      </x:c>
      <x:c r="H2147" t="str">
        <x:v>25678</x:v>
      </x:c>
      <x:c r="I2147" t="str">
        <x:v>https://www.smwcentral.net/?a=details&amp;id=25678&amp;p=section</x:v>
      </x:c>
      <x:c r="J2147" t="str">
        <x:v>https://dl.smwcentral.net/25678/starseeker_c3.zip</x:v>
      </x:c>
    </x:row>
    <x:row r="2148">
      <x:c r="A2148" t="str">
        <x:v>Super Mario: Summer Gone Wrong</x:v>
      </x:c>
      <x:c r="B2148" t="str">
        <x:v>Super Mario: Summer Gone Wrong</x:v>
      </x:c>
      <x:c r="C2148" t="str">
        <x:v>Koelkast</x:v>
      </x:c>
      <x:c r="D2148" t="n">
        <x:v>5</x:v>
      </x:c>
      <x:c r="E2148" t="str">
        <x:v>Newcomer</x:v>
      </x:c>
      <x:c r="F2148" t="str">
        <x:v>Standard</x:v>
      </x:c>
      <x:c r="G2148" t="n">
        <x:v>42081</x:v>
      </x:c>
      <x:c r="H2148" t="str">
        <x:v>9768</x:v>
      </x:c>
      <x:c r="I2148" t="str">
        <x:v>https://www.smwcentral.net/?a=details&amp;id=9768&amp;p=section</x:v>
      </x:c>
      <x:c r="J2148" t="str">
        <x:v>https://dl.smwcentral.net/9768/Summer%20Goes%20Wrong.zip</x:v>
      </x:c>
    </x:row>
    <x:row r="2149">
      <x:c r="A2149" t="str">
        <x:v>Super Mario: The Cookie Crisis</x:v>
      </x:c>
      <x:c r="B2149" t="str">
        <x:v>Super Mario: The Cookie Crisis</x:v>
      </x:c>
      <x:c r="C2149" t="str">
        <x:v>yoshicookiezeus</x:v>
      </x:c>
      <x:c r="D2149" t="n">
        <x:v>46</x:v>
      </x:c>
      <x:c r="E2149" t="str">
        <x:v>Casual</x:v>
      </x:c>
      <x:c r="F2149" t="str">
        <x:v>Standard</x:v>
      </x:c>
      <x:c r="G2149" t="n">
        <x:v>41531</x:v>
      </x:c>
      <x:c r="H2149" t="str">
        <x:v>5187</x:v>
      </x:c>
      <x:c r="I2149" t="str">
        <x:v>https://www.smwcentral.net/?a=details&amp;id=5187&amp;p=section</x:v>
      </x:c>
      <x:c r="J2149" t="str">
        <x:v>https://dl.smwcentral.net/5187/Super%20Mario%20-The%20Cookie%20Crisis%20v0.53.zip</x:v>
      </x:c>
    </x:row>
    <x:row r="2150">
      <x:c r="A2150" t="str">
        <x:v>Super Mario: The Egg Rescue</x:v>
      </x:c>
      <x:c r="B2150" t="str">
        <x:v>Super Mario: The Egg Rescue</x:v>
      </x:c>
      <x:c r="C2150" t="str">
        <x:v>Samuka97</x:v>
      </x:c>
      <x:c r="D2150" t="n">
        <x:v>1</x:v>
      </x:c>
      <x:c r="E2150" t="str">
        <x:v>Casual</x:v>
      </x:c>
      <x:c r="F2150" t="str">
        <x:v>Standard</x:v>
      </x:c>
      <x:c r="G2150" t="n">
        <x:v>42153</x:v>
      </x:c>
      <x:c r="H2150" t="str">
        <x:v>10017</x:v>
      </x:c>
      <x:c r="I2150" t="str">
        <x:v>https://www.smwcentral.net/?a=details&amp;id=10017&amp;p=section</x:v>
      </x:c>
      <x:c r="J2150" t="str">
        <x:v>https://dl.smwcentral.net/10017/Egg_Rescue_V1.2.zip</x:v>
      </x:c>
    </x:row>
    <x:row r="2151">
      <x:c r="A2151" t="str">
        <x:v>Super Mario: The Evil Coalition</x:v>
      </x:c>
      <x:c r="B2151" t="str">
        <x:v>Super Mario: The Evil Coalition</x:v>
      </x:c>
      <x:c r="C2151" t="str">
        <x:v>Icon of Sin</x:v>
      </x:c>
      <x:c r="D2151" t="n">
        <x:v>16</x:v>
      </x:c>
      <x:c r="E2151" t="str">
        <x:v>Newcomer</x:v>
      </x:c>
      <x:c r="F2151" t="str">
        <x:v>Standard</x:v>
      </x:c>
      <x:c r="G2151" t="n">
        <x:v>42211</x:v>
      </x:c>
      <x:c r="H2151" t="str">
        <x:v>9805</x:v>
      </x:c>
      <x:c r="I2151" t="str">
        <x:v>https://www.smwcentral.net/?a=details&amp;id=9805&amp;p=section</x:v>
      </x:c>
      <x:c r="J2151" t="str">
        <x:v>https://dl.smwcentral.net/9805/SMTEC%20Demo%20One%20Final%20Fix.zip</x:v>
      </x:c>
    </x:row>
    <x:row r="2152">
      <x:c r="A2152" t="str">
        <x:v>Super Mario: The Five Castles Challenge</x:v>
      </x:c>
      <x:c r="B2152" t="str">
        <x:v>Super Mario: The Five Castles Challenge</x:v>
      </x:c>
      <x:c r="C2152" t="str">
        <x:v>RicardoDeMelo</x:v>
      </x:c>
      <x:c r="D2152" t="n">
        <x:v>5</x:v>
      </x:c>
      <x:c r="E2152" t="str">
        <x:v>Expert</x:v>
      </x:c>
      <x:c r="F2152" t="str">
        <x:v>Kaizo</x:v>
      </x:c>
      <x:c r="G2152" t="n">
        <x:v>44307</x:v>
      </x:c>
      <x:c r="H2152" t="str">
        <x:v>26778</x:v>
      </x:c>
      <x:c r="I2152" t="str">
        <x:v>https://www.smwcentral.net/?a=details&amp;id=26778&amp;p=section</x:v>
      </x:c>
      <x:c r="J2152" t="str">
        <x:v>https://dl.smwcentral.net/26778/The%20Five%20Castle%27s%20Challenge.zip</x:v>
      </x:c>
    </x:row>
    <x:row r="2153">
      <x:c r="A2153" t="str">
        <x:v>Super Mario: The Friends' Rescue</x:v>
      </x:c>
      <x:c r="B2153" t="str">
        <x:v>Super Mario: The Friends' Rescue</x:v>
      </x:c>
      <x:c r="C2153" t="str">
        <x:v>edgar</x:v>
      </x:c>
      <x:c r="D2153" t="n">
        <x:v>12</x:v>
      </x:c>
      <x:c r="E2153" t="str">
        <x:v>Casual</x:v>
      </x:c>
      <x:c r="F2153" t="str">
        <x:v>Standard</x:v>
      </x:c>
      <x:c r="G2153" t="n">
        <x:v>44090</x:v>
      </x:c>
      <x:c r="H2153" t="str">
        <x:v>24582</x:v>
      </x:c>
      <x:c r="I2153" t="str">
        <x:v>https://www.smwcentral.net/?a=details&amp;id=24582&amp;p=section</x:v>
      </x:c>
      <x:c r="J2153" t="str">
        <x:v>https://dl.smwcentral.net/24582/Super%20Mario%20The%20Friends%27%20Rescue.zip</x:v>
      </x:c>
    </x:row>
    <x:row r="2154">
      <x:c r="A2154" t="str">
        <x:v>Super Mario: The Infection</x:v>
      </x:c>
      <x:c r="B2154" t="str">
        <x:v>Super Mario: The Infection</x:v>
      </x:c>
      <x:c r="C2154" t="str">
        <x:v>Shadow Duplicate D</x:v>
      </x:c>
      <x:c r="D2154" t="n">
        <x:v>8</x:v>
      </x:c>
      <x:c r="E2154" t="str">
        <x:v>Intermediate</x:v>
      </x:c>
      <x:c r="F2154" t="str">
        <x:v>Standard</x:v>
      </x:c>
      <x:c r="G2154" t="n">
        <x:v>42113</x:v>
      </x:c>
      <x:c r="H2154" t="str">
        <x:v>9760</x:v>
      </x:c>
      <x:c r="I2154" t="str">
        <x:v>https://www.smwcentral.net/?a=details&amp;id=9760&amp;p=section</x:v>
      </x:c>
      <x:c r="J2154" t="str">
        <x:v>https://dl.smwcentral.net/9760/SMTI%200.1E.zip</x:v>
      </x:c>
    </x:row>
    <x:row r="2155">
      <x:c r="A2155" t="str">
        <x:v>Super Mario: The Quest for Breakfast</x:v>
      </x:c>
      <x:c r="B2155" t="str">
        <x:v>Super Mario: The Quest for Breakfast</x:v>
      </x:c>
      <x:c r="C2155" t="str">
        <x:v>MrUg123</x:v>
      </x:c>
      <x:c r="D2155" t="n">
        <x:v>19</x:v>
      </x:c>
      <x:c r="E2155" t="str">
        <x:v>Casual</x:v>
      </x:c>
      <x:c r="F2155" t="str">
        <x:v>Standard</x:v>
      </x:c>
      <x:c r="G2155" t="n">
        <x:v>46218</x:v>
      </x:c>
      <x:c r="H2155" t="str">
        <x:v>42645</x:v>
      </x:c>
      <x:c r="I2155" t="str">
        <x:v>https://www.smwcentral.net/?a=details&amp;id=42645&amp;p=section</x:v>
      </x:c>
      <x:c r="J2155" t="str">
        <x:v>https://dl.smwcentral.net/42645/SMTQFB_v1.3.zip</x:v>
      </x:c>
    </x:row>
    <x:row r="2156">
      <x:c r="A2156" t="str">
        <x:v>Super Mario: Toadworth's Disappearance</x:v>
      </x:c>
      <x:c r="B2156" t="str">
        <x:v>Super Mario: Toadworth's Disappearance</x:v>
      </x:c>
      <x:c r="C2156" t="str">
        <x:v>TheDutchLuigi</x:v>
      </x:c>
      <x:c r="D2156" t="n">
        <x:v>35</x:v>
      </x:c>
      <x:c r="E2156" t="str">
        <x:v>Newcomer</x:v>
      </x:c>
      <x:c r="F2156" t="str">
        <x:v>Standard</x:v>
      </x:c>
      <x:c r="G2156" t="n">
        <x:v>42219</x:v>
      </x:c>
      <x:c r="H2156" t="str">
        <x:v>9797</x:v>
      </x:c>
      <x:c r="I2156" t="str">
        <x:v>https://www.smwcentral.net/?a=details&amp;id=9797&amp;p=section</x:v>
      </x:c>
      <x:c r="J2156" t="str">
        <x:v>https://dl.smwcentral.net/9797/Toadworth%27s%20Disappearance%20V.1.2.zip</x:v>
      </x:c>
    </x:row>
    <x:row r="2157">
      <x:c r="A2157" t="str">
        <x:v>Super Mario: Ucronia</x:v>
      </x:c>
      <x:c r="B2157" t="str">
        <x:v>Super Mario: Ucronia</x:v>
      </x:c>
      <x:c r="C2157" t="str">
        <x:v>Saturn the Donkey</x:v>
      </x:c>
      <x:c r="D2157" t="n">
        <x:v>5</x:v>
      </x:c>
      <x:c r="E2157" t="str">
        <x:v>Newcomer</x:v>
      </x:c>
      <x:c r="F2157" t="str">
        <x:v>Standard</x:v>
      </x:c>
      <x:c r="G2157" t="n">
        <x:v>42252</x:v>
      </x:c>
      <x:c r="H2157" t="str">
        <x:v>9954</x:v>
      </x:c>
      <x:c r="I2157" t="str">
        <x:v>https://www.smwcentral.net/?a=details&amp;id=9954&amp;p=section</x:v>
      </x:c>
      <x:c r="J2157" t="str">
        <x:v>https://dl.smwcentral.net/9954/Uchronia.zip</x:v>
      </x:c>
    </x:row>
    <x:row r="2158">
      <x:c r="A2158" t="str">
        <x:v>Super Mario: Universos Paralelos</x:v>
      </x:c>
      <x:c r="B2158" t="str">
        <x:v>Super Mario: Universos Paralelos</x:v>
      </x:c>
      <x:c r="C2158" t="str">
        <x:v>carlos-182</x:v>
      </x:c>
      <x:c r="D2158" t="n">
        <x:v>14</x:v>
      </x:c>
      <x:c r="E2158" t="str">
        <x:v>Casual</x:v>
      </x:c>
      <x:c r="F2158" t="str">
        <x:v>Standard</x:v>
      </x:c>
      <x:c r="G2158" t="n">
        <x:v>42207</x:v>
      </x:c>
      <x:c r="H2158" t="str">
        <x:v>9756</x:v>
      </x:c>
      <x:c r="I2158" t="str">
        <x:v>https://www.smwcentral.net/?a=details&amp;id=9756&amp;p=section</x:v>
      </x:c>
      <x:c r="J2158" t="str">
        <x:v>https://dl.smwcentral.net/9756/SMUPDemo.zip</x:v>
      </x:c>
    </x:row>
    <x:row r="2159">
      <x:c r="A2159" t="str">
        <x:v>Super Marisa Adventure World</x:v>
      </x:c>
      <x:c r="B2159" t="str">
        <x:v>Super Marisa Adventure World</x:v>
      </x:c>
      <x:c r="C2159" t="str">
        <x:v>Shiki_Makiro</x:v>
      </x:c>
      <x:c r="D2159" t="n">
        <x:v>101</x:v>
      </x:c>
      <x:c r="E2159" t="str">
        <x:v>Master</x:v>
      </x:c>
      <x:c r="F2159" t="str">
        <x:v>Standard, Kaizo</x:v>
      </x:c>
      <x:c r="G2159" t="n">
        <x:v>44934</x:v>
      </x:c>
      <x:c r="H2159" t="str">
        <x:v>31968</x:v>
      </x:c>
      <x:c r="I2159" t="str">
        <x:v>https://www.smwcentral.net/?a=details&amp;id=31968&amp;p=section</x:v>
      </x:c>
      <x:c r="J2159" t="str">
        <x:v>https://dl.smwcentral.net/31968/SMAW%20non%20SA-1%20v1.10a%20For%20SMWC%201%20Player.zip</x:v>
      </x:c>
    </x:row>
    <x:row r="2160">
      <x:c r="A2160" t="str">
        <x:v>Super Marisa Adventure World 2 - Mari Mari Back Forward Around</x:v>
      </x:c>
      <x:c r="B2160" t="str">
        <x:v>Super Marisa Adventure World 2 - Mari Mari Back Forward Around</x:v>
      </x:c>
      <x:c r="C2160" t="str">
        <x:v>Shiki_Makiro</x:v>
      </x:c>
      <x:c r="D2160" t="n">
        <x:v>96</x:v>
      </x:c>
      <x:c r="E2160" t="str">
        <x:v>Master</x:v>
      </x:c>
      <x:c r="F2160" t="str">
        <x:v>Standard, Kaizo</x:v>
      </x:c>
      <x:c r="G2160" t="n">
        <x:v>45627</x:v>
      </x:c>
      <x:c r="H2160" t="str">
        <x:v>38329</x:v>
      </x:c>
      <x:c r="I2160" t="str">
        <x:v>https://www.smwcentral.net/?a=details&amp;id=38329&amp;p=section</x:v>
      </x:c>
      <x:c r="J2160" t="str">
        <x:v>https://dl.smwcentral.net/38329/SMAW2%20-%20Mari%20Mari%20Back%20Forward%20Around%20%28ver.%201.04d%29.zip</x:v>
      </x:c>
    </x:row>
    <x:row r="2161">
      <x:c r="A2161" t="str">
        <x:v>Super Mawaru World</x:v>
      </x:c>
      <x:c r="B2161" t="str">
        <x:v>Super Mawaru World</x:v>
      </x:c>
      <x:c r="C2161" t="str">
        <x:v>FerpyMcFrosting</x:v>
      </x:c>
      <x:c r="D2161" t="n">
        <x:v>15</x:v>
      </x:c>
      <x:c r="E2161" t="str">
        <x:v>Master</x:v>
      </x:c>
      <x:c r="F2161" t="str">
        <x:v>Kaizo</x:v>
      </x:c>
      <x:c r="G2161" t="n">
        <x:v>45559</x:v>
      </x:c>
      <x:c r="H2161" t="str">
        <x:v>38515</x:v>
      </x:c>
      <x:c r="I2161" t="str">
        <x:v>https://www.smwcentral.net/?a=details&amp;id=38515&amp;p=section</x:v>
      </x:c>
      <x:c r="J2161" t="str">
        <x:v>https://dl.smwcentral.net/38515/SuperMawaruWorld.zip</x:v>
      </x:c>
    </x:row>
    <x:row r="2162">
      <x:c r="A2162" t="str">
        <x:v>Super Melas World</x:v>
      </x:c>
      <x:c r="B2162" t="str">
        <x:v>Super Melas World</x:v>
      </x:c>
      <x:c r="C2162" t="str">
        <x:v>SmoothySmooth</x:v>
      </x:c>
      <x:c r="D2162" t="n">
        <x:v>11</x:v>
      </x:c>
      <x:c r="E2162" t="str">
        <x:v>Advanced</x:v>
      </x:c>
      <x:c r="F2162" t="str">
        <x:v>Kaizo</x:v>
      </x:c>
      <x:c r="G2162" t="n">
        <x:v>44033</x:v>
      </x:c>
      <x:c r="H2162" t="str">
        <x:v>23467</x:v>
      </x:c>
      <x:c r="I2162" t="str">
        <x:v>https://www.smwcentral.net/?a=details&amp;id=23467&amp;p=section</x:v>
      </x:c>
      <x:c r="J2162" t="str">
        <x:v>https://dl.smwcentral.net/23467/Super%20Melas%20World%20v2.4.zip</x:v>
      </x:c>
    </x:row>
    <x:row r="2163">
      <x:c r="A2163" t="str">
        <x:v>Super Mez World</x:v>
      </x:c>
      <x:c r="B2163" t="str">
        <x:v>Super Mez World</x:v>
      </x:c>
      <x:c r="C2163" t="str">
        <x:v>ImCos</x:v>
      </x:c>
      <x:c r="D2163" t="n">
        <x:v>20</x:v>
      </x:c>
      <x:c r="E2163" t="str">
        <x:v>Advanced</x:v>
      </x:c>
      <x:c r="F2163" t="str">
        <x:v>Kaizo</x:v>
      </x:c>
      <x:c r="G2163" t="n">
        <x:v>44108</x:v>
      </x:c>
      <x:c r="H2163" t="str">
        <x:v>24654</x:v>
      </x:c>
      <x:c r="I2163" t="str">
        <x:v>https://www.smwcentral.net/?a=details&amp;id=24654&amp;p=section</x:v>
      </x:c>
      <x:c r="J2163" t="str">
        <x:v>https://dl.smwcentral.net/24654/Super%20Mez%20World.zip</x:v>
      </x:c>
    </x:row>
    <x:row r="2164">
      <x:c r="A2164" t="str">
        <x:v>Super Mio World</x:v>
      </x:c>
      <x:c r="B2164" t="str">
        <x:v>Super Mio World</x:v>
      </x:c>
      <x:c r="C2164" t="str">
        <x:v>mio</x:v>
      </x:c>
      <x:c r="D2164" t="n">
        <x:v>13</x:v>
      </x:c>
      <x:c r="E2164" t="str">
        <x:v>Expert</x:v>
      </x:c>
      <x:c r="F2164" t="str">
        <x:v>Kaizo</x:v>
      </x:c>
      <x:c r="G2164" t="n">
        <x:v>44168</x:v>
      </x:c>
      <x:c r="H2164" t="str">
        <x:v>25332</x:v>
      </x:c>
      <x:c r="I2164" t="str">
        <x:v>https://www.smwcentral.net/?a=details&amp;id=25332&amp;p=section</x:v>
      </x:c>
      <x:c r="J2164" t="str">
        <x:v>https://dl.smwcentral.net/25332/super_mio_world.zip</x:v>
      </x:c>
    </x:row>
    <x:row r="2165">
      <x:c r="A2165" t="str">
        <x:v>Super Mirror Dimension</x:v>
      </x:c>
      <x:c r="B2165" t="str">
        <x:v>Super Mirror Dimension</x:v>
      </x:c>
      <x:c r="C2165" t="str">
        <x:v>AIM-pine</x:v>
      </x:c>
      <x:c r="D2165" t="n">
        <x:v>17</x:v>
      </x:c>
      <x:c r="E2165" t="str">
        <x:v>Expert</x:v>
      </x:c>
      <x:c r="F2165" t="str">
        <x:v>Kaizo</x:v>
      </x:c>
      <x:c r="G2165" t="n">
        <x:v>45854</x:v>
      </x:c>
      <x:c r="H2165" t="str">
        <x:v>40080</x:v>
      </x:c>
      <x:c r="I2165" t="str">
        <x:v>https://www.smwcentral.net/?a=details&amp;id=40080&amp;p=section</x:v>
      </x:c>
      <x:c r="J2165" t="str">
        <x:v>https://dl.smwcentral.net/40080/Super%20Mirror%20Dimension%201.2.zip</x:v>
      </x:c>
    </x:row>
    <x:row r="2166">
      <x:c r="A2166" t="str">
        <x:v>Super Mish World</x:v>
      </x:c>
      <x:c r="B2166" t="str">
        <x:v>Super Mish World</x:v>
      </x:c>
      <x:c r="C2166" t="str">
        <x:v>mish1</x:v>
      </x:c>
      <x:c r="D2166" t="n">
        <x:v>6</x:v>
      </x:c>
      <x:c r="E2166" t="str">
        <x:v>Advanced</x:v>
      </x:c>
      <x:c r="F2166" t="str">
        <x:v>Standard</x:v>
      </x:c>
      <x:c r="G2166" t="n">
        <x:v>44203</x:v>
      </x:c>
      <x:c r="H2166" t="str">
        <x:v>25596</x:v>
      </x:c>
      <x:c r="I2166" t="str">
        <x:v>https://www.smwcentral.net/?a=details&amp;id=25596&amp;p=section</x:v>
      </x:c>
      <x:c r="J2166" t="str">
        <x:v>https://dl.smwcentral.net/25596/MishDemo.zip</x:v>
      </x:c>
    </x:row>
    <x:row r="2167">
      <x:c r="A2167" t="str">
        <x:v>Super Mona World</x:v>
      </x:c>
      <x:c r="B2167" t="str">
        <x:v>Super Mona World</x:v>
      </x:c>
      <x:c r="C2167" t="str">
        <x:v>Wolfguy423</x:v>
      </x:c>
      <x:c r="D2167" t="n">
        <x:v>4</x:v>
      </x:c>
      <x:c r="E2167" t="str">
        <x:v>Intermediate</x:v>
      </x:c>
      <x:c r="F2167" t="str">
        <x:v>Kaizo</x:v>
      </x:c>
      <x:c r="G2167" t="n">
        <x:v>44358</x:v>
      </x:c>
      <x:c r="H2167" t="str">
        <x:v>27220</x:v>
      </x:c>
      <x:c r="I2167" t="str">
        <x:v>https://www.smwcentral.net/?a=details&amp;id=27220&amp;p=section</x:v>
      </x:c>
      <x:c r="J2167" t="str">
        <x:v>https://dl.smwcentral.net/27220/Super%20Mona%20World%201.5.zip</x:v>
      </x:c>
    </x:row>
    <x:row r="2168">
      <x:c r="A2168" t="str">
        <x:v>Super Monty World</x:v>
      </x:c>
      <x:c r="B2168" t="str">
        <x:v>Super Monty World</x:v>
      </x:c>
      <x:c r="C2168" t="str">
        <x:v>00frank</x:v>
      </x:c>
      <x:c r="D2168" t="n">
        <x:v>31</x:v>
      </x:c>
      <x:c r="E2168" t="str">
        <x:v>Expert</x:v>
      </x:c>
      <x:c r="F2168" t="str">
        <x:v>Kaizo</x:v>
      </x:c>
      <x:c r="G2168" t="n">
        <x:v>45362</x:v>
      </x:c>
      <x:c r="H2168" t="str">
        <x:v>36887</x:v>
      </x:c>
      <x:c r="I2168" t="str">
        <x:v>https://www.smwcentral.net/?a=details&amp;id=36887&amp;p=section</x:v>
      </x:c>
      <x:c r="J2168" t="str">
        <x:v>https://dl.smwcentral.net/36887/Super%20Monty%20World%20v1.2.zip</x:v>
      </x:c>
    </x:row>
    <x:row r="2169">
      <x:c r="A2169" t="str">
        <x:v>Super Moo World</x:v>
      </x:c>
      <x:c r="B2169" t="str">
        <x:v>Super Moo World</x:v>
      </x:c>
      <x:c r="C2169" t="str">
        <x:v>Jenboo</x:v>
      </x:c>
      <x:c r="D2169" t="n">
        <x:v>16</x:v>
      </x:c>
      <x:c r="E2169" t="str">
        <x:v>Intermediate</x:v>
      </x:c>
      <x:c r="F2169" t="str">
        <x:v>Kaizo</x:v>
      </x:c>
      <x:c r="G2169" t="n">
        <x:v>43977</x:v>
      </x:c>
      <x:c r="H2169" t="str">
        <x:v>23075</x:v>
      </x:c>
      <x:c r="I2169" t="str">
        <x:v>https://www.smwcentral.net/?a=details&amp;id=23075&amp;p=section</x:v>
      </x:c>
      <x:c r="J2169" t="str">
        <x:v>https://dl.smwcentral.net/23075/SuperMooWorld.zip</x:v>
      </x:c>
    </x:row>
    <x:row r="2170">
      <x:c r="A2170" t="str">
        <x:v>Super Muncher Slopes</x:v>
      </x:c>
      <x:c r="B2170" t="str">
        <x:v>Super Muncher Slopes</x:v>
      </x:c>
      <x:c r="C2170" t="str">
        <x:v>tOaO</x:v>
      </x:c>
      <x:c r="D2170" t="n">
        <x:v>12</x:v>
      </x:c>
      <x:c r="E2170" t="str">
        <x:v>Master</x:v>
      </x:c>
      <x:c r="F2170" t="str">
        <x:v>Kaizo</x:v>
      </x:c>
      <x:c r="G2170" t="n">
        <x:v>45396</x:v>
      </x:c>
      <x:c r="H2170" t="str">
        <x:v>37625</x:v>
      </x:c>
      <x:c r="I2170" t="str">
        <x:v>https://www.smwcentral.net/?a=details&amp;id=37625&amp;p=section</x:v>
      </x:c>
      <x:c r="J2170" t="str">
        <x:v>https://dl.smwcentral.net/37625/super-muncher-slopes.zip</x:v>
      </x:c>
    </x:row>
    <x:row r="2171">
      <x:c r="A2171" t="str">
        <x:v>Super Mushroom Planet</x:v>
      </x:c>
      <x:c r="B2171" t="str">
        <x:v>Super Mushroom Planet</x:v>
      </x:c>
      <x:c r="C2171" t="str">
        <x:v>wrathofblade</x:v>
      </x:c>
      <x:c r="D2171" t="n">
        <x:v>11</x:v>
      </x:c>
      <x:c r="E2171" t="str">
        <x:v>Newcomer</x:v>
      </x:c>
      <x:c r="F2171" t="str">
        <x:v>Standard</x:v>
      </x:c>
      <x:c r="G2171" t="n">
        <x:v>42242</x:v>
      </x:c>
      <x:c r="H2171" t="str">
        <x:v>9905</x:v>
      </x:c>
      <x:c r="I2171" t="str">
        <x:v>https://www.smwcentral.net/?a=details&amp;id=9905&amp;p=section</x:v>
      </x:c>
      <x:c r="J2171" t="str">
        <x:v>https://dl.smwcentral.net/9905/SuperMushPlanet_demo1.zip</x:v>
      </x:c>
    </x:row>
    <x:row r="2172">
      <x:c r="A2172" t="str">
        <x:v>Super N3TS Kaizo World 1</x:v>
      </x:c>
      <x:c r="B2172" t="str">
        <x:v>Super N3TS Kaizo World 1</x:v>
      </x:c>
      <x:c r="C2172" t="str">
        <x:v>nets</x:v>
      </x:c>
      <x:c r="D2172" t="n">
        <x:v>6</x:v>
      </x:c>
      <x:c r="E2172" t="str">
        <x:v>Advanced</x:v>
      </x:c>
      <x:c r="F2172" t="str">
        <x:v>Kaizo</x:v>
      </x:c>
      <x:c r="G2172" t="n">
        <x:v>46010</x:v>
      </x:c>
      <x:c r="H2172" t="str">
        <x:v>41290</x:v>
      </x:c>
      <x:c r="I2172" t="str">
        <x:v>https://www.smwcentral.net/?a=details&amp;id=41290&amp;p=section</x:v>
      </x:c>
      <x:c r="J2172" t="str">
        <x:v>https://dl.smwcentral.net/41290/NETS%20WORLD%201%20%28%20REMAKE%20%29.zip</x:v>
      </x:c>
    </x:row>
    <x:row r="2173">
      <x:c r="A2173" t="str">
        <x:v>Super N3TS Kaizo World 2</x:v>
      </x:c>
      <x:c r="B2173" t="str">
        <x:v>Super N3TS Kaizo World 2</x:v>
      </x:c>
      <x:c r="C2173" t="str">
        <x:v>nets</x:v>
      </x:c>
      <x:c r="D2173" t="n">
        <x:v>22</x:v>
      </x:c>
      <x:c r="E2173" t="str">
        <x:v>Expert</x:v>
      </x:c>
      <x:c r="F2173" t="str">
        <x:v>Kaizo</x:v>
      </x:c>
      <x:c r="G2173" t="n">
        <x:v>45951</x:v>
      </x:c>
      <x:c r="H2173" t="str">
        <x:v>40837</x:v>
      </x:c>
      <x:c r="I2173" t="str">
        <x:v>https://www.smwcentral.net/?a=details&amp;id=40837&amp;p=section</x:v>
      </x:c>
      <x:c r="J2173" t="str">
        <x:v>https://dl.smwcentral.net/40837/SUPER%20NETS%20KAIZO%20WORLD%202.zip</x:v>
      </x:c>
    </x:row>
    <x:row r="2174">
      <x:c r="A2174" t="str">
        <x:v>Super N3TS Kaizo World 3 ( Revenge Of The Lost Shells )</x:v>
      </x:c>
      <x:c r="B2174" t="str">
        <x:v>Super N3TS Kaizo World 3 ( Revenge Of The Lost Shells )</x:v>
      </x:c>
      <x:c r="C2174" t="str">
        <x:v>nets</x:v>
      </x:c>
      <x:c r="D2174" t="n">
        <x:v>30</x:v>
      </x:c>
      <x:c r="E2174" t="str">
        <x:v>Master</x:v>
      </x:c>
      <x:c r="F2174" t="str">
        <x:v>Kaizo</x:v>
      </x:c>
      <x:c r="G2174" t="n">
        <x:v>46000</x:v>
      </x:c>
      <x:c r="H2174" t="str">
        <x:v>41228</x:v>
      </x:c>
      <x:c r="I2174" t="str">
        <x:v>https://www.smwcentral.net/?a=details&amp;id=41228&amp;p=section</x:v>
      </x:c>
      <x:c r="J2174" t="str">
        <x:v>https://dl.smwcentral.net/41228/NETS%203.zip</x:v>
      </x:c>
    </x:row>
    <x:row r="2175">
      <x:c r="A2175" t="str">
        <x:v>Super N450 World</x:v>
      </x:c>
      <x:c r="B2175" t="str">
        <x:v>Super N450 World</x:v>
      </x:c>
      <x:c r="C2175" t="str">
        <x:v>N450</x:v>
      </x:c>
      <x:c r="D2175" t="n">
        <x:v>10</x:v>
      </x:c>
      <x:c r="E2175" t="str">
        <x:v>Casual</x:v>
      </x:c>
      <x:c r="F2175" t="str">
        <x:v>Standard</x:v>
      </x:c>
      <x:c r="G2175" t="n">
        <x:v>44205</x:v>
      </x:c>
      <x:c r="H2175" t="str">
        <x:v>25559</x:v>
      </x:c>
      <x:c r="I2175" t="str">
        <x:v>https://www.smwcentral.net/?a=details&amp;id=25559&amp;p=section</x:v>
      </x:c>
      <x:c r="J2175" t="str">
        <x:v>https://dl.smwcentral.net/25559/Super%20N450%20World%20Demo%201.1.zip</x:v>
      </x:c>
    </x:row>
    <x:row r="2176">
      <x:c r="A2176" t="str">
        <x:v>Super Nambona World</x:v>
      </x:c>
      <x:c r="B2176" t="str">
        <x:v>Super Nambona World</x:v>
      </x:c>
      <x:c r="C2176" t="str">
        <x:v>nambona890</x:v>
      </x:c>
      <x:c r="D2176" t="n">
        <x:v>1</x:v>
      </x:c>
      <x:c r="E2176" t="str">
        <x:v>Expert</x:v>
      </x:c>
      <x:c r="F2176" t="str">
        <x:v>Kaizo, Tool-Assisted</x:v>
      </x:c>
      <x:c r="G2176" t="n">
        <x:v>42599</x:v>
      </x:c>
      <x:c r="H2176" t="str">
        <x:v>14096</x:v>
      </x:c>
      <x:c r="I2176" t="str">
        <x:v>https://www.smwcentral.net/?a=details&amp;id=14096&amp;p=section</x:v>
      </x:c>
      <x:c r="J2176" t="str">
        <x:v>https://dl.smwcentral.net/14096/Super%20Nambona%20World%201%20Level%20Demo.zip</x:v>
      </x:c>
    </x:row>
    <x:row r="2177">
      <x:c r="A2177" t="str">
        <x:v>Super Nana World</x:v>
      </x:c>
      <x:c r="B2177" t="str">
        <x:v>Super Nana World</x:v>
      </x:c>
      <x:c r="C2177" t="str">
        <x:v>Firstnamebutt</x:v>
      </x:c>
      <x:c r="D2177" t="n">
        <x:v>14</x:v>
      </x:c>
      <x:c r="E2177" t="str">
        <x:v>Expert</x:v>
      </x:c>
      <x:c r="F2177" t="str">
        <x:v>Kaizo</x:v>
      </x:c>
      <x:c r="G2177" t="n">
        <x:v>45762</x:v>
      </x:c>
      <x:c r="H2177" t="str">
        <x:v>39725</x:v>
      </x:c>
      <x:c r="I2177" t="str">
        <x:v>https://www.smwcentral.net/?a=details&amp;id=39725&amp;p=section</x:v>
      </x:c>
      <x:c r="J2177" t="str">
        <x:v>https://dl.smwcentral.net/39725/SuperNanaWorld.zip</x:v>
      </x:c>
    </x:row>
    <x:row r="2178">
      <x:c r="A2178" t="str">
        <x:v>Super Nantucket World</x:v>
      </x:c>
      <x:c r="B2178" t="str">
        <x:v>Super Nantucket World</x:v>
      </x:c>
      <x:c r="C2178" t="str">
        <x:v>fome82</x:v>
      </x:c>
      <x:c r="D2178" t="n">
        <x:v>8</x:v>
      </x:c>
      <x:c r="E2178" t="str">
        <x:v>Intermediate</x:v>
      </x:c>
      <x:c r="F2178" t="str">
        <x:v>Kaizo</x:v>
      </x:c>
      <x:c r="G2178" t="n">
        <x:v>44748</x:v>
      </x:c>
      <x:c r="H2178" t="str">
        <x:v>29058</x:v>
      </x:c>
      <x:c r="I2178" t="str">
        <x:v>https://www.smwcentral.net/?a=details&amp;id=29058&amp;p=section</x:v>
      </x:c>
      <x:c r="J2178" t="str">
        <x:v>https://dl.smwcentral.net/29058/SuperNantucketWorld_011.zip</x:v>
      </x:c>
    </x:row>
    <x:row r="2179">
      <x:c r="A2179" t="str">
        <x:v>Super Napu World</x:v>
      </x:c>
      <x:c r="B2179" t="str">
        <x:v>Super Napu World</x:v>
      </x:c>
      <x:c r="C2179" t="str">
        <x:v>MrNapkino</x:v>
      </x:c>
      <x:c r="D2179" t="n">
        <x:v>22</x:v>
      </x:c>
      <x:c r="E2179" t="str">
        <x:v>Advanced</x:v>
      </x:c>
      <x:c r="F2179" t="str">
        <x:v>Kaizo</x:v>
      </x:c>
      <x:c r="G2179" t="n">
        <x:v>45752</x:v>
      </x:c>
      <x:c r="H2179" t="str">
        <x:v>39689</x:v>
      </x:c>
      <x:c r="I2179" t="str">
        <x:v>https://www.smwcentral.net/?a=details&amp;id=39689&amp;p=section</x:v>
      </x:c>
      <x:c r="J2179" t="str">
        <x:v>https://dl.smwcentral.net/39689/NapuWorldV1.1.zip</x:v>
      </x:c>
    </x:row>
    <x:row r="2180">
      <x:c r="A2180" t="str">
        <x:v>Super Nario World</x:v>
      </x:c>
      <x:c r="B2180" t="str">
        <x:v>Super Nario World</x:v>
      </x:c>
      <x:c r="C2180" t="str">
        <x:v>Nario31415</x:v>
      </x:c>
      <x:c r="D2180" t="n">
        <x:v>10</x:v>
      </x:c>
      <x:c r="E2180" t="str">
        <x:v>Intermediate</x:v>
      </x:c>
      <x:c r="F2180" t="str">
        <x:v>Standard</x:v>
      </x:c>
      <x:c r="G2180" t="n">
        <x:v>45532</x:v>
      </x:c>
      <x:c r="H2180" t="str">
        <x:v>38086</x:v>
      </x:c>
      <x:c r="I2180" t="str">
        <x:v>https://www.smwcentral.net/?a=details&amp;id=38086&amp;p=section</x:v>
      </x:c>
      <x:c r="J2180" t="str">
        <x:v>https://dl.smwcentral.net/38086/Super%20Nario%20World%28v1.1%29.zip</x:v>
      </x:c>
    </x:row>
    <x:row r="2181">
      <x:c r="A2181" t="str">
        <x:v>Super NemMeViu World</x:v>
      </x:c>
      <x:c r="B2181" t="str">
        <x:v>Super NemMeViu World</x:v>
      </x:c>
      <x:c r="C2181" t="str">
        <x:v>P1JDS, TheMURAmatsu</x:v>
      </x:c>
      <x:c r="D2181" t="n">
        <x:v>23</x:v>
      </x:c>
      <x:c r="E2181" t="str">
        <x:v>Intermediate</x:v>
      </x:c>
      <x:c r="F2181" t="str">
        <x:v>Standard</x:v>
      </x:c>
      <x:c r="G2181" t="n">
        <x:v>44545</x:v>
      </x:c>
      <x:c r="H2181" t="str">
        <x:v>28977</x:v>
      </x:c>
      <x:c r="I2181" t="str">
        <x:v>https://www.smwcentral.net/?a=details&amp;id=28977&amp;p=section</x:v>
      </x:c>
      <x:c r="J2181" t="str">
        <x:v>https://dl.smwcentral.net/28977/Super%20NemMeViu%20World%201.1.zip</x:v>
      </x:c>
    </x:row>
    <x:row r="2182">
      <x:c r="A2182" t="str">
        <x:v>Super NemMeViu World 2</x:v>
      </x:c>
      <x:c r="B2182" t="str">
        <x:v>Super NemMeViu World 2</x:v>
      </x:c>
      <x:c r="C2182" t="str">
        <x:v>P1JDS, TheMURAmatsu</x:v>
      </x:c>
      <x:c r="D2182" t="n">
        <x:v>21</x:v>
      </x:c>
      <x:c r="E2182" t="str">
        <x:v>Intermediate</x:v>
      </x:c>
      <x:c r="F2182" t="str">
        <x:v>Standard, Kaizo</x:v>
      </x:c>
      <x:c r="G2182" t="n">
        <x:v>44739</x:v>
      </x:c>
      <x:c r="H2182" t="str">
        <x:v>31128</x:v>
      </x:c>
      <x:c r="I2182" t="str">
        <x:v>https://www.smwcentral.net/?a=details&amp;id=31128&amp;p=section</x:v>
      </x:c>
      <x:c r="J2182" t="str">
        <x:v>https://dl.smwcentral.net/31128/_Super%20NemMeViu%20World%202%20%28V.1.2%29.zip</x:v>
      </x:c>
    </x:row>
    <x:row r="2183">
      <x:c r="A2183" t="str">
        <x:v>Super Nessy World</x:v>
      </x:c>
      <x:c r="B2183" t="str">
        <x:v>Super Nessy World</x:v>
      </x:c>
      <x:c r="C2183" t="str">
        <x:v>paper ness</x:v>
      </x:c>
      <x:c r="D2183" t="n">
        <x:v>4</x:v>
      </x:c>
      <x:c r="E2183" t="str">
        <x:v>Master</x:v>
      </x:c>
      <x:c r="F2183" t="str">
        <x:v>Kaizo</x:v>
      </x:c>
      <x:c r="G2183" t="n">
        <x:v>44768</x:v>
      </x:c>
      <x:c r="H2183" t="str">
        <x:v>31577</x:v>
      </x:c>
      <x:c r="I2183" t="str">
        <x:v>https://www.smwcentral.net/?a=details&amp;id=31577&amp;p=section</x:v>
      </x:c>
      <x:c r="J2183" t="str">
        <x:v>https://dl.smwcentral.net/31577/Super%20Nessy%20World.zip</x:v>
      </x:c>
    </x:row>
    <x:row r="2184">
      <x:c r="A2184" t="str">
        <x:v>Super Nessy World 2</x:v>
      </x:c>
      <x:c r="B2184" t="str">
        <x:v>Super Nessy World 2</x:v>
      </x:c>
      <x:c r="C2184" t="str">
        <x:v>paper ness</x:v>
      </x:c>
      <x:c r="D2184" t="n">
        <x:v>10</x:v>
      </x:c>
      <x:c r="E2184" t="str">
        <x:v>Expert</x:v>
      </x:c>
      <x:c r="F2184" t="str">
        <x:v>Standard, Kaizo</x:v>
      </x:c>
      <x:c r="G2184" t="n">
        <x:v>45142</x:v>
      </x:c>
      <x:c r="H2184" t="str">
        <x:v>34369</x:v>
      </x:c>
      <x:c r="I2184" t="str">
        <x:v>https://www.smwcentral.net/?a=details&amp;id=34369&amp;p=section</x:v>
      </x:c>
      <x:c r="J2184" t="str">
        <x:v>https://dl.smwcentral.net/34369/Super%20Nessy%20World%202.zip</x:v>
      </x:c>
    </x:row>
    <x:row r="2185">
      <x:c r="A2185" t="str">
        <x:v>Super Ninji Land</x:v>
      </x:c>
      <x:c r="B2185" t="str">
        <x:v>Super Ninji Land</x:v>
      </x:c>
      <x:c r="C2185" t="str">
        <x:v>Idunno</x:v>
      </x:c>
      <x:c r="D2185" t="n">
        <x:v>30</x:v>
      </x:c>
      <x:c r="E2185" t="str">
        <x:v>Casual</x:v>
      </x:c>
      <x:c r="F2185" t="str">
        <x:v>Standard</x:v>
      </x:c>
      <x:c r="G2185" t="n">
        <x:v>44007</x:v>
      </x:c>
      <x:c r="H2185" t="str">
        <x:v>23434</x:v>
      </x:c>
      <x:c r="I2185" t="str">
        <x:v>https://www.smwcentral.net/?a=details&amp;id=23434&amp;p=section</x:v>
      </x:c>
      <x:c r="J2185" t="str">
        <x:v>https://dl.smwcentral.net/23434/SuperNinjiLand1.1.zip</x:v>
      </x:c>
    </x:row>
    <x:row r="2186">
      <x:c r="A2186" t="str">
        <x:v>Super Ninji Land 2: A Ninji's Journey</x:v>
      </x:c>
      <x:c r="B2186" t="str">
        <x:v>Super Ninji Land 2: A Ninji's Journey</x:v>
      </x:c>
      <x:c r="C2186" t="str">
        <x:v>Idunno</x:v>
      </x:c>
      <x:c r="D2186" t="n">
        <x:v>42</x:v>
      </x:c>
      <x:c r="E2186" t="str">
        <x:v>Intermediate</x:v>
      </x:c>
      <x:c r="F2186" t="str">
        <x:v>Standard</x:v>
      </x:c>
      <x:c r="G2186" t="n">
        <x:v>44375</x:v>
      </x:c>
      <x:c r="H2186" t="str">
        <x:v>27137</x:v>
      </x:c>
      <x:c r="I2186" t="str">
        <x:v>https://www.smwcentral.net/?a=details&amp;id=27137&amp;p=section</x:v>
      </x:c>
      <x:c r="J2186" t="str">
        <x:v>https://dl.smwcentral.net/27137/SuperNinjiLand%20-%20V%201.2%20.zip</x:v>
      </x:c>
    </x:row>
    <x:row r="2187">
      <x:c r="A2187" t="str">
        <x:v>Super Ninji Land Reawakened</x:v>
      </x:c>
      <x:c r="B2187" t="str">
        <x:v>Super Ninji Land Reawakened</x:v>
      </x:c>
      <x:c r="C2187" t="str">
        <x:v>Idunno</x:v>
      </x:c>
      <x:c r="D2187" t="n">
        <x:v>50</x:v>
      </x:c>
      <x:c r="E2187" t="str">
        <x:v>Casual</x:v>
      </x:c>
      <x:c r="F2187" t="str">
        <x:v>Standard</x:v>
      </x:c>
      <x:c r="G2187" t="n">
        <x:v>45876</x:v>
      </x:c>
      <x:c r="H2187" t="str">
        <x:v>40217</x:v>
      </x:c>
      <x:c r="I2187" t="str">
        <x:v>https://www.smwcentral.net/?a=details&amp;id=40217&amp;p=section</x:v>
      </x:c>
      <x:c r="J2187" t="str">
        <x:v>https://dl.smwcentral.net/40217/SuperNinjiLandReawakened%20V1.1.zip</x:v>
      </x:c>
    </x:row>
    <x:row r="2188">
      <x:c r="A2188" t="str">
        <x:v>Super Normal World</x:v>
      </x:c>
      <x:c r="B2188" t="str">
        <x:v>Super Normal World</x:v>
      </x:c>
      <x:c r="C2188" t="str">
        <x:v>IceFreaki</x:v>
      </x:c>
      <x:c r="D2188" t="n">
        <x:v>14</x:v>
      </x:c>
      <x:c r="E2188" t="str">
        <x:v>Intermediate</x:v>
      </x:c>
      <x:c r="F2188" t="str">
        <x:v>Standard</x:v>
      </x:c>
      <x:c r="G2188" t="n">
        <x:v>42219</x:v>
      </x:c>
      <x:c r="H2188" t="str">
        <x:v>9882</x:v>
      </x:c>
      <x:c r="I2188" t="str">
        <x:v>https://www.smwcentral.net/?a=details&amp;id=9882&amp;p=section</x:v>
      </x:c>
      <x:c r="J2188" t="str">
        <x:v>https://dl.smwcentral.net/9882/super%20normal%20world.zip</x:v>
      </x:c>
    </x:row>
    <x:row r="2189">
      <x:c r="A2189" t="str">
        <x:v>Super Nostalgia World</x:v>
      </x:c>
      <x:c r="B2189" t="str">
        <x:v>Super Nostalgia World</x:v>
      </x:c>
      <x:c r="C2189" t="str">
        <x:v>bandicoot</x:v>
      </x:c>
      <x:c r="D2189" t="n">
        <x:v>7</x:v>
      </x:c>
      <x:c r="E2189" t="str">
        <x:v>Newcomer</x:v>
      </x:c>
      <x:c r="F2189" t="str">
        <x:v>Standard</x:v>
      </x:c>
      <x:c r="G2189" t="n">
        <x:v>41856</x:v>
      </x:c>
      <x:c r="H2189" t="str">
        <x:v>6965</x:v>
      </x:c>
      <x:c r="I2189" t="str">
        <x:v>https://www.smwcentral.net/?a=details&amp;id=6965&amp;p=section</x:v>
      </x:c>
      <x:c r="J2189" t="str">
        <x:v>https://dl.smwcentral.net/6965/SNW%20c3%20DEMO%201.zip</x:v>
      </x:c>
    </x:row>
    <x:row r="2190">
      <x:c r="A2190" t="str">
        <x:v>Super Nothing World</x:v>
      </x:c>
      <x:c r="B2190" t="str">
        <x:v>Super Nothing World</x:v>
      </x:c>
      <x:c r="C2190" t="str">
        <x:v>NewPointless</x:v>
      </x:c>
      <x:c r="D2190" t="n">
        <x:v>25</x:v>
      </x:c>
      <x:c r="E2190" t="str">
        <x:v>Advanced</x:v>
      </x:c>
      <x:c r="F2190" t="str">
        <x:v>Standard, Kaizo</x:v>
      </x:c>
      <x:c r="G2190" t="n">
        <x:v>44595</x:v>
      </x:c>
      <x:c r="H2190" t="str">
        <x:v>29680</x:v>
      </x:c>
      <x:c r="I2190" t="str">
        <x:v>https://www.smwcentral.net/?a=details&amp;id=29680&amp;p=section</x:v>
      </x:c>
      <x:c r="J2190" t="str">
        <x:v>https://dl.smwcentral.net/29680/SuperNothingWorld1_2.zip</x:v>
      </x:c>
    </x:row>
    <x:row r="2191">
      <x:c r="A2191" t="str">
        <x:v>Super Nova</x:v>
      </x:c>
      <x:c r="B2191" t="str">
        <x:v>Super Nova</x:v>
      </x:c>
      <x:c r="C2191" t="str">
        <x:v>Yagami</x:v>
      </x:c>
      <x:c r="D2191" t="n">
        <x:v>18</x:v>
      </x:c>
      <x:c r="E2191" t="str">
        <x:v>Expert</x:v>
      </x:c>
      <x:c r="F2191" t="str">
        <x:v>Kaizo</x:v>
      </x:c>
      <x:c r="G2191" t="n">
        <x:v>44095</x:v>
      </x:c>
      <x:c r="H2191" t="str">
        <x:v>24397</x:v>
      </x:c>
      <x:c r="I2191" t="str">
        <x:v>https://www.smwcentral.net/?a=details&amp;id=24397&amp;p=section</x:v>
      </x:c>
      <x:c r="J2191" t="str">
        <x:v>https://dl.smwcentral.net/24397/Super%20Nova%201.21.zip</x:v>
      </x:c>
    </x:row>
    <x:row r="2192">
      <x:c r="A2192" t="str">
        <x:v>Super Nova Deluxe</x:v>
      </x:c>
      <x:c r="B2192" t="str">
        <x:v>Super Nova Deluxe</x:v>
      </x:c>
      <x:c r="C2192" t="str">
        <x:v>Yagami</x:v>
      </x:c>
      <x:c r="D2192" t="n">
        <x:v>18</x:v>
      </x:c>
      <x:c r="E2192" t="str">
        <x:v>Advanced</x:v>
      </x:c>
      <x:c r="F2192" t="str">
        <x:v>Kaizo</x:v>
      </x:c>
      <x:c r="G2192" t="n">
        <x:v>44113</x:v>
      </x:c>
      <x:c r="H2192" t="str">
        <x:v>24704</x:v>
      </x:c>
      <x:c r="I2192" t="str">
        <x:v>https://www.smwcentral.net/?a=details&amp;id=24704&amp;p=section</x:v>
      </x:c>
      <x:c r="J2192" t="str">
        <x:v>https://dl.smwcentral.net/24704/Super%20Nova%20Deluxe.zip</x:v>
      </x:c>
    </x:row>
    <x:row r="2193">
      <x:c r="A2193" t="str">
        <x:v>Super Nova World</x:v>
      </x:c>
      <x:c r="B2193" t="str">
        <x:v>Super Nova World</x:v>
      </x:c>
      <x:c r="C2193" t="str">
        <x:v>Domokun007</x:v>
      </x:c>
      <x:c r="D2193" t="n">
        <x:v>19</x:v>
      </x:c>
      <x:c r="E2193" t="str">
        <x:v>Intermediate</x:v>
      </x:c>
      <x:c r="F2193" t="str">
        <x:v>Standard</x:v>
      </x:c>
      <x:c r="G2193" t="n">
        <x:v>44514</x:v>
      </x:c>
      <x:c r="H2193" t="str">
        <x:v>28782</x:v>
      </x:c>
      <x:c r="I2193" t="str">
        <x:v>https://www.smwcentral.net/?a=details&amp;id=28782&amp;p=section</x:v>
      </x:c>
      <x:c r="J2193" t="str">
        <x:v>https://dl.smwcentral.net/28782/Super%20Nova%20World%201.1.zip</x:v>
      </x:c>
    </x:row>
    <x:row r="2194">
      <x:c r="A2194" t="str">
        <x:v>Super Odd World</x:v>
      </x:c>
      <x:c r="B2194" t="str">
        <x:v>Super Odd World</x:v>
      </x:c>
      <x:c r="C2194" t="str">
        <x:v>Arobam</x:v>
      </x:c>
      <x:c r="D2194" t="n">
        <x:v>21</x:v>
      </x:c>
      <x:c r="E2194" t="str">
        <x:v>Expert</x:v>
      </x:c>
      <x:c r="F2194" t="str">
        <x:v>Kaizo</x:v>
      </x:c>
      <x:c r="G2194" t="n">
        <x:v>44650</x:v>
      </x:c>
      <x:c r="H2194" t="str">
        <x:v>30237</x:v>
      </x:c>
      <x:c r="I2194" t="str">
        <x:v>https://www.smwcentral.net/?a=details&amp;id=30237&amp;p=section</x:v>
      </x:c>
      <x:c r="J2194" t="str">
        <x:v>https://dl.smwcentral.net/30237/Super%20Odd%20World.zip</x:v>
      </x:c>
    </x:row>
    <x:row r="2195">
      <x:c r="A2195" t="str">
        <x:v>Super Odd World 2</x:v>
      </x:c>
      <x:c r="B2195" t="str">
        <x:v>Super Odd World 2</x:v>
      </x:c>
      <x:c r="C2195" t="str">
        <x:v>Pirate Yoshi</x:v>
      </x:c>
      <x:c r="D2195" t="n">
        <x:v>5</x:v>
      </x:c>
      <x:c r="E2195" t="str">
        <x:v>Newcomer</x:v>
      </x:c>
      <x:c r="F2195" t="str">
        <x:v>Standard</x:v>
      </x:c>
      <x:c r="G2195" t="n">
        <x:v>42221</x:v>
      </x:c>
      <x:c r="H2195" t="str">
        <x:v>9879</x:v>
      </x:c>
      <x:c r="I2195" t="str">
        <x:v>https://www.smwcentral.net/?a=details&amp;id=9879&amp;p=section</x:v>
      </x:c>
      <x:c r="J2195" t="str">
        <x:v>https://dl.smwcentral.net/9879/Super%20Odd%20World%202.zip</x:v>
      </x:c>
    </x:row>
    <x:row r="2196">
      <x:c r="A2196" t="str">
        <x:v>Super Omelette World</x:v>
      </x:c>
      <x:c r="B2196" t="str">
        <x:v>Super Omelette World</x:v>
      </x:c>
      <x:c r="C2196" t="str">
        <x:v>Whoamme</x:v>
      </x:c>
      <x:c r="D2196" t="n">
        <x:v>29</x:v>
      </x:c>
      <x:c r="E2196" t="str">
        <x:v>Newcomer</x:v>
      </x:c>
      <x:c r="F2196" t="str">
        <x:v>Standard</x:v>
      </x:c>
      <x:c r="G2196" t="n">
        <x:v>42277</x:v>
      </x:c>
      <x:c r="H2196" t="str">
        <x:v>10045</x:v>
      </x:c>
      <x:c r="I2196" t="str">
        <x:v>https://www.smwcentral.net/?a=details&amp;id=10045&amp;p=section</x:v>
      </x:c>
      <x:c r="J2196" t="str">
        <x:v>https://dl.smwcentral.net/10045/Super%20Omelette%20World.zip</x:v>
      </x:c>
    </x:row>
    <x:row r="2197">
      <x:c r="A2197" t="str">
        <x:v>Super One Point Oh</x:v>
      </x:c>
      <x:c r="B2197" t="str">
        <x:v>Super One Point Oh</x:v>
      </x:c>
      <x:c r="C2197" t="str">
        <x:v>MDBattleFrog</x:v>
      </x:c>
      <x:c r="D2197" t="n">
        <x:v>6</x:v>
      </x:c>
      <x:c r="E2197" t="str">
        <x:v>Expert</x:v>
      </x:c>
      <x:c r="F2197" t="str">
        <x:v>Kaizo</x:v>
      </x:c>
      <x:c r="G2197" t="n">
        <x:v>43928</x:v>
      </x:c>
      <x:c r="H2197" t="str">
        <x:v>22591</x:v>
      </x:c>
      <x:c r="I2197" t="str">
        <x:v>https://www.smwcentral.net/?a=details&amp;id=22591&amp;p=section</x:v>
      </x:c>
      <x:c r="J2197" t="str">
        <x:v>https://dl.smwcentral.net/22591/SuperOnePointOh.zip</x:v>
      </x:c>
    </x:row>
    <x:row r="2198">
      <x:c r="A2198" t="str">
        <x:v>Super Only Up with Fennet Boddy's Jump Prince</x:v>
      </x:c>
      <x:c r="B2198" t="str">
        <x:v>Super Only Up with Fennet Boddy's Jump Prince</x:v>
      </x:c>
      <x:c r="C2198" t="str">
        <x:v>The_Uber_Camper</x:v>
      </x:c>
      <x:c r="D2198" t="n">
        <x:v>0</x:v>
      </x:c>
      <x:c r="E2198" t="str">
        <x:v>Master</x:v>
      </x:c>
      <x:c r="F2198" t="str">
        <x:v>Kaizo</x:v>
      </x:c>
      <x:c r="G2198" t="n">
        <x:v>45146</x:v>
      </x:c>
      <x:c r="H2198" t="str">
        <x:v>34768</x:v>
      </x:c>
      <x:c r="I2198" t="str">
        <x:v>https://www.smwcentral.net/?a=details&amp;id=34768&amp;p=section</x:v>
      </x:c>
      <x:c r="J2198" t="str">
        <x:v>https://dl.smwcentral.net/34768/Super%20Maybe%20Upwards.zip</x:v>
      </x:c>
    </x:row>
    <x:row r="2199">
      <x:c r="A2199" t="str">
        <x:v>Super Ordinary World</x:v>
      </x:c>
      <x:c r="B2199" t="str">
        <x:v>Super Ordinary World</x:v>
      </x:c>
      <x:c r="C2199" t="str">
        <x:v>Pottsie</x:v>
      </x:c>
      <x:c r="D2199" t="n">
        <x:v>14</x:v>
      </x:c>
      <x:c r="E2199" t="str">
        <x:v>Expert</x:v>
      </x:c>
      <x:c r="F2199" t="str">
        <x:v>Kaizo</x:v>
      </x:c>
      <x:c r="G2199" t="n">
        <x:v>46088</x:v>
      </x:c>
      <x:c r="H2199" t="str">
        <x:v>41828</x:v>
      </x:c>
      <x:c r="I2199" t="str">
        <x:v>https://www.smwcentral.net/?a=details&amp;id=41828&amp;p=section</x:v>
      </x:c>
      <x:c r="J2199" t="str">
        <x:v>https://dl.smwcentral.net/41828/Super%20Ordinary%20World.zip</x:v>
      </x:c>
    </x:row>
    <x:row r="2200">
      <x:c r="A2200" t="str">
        <x:v>Super Oreetv World</x:v>
      </x:c>
      <x:c r="B2200" t="str">
        <x:v>Super Oreetv World</x:v>
      </x:c>
      <x:c r="C2200" t="str">
        <x:v>MarioFan1337</x:v>
      </x:c>
      <x:c r="D2200" t="n">
        <x:v>23</x:v>
      </x:c>
      <x:c r="E2200" t="str">
        <x:v>Expert</x:v>
      </x:c>
      <x:c r="F2200" t="str">
        <x:v>Kaizo</x:v>
      </x:c>
      <x:c r="G2200" t="n">
        <x:v>45953</x:v>
      </x:c>
      <x:c r="H2200" t="str">
        <x:v>40758</x:v>
      </x:c>
      <x:c r="I2200" t="str">
        <x:v>https://www.smwcentral.net/?a=details&amp;id=40758&amp;p=section</x:v>
      </x:c>
      <x:c r="J2200" t="str">
        <x:v>https://dl.smwcentral.net/40758/Super%20Oreetv%20World.zip</x:v>
      </x:c>
    </x:row>
    <x:row r="2201">
      <x:c r="A2201" t="str">
        <x:v>Super Panga World</x:v>
      </x:c>
      <x:c r="B2201" t="str">
        <x:v>Super Panga World</x:v>
      </x:c>
      <x:c r="C2201" t="str">
        <x:v>Linkdeadx2</x:v>
      </x:c>
      <x:c r="D2201" t="n">
        <x:v>12</x:v>
      </x:c>
      <x:c r="E2201" t="str">
        <x:v>Master</x:v>
      </x:c>
      <x:c r="F2201" t="str">
        <x:v>Kaizo</x:v>
      </x:c>
      <x:c r="G2201" t="n">
        <x:v>42875</x:v>
      </x:c>
      <x:c r="H2201" t="str">
        <x:v>15561</x:v>
      </x:c>
      <x:c r="I2201" t="str">
        <x:v>https://www.smwcentral.net/?a=details&amp;id=15561&amp;p=section</x:v>
      </x:c>
      <x:c r="J2201" t="str">
        <x:v>https://dl.smwcentral.net/15561/Super%20Panga%20World%20v1.2.zip</x:v>
      </x:c>
    </x:row>
    <x:row r="2202">
      <x:c r="A2202" t="str">
        <x:v>Super Paper Luigi</x:v>
      </x:c>
      <x:c r="B2202" t="str">
        <x:v>Super Paper Luigi</x:v>
      </x:c>
      <x:c r="C2202" t="str">
        <x:v>General Ike</x:v>
      </x:c>
      <x:c r="D2202" t="n">
        <x:v>4</x:v>
      </x:c>
      <x:c r="E2202" t="str">
        <x:v>Newcomer</x:v>
      </x:c>
      <x:c r="F2202" t="str">
        <x:v>Standard</x:v>
      </x:c>
      <x:c r="G2202" t="n">
        <x:v>42044</x:v>
      </x:c>
      <x:c r="H2202" t="str">
        <x:v>9771</x:v>
      </x:c>
      <x:c r="I2202" t="str">
        <x:v>https://www.smwcentral.net/?a=details&amp;id=9771&amp;p=section</x:v>
      </x:c>
      <x:c r="J2202" t="str">
        <x:v>https://dl.smwcentral.net/9771/Paper%20Luigi.zip</x:v>
      </x:c>
    </x:row>
    <x:row r="2203">
      <x:c r="A2203" t="str">
        <x:v>Super pcclub88 World</x:v>
      </x:c>
      <x:c r="B2203" t="str">
        <x:v>Super pcclub88 World</x:v>
      </x:c>
      <x:c r="C2203" t="str">
        <x:v>PopCorn181</x:v>
      </x:c>
      <x:c r="D2203" t="n">
        <x:v>9</x:v>
      </x:c>
      <x:c r="E2203" t="str">
        <x:v>Expert</x:v>
      </x:c>
      <x:c r="F2203" t="str">
        <x:v>Kaizo</x:v>
      </x:c>
      <x:c r="G2203" t="n">
        <x:v>45730</x:v>
      </x:c>
      <x:c r="H2203" t="str">
        <x:v>39546</x:v>
      </x:c>
      <x:c r="I2203" t="str">
        <x:v>https://www.smwcentral.net/?a=details&amp;id=39546&amp;p=section</x:v>
      </x:c>
      <x:c r="J2203" t="str">
        <x:v>https://dl.smwcentral.net/39546/Super%20pcclub88%20World.zip</x:v>
      </x:c>
    </x:row>
    <x:row r="2204">
      <x:c r="A2204" t="str">
        <x:v>Super pcclub88 World II: The Return of the Fog</x:v>
      </x:c>
      <x:c r="B2204" t="str">
        <x:v>Super pcclub88 World II: The Return of the Fog</x:v>
      </x:c>
      <x:c r="C2204" t="str">
        <x:v>PopCorn181</x:v>
      </x:c>
      <x:c r="D2204" t="n">
        <x:v>7</x:v>
      </x:c>
      <x:c r="E2204" t="str">
        <x:v>Master</x:v>
      </x:c>
      <x:c r="F2204" t="str">
        <x:v>Kaizo</x:v>
      </x:c>
      <x:c r="G2204" t="n">
        <x:v>45868</x:v>
      </x:c>
      <x:c r="H2204" t="str">
        <x:v>40175</x:v>
      </x:c>
      <x:c r="I2204" t="str">
        <x:v>https://www.smwcentral.net/?a=details&amp;id=40175&amp;p=section</x:v>
      </x:c>
      <x:c r="J2204" t="str">
        <x:v>https://dl.smwcentral.net/40175/Super_pcclub88_World_II_.zip</x:v>
      </x:c>
    </x:row>
    <x:row r="2205">
      <x:c r="A2205" t="str">
        <x:v>Super Peach World</x:v>
      </x:c>
      <x:c r="B2205" t="str">
        <x:v>Super Peach World</x:v>
      </x:c>
      <x:c r="C2205" t="str">
        <x:v>TheGremlin</x:v>
      </x:c>
      <x:c r="D2205" t="n">
        <x:v>35</x:v>
      </x:c>
      <x:c r="E2205" t="str">
        <x:v>Advanced</x:v>
      </x:c>
      <x:c r="F2205" t="str">
        <x:v>Standard</x:v>
      </x:c>
      <x:c r="G2205" t="n">
        <x:v>44212</x:v>
      </x:c>
      <x:c r="H2205" t="str">
        <x:v>25501</x:v>
      </x:c>
      <x:c r="I2205" t="str">
        <x:v>https://www.smwcentral.net/?a=details&amp;id=25501&amp;p=section</x:v>
      </x:c>
      <x:c r="J2205" t="str">
        <x:v>https://dl.smwcentral.net/25501/Super%20Peach%20World.zip</x:v>
      </x:c>
    </x:row>
    <x:row r="2206">
      <x:c r="A2206" t="str">
        <x:v>Super Peggy World</x:v>
      </x:c>
      <x:c r="B2206" t="str">
        <x:v>Super Peggy World</x:v>
      </x:c>
      <x:c r="C2206" t="str">
        <x:v>smasken</x:v>
      </x:c>
      <x:c r="D2206" t="n">
        <x:v>13</x:v>
      </x:c>
      <x:c r="E2206" t="str">
        <x:v>Intermediate</x:v>
      </x:c>
      <x:c r="F2206" t="str">
        <x:v>Kaizo</x:v>
      </x:c>
      <x:c r="G2206" t="n">
        <x:v>43559</x:v>
      </x:c>
      <x:c r="H2206" t="str">
        <x:v>19565</x:v>
      </x:c>
      <x:c r="I2206" t="str">
        <x:v>https://www.smwcentral.net/?a=details&amp;id=19565&amp;p=section</x:v>
      </x:c>
      <x:c r="J2206" t="str">
        <x:v>https://dl.smwcentral.net/19565/SuperPeggyWorld1.4.zip</x:v>
      </x:c>
    </x:row>
    <x:row r="2207">
      <x:c r="A2207" t="str">
        <x:v>Super Penny World</x:v>
      </x:c>
      <x:c r="B2207" t="str">
        <x:v>Super Penny World</x:v>
      </x:c>
      <x:c r="C2207" t="str">
        <x:v>Blaagon</x:v>
      </x:c>
      <x:c r="D2207" t="n">
        <x:v>16</x:v>
      </x:c>
      <x:c r="E2207" t="str">
        <x:v>Expert</x:v>
      </x:c>
      <x:c r="F2207" t="str">
        <x:v>Kaizo</x:v>
      </x:c>
      <x:c r="G2207" t="n">
        <x:v>44396</x:v>
      </x:c>
      <x:c r="H2207" t="str">
        <x:v>27712</x:v>
      </x:c>
      <x:c r="I2207" t="str">
        <x:v>https://www.smwcentral.net/?a=details&amp;id=27712&amp;p=section</x:v>
      </x:c>
      <x:c r="J2207" t="str">
        <x:v>https://dl.smwcentral.net/27712/Super%20Penny%20World%20v1.0.zip</x:v>
      </x:c>
    </x:row>
    <x:row r="2208">
      <x:c r="A2208" t="str">
        <x:v>Super Pika Land Ultra: Chocolate Version</x:v>
      </x:c>
      <x:c r="B2208" t="str">
        <x:v>Super Pika Land Ultra: Chocolate Version</x:v>
      </x:c>
      <x:c r="C2208" t="str">
        <x:v>Doownayr89</x:v>
      </x:c>
      <x:c r="D2208" t="n">
        <x:v>60</x:v>
      </x:c>
      <x:c r="E2208" t="str">
        <x:v>Advanced</x:v>
      </x:c>
      <x:c r="F2208" t="str">
        <x:v>Standard</x:v>
      </x:c>
      <x:c r="G2208" t="n">
        <x:v>41705</x:v>
      </x:c>
      <x:c r="H2208" t="str">
        <x:v>6351</x:v>
      </x:c>
      <x:c r="I2208" t="str">
        <x:v>https://www.smwcentral.net/?a=details&amp;id=6351&amp;p=section</x:v>
      </x:c>
      <x:c r="J2208" t="str">
        <x:v>https://dl.smwcentral.net/6351/SpluC_FINAL4.3.zip</x:v>
      </x:c>
    </x:row>
    <x:row r="2209">
      <x:c r="A2209" t="str">
        <x:v>Super Pika Land Ultra: Vanilla Version</x:v>
      </x:c>
      <x:c r="B2209" t="str">
        <x:v>Super Pika Land Ultra: Vanilla Version</x:v>
      </x:c>
      <x:c r="C2209" t="str">
        <x:v>Doownayr89</x:v>
      </x:c>
      <x:c r="D2209" t="n">
        <x:v>78</x:v>
      </x:c>
      <x:c r="E2209" t="str">
        <x:v>Intermediate</x:v>
      </x:c>
      <x:c r="F2209" t="str">
        <x:v>Standard</x:v>
      </x:c>
      <x:c r="G2209" t="n">
        <x:v>41600</x:v>
      </x:c>
      <x:c r="H2209" t="str">
        <x:v>5494</x:v>
      </x:c>
      <x:c r="I2209" t="str">
        <x:v>https://www.smwcentral.net/?a=details&amp;id=5494&amp;p=section</x:v>
      </x:c>
      <x:c r="J2209" t="str">
        <x:v>https://dl.smwcentral.net/5494/SPLU%20patch.zip</x:v>
      </x:c>
    </x:row>
    <x:row r="2210">
      <x:c r="A2210" t="str">
        <x:v>Super PKlepek World</x:v>
      </x:c>
      <x:c r="B2210" t="str">
        <x:v>Super PKlepek World</x:v>
      </x:c>
      <x:c r="C2210" t="str">
        <x:v>akkanben</x:v>
      </x:c>
      <x:c r="D2210" t="n">
        <x:v>9</x:v>
      </x:c>
      <x:c r="E2210" t="str">
        <x:v>Advanced</x:v>
      </x:c>
      <x:c r="F2210" t="str">
        <x:v>Kaizo</x:v>
      </x:c>
      <x:c r="G2210" t="n">
        <x:v>43962</x:v>
      </x:c>
      <x:c r="H2210" t="str">
        <x:v>22794</x:v>
      </x:c>
      <x:c r="I2210" t="str">
        <x:v>https://www.smwcentral.net/?a=details&amp;id=22794&amp;p=section</x:v>
      </x:c>
      <x:c r="J2210" t="str">
        <x:v>https://dl.smwcentral.net/22794/Super%20PKlepek%20World.zip</x:v>
      </x:c>
    </x:row>
    <x:row r="2211">
      <x:c r="A2211" t="str">
        <x:v>super place land!</x:v>
      </x:c>
      <x:c r="B2211" t="str">
        <x:v>super place land!</x:v>
      </x:c>
      <x:c r="C2211" t="str">
        <x:v>mufbin</x:v>
      </x:c>
      <x:c r="D2211" t="n">
        <x:v>5</x:v>
      </x:c>
      <x:c r="E2211" t="str">
        <x:v>Newcomer</x:v>
      </x:c>
      <x:c r="F2211" t="str">
        <x:v>Standard</x:v>
      </x:c>
      <x:c r="G2211" t="n">
        <x:v>43185</x:v>
      </x:c>
      <x:c r="H2211" t="str">
        <x:v>17292</x:v>
      </x:c>
      <x:c r="I2211" t="str">
        <x:v>https://www.smwcentral.net/?a=details&amp;id=17292&amp;p=section</x:v>
      </x:c>
      <x:c r="J2211" t="str">
        <x:v>https://dl.smwcentral.net/17292/super%20place%20land%21.zip</x:v>
      </x:c>
    </x:row>
    <x:row r="2212">
      <x:c r="A2212" t="str">
        <x:v>Super Plinko World</x:v>
      </x:c>
      <x:c r="B2212" t="str">
        <x:v>Super Plinko World</x:v>
      </x:c>
      <x:c r="C2212" t="str">
        <x:v>AmperSam, Various Authors</x:v>
      </x:c>
      <x:c r="D2212" t="n">
        <x:v>75</x:v>
      </x:c>
      <x:c r="E2212" t="str">
        <x:v>Casual</x:v>
      </x:c>
      <x:c r="F2212" t="str">
        <x:v>Standard</x:v>
      </x:c>
      <x:c r="G2212" t="n">
        <x:v>45932</x:v>
      </x:c>
      <x:c r="H2212" t="str">
        <x:v>40658</x:v>
      </x:c>
      <x:c r="I2212" t="str">
        <x:v>https://www.smwcentral.net/?a=details&amp;id=40658&amp;p=section</x:v>
      </x:c>
      <x:c r="J2212" t="str">
        <x:v>https://dl.smwcentral.net/40658/fish_plinko-1.5.zip</x:v>
      </x:c>
    </x:row>
    <x:row r="2213">
      <x:c r="A2213" t="str">
        <x:v>Super Plumber Mario World</x:v>
      </x:c>
      <x:c r="B2213" t="str">
        <x:v>Super Plumber Mario World</x:v>
      </x:c>
      <x:c r="C2213" t="str">
        <x:v>Major Flare</x:v>
      </x:c>
      <x:c r="D2213" t="n">
        <x:v>18</x:v>
      </x:c>
      <x:c r="E2213" t="str">
        <x:v>Casual</x:v>
      </x:c>
      <x:c r="F2213" t="str">
        <x:v>Standard</x:v>
      </x:c>
      <x:c r="G2213" t="n">
        <x:v>42087</x:v>
      </x:c>
      <x:c r="H2213" t="str">
        <x:v>9780</x:v>
      </x:c>
      <x:c r="I2213" t="str">
        <x:v>https://www.smwcentral.net/?a=details&amp;id=9780&amp;p=section</x:v>
      </x:c>
      <x:c r="J2213" t="str">
        <x:v>https://dl.smwcentral.net/9780/Super%20Plumber%20Mario%20World%201%20%28Demo%201%29.zip</x:v>
      </x:c>
    </x:row>
    <x:row r="2214">
      <x:c r="A2214" t="str">
        <x:v>Super Practice World</x:v>
      </x:c>
      <x:c r="B2214" t="str">
        <x:v>Super Practice World</x:v>
      </x:c>
      <x:c r="C2214" t="str">
        <x:v>djEnby</x:v>
      </x:c>
      <x:c r="D2214" t="n">
        <x:v>4</x:v>
      </x:c>
      <x:c r="E2214" t="str">
        <x:v>Intermediate</x:v>
      </x:c>
      <x:c r="F2214" t="str">
        <x:v>Kaizo</x:v>
      </x:c>
      <x:c r="G2214" t="n">
        <x:v>45100</x:v>
      </x:c>
      <x:c r="H2214" t="str">
        <x:v>34158</x:v>
      </x:c>
      <x:c r="I2214" t="str">
        <x:v>https://www.smwcentral.net/?a=details&amp;id=34158&amp;p=section</x:v>
      </x:c>
      <x:c r="J2214" t="str">
        <x:v>https://dl.smwcentral.net/34158/Super%20Practice%20World.zip</x:v>
      </x:c>
    </x:row>
    <x:row r="2215">
      <x:c r="A2215" t="str">
        <x:v>Super Puzzle Land 2 - Remastered</x:v>
      </x:c>
      <x:c r="B2215" t="str">
        <x:v>Super Puzzle Land 2 - Remastered</x:v>
      </x:c>
      <x:c r="C2215" t="str">
        <x:v>natnew</x:v>
      </x:c>
      <x:c r="D2215" t="n">
        <x:v>28</x:v>
      </x:c>
      <x:c r="E2215" t="str">
        <x:v>Expert</x:v>
      </x:c>
      <x:c r="F2215" t="str">
        <x:v>Kaizo, Puzzle</x:v>
      </x:c>
      <x:c r="G2215" t="n">
        <x:v>42738</x:v>
      </x:c>
      <x:c r="H2215" t="str">
        <x:v>14874</x:v>
      </x:c>
      <x:c r="I2215" t="str">
        <x:v>https://www.smwcentral.net/?a=details&amp;id=14874&amp;p=section</x:v>
      </x:c>
      <x:c r="J2215" t="str">
        <x:v>https://dl.smwcentral.net/14874/SPL2RN1.zip</x:v>
      </x:c>
    </x:row>
    <x:row r="2216">
      <x:c r="A2216" t="str">
        <x:v>Super Race World</x:v>
      </x:c>
      <x:c r="B2216" t="str">
        <x:v>Super Race World</x:v>
      </x:c>
      <x:c r="C2216" t="str">
        <x:v>The insane little elf</x:v>
      </x:c>
      <x:c r="D2216" t="n">
        <x:v>5</x:v>
      </x:c>
      <x:c r="E2216" t="str">
        <x:v>Intermediate</x:v>
      </x:c>
      <x:c r="F2216" t="str">
        <x:v>Standard</x:v>
      </x:c>
      <x:c r="G2216" t="n">
        <x:v>42081</x:v>
      </x:c>
      <x:c r="H2216" t="str">
        <x:v>9781</x:v>
      </x:c>
      <x:c r="I2216" t="str">
        <x:v>https://www.smwcentral.net/?a=details&amp;id=9781&amp;p=section</x:v>
      </x:c>
      <x:c r="J2216" t="str">
        <x:v>https://dl.smwcentral.net/9781/Super%20race%20world.zip</x:v>
      </x:c>
    </x:row>
    <x:row r="2217">
      <x:c r="A2217" t="str">
        <x:v>Super RDK</x:v>
      </x:c>
      <x:c r="B2217" t="str">
        <x:v>Super RDK</x:v>
      </x:c>
      <x:c r="C2217" t="str">
        <x:v>redkiller</x:v>
      </x:c>
      <x:c r="D2217" t="n">
        <x:v>15</x:v>
      </x:c>
      <x:c r="E2217" t="str">
        <x:v>Advanced</x:v>
      </x:c>
      <x:c r="F2217" t="str">
        <x:v>Kaizo</x:v>
      </x:c>
      <x:c r="G2217" t="n">
        <x:v>44441</x:v>
      </x:c>
      <x:c r="H2217" t="str">
        <x:v>28166</x:v>
      </x:c>
      <x:c r="I2217" t="str">
        <x:v>https://www.smwcentral.net/?a=details&amp;id=28166&amp;p=section</x:v>
      </x:c>
      <x:c r="J2217" t="str">
        <x:v>https://dl.smwcentral.net/28166/RDK.zip</x:v>
      </x:c>
    </x:row>
    <x:row r="2218">
      <x:c r="A2218" t="str">
        <x:v>Super Reasonable World</x:v>
      </x:c>
      <x:c r="B2218" t="str">
        <x:v>Super Reasonable World</x:v>
      </x:c>
      <x:c r="C2218" t="str">
        <x:v>ThirdWall</x:v>
      </x:c>
      <x:c r="D2218" t="n">
        <x:v>16</x:v>
      </x:c>
      <x:c r="E2218" t="str">
        <x:v>Master</x:v>
      </x:c>
      <x:c r="F2218" t="str">
        <x:v>Kaizo</x:v>
      </x:c>
      <x:c r="G2218" t="n">
        <x:v>45802</x:v>
      </x:c>
      <x:c r="H2218" t="str">
        <x:v>39863</x:v>
      </x:c>
      <x:c r="I2218" t="str">
        <x:v>https://www.smwcentral.net/?a=details&amp;id=39863&amp;p=section</x:v>
      </x:c>
      <x:c r="J2218" t="str">
        <x:v>https://dl.smwcentral.net/39863/SuperReasonableWorld.zip</x:v>
      </x:c>
    </x:row>
    <x:row r="2219">
      <x:c r="A2219" t="str">
        <x:v>Super Refund World</x:v>
      </x:c>
      <x:c r="B2219" t="str">
        <x:v>Super Refund World</x:v>
      </x:c>
      <x:c r="C2219" t="str">
        <x:v>Arobam</x:v>
      </x:c>
      <x:c r="D2219" t="n">
        <x:v>22</x:v>
      </x:c>
      <x:c r="E2219" t="str">
        <x:v>Grandmaster</x:v>
      </x:c>
      <x:c r="F2219" t="str">
        <x:v>Kaizo</x:v>
      </x:c>
      <x:c r="G2219" t="n">
        <x:v>46095</x:v>
      </x:c>
      <x:c r="H2219" t="str">
        <x:v>41864</x:v>
      </x:c>
      <x:c r="I2219" t="str">
        <x:v>https://www.smwcentral.net/?a=details&amp;id=41864&amp;p=section</x:v>
      </x:c>
      <x:c r="J2219" t="str">
        <x:v>https://dl.smwcentral.net/41864/Super%20Refund%20World%201.02.zip</x:v>
      </x:c>
    </x:row>
    <x:row r="2220">
      <x:c r="A2220" t="str">
        <x:v>Super Regiane-se</x:v>
      </x:c>
      <x:c r="B2220" t="str">
        <x:v>Super Regiane-se</x:v>
      </x:c>
      <x:c r="C2220" t="str">
        <x:v>Deivid Borba</x:v>
      </x:c>
      <x:c r="D2220" t="n">
        <x:v>19</x:v>
      </x:c>
      <x:c r="E2220" t="str">
        <x:v>Advanced</x:v>
      </x:c>
      <x:c r="F2220" t="str">
        <x:v>Kaizo</x:v>
      </x:c>
      <x:c r="G2220" t="n">
        <x:v>46163</x:v>
      </x:c>
      <x:c r="H2220" t="str">
        <x:v>42386</x:v>
      </x:c>
      <x:c r="I2220" t="str">
        <x:v>https://www.smwcentral.net/?a=details&amp;id=42386&amp;p=section</x:v>
      </x:c>
      <x:c r="J2220" t="str">
        <x:v>https://dl.smwcentral.net/42386/Super%20Regiane-se.zip</x:v>
      </x:c>
    </x:row>
    <x:row r="2221">
      <x:c r="A2221" t="str">
        <x:v>Super Reimu World Return To Hack</x:v>
      </x:c>
      <x:c r="B2221" t="str">
        <x:v>Super Reimu World Return To Hack</x:v>
      </x:c>
      <x:c r="C2221" t="str">
        <x:v>tfpivman</x:v>
      </x:c>
      <x:c r="D2221" t="n">
        <x:v>77</x:v>
      </x:c>
      <x:c r="E2221" t="str">
        <x:v>Intermediate</x:v>
      </x:c>
      <x:c r="F2221" t="str">
        <x:v>Standard</x:v>
      </x:c>
      <x:c r="G2221" t="n">
        <x:v>44764</x:v>
      </x:c>
      <x:c r="H2221" t="str">
        <x:v>31608</x:v>
      </x:c>
      <x:c r="I2221" t="str">
        <x:v>https://www.smwcentral.net/?a=details&amp;id=31608&amp;p=section</x:v>
      </x:c>
      <x:c r="J2221" t="str">
        <x:v>https://dl.smwcentral.net/31608/SRW%20return%20to%20hack%20%28final%29.zip</x:v>
      </x:c>
    </x:row>
    <x:row r="2222">
      <x:c r="A2222" t="str">
        <x:v>Super Responsible World</x:v>
      </x:c>
      <x:c r="B2222" t="str">
        <x:v>Super Responsible World</x:v>
      </x:c>
      <x:c r="C2222" t="str">
        <x:v>ft029</x:v>
      </x:c>
      <x:c r="D2222" t="n">
        <x:v>20</x:v>
      </x:c>
      <x:c r="E2222" t="str">
        <x:v>Grandmaster</x:v>
      </x:c>
      <x:c r="F2222" t="str">
        <x:v>Kaizo</x:v>
      </x:c>
      <x:c r="G2222" t="n">
        <x:v>42458</x:v>
      </x:c>
      <x:c r="H2222" t="str">
        <x:v>12979</x:v>
      </x:c>
      <x:c r="I2222" t="str">
        <x:v>https://www.smwcentral.net/?a=details&amp;id=12979&amp;p=section</x:v>
      </x:c>
      <x:c r="J2222" t="str">
        <x:v>https://dl.smwcentral.net/12979/Super%20Responsible%20World.zip</x:v>
      </x:c>
    </x:row>
    <x:row r="2223">
      <x:c r="A2223" t="str">
        <x:v>Super Riff World</x:v>
      </x:c>
      <x:c r="B2223" t="str">
        <x:v>Super Riff World</x:v>
      </x:c>
      <x:c r="C2223" t="str">
        <x:v>Freakin_HA</x:v>
      </x:c>
      <x:c r="D2223" t="n">
        <x:v>26</x:v>
      </x:c>
      <x:c r="E2223" t="str">
        <x:v>Master</x:v>
      </x:c>
      <x:c r="F2223" t="str">
        <x:v>Kaizo</x:v>
      </x:c>
      <x:c r="G2223" t="n">
        <x:v>43830</x:v>
      </x:c>
      <x:c r="H2223" t="str">
        <x:v>21703</x:v>
      </x:c>
      <x:c r="I2223" t="str">
        <x:v>https://www.smwcentral.net/?a=details&amp;id=21703&amp;p=section</x:v>
      </x:c>
      <x:c r="J2223" t="str">
        <x:v>https://dl.smwcentral.net/21703/Super%20Riff%20World.zip</x:v>
      </x:c>
    </x:row>
    <x:row r="2224">
      <x:c r="A2224" t="str">
        <x:v>Super Rtyuio World: Part 1</x:v>
      </x:c>
      <x:c r="B2224" t="str">
        <x:v>Super Rtyuio World: Part 1</x:v>
      </x:c>
      <x:c r="C2224" t="str">
        <x:v>rtyuio54321</x:v>
      </x:c>
      <x:c r="D2224" t="n">
        <x:v>34</x:v>
      </x:c>
      <x:c r="E2224" t="str">
        <x:v>Casual</x:v>
      </x:c>
      <x:c r="F2224" t="str">
        <x:v>Standard</x:v>
      </x:c>
      <x:c r="G2224" t="n">
        <x:v>42278</x:v>
      </x:c>
      <x:c r="H2224" t="str">
        <x:v>9972</x:v>
      </x:c>
      <x:c r="I2224" t="str">
        <x:v>https://www.smwcentral.net/?a=details&amp;id=9972&amp;p=section</x:v>
      </x:c>
      <x:c r="J2224" t="str">
        <x:v>https://dl.smwcentral.net/9972/Rtyuio.zip</x:v>
      </x:c>
    </x:row>
    <x:row r="2225">
      <x:c r="A2225" t="str">
        <x:v>Super Run World</x:v>
      </x:c>
      <x:c r="B2225" t="str">
        <x:v>Super Run World</x:v>
      </x:c>
      <x:c r="C2225" t="str">
        <x:v>00frank</x:v>
      </x:c>
      <x:c r="D2225" t="n">
        <x:v>25</x:v>
      </x:c>
      <x:c r="E2225" t="str">
        <x:v>Advanced</x:v>
      </x:c>
      <x:c r="F2225" t="str">
        <x:v>Kaizo</x:v>
      </x:c>
      <x:c r="G2225" t="n">
        <x:v>43447</x:v>
      </x:c>
      <x:c r="H2225" t="str">
        <x:v>18529</x:v>
      </x:c>
      <x:c r="I2225" t="str">
        <x:v>https://www.smwcentral.net/?a=details&amp;id=18529&amp;p=section</x:v>
      </x:c>
      <x:c r="J2225" t="str">
        <x:v>https://dl.smwcentral.net/18529/Super%20Run%20World%20v1.2.zip</x:v>
      </x:c>
    </x:row>
    <x:row r="2226">
      <x:c r="A2226" t="str">
        <x:v>Super Russian World</x:v>
      </x:c>
      <x:c r="B2226" t="str">
        <x:v>Super Russian World</x:v>
      </x:c>
      <x:c r="C2226" t="str">
        <x:v>RussianMan</x:v>
      </x:c>
      <x:c r="D2226" t="n">
        <x:v>23</x:v>
      </x:c>
      <x:c r="E2226" t="str">
        <x:v>Advanced</x:v>
      </x:c>
      <x:c r="F2226" t="str">
        <x:v>Standard</x:v>
      </x:c>
      <x:c r="G2226" t="n">
        <x:v>43899</x:v>
      </x:c>
      <x:c r="H2226" t="str">
        <x:v>22278</x:v>
      </x:c>
      <x:c r="I2226" t="str">
        <x:v>https://www.smwcentral.net/?a=details&amp;id=22278&amp;p=section</x:v>
      </x:c>
      <x:c r="J2226" t="str">
        <x:v>https://dl.smwcentral.net/22278/SRW%20Demo%201.3.zip</x:v>
      </x:c>
    </x:row>
    <x:row r="2227">
      <x:c r="A2227" t="str">
        <x:v>Super Russian World Prequel</x:v>
      </x:c>
      <x:c r="B2227" t="str">
        <x:v>Super Russian World Prequel</x:v>
      </x:c>
      <x:c r="C2227" t="str">
        <x:v>RussianMan</x:v>
      </x:c>
      <x:c r="D2227" t="n">
        <x:v>10</x:v>
      </x:c>
      <x:c r="E2227" t="str">
        <x:v>Advanced</x:v>
      </x:c>
      <x:c r="F2227" t="str">
        <x:v>Standard</x:v>
      </x:c>
      <x:c r="G2227" t="n">
        <x:v>44037</x:v>
      </x:c>
      <x:c r="H2227" t="str">
        <x:v>23981</x:v>
      </x:c>
      <x:c r="I2227" t="str">
        <x:v>https://www.smwcentral.net/?a=details&amp;id=23981&amp;p=section</x:v>
      </x:c>
      <x:c r="J2227" t="str">
        <x:v>https://dl.smwcentral.net/23981/SRW%20Prequel.zip</x:v>
      </x:c>
    </x:row>
    <x:row r="2228">
      <x:c r="A2228" t="str">
        <x:v>Super Ryu World</x:v>
      </x:c>
      <x:c r="B2228" t="str">
        <x:v>Super Ryu World</x:v>
      </x:c>
      <x:c r="C2228" t="str">
        <x:v>Aguni_</x:v>
      </x:c>
      <x:c r="D2228" t="n">
        <x:v>14</x:v>
      </x:c>
      <x:c r="E2228" t="str">
        <x:v>Advanced</x:v>
      </x:c>
      <x:c r="F2228" t="str">
        <x:v>Kaizo</x:v>
      </x:c>
      <x:c r="G2228" t="n">
        <x:v>43383</x:v>
      </x:c>
      <x:c r="H2228" t="str">
        <x:v>18268</x:v>
      </x:c>
      <x:c r="I2228" t="str">
        <x:v>https://www.smwcentral.net/?a=details&amp;id=18268&amp;p=section</x:v>
      </x:c>
      <x:c r="J2228" t="str">
        <x:v>https://dl.smwcentral.net/18268/Super%20Ryu%20World%201.zip</x:v>
      </x:c>
    </x:row>
    <x:row r="2229">
      <x:c r="A2229" t="str">
        <x:v>Super Ryu World 2</x:v>
      </x:c>
      <x:c r="B2229" t="str">
        <x:v>Super Ryu World 2</x:v>
      </x:c>
      <x:c r="C2229" t="str">
        <x:v>Aguni_</x:v>
      </x:c>
      <x:c r="D2229" t="n">
        <x:v>17</x:v>
      </x:c>
      <x:c r="E2229" t="str">
        <x:v>Expert</x:v>
      </x:c>
      <x:c r="F2229" t="str">
        <x:v>Kaizo</x:v>
      </x:c>
      <x:c r="G2229" t="n">
        <x:v>43679</x:v>
      </x:c>
      <x:c r="H2229" t="str">
        <x:v>20717</x:v>
      </x:c>
      <x:c r="I2229" t="str">
        <x:v>https://www.smwcentral.net/?a=details&amp;id=20717&amp;p=section</x:v>
      </x:c>
      <x:c r="J2229" t="str">
        <x:v>https://dl.smwcentral.net/20717/SRW2.zip</x:v>
      </x:c>
    </x:row>
    <x:row r="2230">
      <x:c r="A2230" t="str">
        <x:v>Super Sabor World Deluxe</x:v>
      </x:c>
      <x:c r="B2230" t="str">
        <x:v>Super Sabor World Deluxe</x:v>
      </x:c>
      <x:c r="C2230" t="str">
        <x:v>Valdio</x:v>
      </x:c>
      <x:c r="D2230" t="n">
        <x:v>22</x:v>
      </x:c>
      <x:c r="E2230" t="str">
        <x:v>Expert</x:v>
      </x:c>
      <x:c r="F2230" t="str">
        <x:v>Kaizo</x:v>
      </x:c>
      <x:c r="G2230" t="n">
        <x:v>43409</x:v>
      </x:c>
      <x:c r="H2230" t="str">
        <x:v>18369</x:v>
      </x:c>
      <x:c r="I2230" t="str">
        <x:v>https://www.smwcentral.net/?a=details&amp;id=18369&amp;p=section</x:v>
      </x:c>
      <x:c r="J2230" t="str">
        <x:v>https://dl.smwcentral.net/18369/Super%20Sabor%20World%20Deluxe.zip</x:v>
      </x:c>
    </x:row>
    <x:row r="2231">
      <x:c r="A2231" t="str">
        <x:v>Super Salary World</x:v>
      </x:c>
      <x:c r="B2231" t="str">
        <x:v>Super Salary World</x:v>
      </x:c>
      <x:c r="C2231" t="str">
        <x:v>PopCorn181</x:v>
      </x:c>
      <x:c r="D2231" t="n">
        <x:v>4</x:v>
      </x:c>
      <x:c r="E2231" t="str">
        <x:v>Expert</x:v>
      </x:c>
      <x:c r="F2231" t="str">
        <x:v>Kaizo</x:v>
      </x:c>
      <x:c r="G2231" t="n">
        <x:v>45820</x:v>
      </x:c>
      <x:c r="H2231" t="str">
        <x:v>39968</x:v>
      </x:c>
      <x:c r="I2231" t="str">
        <x:v>https://www.smwcentral.net/?a=details&amp;id=39968&amp;p=section</x:v>
      </x:c>
      <x:c r="J2231" t="str">
        <x:v>https://dl.smwcentral.net/39968/supersalaryworld.zip</x:v>
      </x:c>
    </x:row>
    <x:row r="2232">
      <x:c r="A2232" t="str">
        <x:v>Super Samuroy Adventures</x:v>
      </x:c>
      <x:c r="B2232" t="str">
        <x:v>Super Samuroy Adventures</x:v>
      </x:c>
      <x:c r="C2232" t="str">
        <x:v>Stivi</x:v>
      </x:c>
      <x:c r="D2232" t="n">
        <x:v>11</x:v>
      </x:c>
      <x:c r="E2232" t="str">
        <x:v>Intermediate</x:v>
      </x:c>
      <x:c r="F2232" t="str">
        <x:v>Kaizo, Tool-Assisted</x:v>
      </x:c>
      <x:c r="G2232" t="n">
        <x:v>43102</x:v>
      </x:c>
      <x:c r="H2232" t="str">
        <x:v>16863</x:v>
      </x:c>
      <x:c r="I2232" t="str">
        <x:v>https://www.smwcentral.net/?a=details&amp;id=16863&amp;p=section</x:v>
      </x:c>
      <x:c r="J2232" t="str">
        <x:v>https://dl.smwcentral.net/16863/Super%20Samuroy%20Adventures.zip</x:v>
      </x:c>
    </x:row>
    <x:row r="2233">
      <x:c r="A2233" t="str">
        <x:v>Super Sauce Search</x:v>
      </x:c>
      <x:c r="B2233" t="str">
        <x:v>Super Sauce Search</x:v>
      </x:c>
      <x:c r="C2233" t="str">
        <x:v>Falconpunch, Giga, Impetus, LucasRCD</x:v>
      </x:c>
      <x:c r="D2233" t="n">
        <x:v>10</x:v>
      </x:c>
      <x:c r="E2233" t="str">
        <x:v>Casual</x:v>
      </x:c>
      <x:c r="F2233" t="str">
        <x:v>Standard</x:v>
      </x:c>
      <x:c r="G2233" t="n">
        <x:v>44580</x:v>
      </x:c>
      <x:c r="H2233" t="str">
        <x:v>29464</x:v>
      </x:c>
      <x:c r="I2233" t="str">
        <x:v>https://www.smwcentral.net/?a=details&amp;id=29464&amp;p=section</x:v>
      </x:c>
      <x:c r="J2233" t="str">
        <x:v>https://dl.smwcentral.net/29464/Super%20Sauce%20Search%20-As%20Intended%21-.zip</x:v>
      </x:c>
    </x:row>
    <x:row r="2234">
      <x:c r="A2234" t="str">
        <x:v>Super Schrausch World</x:v>
      </x:c>
      <x:c r="B2234" t="str">
        <x:v>Super Schrausch World</x:v>
      </x:c>
      <x:c r="C2234" t="str">
        <x:v>Rudi_Schrausch</x:v>
      </x:c>
      <x:c r="D2234" t="n">
        <x:v>23</x:v>
      </x:c>
      <x:c r="E2234" t="str">
        <x:v>Expert</x:v>
      </x:c>
      <x:c r="F2234" t="str">
        <x:v>Kaizo</x:v>
      </x:c>
      <x:c r="G2234" t="n">
        <x:v>44677</x:v>
      </x:c>
      <x:c r="H2234" t="str">
        <x:v>30548</x:v>
      </x:c>
      <x:c r="I2234" t="str">
        <x:v>https://www.smwcentral.net/?a=details&amp;id=30548&amp;p=section</x:v>
      </x:c>
      <x:c r="J2234" t="str">
        <x:v>https://dl.smwcentral.net/30548/Super%20Schrausch%20WORLD.zip</x:v>
      </x:c>
    </x:row>
    <x:row r="2235">
      <x:c r="A2235" t="str">
        <x:v>Super Schrausch World 2</x:v>
      </x:c>
      <x:c r="B2235" t="str">
        <x:v>Super Schrausch World 2</x:v>
      </x:c>
      <x:c r="C2235" t="str">
        <x:v>Rudi_Schrausch</x:v>
      </x:c>
      <x:c r="D2235" t="n">
        <x:v>18</x:v>
      </x:c>
      <x:c r="E2235" t="str">
        <x:v>Expert</x:v>
      </x:c>
      <x:c r="F2235" t="str">
        <x:v>Kaizo</x:v>
      </x:c>
      <x:c r="G2235" t="n">
        <x:v>44858</x:v>
      </x:c>
      <x:c r="H2235" t="str">
        <x:v>32345</x:v>
      </x:c>
      <x:c r="I2235" t="str">
        <x:v>https://www.smwcentral.net/?a=details&amp;id=32345&amp;p=section</x:v>
      </x:c>
      <x:c r="J2235" t="str">
        <x:v>https://dl.smwcentral.net/32345/SSW2%20RoS.zip</x:v>
      </x:c>
    </x:row>
    <x:row r="2236">
      <x:c r="A2236" t="str">
        <x:v>Super Sekai World</x:v>
      </x:c>
      <x:c r="B2236" t="str">
        <x:v>Super Sekai World</x:v>
      </x:c>
      <x:c r="C2236" t="str">
        <x:v>ShadoWingx</x:v>
      </x:c>
      <x:c r="D2236" t="n">
        <x:v>25</x:v>
      </x:c>
      <x:c r="E2236" t="str">
        <x:v>Expert</x:v>
      </x:c>
      <x:c r="F2236" t="str">
        <x:v>Kaizo</x:v>
      </x:c>
      <x:c r="G2236" t="n">
        <x:v>43232</x:v>
      </x:c>
      <x:c r="H2236" t="str">
        <x:v>17489</x:v>
      </x:c>
      <x:c r="I2236" t="str">
        <x:v>https://www.smwcentral.net/?a=details&amp;id=17489&amp;p=section</x:v>
      </x:c>
      <x:c r="J2236" t="str">
        <x:v>https://dl.smwcentral.net/17489/Super%20Sekai%20World%201.5.zip</x:v>
      </x:c>
    </x:row>
    <x:row r="2237">
      <x:c r="A2237" t="str">
        <x:v>Super SGES Races season 1+2</x:v>
      </x:c>
      <x:c r="B2237" t="str">
        <x:v>Super SGES Races season 1+2</x:v>
      </x:c>
      <x:c r="C2237" t="str">
        <x:v>RedKitsune</x:v>
      </x:c>
      <x:c r="D2237" t="n">
        <x:v>10</x:v>
      </x:c>
      <x:c r="E2237" t="str">
        <x:v>Intermediate</x:v>
      </x:c>
      <x:c r="F2237" t="str">
        <x:v>Kaizo</x:v>
      </x:c>
      <x:c r="G2237" t="n">
        <x:v>44300</x:v>
      </x:c>
      <x:c r="H2237" t="str">
        <x:v>26747</x:v>
      </x:c>
      <x:c r="I2237" t="str">
        <x:v>https://www.smwcentral.net/?a=details&amp;id=26747&amp;p=section</x:v>
      </x:c>
      <x:c r="J2237" t="str">
        <x:v>https://dl.smwcentral.net/26747/SSGESRs2.zip</x:v>
      </x:c>
    </x:row>
    <x:row r="2238">
      <x:c r="A2238" t="str">
        <x:v>Super Sheffy World 2: The Quest for 5 Shells</x:v>
      </x:c>
      <x:c r="B2238" t="str">
        <x:v>Super Sheffy World 2: The Quest for 5 Shells</x:v>
      </x:c>
      <x:c r="C2238" t="str">
        <x:v>westslasher2</x:v>
      </x:c>
      <x:c r="D2238" t="n">
        <x:v>13</x:v>
      </x:c>
      <x:c r="E2238" t="str">
        <x:v>Master</x:v>
      </x:c>
      <x:c r="F2238" t="str">
        <x:v>Kaizo</x:v>
      </x:c>
      <x:c r="G2238" t="n">
        <x:v>43527</x:v>
      </x:c>
      <x:c r="H2238" t="str">
        <x:v>18698</x:v>
      </x:c>
      <x:c r="I2238" t="str">
        <x:v>https://www.smwcentral.net/?a=details&amp;id=18698&amp;p=section</x:v>
      </x:c>
      <x:c r="J2238" t="str">
        <x:v>https://dl.smwcentral.net/18698/Super%20Sheffy%20World%202%20The%20Quest%20for%20the%205%20Shells%201.04.zip</x:v>
      </x:c>
    </x:row>
    <x:row r="2239">
      <x:c r="A2239" t="str">
        <x:v>Super Sheffy World Deluxe</x:v>
      </x:c>
      <x:c r="B2239" t="str">
        <x:v>Super Sheffy World Deluxe</x:v>
      </x:c>
      <x:c r="C2239" t="str">
        <x:v>westslasher2</x:v>
      </x:c>
      <x:c r="D2239" t="n">
        <x:v>15</x:v>
      </x:c>
      <x:c r="E2239" t="str">
        <x:v>Expert</x:v>
      </x:c>
      <x:c r="F2239" t="str">
        <x:v>Kaizo</x:v>
      </x:c>
      <x:c r="G2239" t="n">
        <x:v>43446</x:v>
      </x:c>
      <x:c r="H2239" t="str">
        <x:v>18422</x:v>
      </x:c>
      <x:c r="I2239" t="str">
        <x:v>https://www.smwcentral.net/?a=details&amp;id=18422&amp;p=section</x:v>
      </x:c>
      <x:c r="J2239" t="str">
        <x:v>https://dl.smwcentral.net/18422/SuperSheffyWorldDeluxe.zip</x:v>
      </x:c>
    </x:row>
    <x:row r="2240">
      <x:c r="A2240" t="str">
        <x:v>Super shell world</x:v>
      </x:c>
      <x:c r="B2240" t="str">
        <x:v>Super shell world</x:v>
      </x:c>
      <x:c r="C2240" t="str">
        <x:v>Pizzagamer9791</x:v>
      </x:c>
      <x:c r="D2240" t="n">
        <x:v>11</x:v>
      </x:c>
      <x:c r="E2240" t="str">
        <x:v>Advanced</x:v>
      </x:c>
      <x:c r="F2240" t="str">
        <x:v>Kaizo</x:v>
      </x:c>
      <x:c r="G2240" t="n">
        <x:v>45377</x:v>
      </x:c>
      <x:c r="H2240" t="str">
        <x:v>37427</x:v>
      </x:c>
      <x:c r="I2240" t="str">
        <x:v>https://www.smwcentral.net/?a=details&amp;id=37427&amp;p=section</x:v>
      </x:c>
      <x:c r="J2240" t="str">
        <x:v>https://dl.smwcentral.net/37427/super%20shell%20world%20v1.2.zip</x:v>
      </x:c>
    </x:row>
    <x:row r="2241">
      <x:c r="A2241" t="str">
        <x:v>Super ShyGuy's Epic Journey</x:v>
      </x:c>
      <x:c r="B2241" t="str">
        <x:v>Super ShyGuy's Epic Journey</x:v>
      </x:c>
      <x:c r="C2241" t="str">
        <x:v>Captain Domas</x:v>
      </x:c>
      <x:c r="D2241" t="n">
        <x:v>9</x:v>
      </x:c>
      <x:c r="E2241" t="str">
        <x:v>Advanced</x:v>
      </x:c>
      <x:c r="F2241" t="str">
        <x:v>Kaizo</x:v>
      </x:c>
      <x:c r="G2241" t="n">
        <x:v>44291</x:v>
      </x:c>
      <x:c r="H2241" t="str">
        <x:v>26670</x:v>
      </x:c>
      <x:c r="I2241" t="str">
        <x:v>https://www.smwcentral.net/?a=details&amp;id=26670&amp;p=section</x:v>
      </x:c>
      <x:c r="J2241" t="str">
        <x:v>https://dl.smwcentral.net/26670/Super%20ShyGuys%20Journey.zip</x:v>
      </x:c>
    </x:row>
    <x:row r="2242">
      <x:c r="A2242" t="str">
        <x:v>Super Sickos World</x:v>
      </x:c>
      <x:c r="B2242" t="str">
        <x:v>Super Sickos World</x:v>
      </x:c>
      <x:c r="C2242" t="str">
        <x:v>Heraga, Nanako, Nitrogen, RussianMan, margot</x:v>
      </x:c>
      <x:c r="D2242" t="n">
        <x:v>11</x:v>
      </x:c>
      <x:c r="E2242" t="str">
        <x:v>Advanced</x:v>
      </x:c>
      <x:c r="F2242" t="str">
        <x:v>Standard</x:v>
      </x:c>
      <x:c r="G2242" t="n">
        <x:v>44554</x:v>
      </x:c>
      <x:c r="H2242" t="str">
        <x:v>29004</x:v>
      </x:c>
      <x:c r="I2242" t="str">
        <x:v>https://www.smwcentral.net/?a=details&amp;id=29004&amp;p=section</x:v>
      </x:c>
      <x:c r="J2242" t="str">
        <x:v>https://dl.smwcentral.net/29004/Sickos1.2.zip</x:v>
      </x:c>
    </x:row>
    <x:row r="2243">
      <x:c r="A2243" t="str">
        <x:v>Super Sigma World</x:v>
      </x:c>
      <x:c r="B2243" t="str">
        <x:v>Super Sigma World</x:v>
      </x:c>
      <x:c r="C2243" t="str">
        <x:v>Firstnamebutt</x:v>
      </x:c>
      <x:c r="D2243" t="n">
        <x:v>14</x:v>
      </x:c>
      <x:c r="E2243" t="str">
        <x:v>Intermediate</x:v>
      </x:c>
      <x:c r="F2243" t="str">
        <x:v>Kaizo</x:v>
      </x:c>
      <x:c r="G2243" t="n">
        <x:v>45509</x:v>
      </x:c>
      <x:c r="H2243" t="str">
        <x:v>38184</x:v>
      </x:c>
      <x:c r="I2243" t="str">
        <x:v>https://www.smwcentral.net/?a=details&amp;id=38184&amp;p=section</x:v>
      </x:c>
      <x:c r="J2243" t="str">
        <x:v>https://dl.smwcentral.net/38184/SuperSigmaWorld.zip</x:v>
      </x:c>
    </x:row>
    <x:row r="2244">
      <x:c r="A2244" t="str">
        <x:v>Super Skyler World</x:v>
      </x:c>
      <x:c r="B2244" t="str">
        <x:v>Super Skyler World</x:v>
      </x:c>
      <x:c r="C2244" t="str">
        <x:v>Uncle_Bones</x:v>
      </x:c>
      <x:c r="D2244" t="n">
        <x:v>3</x:v>
      </x:c>
      <x:c r="E2244" t="str">
        <x:v>Casual</x:v>
      </x:c>
      <x:c r="F2244" t="str">
        <x:v>Standard</x:v>
      </x:c>
      <x:c r="G2244" t="n">
        <x:v>42044</x:v>
      </x:c>
      <x:c r="H2244" t="str">
        <x:v>9794</x:v>
      </x:c>
      <x:c r="I2244" t="str">
        <x:v>https://www.smwcentral.net/?a=details&amp;id=9794&amp;p=section</x:v>
      </x:c>
      <x:c r="J2244" t="str">
        <x:v>https://dl.smwcentral.net/9794/Super%20Skyler%20World.zip</x:v>
      </x:c>
    </x:row>
    <x:row r="2245">
      <x:c r="A2245" t="str">
        <x:v>Super Slider World</x:v>
      </x:c>
      <x:c r="B2245" t="str">
        <x:v>Super Slider World</x:v>
      </x:c>
      <x:c r="C2245" t="str">
        <x:v>ItIzEcks</x:v>
      </x:c>
      <x:c r="D2245" t="n">
        <x:v>7</x:v>
      </x:c>
      <x:c r="E2245" t="str">
        <x:v>Intermediate</x:v>
      </x:c>
      <x:c r="F2245" t="str">
        <x:v>Kaizo</x:v>
      </x:c>
      <x:c r="G2245" t="n">
        <x:v>44683</x:v>
      </x:c>
      <x:c r="H2245" t="str">
        <x:v>30661</x:v>
      </x:c>
      <x:c r="I2245" t="str">
        <x:v>https://www.smwcentral.net/?a=details&amp;id=30661&amp;p=section</x:v>
      </x:c>
      <x:c r="J2245" t="str">
        <x:v>https://dl.smwcentral.net/30661/SliderWorld.zip</x:v>
      </x:c>
    </x:row>
    <x:row r="2246">
      <x:c r="A2246" t="str">
        <x:v>Super Slim World</x:v>
      </x:c>
      <x:c r="B2246" t="str">
        <x:v>Super Slim World</x:v>
      </x:c>
      <x:c r="C2246" t="str">
        <x:v>duders</x:v>
      </x:c>
      <x:c r="D2246" t="n">
        <x:v>18</x:v>
      </x:c>
      <x:c r="E2246" t="str">
        <x:v>Intermediate</x:v>
      </x:c>
      <x:c r="F2246" t="str">
        <x:v>Kaizo</x:v>
      </x:c>
      <x:c r="G2246" t="n">
        <x:v>43646</x:v>
      </x:c>
      <x:c r="H2246" t="str">
        <x:v>20223</x:v>
      </x:c>
      <x:c r="I2246" t="str">
        <x:v>https://www.smwcentral.net/?a=details&amp;id=20223&amp;p=section</x:v>
      </x:c>
      <x:c r="J2246" t="str">
        <x:v>https://dl.smwcentral.net/20223/Super%20Slim%20World%20v1.5.zip</x:v>
      </x:c>
    </x:row>
    <x:row r="2247">
      <x:c r="A2247" t="str">
        <x:v>Super Smile Face World</x:v>
      </x:c>
      <x:c r="B2247" t="str">
        <x:v>Super Smile Face World</x:v>
      </x:c>
      <x:c r="C2247" t="str">
        <x:v>Captain_Hacko</x:v>
      </x:c>
      <x:c r="D2247" t="n">
        <x:v>20</x:v>
      </x:c>
      <x:c r="E2247" t="str">
        <x:v>Newcomer</x:v>
      </x:c>
      <x:c r="F2247" t="str">
        <x:v>Standard</x:v>
      </x:c>
      <x:c r="G2247" t="n">
        <x:v>44065</x:v>
      </x:c>
      <x:c r="H2247" t="str">
        <x:v>24342</x:v>
      </x:c>
      <x:c r="I2247" t="str">
        <x:v>https://www.smwcentral.net/?a=details&amp;id=24342&amp;p=section</x:v>
      </x:c>
      <x:c r="J2247" t="str">
        <x:v>https://dl.smwcentral.net/24342/Super_Smile_Face_World.zip</x:v>
      </x:c>
    </x:row>
    <x:row r="2248">
      <x:c r="A2248" t="str">
        <x:v>Super Special World</x:v>
      </x:c>
      <x:c r="B2248" t="str">
        <x:v>Super Special World</x:v>
      </x:c>
      <x:c r="C2248" t="str">
        <x:v>SMWizard</x:v>
      </x:c>
      <x:c r="D2248" t="n">
        <x:v>105</x:v>
      </x:c>
      <x:c r="E2248" t="str">
        <x:v>Intermediate</x:v>
      </x:c>
      <x:c r="F2248" t="str">
        <x:v>Standard</x:v>
      </x:c>
      <x:c r="G2248" t="n">
        <x:v>44541</x:v>
      </x:c>
      <x:c r="H2248" t="str">
        <x:v>28669</x:v>
      </x:c>
      <x:c r="I2248" t="str">
        <x:v>https://www.smwcentral.net/?a=details&amp;id=28669&amp;p=section</x:v>
      </x:c>
      <x:c r="J2248" t="str">
        <x:v>https://dl.smwcentral.net/28669/SSW_v01.zip</x:v>
      </x:c>
    </x:row>
    <x:row r="2249">
      <x:c r="A2249" t="str">
        <x:v>Super Speed World</x:v>
      </x:c>
      <x:c r="B2249" t="str">
        <x:v>Super Speed World</x:v>
      </x:c>
      <x:c r="C2249" t="str">
        <x:v>Revenge319</x:v>
      </x:c>
      <x:c r="D2249" t="n">
        <x:v>4</x:v>
      </x:c>
      <x:c r="E2249" t="str">
        <x:v>Intermediate</x:v>
      </x:c>
      <x:c r="F2249" t="str">
        <x:v>Standard, Kaizo</x:v>
      </x:c>
      <x:c r="G2249" t="n">
        <x:v>45021</x:v>
      </x:c>
      <x:c r="H2249" t="str">
        <x:v>33637</x:v>
      </x:c>
      <x:c r="I2249" t="str">
        <x:v>https://www.smwcentral.net/?a=details&amp;id=33637&amp;p=section</x:v>
      </x:c>
      <x:c r="J2249" t="str">
        <x:v>https://dl.smwcentral.net/33637/Super%20Speed%20World%20DEMO.zip</x:v>
      </x:c>
    </x:row>
    <x:row r="2250">
      <x:c r="A2250" t="str">
        <x:v>Super Spice World</x:v>
      </x:c>
      <x:c r="B2250" t="str">
        <x:v>Super Spice World</x:v>
      </x:c>
      <x:c r="C2250" t="str">
        <x:v>Randomiser</x:v>
      </x:c>
      <x:c r="D2250" t="n">
        <x:v>6</x:v>
      </x:c>
      <x:c r="E2250" t="str">
        <x:v>Casual</x:v>
      </x:c>
      <x:c r="F2250" t="str">
        <x:v>Standard</x:v>
      </x:c>
      <x:c r="G2250" t="n">
        <x:v>43021</x:v>
      </x:c>
      <x:c r="H2250" t="str">
        <x:v>16432</x:v>
      </x:c>
      <x:c r="I2250" t="str">
        <x:v>https://www.smwcentral.net/?a=details&amp;id=16432&amp;p=section</x:v>
      </x:c>
      <x:c r="J2250" t="str">
        <x:v>https://dl.smwcentral.net/16432/Super%20Spice%20World.zip</x:v>
      </x:c>
    </x:row>
    <x:row r="2251">
      <x:c r="A2251" t="str">
        <x:v>Super Sponge World</x:v>
      </x:c>
      <x:c r="B2251" t="str">
        <x:v>Super Sponge World</x:v>
      </x:c>
      <x:c r="C2251" t="str">
        <x:v>TheGremlin</x:v>
      </x:c>
      <x:c r="D2251" t="n">
        <x:v>5</x:v>
      </x:c>
      <x:c r="E2251" t="str">
        <x:v>Intermediate</x:v>
      </x:c>
      <x:c r="F2251" t="str">
        <x:v>Standard</x:v>
      </x:c>
      <x:c r="G2251" t="n">
        <x:v>43604</x:v>
      </x:c>
      <x:c r="H2251" t="str">
        <x:v>19988</x:v>
      </x:c>
      <x:c r="I2251" t="str">
        <x:v>https://www.smwcentral.net/?a=details&amp;id=19988&amp;p=section</x:v>
      </x:c>
      <x:c r="J2251" t="str">
        <x:v>https://dl.smwcentral.net/19988/SuperSpongeWorld.zip</x:v>
      </x:c>
    </x:row>
    <x:row r="2252">
      <x:c r="A2252" t="str">
        <x:v>Super Stacey World</x:v>
      </x:c>
      <x:c r="B2252" t="str">
        <x:v>Super Stacey World</x:v>
      </x:c>
      <x:c r="C2252" t="str">
        <x:v>dylanofinsanity</x:v>
      </x:c>
      <x:c r="D2252" t="n">
        <x:v>15</x:v>
      </x:c>
      <x:c r="E2252" t="str">
        <x:v>Advanced</x:v>
      </x:c>
      <x:c r="F2252" t="str">
        <x:v>Kaizo</x:v>
      </x:c>
      <x:c r="G2252" t="n">
        <x:v>43409</x:v>
      </x:c>
      <x:c r="H2252" t="str">
        <x:v>18426</x:v>
      </x:c>
      <x:c r="I2252" t="str">
        <x:v>https://www.smwcentral.net/?a=details&amp;id=18426&amp;p=section</x:v>
      </x:c>
      <x:c r="J2252" t="str">
        <x:v>https://dl.smwcentral.net/18426/Super_Stacey_World_1.2.zip</x:v>
      </x:c>
    </x:row>
    <x:row r="2253">
      <x:c r="A2253" t="str">
        <x:v>Super Struggler World</x:v>
      </x:c>
      <x:c r="B2253" t="str">
        <x:v>Super Struggler World</x:v>
      </x:c>
      <x:c r="C2253" t="str">
        <x:v>RecToR_24</x:v>
      </x:c>
      <x:c r="D2253" t="n">
        <x:v>13</x:v>
      </x:c>
      <x:c r="E2253" t="str">
        <x:v>Intermediate</x:v>
      </x:c>
      <x:c r="F2253" t="str">
        <x:v>Kaizo</x:v>
      </x:c>
      <x:c r="G2253" t="n">
        <x:v>45072</x:v>
      </x:c>
      <x:c r="H2253" t="str">
        <x:v>34008</x:v>
      </x:c>
      <x:c r="I2253" t="str">
        <x:v>https://www.smwcentral.net/?a=details&amp;id=34008&amp;p=section</x:v>
      </x:c>
      <x:c r="J2253" t="str">
        <x:v>https://dl.smwcentral.net/34008/Super%20Struggler%20World.zip</x:v>
      </x:c>
    </x:row>
    <x:row r="2254">
      <x:c r="A2254" t="str">
        <x:v>super super com</x:v>
      </x:c>
      <x:c r="B2254" t="str">
        <x:v>super super com</x:v>
      </x:c>
      <x:c r="C2254" t="str">
        <x:v>HeroBr, Togmyoa</x:v>
      </x:c>
      <x:c r="D2254" t="n">
        <x:v>18</x:v>
      </x:c>
      <x:c r="E2254" t="str">
        <x:v>Casual</x:v>
      </x:c>
      <x:c r="F2254" t="str">
        <x:v>Standard</x:v>
      </x:c>
      <x:c r="G2254" t="n">
        <x:v>46099</x:v>
      </x:c>
      <x:c r="H2254" t="str">
        <x:v>41925</x:v>
      </x:c>
      <x:c r="I2254" t="str">
        <x:v>https://www.smwcentral.net/?a=details&amp;id=41925&amp;p=section</x:v>
      </x:c>
      <x:c r="J2254" t="str">
        <x:v>https://dl.smwcentral.net/41925/fire.zip</x:v>
      </x:c>
    </x:row>
    <x:row r="2255">
      <x:c r="A2255" t="str">
        <x:v>Super Super Duper World</x:v>
      </x:c>
      <x:c r="B2255" t="str">
        <x:v>Super Super Duper World</x:v>
      </x:c>
      <x:c r="C2255" t="str">
        <x:v>ihaveonebigeye</x:v>
      </x:c>
      <x:c r="D2255" t="n">
        <x:v>8</x:v>
      </x:c>
      <x:c r="E2255" t="str">
        <x:v>Expert</x:v>
      </x:c>
      <x:c r="F2255" t="str">
        <x:v>Kaizo</x:v>
      </x:c>
      <x:c r="G2255" t="n">
        <x:v>45931</x:v>
      </x:c>
      <x:c r="H2255" t="str">
        <x:v>40699</x:v>
      </x:c>
      <x:c r="I2255" t="str">
        <x:v>https://www.smwcentral.net/?a=details&amp;id=40699&amp;p=section</x:v>
      </x:c>
      <x:c r="J2255" t="str">
        <x:v>https://dl.smwcentral.net/40699/ssdw%201.1.zip</x:v>
      </x:c>
    </x:row>
    <x:row r="2256">
      <x:c r="A2256" t="str">
        <x:v>Super Sweg World</x:v>
      </x:c>
      <x:c r="B2256" t="str">
        <x:v>Super Sweg World</x:v>
      </x:c>
      <x:c r="C2256" t="str">
        <x:v>ElSturge</x:v>
      </x:c>
      <x:c r="D2256" t="n">
        <x:v>8</x:v>
      </x:c>
      <x:c r="E2256" t="str">
        <x:v>Casual</x:v>
      </x:c>
      <x:c r="F2256" t="str">
        <x:v>Standard</x:v>
      </x:c>
      <x:c r="G2256" t="n">
        <x:v>43886</x:v>
      </x:c>
      <x:c r="H2256" t="str">
        <x:v>22141</x:v>
      </x:c>
      <x:c r="I2256" t="str">
        <x:v>https://www.smwcentral.net/?a=details&amp;id=22141&amp;p=section</x:v>
      </x:c>
      <x:c r="J2256" t="str">
        <x:v>https://dl.smwcentral.net/22141/Super%20Sweg%20World.zip</x:v>
      </x:c>
    </x:row>
    <x:row r="2257">
      <x:c r="A2257" t="str">
        <x:v>Super Swordi World</x:v>
      </x:c>
      <x:c r="B2257" t="str">
        <x:v>Super Swordi World</x:v>
      </x:c>
      <x:c r="C2257" t="str">
        <x:v>Sir_Danny_TM</x:v>
      </x:c>
      <x:c r="D2257" t="n">
        <x:v>33</x:v>
      </x:c>
      <x:c r="E2257" t="str">
        <x:v>Expert</x:v>
      </x:c>
      <x:c r="F2257" t="str">
        <x:v>Kaizo</x:v>
      </x:c>
      <x:c r="G2257" t="n">
        <x:v>44159</x:v>
      </x:c>
      <x:c r="H2257" t="str">
        <x:v>25145</x:v>
      </x:c>
      <x:c r="I2257" t="str">
        <x:v>https://www.smwcentral.net/?a=details&amp;id=25145&amp;p=section</x:v>
      </x:c>
      <x:c r="J2257" t="str">
        <x:v>https://dl.smwcentral.net/25145/SuperSwordiWorld%20Vers.%201.0.zip</x:v>
      </x:c>
    </x:row>
    <x:row r="2258">
      <x:c r="A2258" t="str">
        <x:v>Super Swordi World 2</x:v>
      </x:c>
      <x:c r="B2258" t="str">
        <x:v>Super Swordi World 2</x:v>
      </x:c>
      <x:c r="C2258" t="str">
        <x:v>Sir_Danny_TM</x:v>
      </x:c>
      <x:c r="D2258" t="n">
        <x:v>14</x:v>
      </x:c>
      <x:c r="E2258" t="str">
        <x:v>Expert</x:v>
      </x:c>
      <x:c r="F2258" t="str">
        <x:v>Kaizo</x:v>
      </x:c>
      <x:c r="G2258" t="n">
        <x:v>44652</x:v>
      </x:c>
      <x:c r="H2258" t="str">
        <x:v>29988</x:v>
      </x:c>
      <x:c r="I2258" t="str">
        <x:v>https://www.smwcentral.net/?a=details&amp;id=29988&amp;p=section</x:v>
      </x:c>
      <x:c r="J2258" t="str">
        <x:v>https://dl.smwcentral.net/29988/Swordi%20World%202%201.1.zip</x:v>
      </x:c>
    </x:row>
    <x:row r="2259">
      <x:c r="A2259" t="str">
        <x:v>Super Swunsh World</x:v>
      </x:c>
      <x:c r="B2259" t="str">
        <x:v>Super Swunsh World</x:v>
      </x:c>
      <x:c r="C2259" t="str">
        <x:v>ChrizStylez</x:v>
      </x:c>
      <x:c r="D2259" t="n">
        <x:v>11</x:v>
      </x:c>
      <x:c r="E2259" t="str">
        <x:v>Expert</x:v>
      </x:c>
      <x:c r="F2259" t="str">
        <x:v>Kaizo</x:v>
      </x:c>
      <x:c r="G2259" t="n">
        <x:v>43928</x:v>
      </x:c>
      <x:c r="H2259" t="str">
        <x:v>22253</x:v>
      </x:c>
      <x:c r="I2259" t="str">
        <x:v>https://www.smwcentral.net/?a=details&amp;id=22253&amp;p=section</x:v>
      </x:c>
      <x:c r="J2259" t="str">
        <x:v>https://dl.smwcentral.net/22253/Super_Swunsh_World1.1.zip</x:v>
      </x:c>
    </x:row>
    <x:row r="2260">
      <x:c r="A2260" t="str">
        <x:v>Super Swunsh World 2</x:v>
      </x:c>
      <x:c r="B2260" t="str">
        <x:v>Super Swunsh World 2</x:v>
      </x:c>
      <x:c r="C2260" t="str">
        <x:v>ChrizStylez</x:v>
      </x:c>
      <x:c r="D2260" t="n">
        <x:v>17</x:v>
      </x:c>
      <x:c r="E2260" t="str">
        <x:v>Expert</x:v>
      </x:c>
      <x:c r="F2260" t="str">
        <x:v>Kaizo</x:v>
      </x:c>
      <x:c r="G2260" t="n">
        <x:v>44235</x:v>
      </x:c>
      <x:c r="H2260" t="str">
        <x:v>26113</x:v>
      </x:c>
      <x:c r="I2260" t="str">
        <x:v>https://www.smwcentral.net/?a=details&amp;id=26113&amp;p=section</x:v>
      </x:c>
      <x:c r="J2260" t="str">
        <x:v>https://dl.smwcentral.net/26113/Super%20Swunsh%20World%202.zip</x:v>
      </x:c>
    </x:row>
    <x:row r="2261">
      <x:c r="A2261" t="str">
        <x:v>Super Tanoshii World</x:v>
      </x:c>
      <x:c r="B2261" t="str">
        <x:v>Super Tanoshii World</x:v>
      </x:c>
      <x:c r="C2261" t="str">
        <x:v>Firstnamebutt</x:v>
      </x:c>
      <x:c r="D2261" t="n">
        <x:v>9</x:v>
      </x:c>
      <x:c r="E2261" t="str">
        <x:v>Intermediate</x:v>
      </x:c>
      <x:c r="F2261" t="str">
        <x:v>Kaizo</x:v>
      </x:c>
      <x:c r="G2261" t="n">
        <x:v>45632</x:v>
      </x:c>
      <x:c r="H2261" t="str">
        <x:v>38881</x:v>
      </x:c>
      <x:c r="I2261" t="str">
        <x:v>https://www.smwcentral.net/?a=details&amp;id=38881&amp;p=section</x:v>
      </x:c>
      <x:c r="J2261" t="str">
        <x:v>https://dl.smwcentral.net/38881/SuperTanoshiiWorldV2.zip</x:v>
      </x:c>
    </x:row>
    <x:row r="2262">
      <x:c r="A2262" t="str">
        <x:v>Super Tapes World</x:v>
      </x:c>
      <x:c r="B2262" t="str">
        <x:v>Super Tapes World</x:v>
      </x:c>
      <x:c r="C2262" t="str">
        <x:v>Anonymous</x:v>
      </x:c>
      <x:c r="D2262" t="n">
        <x:v>9</x:v>
      </x:c>
      <x:c r="E2262" t="str">
        <x:v>Advanced</x:v>
      </x:c>
      <x:c r="F2262" t="str">
        <x:v>Kaizo</x:v>
      </x:c>
      <x:c r="G2262" t="n">
        <x:v>45819</x:v>
      </x:c>
      <x:c r="H2262" t="str">
        <x:v>39927</x:v>
      </x:c>
      <x:c r="I2262" t="str">
        <x:v>https://www.smwcentral.net/?a=details&amp;id=39927&amp;p=section</x:v>
      </x:c>
      <x:c r="J2262" t="str">
        <x:v>https://dl.smwcentral.net/39927/Super%20Tapes%20World.zip</x:v>
      </x:c>
    </x:row>
    <x:row r="2263">
      <x:c r="A2263" t="str">
        <x:v>Super Tesla World</x:v>
      </x:c>
      <x:c r="B2263" t="str">
        <x:v>Super Tesla World</x:v>
      </x:c>
      <x:c r="C2263" t="str">
        <x:v>MarkAlarm</x:v>
      </x:c>
      <x:c r="D2263" t="n">
        <x:v>20</x:v>
      </x:c>
      <x:c r="E2263" t="str">
        <x:v>Expert</x:v>
      </x:c>
      <x:c r="F2263" t="str">
        <x:v>Kaizo</x:v>
      </x:c>
      <x:c r="G2263" t="n">
        <x:v>43124</x:v>
      </x:c>
      <x:c r="H2263" t="str">
        <x:v>16894</x:v>
      </x:c>
      <x:c r="I2263" t="str">
        <x:v>https://www.smwcentral.net/?a=details&amp;id=16894&amp;p=section</x:v>
      </x:c>
      <x:c r="J2263" t="str">
        <x:v>https://dl.smwcentral.net/16894/Super%20Tesla%20World%20v1.3.zip</x:v>
      </x:c>
    </x:row>
    <x:row r="2264">
      <x:c r="A2264" t="str">
        <x:v>Super Thesis World</x:v>
      </x:c>
      <x:c r="B2264" t="str">
        <x:v>Super Thesis World</x:v>
      </x:c>
      <x:c r="C2264" t="str">
        <x:v>Nikono</x:v>
      </x:c>
      <x:c r="D2264" t="n">
        <x:v>11</x:v>
      </x:c>
      <x:c r="E2264" t="str">
        <x:v>Expert</x:v>
      </x:c>
      <x:c r="F2264" t="str">
        <x:v>Kaizo</x:v>
      </x:c>
      <x:c r="G2264" t="n">
        <x:v>45509</x:v>
      </x:c>
      <x:c r="H2264" t="str">
        <x:v>38166</x:v>
      </x:c>
      <x:c r="I2264" t="str">
        <x:v>https://www.smwcentral.net/?a=details&amp;id=38166&amp;p=section</x:v>
      </x:c>
      <x:c r="J2264" t="str">
        <x:v>https://dl.smwcentral.net/38166/Super_Thesis_World_v1_22.zip</x:v>
      </x:c>
    </x:row>
    <x:row r="2265">
      <x:c r="A2265" t="str">
        <x:v>Super This Hack Is Registered As Leathal Weapon World</x:v>
      </x:c>
      <x:c r="B2265" t="str">
        <x:v>Super This Hack Is Registered As Leathal Weapon World</x:v>
      </x:c>
      <x:c r="C2265" t="str">
        <x:v>51690</x:v>
      </x:c>
      <x:c r="D2265" t="n">
        <x:v>9</x:v>
      </x:c>
      <x:c r="E2265" t="str">
        <x:v>Master</x:v>
      </x:c>
      <x:c r="F2265" t="str">
        <x:v>Kaizo</x:v>
      </x:c>
      <x:c r="G2265" t="n">
        <x:v>44662</x:v>
      </x:c>
      <x:c r="H2265" t="str">
        <x:v>30270</x:v>
      </x:c>
      <x:c r="I2265" t="str">
        <x:v>https://www.smwcentral.net/?a=details&amp;id=30270&amp;p=section</x:v>
      </x:c>
      <x:c r="J2265" t="str">
        <x:v>https://dl.smwcentral.net/30270/Leathal%20W.zip</x:v>
      </x:c>
    </x:row>
    <x:row r="2266">
      <x:c r="A2266" t="str">
        <x:v>Super Toest World</x:v>
      </x:c>
      <x:c r="B2266" t="str">
        <x:v>Super Toest World</x:v>
      </x:c>
      <x:c r="C2266" t="str">
        <x:v>Anonymous</x:v>
      </x:c>
      <x:c r="D2266" t="n">
        <x:v>12</x:v>
      </x:c>
      <x:c r="E2266" t="str">
        <x:v>Expert</x:v>
      </x:c>
      <x:c r="F2266" t="str">
        <x:v>Kaizo</x:v>
      </x:c>
      <x:c r="G2266" t="n">
        <x:v>45668</x:v>
      </x:c>
      <x:c r="H2266" t="str">
        <x:v>39025</x:v>
      </x:c>
      <x:c r="I2266" t="str">
        <x:v>https://www.smwcentral.net/?a=details&amp;id=39025&amp;p=section</x:v>
      </x:c>
      <x:c r="J2266" t="str">
        <x:v>https://dl.smwcentral.net/39025/Super_Toest_World.zip</x:v>
      </x:c>
    </x:row>
    <x:row r="2267">
      <x:c r="A2267" t="str">
        <x:v>Super Toshio World</x:v>
      </x:c>
      <x:c r="B2267" t="str">
        <x:v>Super Toshio World</x:v>
      </x:c>
      <x:c r="C2267" t="str">
        <x:v>megaBC333</x:v>
      </x:c>
      <x:c r="D2267" t="n">
        <x:v>14</x:v>
      </x:c>
      <x:c r="E2267" t="str">
        <x:v>Expert</x:v>
      </x:c>
      <x:c r="F2267" t="str">
        <x:v>Kaizo</x:v>
      </x:c>
      <x:c r="G2267" t="n">
        <x:v>44690</x:v>
      </x:c>
      <x:c r="H2267" t="str">
        <x:v>30836</x:v>
      </x:c>
      <x:c r="I2267" t="str">
        <x:v>https://www.smwcentral.net/?a=details&amp;id=30836&amp;p=section</x:v>
      </x:c>
      <x:c r="J2267" t="str">
        <x:v>https://dl.smwcentral.net/30836/Super_Toshio_World_v1_1.zip</x:v>
      </x:c>
    </x:row>
    <x:row r="2268">
      <x:c r="A2268" t="str">
        <x:v>Super Tr-lol World</x:v>
      </x:c>
      <x:c r="B2268" t="str">
        <x:v>Super Tr-lol World</x:v>
      </x:c>
      <x:c r="C2268" t="str">
        <x:v>Gato_co</x:v>
      </x:c>
      <x:c r="D2268" t="n">
        <x:v>7</x:v>
      </x:c>
      <x:c r="E2268" t="str">
        <x:v>Casual</x:v>
      </x:c>
      <x:c r="F2268" t="str">
        <x:v>Standard</x:v>
      </x:c>
      <x:c r="G2268" t="n">
        <x:v>45877</x:v>
      </x:c>
      <x:c r="H2268" t="str">
        <x:v>40212</x:v>
      </x:c>
      <x:c r="I2268" t="str">
        <x:v>https://www.smwcentral.net/?a=details&amp;id=40212&amp;p=section</x:v>
      </x:c>
      <x:c r="J2268" t="str">
        <x:v>https://dl.smwcentral.net/40212/Super_Trlol_World.zip</x:v>
      </x:c>
    </x:row>
    <x:row r="2269">
      <x:c r="A2269" t="str">
        <x:v>Super UltiMario World</x:v>
      </x:c>
      <x:c r="B2269" t="str">
        <x:v>Super UltiMario World</x:v>
      </x:c>
      <x:c r="C2269" t="str">
        <x:v>UltiMario</x:v>
      </x:c>
      <x:c r="D2269" t="n">
        <x:v>19</x:v>
      </x:c>
      <x:c r="E2269" t="str">
        <x:v>Casual</x:v>
      </x:c>
      <x:c r="F2269" t="str">
        <x:v>Standard</x:v>
      </x:c>
      <x:c r="G2269" t="n">
        <x:v>42003</x:v>
      </x:c>
      <x:c r="H2269" t="str">
        <x:v>9806</x:v>
      </x:c>
      <x:c r="I2269" t="str">
        <x:v>https://www.smwcentral.net/?a=details&amp;id=9806&amp;p=section</x:v>
      </x:c>
      <x:c r="J2269" t="str">
        <x:v>https://dl.smwcentral.net/9806/UltiMario.zip</x:v>
      </x:c>
    </x:row>
    <x:row r="2270">
      <x:c r="A2270" t="str">
        <x:v>Super Unethical Stuff I Built for GlitchCat7 Because He Told Me To World</x:v>
      </x:c>
      <x:c r="B2270" t="str">
        <x:v>Super Unethical Stuff I Built for GlitchCat7 Because He Told Me To World</x:v>
      </x:c>
      <x:c r="C2270" t="str">
        <x:v>shovda</x:v>
      </x:c>
      <x:c r="D2270" t="n">
        <x:v>11</x:v>
      </x:c>
      <x:c r="E2270" t="str">
        <x:v>Master</x:v>
      </x:c>
      <x:c r="F2270" t="str">
        <x:v>Kaizo</x:v>
      </x:c>
      <x:c r="G2270" t="n">
        <x:v>44107</x:v>
      </x:c>
      <x:c r="H2270" t="str">
        <x:v>24457</x:v>
      </x:c>
      <x:c r="I2270" t="str">
        <x:v>https://www.smwcentral.net/?a=details&amp;id=24457&amp;p=section</x:v>
      </x:c>
      <x:c r="J2270" t="str">
        <x:v>https://dl.smwcentral.net/24457/Unethical%201.1.zip</x:v>
      </x:c>
    </x:row>
    <x:row r="2271">
      <x:c r="A2271" t="str">
        <x:v>Super Unethical Stuff I Built for Thabeast721 Because He Told Me To World</x:v>
      </x:c>
      <x:c r="B2271" t="str">
        <x:v>Super Unethical Stuff I Built for Thabeast721 Because He Told Me To World</x:v>
      </x:c>
      <x:c r="C2271" t="str">
        <x:v>shovda</x:v>
      </x:c>
      <x:c r="D2271" t="n">
        <x:v>11</x:v>
      </x:c>
      <x:c r="E2271" t="str">
        <x:v>Master</x:v>
      </x:c>
      <x:c r="F2271" t="str">
        <x:v>Kaizo</x:v>
      </x:c>
      <x:c r="G2271" t="n">
        <x:v>45300</x:v>
      </x:c>
      <x:c r="H2271" t="str">
        <x:v>35795</x:v>
      </x:c>
      <x:c r="I2271" t="str">
        <x:v>https://www.smwcentral.net/?a=details&amp;id=35795&amp;p=section</x:v>
      </x:c>
      <x:c r="J2271" t="str">
        <x:v>https://dl.smwcentral.net/35795/Unethical2.zip</x:v>
      </x:c>
    </x:row>
    <x:row r="2272">
      <x:c r="A2272" t="str">
        <x:v>Super Vanilla World</x:v>
      </x:c>
      <x:c r="B2272" t="str">
        <x:v>Super Vanilla World</x:v>
      </x:c>
      <x:c r="C2272" t="str">
        <x:v>Nanashi</x:v>
      </x:c>
      <x:c r="D2272" t="n">
        <x:v>23</x:v>
      </x:c>
      <x:c r="E2272" t="str">
        <x:v>Casual</x:v>
      </x:c>
      <x:c r="F2272" t="str">
        <x:v>Standard</x:v>
      </x:c>
      <x:c r="G2272" t="n">
        <x:v>43473</x:v>
      </x:c>
      <x:c r="H2272" t="str">
        <x:v>18860</x:v>
      </x:c>
      <x:c r="I2272" t="str">
        <x:v>https://www.smwcentral.net/?a=details&amp;id=18860&amp;p=section</x:v>
      </x:c>
      <x:c r="J2272" t="str">
        <x:v>https://dl.smwcentral.net/18860/Super%20Vanilla%20World%20%28v1.1%29.zip</x:v>
      </x:c>
    </x:row>
    <x:row r="2273">
      <x:c r="A2273" t="str">
        <x:v>Super Video World</x:v>
      </x:c>
      <x:c r="B2273" t="str">
        <x:v>Super Video World</x:v>
      </x:c>
      <x:c r="C2273" t="str">
        <x:v>FantasticFox</x:v>
      </x:c>
      <x:c r="D2273" t="n">
        <x:v>17</x:v>
      </x:c>
      <x:c r="E2273" t="str">
        <x:v>Intermediate</x:v>
      </x:c>
      <x:c r="F2273" t="str">
        <x:v>Kaizo</x:v>
      </x:c>
      <x:c r="G2273" t="n">
        <x:v>45146</x:v>
      </x:c>
      <x:c r="H2273" t="str">
        <x:v>34766</x:v>
      </x:c>
      <x:c r="I2273" t="str">
        <x:v>https://www.smwcentral.net/?a=details&amp;id=34766&amp;p=section</x:v>
      </x:c>
      <x:c r="J2273" t="str">
        <x:v>https://dl.smwcentral.net/34766/svw%201.5.zip</x:v>
      </x:c>
    </x:row>
    <x:row r="2274">
      <x:c r="A2274" t="str">
        <x:v>Super Video World 2</x:v>
      </x:c>
      <x:c r="B2274" t="str">
        <x:v>Super Video World 2</x:v>
      </x:c>
      <x:c r="C2274" t="str">
        <x:v>FantasticFox</x:v>
      </x:c>
      <x:c r="D2274" t="n">
        <x:v>11</x:v>
      </x:c>
      <x:c r="E2274" t="str">
        <x:v>Advanced</x:v>
      </x:c>
      <x:c r="F2274" t="str">
        <x:v>Kaizo</x:v>
      </x:c>
      <x:c r="G2274" t="n">
        <x:v>45301</x:v>
      </x:c>
      <x:c r="H2274" t="str">
        <x:v>36587</x:v>
      </x:c>
      <x:c r="I2274" t="str">
        <x:v>https://www.smwcentral.net/?a=details&amp;id=36587&amp;p=section</x:v>
      </x:c>
      <x:c r="J2274" t="str">
        <x:v>https://dl.smwcentral.net/36587/Super%20Video%20World%202.zip</x:v>
      </x:c>
    </x:row>
    <x:row r="2275">
      <x:c r="A2275" t="str">
        <x:v>Super Wahnthac World</x:v>
      </x:c>
      <x:c r="B2275" t="str">
        <x:v>Super Wahnthac World</x:v>
      </x:c>
      <x:c r="C2275" t="str">
        <x:v>westslasher2</x:v>
      </x:c>
      <x:c r="D2275" t="n">
        <x:v>11</x:v>
      </x:c>
      <x:c r="E2275" t="str">
        <x:v>Expert</x:v>
      </x:c>
      <x:c r="F2275" t="str">
        <x:v>Kaizo</x:v>
      </x:c>
      <x:c r="G2275" t="n">
        <x:v>43409</x:v>
      </x:c>
      <x:c r="H2275" t="str">
        <x:v>18368</x:v>
      </x:c>
      <x:c r="I2275" t="str">
        <x:v>https://www.smwcentral.net/?a=details&amp;id=18368&amp;p=section</x:v>
      </x:c>
      <x:c r="J2275" t="str">
        <x:v>https://dl.smwcentral.net/18368/SuperWahnthacWorld1.4.zip</x:v>
      </x:c>
    </x:row>
    <x:row r="2276">
      <x:c r="A2276" t="str">
        <x:v>Super Wahnthac World 2</x:v>
      </x:c>
      <x:c r="B2276" t="str">
        <x:v>Super Wahnthac World 2</x:v>
      </x:c>
      <x:c r="C2276" t="str">
        <x:v>westslasher2</x:v>
      </x:c>
      <x:c r="D2276" t="n">
        <x:v>12</x:v>
      </x:c>
      <x:c r="E2276" t="str">
        <x:v>Expert</x:v>
      </x:c>
      <x:c r="F2276" t="str">
        <x:v>Kaizo</x:v>
      </x:c>
      <x:c r="G2276" t="n">
        <x:v>43405</x:v>
      </x:c>
      <x:c r="H2276" t="str">
        <x:v>18297</x:v>
      </x:c>
      <x:c r="I2276" t="str">
        <x:v>https://www.smwcentral.net/?a=details&amp;id=18297&amp;p=section</x:v>
      </x:c>
      <x:c r="J2276" t="str">
        <x:v>https://dl.smwcentral.net/18297/Super%20Wahnthac%20World%202%20Demo.zip</x:v>
      </x:c>
    </x:row>
    <x:row r="2277">
      <x:c r="A2277" t="str">
        <x:v>Super Wakana Land</x:v>
      </x:c>
      <x:c r="B2277" t="str">
        <x:v>Super Wakana Land</x:v>
      </x:c>
      <x:c r="C2277" t="str">
        <x:v>Wakana</x:v>
      </x:c>
      <x:c r="D2277" t="n">
        <x:v>69</x:v>
      </x:c>
      <x:c r="E2277" t="str">
        <x:v>Advanced</x:v>
      </x:c>
      <x:c r="F2277" t="str">
        <x:v>Standard</x:v>
      </x:c>
      <x:c r="G2277" t="n">
        <x:v>43314</x:v>
      </x:c>
      <x:c r="H2277" t="str">
        <x:v>17982</x:v>
      </x:c>
      <x:c r="I2277" t="str">
        <x:v>https://www.smwcentral.net/?a=details&amp;id=17982&amp;p=section</x:v>
      </x:c>
      <x:c r="J2277" t="str">
        <x:v>https://dl.smwcentral.net/17982/SWL2.1.1.zip</x:v>
      </x:c>
    </x:row>
    <x:row r="2278">
      <x:c r="A2278" t="str">
        <x:v>Super Waluigi World Thwompz Fortress</x:v>
      </x:c>
      <x:c r="B2278" t="str">
        <x:v>Super Waluigi World Thwompz Fortress</x:v>
      </x:c>
      <x:c r="C2278" t="str">
        <x:v>Cartridge King</x:v>
      </x:c>
      <x:c r="D2278" t="n">
        <x:v>11</x:v>
      </x:c>
      <x:c r="E2278" t="str">
        <x:v>Intermediate</x:v>
      </x:c>
      <x:c r="F2278" t="str">
        <x:v>Kaizo</x:v>
      </x:c>
      <x:c r="G2278" t="n">
        <x:v>44452</x:v>
      </x:c>
      <x:c r="H2278" t="str">
        <x:v>28294</x:v>
      </x:c>
      <x:c r="I2278" t="str">
        <x:v>https://www.smwcentral.net/?a=details&amp;id=28294&amp;p=section</x:v>
      </x:c>
      <x:c r="J2278" t="str">
        <x:v>https://dl.smwcentral.net/28294/Super_Waluigi_World.zip</x:v>
      </x:c>
    </x:row>
    <x:row r="2279">
      <x:c r="A2279" t="str">
        <x:v>Super Waluigi: Rescue Wario</x:v>
      </x:c>
      <x:c r="B2279" t="str">
        <x:v>Super Waluigi: Rescue Wario</x:v>
      </x:c>
      <x:c r="C2279" t="str">
        <x:v>Green Jerry</x:v>
      </x:c>
      <x:c r="D2279" t="n">
        <x:v>11</x:v>
      </x:c>
      <x:c r="E2279" t="str">
        <x:v>Casual</x:v>
      </x:c>
      <x:c r="F2279" t="str">
        <x:v>Standard</x:v>
      </x:c>
      <x:c r="G2279" t="n">
        <x:v>46215</x:v>
      </x:c>
      <x:c r="H2279" t="str">
        <x:v>42614</x:v>
      </x:c>
      <x:c r="I2279" t="str">
        <x:v>https://www.smwcentral.net/?a=details&amp;id=42614&amp;p=section</x:v>
      </x:c>
      <x:c r="J2279" t="str">
        <x:v>https://dl.smwcentral.net/42614/Super%20Waluigi%20-%20Rescue%20Wario%20v1.4.zip</x:v>
      </x:c>
    </x:row>
    <x:row r="2280">
      <x:c r="A2280" t="str">
        <x:v>Super Wario World</x:v>
      </x:c>
      <x:c r="B2280" t="str">
        <x:v>Super Wario World</x:v>
      </x:c>
      <x:c r="C2280" t="str">
        <x:v>Magmatic</x:v>
      </x:c>
      <x:c r="D2280" t="n">
        <x:v>31</x:v>
      </x:c>
      <x:c r="E2280" t="str">
        <x:v>Advanced</x:v>
      </x:c>
      <x:c r="F2280" t="str">
        <x:v>Kaizo</x:v>
      </x:c>
      <x:c r="G2280" t="n">
        <x:v>43735</x:v>
      </x:c>
      <x:c r="H2280" t="str">
        <x:v>21088</x:v>
      </x:c>
      <x:c r="I2280" t="str">
        <x:v>https://www.smwcentral.net/?a=details&amp;id=21088&amp;p=section</x:v>
      </x:c>
      <x:c r="J2280" t="str">
        <x:v>https://dl.smwcentral.net/21088/Super%20Wario%20World.zip</x:v>
      </x:c>
    </x:row>
    <x:row r="2281">
      <x:c r="A2281" t="str">
        <x:v>Super Wario World 2: The Four Castles</x:v>
      </x:c>
      <x:c r="B2281" t="str">
        <x:v>Super Wario World 2: The Four Castles</x:v>
      </x:c>
      <x:c r="C2281" t="str">
        <x:v>Magmatic</x:v>
      </x:c>
      <x:c r="D2281" t="n">
        <x:v>22</x:v>
      </x:c>
      <x:c r="E2281" t="str">
        <x:v>Expert</x:v>
      </x:c>
      <x:c r="F2281" t="str">
        <x:v>Kaizo</x:v>
      </x:c>
      <x:c r="G2281" t="n">
        <x:v>43977</x:v>
      </x:c>
      <x:c r="H2281" t="str">
        <x:v>23049</x:v>
      </x:c>
      <x:c r="I2281" t="str">
        <x:v>https://www.smwcentral.net/?a=details&amp;id=23049&amp;p=section</x:v>
      </x:c>
      <x:c r="J2281" t="str">
        <x:v>https://dl.smwcentral.net/23049/Super%20Wario%20World%202%20-%20The%20Four%20Castles.zip</x:v>
      </x:c>
    </x:row>
    <x:row r="2282">
      <x:c r="A2282" t="str">
        <x:v>Super Wario World Mini Quest Update 2 + Bonus Pack</x:v>
      </x:c>
      <x:c r="B2282" t="str">
        <x:v>Super Wario World Mini Quest Update 2 + Bonus Pack</x:v>
      </x:c>
      <x:c r="C2282" t="str">
        <x:v>Alex No</x:v>
      </x:c>
      <x:c r="D2282" t="n">
        <x:v>23</x:v>
      </x:c>
      <x:c r="E2282" t="str">
        <x:v>Casual</x:v>
      </x:c>
      <x:c r="F2282" t="str">
        <x:v>Standard</x:v>
      </x:c>
      <x:c r="G2282" t="n">
        <x:v>41563</x:v>
      </x:c>
      <x:c r="H2282" t="str">
        <x:v>5003</x:v>
      </x:c>
      <x:c r="I2282" t="str">
        <x:v>https://www.smwcentral.net/?a=details&amp;id=5003&amp;p=section</x:v>
      </x:c>
      <x:c r="J2282" t="str">
        <x:v>https://dl.smwcentral.net/5003/Super%20Wario%20World%20Mini%20Quest%20Update%202%20%2B%202%20Bonus%20Games%20%28You%20need%20SMB%201%20and%20SMB%202%20roms%20and%20emulator%20for%20play%29%20%281%29.zip</x:v>
      </x:c>
    </x:row>
    <x:row r="2283">
      <x:c r="A2283" t="str">
        <x:v>Super Weekend World</x:v>
      </x:c>
      <x:c r="B2283" t="str">
        <x:v>Super Weekend World</x:v>
      </x:c>
      <x:c r="C2283" t="str">
        <x:v>AmazingChest</x:v>
      </x:c>
      <x:c r="D2283" t="n">
        <x:v>3</x:v>
      </x:c>
      <x:c r="E2283" t="str">
        <x:v>Intermediate</x:v>
      </x:c>
      <x:c r="F2283" t="str">
        <x:v>Kaizo</x:v>
      </x:c>
      <x:c r="G2283" t="n">
        <x:v>43866</x:v>
      </x:c>
      <x:c r="H2283" t="str">
        <x:v>22088</x:v>
      </x:c>
      <x:c r="I2283" t="str">
        <x:v>https://www.smwcentral.net/?a=details&amp;id=22088&amp;p=section</x:v>
      </x:c>
      <x:c r="J2283" t="str">
        <x:v>https://dl.smwcentral.net/22088/super-weekend-world_v10.zip</x:v>
      </x:c>
    </x:row>
    <x:row r="2284">
      <x:c r="A2284" t="str">
        <x:v>Super What World</x:v>
      </x:c>
      <x:c r="B2284" t="str">
        <x:v>Super What World</x:v>
      </x:c>
      <x:c r="C2284" t="str">
        <x:v>SolveForX</x:v>
      </x:c>
      <x:c r="D2284" t="n">
        <x:v>3</x:v>
      </x:c>
      <x:c r="E2284" t="str">
        <x:v>Master</x:v>
      </x:c>
      <x:c r="F2284" t="str">
        <x:v>Kaizo, Puzzle</x:v>
      </x:c>
      <x:c r="G2284" t="n">
        <x:v>45424</x:v>
      </x:c>
      <x:c r="H2284" t="str">
        <x:v>37763</x:v>
      </x:c>
      <x:c r="I2284" t="str">
        <x:v>https://www.smwcentral.net/?a=details&amp;id=37763&amp;p=section</x:v>
      </x:c>
      <x:c r="J2284" t="str">
        <x:v>https://dl.smwcentral.net/37763/SuperWhatWorld.zip</x:v>
      </x:c>
    </x:row>
    <x:row r="2285">
      <x:c r="A2285" t="str">
        <x:v>Super Whatever Quest!!!</x:v>
      </x:c>
      <x:c r="B2285" t="str">
        <x:v>Super Whatever Quest!!!</x:v>
      </x:c>
      <x:c r="C2285" t="str">
        <x:v>NewPointless</x:v>
      </x:c>
      <x:c r="D2285" t="n">
        <x:v>36</x:v>
      </x:c>
      <x:c r="E2285" t="str">
        <x:v>Advanced</x:v>
      </x:c>
      <x:c r="F2285" t="str">
        <x:v>Standard, Kaizo</x:v>
      </x:c>
      <x:c r="G2285" t="n">
        <x:v>45732</x:v>
      </x:c>
      <x:c r="H2285" t="str">
        <x:v>39555</x:v>
      </x:c>
      <x:c r="I2285" t="str">
        <x:v>https://www.smwcentral.net/?a=details&amp;id=39555&amp;p=section</x:v>
      </x:c>
      <x:c r="J2285" t="str">
        <x:v>https://dl.smwcentral.net/39555/SuperWhateverQuest1_1.zip</x:v>
      </x:c>
    </x:row>
    <x:row r="2286">
      <x:c r="A2286" t="str">
        <x:v>Super Wisdom Quest</x:v>
      </x:c>
      <x:c r="B2286" t="str">
        <x:v>Super Wisdom Quest</x:v>
      </x:c>
      <x:c r="C2286" t="str">
        <x:v>Tracchete</x:v>
      </x:c>
      <x:c r="D2286" t="n">
        <x:v>25</x:v>
      </x:c>
      <x:c r="E2286" t="str">
        <x:v>Intermediate</x:v>
      </x:c>
      <x:c r="F2286" t="str">
        <x:v>Standard</x:v>
      </x:c>
      <x:c r="G2286" t="n">
        <x:v>44372</x:v>
      </x:c>
      <x:c r="H2286" t="str">
        <x:v>26783</x:v>
      </x:c>
      <x:c r="I2286" t="str">
        <x:v>https://www.smwcentral.net/?a=details&amp;id=26783&amp;p=section</x:v>
      </x:c>
      <x:c r="J2286" t="str">
        <x:v>https://dl.smwcentral.net/26783/Super%20Wisdom%20Quest.zip</x:v>
      </x:c>
    </x:row>
    <x:row r="2287">
      <x:c r="A2287" t="str">
        <x:v>Super World</x:v>
      </x:c>
      <x:c r="B2287" t="str">
        <x:v>Super World</x:v>
      </x:c>
      <x:c r="C2287" t="str">
        <x:v>MMXWL</x:v>
      </x:c>
      <x:c r="D2287" t="n">
        <x:v>14</x:v>
      </x:c>
      <x:c r="E2287" t="str">
        <x:v>Advanced</x:v>
      </x:c>
      <x:c r="F2287" t="str">
        <x:v>Kaizo</x:v>
      </x:c>
      <x:c r="G2287" t="n">
        <x:v>44364</x:v>
      </x:c>
      <x:c r="H2287" t="str">
        <x:v>27303</x:v>
      </x:c>
      <x:c r="I2287" t="str">
        <x:v>https://www.smwcentral.net/?a=details&amp;id=27303&amp;p=section</x:v>
      </x:c>
      <x:c r="J2287" t="str">
        <x:v>https://dl.smwcentral.net/27303/Super_World.zip</x:v>
      </x:c>
    </x:row>
    <x:row r="2288">
      <x:c r="A2288" t="str">
        <x:v>Super Wow</x:v>
      </x:c>
      <x:c r="B2288" t="str">
        <x:v>Super Wow</x:v>
      </x:c>
      <x:c r="C2288" t="str">
        <x:v>Firstnamebutt</x:v>
      </x:c>
      <x:c r="D2288" t="n">
        <x:v>13</x:v>
      </x:c>
      <x:c r="E2288" t="str">
        <x:v>Intermediate</x:v>
      </x:c>
      <x:c r="F2288" t="str">
        <x:v>Kaizo</x:v>
      </x:c>
      <x:c r="G2288" t="n">
        <x:v>45819</x:v>
      </x:c>
      <x:c r="H2288" t="str">
        <x:v>39972</x:v>
      </x:c>
      <x:c r="I2288" t="str">
        <x:v>https://www.smwcentral.net/?a=details&amp;id=39972&amp;p=section</x:v>
      </x:c>
      <x:c r="J2288" t="str">
        <x:v>https://dl.smwcentral.net/39972/SuperWow1.1.zip</x:v>
      </x:c>
    </x:row>
    <x:row r="2289">
      <x:c r="A2289" t="str">
        <x:v>Super Xtreme World</x:v>
      </x:c>
      <x:c r="B2289" t="str">
        <x:v>Super Xtreme World</x:v>
      </x:c>
      <x:c r="C2289" t="str">
        <x:v>Infrared</x:v>
      </x:c>
      <x:c r="D2289" t="n">
        <x:v>11</x:v>
      </x:c>
      <x:c r="E2289" t="str">
        <x:v>Casual</x:v>
      </x:c>
      <x:c r="F2289" t="str">
        <x:v>Standard</x:v>
      </x:c>
      <x:c r="G2289" t="n">
        <x:v>42266</x:v>
      </x:c>
      <x:c r="H2289" t="str">
        <x:v>9995</x:v>
      </x:c>
      <x:c r="I2289" t="str">
        <x:v>https://www.smwcentral.net/?a=details&amp;id=9995&amp;p=section</x:v>
      </x:c>
      <x:c r="J2289" t="str">
        <x:v>https://dl.smwcentral.net/9995/Super%20Xtreme%20World.zip</x:v>
      </x:c>
    </x:row>
    <x:row r="2290">
      <x:c r="A2290" t="str">
        <x:v>Super Yeet World</x:v>
      </x:c>
      <x:c r="B2290" t="str">
        <x:v>Super Yeet World</x:v>
      </x:c>
      <x:c r="C2290" t="str">
        <x:v>KennyJ</x:v>
      </x:c>
      <x:c r="D2290" t="n">
        <x:v>7</x:v>
      </x:c>
      <x:c r="E2290" t="str">
        <x:v>Expert</x:v>
      </x:c>
      <x:c r="F2290" t="str">
        <x:v>Kaizo</x:v>
      </x:c>
      <x:c r="G2290" t="n">
        <x:v>44518</x:v>
      </x:c>
      <x:c r="H2290" t="str">
        <x:v>28837</x:v>
      </x:c>
      <x:c r="I2290" t="str">
        <x:v>https://www.smwcentral.net/?a=details&amp;id=28837&amp;p=section</x:v>
      </x:c>
      <x:c r="J2290" t="str">
        <x:v>https://dl.smwcentral.net/28837/Super%20Yeet%20World.zip</x:v>
      </x:c>
    </x:row>
    <x:row r="2291">
      <x:c r="A2291" t="str">
        <x:v>Super Yoshi's Land 1 – An Adventure to Rescue Mario!</x:v>
      </x:c>
      <x:c r="B2291" t="str">
        <x:v>Super Yoshi's Land 1 – An Adventure to Rescue Mario!</x:v>
      </x:c>
      <x:c r="C2291" t="str">
        <x:v>Major Flare</x:v>
      </x:c>
      <x:c r="D2291" t="n">
        <x:v>25</x:v>
      </x:c>
      <x:c r="E2291" t="str">
        <x:v>Casual</x:v>
      </x:c>
      <x:c r="F2291" t="str">
        <x:v>Standard</x:v>
      </x:c>
      <x:c r="G2291" t="n">
        <x:v>42266</x:v>
      </x:c>
      <x:c r="H2291" t="str">
        <x:v>10009</x:v>
      </x:c>
      <x:c r="I2291" t="str">
        <x:v>https://www.smwcentral.net/?a=details&amp;id=10009&amp;p=section</x:v>
      </x:c>
      <x:c r="J2291" t="str">
        <x:v>https://dl.smwcentral.net/10009/Yoshi%27s%20Land%201.zip</x:v>
      </x:c>
    </x:row>
    <x:row r="2292">
      <x:c r="A2292" t="str">
        <x:v>super you are the best</x:v>
      </x:c>
      <x:c r="B2292" t="str">
        <x:v>super you are the best</x:v>
      </x:c>
      <x:c r="C2292" t="str">
        <x:v>thejhonny-ador</x:v>
      </x:c>
      <x:c r="D2292" t="n">
        <x:v>16</x:v>
      </x:c>
      <x:c r="E2292" t="str">
        <x:v>Expert</x:v>
      </x:c>
      <x:c r="F2292" t="str">
        <x:v>Kaizo</x:v>
      </x:c>
      <x:c r="G2292" t="n">
        <x:v>43750</x:v>
      </x:c>
      <x:c r="H2292" t="str">
        <x:v>21303</x:v>
      </x:c>
      <x:c r="I2292" t="str">
        <x:v>https://www.smwcentral.net/?a=details&amp;id=21303&amp;p=section</x:v>
      </x:c>
      <x:c r="J2292" t="str">
        <x:v>https://dl.smwcentral.net/21303/SYATB.zip</x:v>
      </x:c>
    </x:row>
    <x:row r="2293">
      <x:c r="A2293" t="str">
        <x:v>Super Zoulzi World</x:v>
      </x:c>
      <x:c r="B2293" t="str">
        <x:v>Super Zoulzi World</x:v>
      </x:c>
      <x:c r="C2293" t="str">
        <x:v>Dreekius</x:v>
      </x:c>
      <x:c r="D2293" t="n">
        <x:v>3</x:v>
      </x:c>
      <x:c r="E2293" t="str">
        <x:v>Advanced</x:v>
      </x:c>
      <x:c r="F2293" t="str">
        <x:v>Kaizo</x:v>
      </x:c>
      <x:c r="G2293" t="n">
        <x:v>43917</x:v>
      </x:c>
      <x:c r="H2293" t="str">
        <x:v>22479</x:v>
      </x:c>
      <x:c r="I2293" t="str">
        <x:v>https://www.smwcentral.net/?a=details&amp;id=22479&amp;p=section</x:v>
      </x:c>
      <x:c r="J2293" t="str">
        <x:v>https://dl.smwcentral.net/22479/SuperZoulziWorld.zip</x:v>
      </x:c>
    </x:row>
    <x:row r="2294">
      <x:c r="A2294" t="str">
        <x:v>Super “Dark” World</x:v>
      </x:c>
      <x:c r="B2294" t="str">
        <x:v>Super “Dark” World</x:v>
      </x:c>
      <x:c r="C2294" t="str">
        <x:v>Deoxys594</x:v>
      </x:c>
      <x:c r="D2294" t="n">
        <x:v>6</x:v>
      </x:c>
      <x:c r="E2294" t="str">
        <x:v>Casual</x:v>
      </x:c>
      <x:c r="F2294" t="str">
        <x:v>Standard</x:v>
      </x:c>
      <x:c r="G2294" t="n">
        <x:v>42265</x:v>
      </x:c>
      <x:c r="H2294" t="str">
        <x:v>10020</x:v>
      </x:c>
      <x:c r="I2294" t="str">
        <x:v>https://www.smwcentral.net/?a=details&amp;id=10020&amp;p=section</x:v>
      </x:c>
      <x:c r="J2294" t="str">
        <x:v>https://dl.smwcentral.net/10020/super%20dark%20world%20%281st%20demo%29.zip</x:v>
      </x:c>
    </x:row>
    <x:row r="2295">
      <x:c r="A2295" t="str">
        <x:v>Supercontinent World</x:v>
      </x:c>
      <x:c r="B2295" t="str">
        <x:v>Supercontinent World</x:v>
      </x:c>
      <x:c r="C2295" t="str">
        <x:v>Morsel</x:v>
      </x:c>
      <x:c r="D2295" t="n">
        <x:v>12</x:v>
      </x:c>
      <x:c r="E2295" t="str">
        <x:v>Master</x:v>
      </x:c>
      <x:c r="F2295" t="str">
        <x:v>Kaizo</x:v>
      </x:c>
      <x:c r="G2295" t="n">
        <x:v>43843</x:v>
      </x:c>
      <x:c r="H2295" t="str">
        <x:v>21910</x:v>
      </x:c>
      <x:c r="I2295" t="str">
        <x:v>https://www.smwcentral.net/?a=details&amp;id=21910&amp;p=section</x:v>
      </x:c>
      <x:c r="J2295" t="str">
        <x:v>https://dl.smwcentral.net/21910/supercontinent1.1.zip</x:v>
      </x:c>
    </x:row>
    <x:row r="2296">
      <x:c r="A2296" t="str">
        <x:v>SuperKazuWorld</x:v>
      </x:c>
      <x:c r="B2296" t="str">
        <x:v>SuperKazuWorld</x:v>
      </x:c>
      <x:c r="C2296" t="str">
        <x:v>Wieus96</x:v>
      </x:c>
      <x:c r="D2296" t="n">
        <x:v>9</x:v>
      </x:c>
      <x:c r="E2296" t="str">
        <x:v>Expert</x:v>
      </x:c>
      <x:c r="F2296" t="str">
        <x:v>Kaizo</x:v>
      </x:c>
      <x:c r="G2296" t="n">
        <x:v>42959</x:v>
      </x:c>
      <x:c r="H2296" t="str">
        <x:v>16029</x:v>
      </x:c>
      <x:c r="I2296" t="str">
        <x:v>https://www.smwcentral.net/?a=details&amp;id=16029&amp;p=section</x:v>
      </x:c>
      <x:c r="J2296" t="str">
        <x:v>https://dl.smwcentral.net/16029/SuperKazuWorld%20V1.3.zip</x:v>
      </x:c>
    </x:row>
    <x:row r="2297">
      <x:c r="A2297" t="str">
        <x:v>supernaydropzsmm2</x:v>
      </x:c>
      <x:c r="B2297" t="str">
        <x:v>supernaydropzsmm2</x:v>
      </x:c>
      <x:c r="C2297" t="str">
        <x:v>MiamidropzSMM2</x:v>
      </x:c>
      <x:c r="D2297" t="n">
        <x:v>15</x:v>
      </x:c>
      <x:c r="E2297" t="str">
        <x:v>Intermediate</x:v>
      </x:c>
      <x:c r="F2297" t="str">
        <x:v>Kaizo</x:v>
      </x:c>
      <x:c r="G2297" t="n">
        <x:v>45815</x:v>
      </x:c>
      <x:c r="H2297" t="str">
        <x:v>39957</x:v>
      </x:c>
      <x:c r="I2297" t="str">
        <x:v>https://www.smwcentral.net/?a=details&amp;id=39957&amp;p=section</x:v>
      </x:c>
      <x:c r="J2297" t="str">
        <x:v>https://dl.smwcentral.net/39957/supernaydropzsmm2.zip</x:v>
      </x:c>
    </x:row>
    <x:row r="2298">
      <x:c r="A2298" t="str">
        <x:v>Superstar Mario World</x:v>
      </x:c>
      <x:c r="B2298" t="str">
        <x:v>Superstar Mario World</x:v>
      </x:c>
      <x:c r="C2298" t="str">
        <x:v>Stivi</x:v>
      </x:c>
      <x:c r="D2298" t="n">
        <x:v>63</x:v>
      </x:c>
      <x:c r="E2298" t="str">
        <x:v>Intermediate</x:v>
      </x:c>
      <x:c r="F2298" t="str">
        <x:v>Standard</x:v>
      </x:c>
      <x:c r="G2298" t="n">
        <x:v>43576</x:v>
      </x:c>
      <x:c r="H2298" t="str">
        <x:v>19369</x:v>
      </x:c>
      <x:c r="I2298" t="str">
        <x:v>https://www.smwcentral.net/?a=details&amp;id=19369&amp;p=section</x:v>
      </x:c>
      <x:c r="J2298" t="str">
        <x:v>https://dl.smwcentral.net/19369/Superstar%20Mario%20World%201.5.zip</x:v>
      </x:c>
    </x:row>
    <x:row r="2299">
      <x:c r="A2299" t="str">
        <x:v>Survivor</x:v>
      </x:c>
      <x:c r="B2299" t="str">
        <x:v>Survivor</x:v>
      </x:c>
      <x:c r="C2299" t="str">
        <x:v>Dan2point5</x:v>
      </x:c>
      <x:c r="D2299" t="n">
        <x:v>1</x:v>
      </x:c>
      <x:c r="E2299" t="str">
        <x:v>Advanced</x:v>
      </x:c>
      <x:c r="F2299" t="str">
        <x:v>Kaizo</x:v>
      </x:c>
      <x:c r="G2299" t="n">
        <x:v>44832</x:v>
      </x:c>
      <x:c r="H2299" t="str">
        <x:v>32222</x:v>
      </x:c>
      <x:c r="I2299" t="str">
        <x:v>https://www.smwcentral.net/?a=details&amp;id=32222&amp;p=section</x:v>
      </x:c>
      <x:c r="J2299" t="str">
        <x:v>https://dl.smwcentral.net/32222/Survivor.zip</x:v>
      </x:c>
    </x:row>
    <x:row r="2300">
      <x:c r="A2300" t="str">
        <x:v>Suupaa Mario-sama Seken</x:v>
      </x:c>
      <x:c r="B2300" t="str">
        <x:v>Suupaa Mario-sama Seken</x:v>
      </x:c>
      <x:c r="C2300" t="str">
        <x:v>Ashura</x:v>
      </x:c>
      <x:c r="D2300" t="n">
        <x:v>6</x:v>
      </x:c>
      <x:c r="E2300" t="str">
        <x:v>Casual</x:v>
      </x:c>
      <x:c r="F2300" t="str">
        <x:v>Standard</x:v>
      </x:c>
      <x:c r="G2300" t="n">
        <x:v>42220</x:v>
      </x:c>
      <x:c r="H2300" t="str">
        <x:v>9829</x:v>
      </x:c>
      <x:c r="I2300" t="str">
        <x:v>https://www.smwcentral.net/?a=details&amp;id=9829&amp;p=section</x:v>
      </x:c>
      <x:c r="J2300" t="str">
        <x:v>https://dl.smwcentral.net/9829/SMWJ%28H%29.zip</x:v>
      </x:c>
    </x:row>
    <x:row r="2301">
      <x:c r="A2301" t="str">
        <x:v>SV Bounce World</x:v>
      </x:c>
      <x:c r="B2301" t="str">
        <x:v>SV Bounce World</x:v>
      </x:c>
      <x:c r="C2301" t="str">
        <x:v>RenanSV, arantes</x:v>
      </x:c>
      <x:c r="D2301" t="n">
        <x:v>15</x:v>
      </x:c>
      <x:c r="E2301" t="str">
        <x:v>Master</x:v>
      </x:c>
      <x:c r="F2301" t="str">
        <x:v>Kaizo</x:v>
      </x:c>
      <x:c r="G2301" t="n">
        <x:v>44607</x:v>
      </x:c>
      <x:c r="H2301" t="str">
        <x:v>29722</x:v>
      </x:c>
      <x:c r="I2301" t="str">
        <x:v>https://www.smwcentral.net/?a=details&amp;id=29722&amp;p=section</x:v>
      </x:c>
      <x:c r="J2301" t="str">
        <x:v>https://dl.smwcentral.net/29722/Renan%20SV%20Games%20atual.zip</x:v>
      </x:c>
    </x:row>
    <x:row r="2302">
      <x:c r="A2302" t="str">
        <x:v>SV Bounce World 2</x:v>
      </x:c>
      <x:c r="B2302" t="str">
        <x:v>SV Bounce World 2</x:v>
      </x:c>
      <x:c r="C2302" t="str">
        <x:v>RenanSV</x:v>
      </x:c>
      <x:c r="D2302" t="n">
        <x:v>10</x:v>
      </x:c>
      <x:c r="E2302" t="str">
        <x:v>Master</x:v>
      </x:c>
      <x:c r="F2302" t="str">
        <x:v>Kaizo</x:v>
      </x:c>
      <x:c r="G2302" t="n">
        <x:v>44772</x:v>
      </x:c>
      <x:c r="H2302" t="str">
        <x:v>31469</x:v>
      </x:c>
      <x:c r="I2302" t="str">
        <x:v>https://www.smwcentral.net/?a=details&amp;id=31469&amp;p=section</x:v>
      </x:c>
      <x:c r="J2302" t="str">
        <x:v>https://dl.smwcentral.net/31469/SV%20Bounce%20World%202.zip</x:v>
      </x:c>
    </x:row>
    <x:row r="2303">
      <x:c r="A2303" t="str">
        <x:v>SV Practice World</x:v>
      </x:c>
      <x:c r="B2303" t="str">
        <x:v>SV Practice World</x:v>
      </x:c>
      <x:c r="C2303" t="str">
        <x:v>RenanSV</x:v>
      </x:c>
      <x:c r="D2303" t="n">
        <x:v>13</x:v>
      </x:c>
      <x:c r="E2303" t="str">
        <x:v>Intermediate</x:v>
      </x:c>
      <x:c r="F2303" t="str">
        <x:v>Kaizo</x:v>
      </x:c>
      <x:c r="G2303" t="n">
        <x:v>44644</x:v>
      </x:c>
      <x:c r="H2303" t="str">
        <x:v>30221</x:v>
      </x:c>
      <x:c r="I2303" t="str">
        <x:v>https://www.smwcentral.net/?a=details&amp;id=30221&amp;p=section</x:v>
      </x:c>
      <x:c r="J2303" t="str">
        <x:v>https://dl.smwcentral.net/30221/SV%20Practice%20World.zip</x:v>
      </x:c>
    </x:row>
    <x:row r="2304">
      <x:c r="A2304" t="str">
        <x:v>SV State World</x:v>
      </x:c>
      <x:c r="B2304" t="str">
        <x:v>SV State World</x:v>
      </x:c>
      <x:c r="C2304" t="str">
        <x:v>RenanSV</x:v>
      </x:c>
      <x:c r="D2304" t="n">
        <x:v>13</x:v>
      </x:c>
      <x:c r="E2304" t="str">
        <x:v>Expert</x:v>
      </x:c>
      <x:c r="F2304" t="str">
        <x:v>Kaizo</x:v>
      </x:c>
      <x:c r="G2304" t="n">
        <x:v>44707</x:v>
      </x:c>
      <x:c r="H2304" t="str">
        <x:v>30971</x:v>
      </x:c>
      <x:c r="I2304" t="str">
        <x:v>https://www.smwcentral.net/?a=details&amp;id=30971&amp;p=section</x:v>
      </x:c>
      <x:c r="J2304" t="str">
        <x:v>https://dl.smwcentral.net/30971/SV%20State%20World.zip</x:v>
      </x:c>
    </x:row>
    <x:row r="2305">
      <x:c r="A2305" t="str">
        <x:v>Sweet Dream Agnes</x:v>
      </x:c>
      <x:c r="B2305" t="str">
        <x:v>Sweet Dream Agnes</x:v>
      </x:c>
      <x:c r="C2305" t="str">
        <x:v>elsaiz117</x:v>
      </x:c>
      <x:c r="D2305" t="n">
        <x:v>14</x:v>
      </x:c>
      <x:c r="E2305" t="str">
        <x:v>Expert</x:v>
      </x:c>
      <x:c r="F2305" t="str">
        <x:v>Kaizo</x:v>
      </x:c>
      <x:c r="G2305" t="n">
        <x:v>45071</x:v>
      </x:c>
      <x:c r="H2305" t="str">
        <x:v>33999</x:v>
      </x:c>
      <x:c r="I2305" t="str">
        <x:v>https://www.smwcentral.net/?a=details&amp;id=33999&amp;p=section</x:v>
      </x:c>
      <x:c r="J2305" t="str">
        <x:v>https://dl.smwcentral.net/33999/Sweet%20Dream%20Agnes%20v1.0.zip</x:v>
      </x:c>
    </x:row>
    <x:row r="2306">
      <x:c r="A2306" t="str">
        <x:v>Sweet n' Sour</x:v>
      </x:c>
      <x:c r="B2306" t="str">
        <x:v>Sweet n' Sour</x:v>
      </x:c>
      <x:c r="C2306" t="str">
        <x:v>Lush_50, bsolt</x:v>
      </x:c>
      <x:c r="D2306" t="n">
        <x:v>27</x:v>
      </x:c>
      <x:c r="E2306" t="str">
        <x:v>Expert</x:v>
      </x:c>
      <x:c r="F2306" t="str">
        <x:v>Kaizo</x:v>
      </x:c>
      <x:c r="G2306" t="n">
        <x:v>44085</x:v>
      </x:c>
      <x:c r="H2306" t="str">
        <x:v>24498</x:v>
      </x:c>
      <x:c r="I2306" t="str">
        <x:v>https://www.smwcentral.net/?a=details&amp;id=24498&amp;p=section</x:v>
      </x:c>
      <x:c r="J2306" t="str">
        <x:v>https://dl.smwcentral.net/24498/Sweet%20n%27%20Sour%20v1.1.zip</x:v>
      </x:c>
    </x:row>
    <x:row r="2307">
      <x:c r="A2307" t="str">
        <x:v>Sweet Shell</x:v>
      </x:c>
      <x:c r="B2307" t="str">
        <x:v>Sweet Shell</x:v>
      </x:c>
      <x:c r="C2307" t="str">
        <x:v>Firstnamebutt</x:v>
      </x:c>
      <x:c r="D2307" t="n">
        <x:v>13</x:v>
      </x:c>
      <x:c r="E2307" t="str">
        <x:v>Intermediate</x:v>
      </x:c>
      <x:c r="F2307" t="str">
        <x:v>Kaizo</x:v>
      </x:c>
      <x:c r="G2307" t="n">
        <x:v>45405</x:v>
      </x:c>
      <x:c r="H2307" t="str">
        <x:v>37677</x:v>
      </x:c>
      <x:c r="I2307" t="str">
        <x:v>https://www.smwcentral.net/?a=details&amp;id=37677&amp;p=section</x:v>
      </x:c>
      <x:c r="J2307" t="str">
        <x:v>https://dl.smwcentral.net/37677/SweetShell.zip</x:v>
      </x:c>
    </x:row>
    <x:row r="2308">
      <x:c r="A2308" t="str">
        <x:v>Sweet World</x:v>
      </x:c>
      <x:c r="B2308" t="str">
        <x:v>Sweet World</x:v>
      </x:c>
      <x:c r="C2308" t="str">
        <x:v>Firstnamebutt</x:v>
      </x:c>
      <x:c r="D2308" t="n">
        <x:v>12</x:v>
      </x:c>
      <x:c r="E2308" t="str">
        <x:v>Intermediate</x:v>
      </x:c>
      <x:c r="F2308" t="str">
        <x:v>Kaizo</x:v>
      </x:c>
      <x:c r="G2308" t="n">
        <x:v>45211</x:v>
      </x:c>
      <x:c r="H2308" t="str">
        <x:v>35215</x:v>
      </x:c>
      <x:c r="I2308" t="str">
        <x:v>https://www.smwcentral.net/?a=details&amp;id=35215&amp;p=section</x:v>
      </x:c>
      <x:c r="J2308" t="str">
        <x:v>https://dl.smwcentral.net/35215/SweetWorld.zip</x:v>
      </x:c>
    </x:row>
    <x:row r="2309">
      <x:c r="A2309" t="str">
        <x:v>Swiftly 17</x:v>
      </x:c>
      <x:c r="B2309" t="str">
        <x:v>Swiftly 17</x:v>
      </x:c>
      <x:c r="C2309" t="str">
        <x:v>Lee12UK</x:v>
      </x:c>
      <x:c r="D2309" t="n">
        <x:v>17</x:v>
      </x:c>
      <x:c r="E2309" t="str">
        <x:v>Advanced</x:v>
      </x:c>
      <x:c r="F2309" t="str">
        <x:v>Kaizo</x:v>
      </x:c>
      <x:c r="G2309" t="n">
        <x:v>45014</x:v>
      </x:c>
      <x:c r="H2309" t="str">
        <x:v>33640</x:v>
      </x:c>
      <x:c r="I2309" t="str">
        <x:v>https://www.smwcentral.net/?a=details&amp;id=33640&amp;p=section</x:v>
      </x:c>
      <x:c r="J2309" t="str">
        <x:v>https://dl.smwcentral.net/33640/Swiftly17.zip</x:v>
      </x:c>
    </x:row>
    <x:row r="2310">
      <x:c r="A2310" t="str">
        <x:v>T3rminus: Journey´s End</x:v>
      </x:c>
      <x:c r="B2310" t="str">
        <x:v>T3rminus: Journey´s End</x:v>
      </x:c>
      <x:c r="C2310" t="str">
        <x:v>Kr00mmi</x:v>
      </x:c>
      <x:c r="D2310" t="n">
        <x:v>9</x:v>
      </x:c>
      <x:c r="E2310" t="str">
        <x:v>Expert</x:v>
      </x:c>
      <x:c r="F2310" t="str">
        <x:v>Kaizo</x:v>
      </x:c>
      <x:c r="G2310" t="n">
        <x:v>43818</x:v>
      </x:c>
      <x:c r="H2310" t="str">
        <x:v>21634</x:v>
      </x:c>
      <x:c r="I2310" t="str">
        <x:v>https://www.smwcentral.net/?a=details&amp;id=21634&amp;p=section</x:v>
      </x:c>
      <x:c r="J2310" t="str">
        <x:v>https://dl.smwcentral.net/21634/T3rminus%20Journey%C2%B4s%20End.zip</x:v>
      </x:c>
    </x:row>
    <x:row r="2311">
      <x:c r="A2311" t="str">
        <x:v>Tajna and the Mana Seeds</x:v>
      </x:c>
      <x:c r="B2311" t="str">
        <x:v>Tajna and the Mana Seeds</x:v>
      </x:c>
      <x:c r="C2311" t="str">
        <x:v>Tob</x:v>
      </x:c>
      <x:c r="D2311" t="n">
        <x:v>6</x:v>
      </x:c>
      <x:c r="E2311" t="str">
        <x:v>Casual</x:v>
      </x:c>
      <x:c r="F2311" t="str">
        <x:v>Standard</x:v>
      </x:c>
      <x:c r="G2311" t="n">
        <x:v>45931</x:v>
      </x:c>
      <x:c r="H2311" t="str">
        <x:v>40708</x:v>
      </x:c>
      <x:c r="I2311" t="str">
        <x:v>https://www.smwcentral.net/?a=details&amp;id=40708&amp;p=section</x:v>
      </x:c>
      <x:c r="J2311" t="str">
        <x:v>https://dl.smwcentral.net/40708/tajna1.31.zip</x:v>
      </x:c>
    </x:row>
    <x:row r="2312">
      <x:c r="A2312" t="str">
        <x:v>Take It Easy World</x:v>
      </x:c>
      <x:c r="B2312" t="str">
        <x:v>Take It Easy World</x:v>
      </x:c>
      <x:c r="C2312" t="str">
        <x:v>frx</x:v>
      </x:c>
      <x:c r="D2312" t="n">
        <x:v>17</x:v>
      </x:c>
      <x:c r="E2312" t="str">
        <x:v>Advanced</x:v>
      </x:c>
      <x:c r="F2312" t="str">
        <x:v>Kaizo</x:v>
      </x:c>
      <x:c r="G2312" t="n">
        <x:v>44001</x:v>
      </x:c>
      <x:c r="H2312" t="str">
        <x:v>23272</x:v>
      </x:c>
      <x:c r="I2312" t="str">
        <x:v>https://www.smwcentral.net/?a=details&amp;id=23272&amp;p=section</x:v>
      </x:c>
      <x:c r="J2312" t="str">
        <x:v>https://dl.smwcentral.net/23272/take_it_easy_1.2.zip</x:v>
      </x:c>
    </x:row>
    <x:row r="2313">
      <x:c r="A2313" t="str">
        <x:v>Takemoto Inspired</x:v>
      </x:c>
      <x:c r="B2313" t="str">
        <x:v>Takemoto Inspired</x:v>
      </x:c>
      <x:c r="C2313" t="str">
        <x:v>Desert</x:v>
      </x:c>
      <x:c r="D2313" t="n">
        <x:v>2</x:v>
      </x:c>
      <x:c r="E2313" t="str">
        <x:v>Advanced</x:v>
      </x:c>
      <x:c r="F2313" t="str">
        <x:v>Kaizo</x:v>
      </x:c>
      <x:c r="G2313" t="n">
        <x:v>45279</x:v>
      </x:c>
      <x:c r="H2313" t="str">
        <x:v>35716</x:v>
      </x:c>
      <x:c r="I2313" t="str">
        <x:v>https://www.smwcentral.net/?a=details&amp;id=35716&amp;p=section</x:v>
      </x:c>
      <x:c r="J2313" t="str">
        <x:v>https://dl.smwcentral.net/35716/Takemoto_Inspired.zip</x:v>
      </x:c>
    </x:row>
    <x:row r="2314">
      <x:c r="A2314" t="str">
        <x:v>Takeshi Yumping Simulator</x:v>
      </x:c>
      <x:c r="B2314" t="str">
        <x:v>Takeshi Yumping Simulator</x:v>
      </x:c>
      <x:c r="C2314" t="str">
        <x:v>Hwailaluta</x:v>
      </x:c>
      <x:c r="D2314" t="n">
        <x:v>1</x:v>
      </x:c>
      <x:c r="E2314" t="str">
        <x:v>Master</x:v>
      </x:c>
      <x:c r="F2314" t="str">
        <x:v>Kaizo</x:v>
      </x:c>
      <x:c r="G2314" t="n">
        <x:v>44447</x:v>
      </x:c>
      <x:c r="H2314" t="str">
        <x:v>28222</x:v>
      </x:c>
      <x:c r="I2314" t="str">
        <x:v>https://www.smwcentral.net/?a=details&amp;id=28222&amp;p=section</x:v>
      </x:c>
      <x:c r="J2314" t="str">
        <x:v>https://dl.smwcentral.net/28222/TakeshiYumpingSimulator.zip</x:v>
      </x:c>
    </x:row>
    <x:row r="2315">
      <x:c r="A2315" t="str">
        <x:v>Tales of Nean</x:v>
      </x:c>
      <x:c r="B2315" t="str">
        <x:v>Tales of Nean</x:v>
      </x:c>
      <x:c r="C2315" t="str">
        <x:v>Senjan</x:v>
      </x:c>
      <x:c r="D2315" t="n">
        <x:v>24</x:v>
      </x:c>
      <x:c r="E2315" t="str">
        <x:v>Casual</x:v>
      </x:c>
      <x:c r="F2315" t="str">
        <x:v>Standard</x:v>
      </x:c>
      <x:c r="G2315" t="n">
        <x:v>42310</x:v>
      </x:c>
      <x:c r="H2315" t="str">
        <x:v>10163</x:v>
      </x:c>
      <x:c r="I2315" t="str">
        <x:v>https://www.smwcentral.net/?a=details&amp;id=10163&amp;p=section</x:v>
      </x:c>
      <x:c r="J2315" t="str">
        <x:v>https://dl.smwcentral.net/10163/Tales%20of%20Nean.zip</x:v>
      </x:c>
    </x:row>
    <x:row r="2316">
      <x:c r="A2316" t="str">
        <x:v>TaleSpin</x:v>
      </x:c>
      <x:c r="B2316" t="str">
        <x:v>TaleSpin</x:v>
      </x:c>
      <x:c r="C2316" t="str">
        <x:v>uriel2k3</x:v>
      </x:c>
      <x:c r="D2316" t="n">
        <x:v>11</x:v>
      </x:c>
      <x:c r="E2316" t="str">
        <x:v>Grandmaster</x:v>
      </x:c>
      <x:c r="F2316" t="str">
        <x:v>Kaizo</x:v>
      </x:c>
      <x:c r="G2316" t="n">
        <x:v>46086</x:v>
      </x:c>
      <x:c r="H2316" t="str">
        <x:v>41830</x:v>
      </x:c>
      <x:c r="I2316" t="str">
        <x:v>https://www.smwcentral.net/?a=details&amp;id=41830&amp;p=section</x:v>
      </x:c>
      <x:c r="J2316" t="str">
        <x:v>https://dl.smwcentral.net/41830/TaleSpin.zip</x:v>
      </x:c>
    </x:row>
    <x:row r="2317">
      <x:c r="A2317" t="str">
        <x:v>Talikuu Quest</x:v>
      </x:c>
      <x:c r="B2317" t="str">
        <x:v>Talikuu Quest</x:v>
      </x:c>
      <x:c r="C2317" t="str">
        <x:v>Zerio</x:v>
      </x:c>
      <x:c r="D2317" t="n">
        <x:v>14</x:v>
      </x:c>
      <x:c r="E2317" t="str">
        <x:v>Newcomer</x:v>
      </x:c>
      <x:c r="F2317" t="str">
        <x:v>Standard</x:v>
      </x:c>
      <x:c r="G2317" t="n">
        <x:v>42294</x:v>
      </x:c>
      <x:c r="H2317" t="str">
        <x:v>10090</x:v>
      </x:c>
      <x:c r="I2317" t="str">
        <x:v>https://www.smwcentral.net/?a=details&amp;id=10090&amp;p=section</x:v>
      </x:c>
      <x:c r="J2317" t="str">
        <x:v>https://dl.smwcentral.net/10090/Talikuu%20Quest%20C3%20Demo.zip</x:v>
      </x:c>
    </x:row>
    <x:row r="2318">
      <x:c r="A2318" t="str">
        <x:v>Tangle's Trip</x:v>
      </x:c>
      <x:c r="B2318" t="str">
        <x:v>Tangle's Trip</x:v>
      </x:c>
      <x:c r="C2318" t="str">
        <x:v>sholmes</x:v>
      </x:c>
      <x:c r="D2318" t="n">
        <x:v>11</x:v>
      </x:c>
      <x:c r="E2318" t="str">
        <x:v>Advanced</x:v>
      </x:c>
      <x:c r="F2318" t="str">
        <x:v>Standard</x:v>
      </x:c>
      <x:c r="G2318" t="n">
        <x:v>46112</x:v>
      </x:c>
      <x:c r="H2318" t="str">
        <x:v>41987</x:v>
      </x:c>
      <x:c r="I2318" t="str">
        <x:v>https://www.smwcentral.net/?a=details&amp;id=41987&amp;p=section</x:v>
      </x:c>
      <x:c r="J2318" t="str">
        <x:v>https://dl.smwcentral.net/41987/Tangle%27s%20Trip%20Update.zip</x:v>
      </x:c>
    </x:row>
    <x:row r="2319">
      <x:c r="A2319" t="str">
        <x:v>Tartastrophe: a very sticky hack</x:v>
      </x:c>
      <x:c r="B2319" t="str">
        <x:v>Tartastrophe: a very sticky hack</x:v>
      </x:c>
      <x:c r="C2319" t="str">
        <x:v>GRIMMKIN</x:v>
      </x:c>
      <x:c r="D2319" t="n">
        <x:v>1</x:v>
      </x:c>
      <x:c r="E2319" t="str">
        <x:v>Grandmaster</x:v>
      </x:c>
      <x:c r="F2319" t="str">
        <x:v>Kaizo</x:v>
      </x:c>
      <x:c r="G2319" t="n">
        <x:v>44376</x:v>
      </x:c>
      <x:c r="H2319" t="str">
        <x:v>27304</x:v>
      </x:c>
      <x:c r="I2319" t="str">
        <x:v>https://www.smwcentral.net/?a=details&amp;id=27304&amp;p=section</x:v>
      </x:c>
      <x:c r="J2319" t="str">
        <x:v>https://dl.smwcentral.net/27304/Tartastrophe.zip</x:v>
      </x:c>
    </x:row>
    <x:row r="2320">
      <x:c r="A2320" t="str">
        <x:v>Tatsujin Mario part 1</x:v>
      </x:c>
      <x:c r="B2320" t="str">
        <x:v>Tatsujin Mario part 1</x:v>
      </x:c>
      <x:c r="C2320" t="str">
        <x:v>abc_ore</x:v>
      </x:c>
      <x:c r="D2320" t="n">
        <x:v>89</x:v>
      </x:c>
      <x:c r="E2320" t="str">
        <x:v>Grandmaster</x:v>
      </x:c>
      <x:c r="F2320" t="str">
        <x:v>Kaizo</x:v>
      </x:c>
      <x:c r="G2320" t="n">
        <x:v>42788</x:v>
      </x:c>
      <x:c r="H2320" t="str">
        <x:v>15147</x:v>
      </x:c>
      <x:c r="I2320" t="str">
        <x:v>https://www.smwcentral.net/?a=details&amp;id=15147&amp;p=section</x:v>
      </x:c>
      <x:c r="J2320" t="str">
        <x:v>https://dl.smwcentral.net/15147/Tatsujin%20Mario%20part%201.zip</x:v>
      </x:c>
    </x:row>
    <x:row r="2321">
      <x:c r="A2321" t="str">
        <x:v>Tatsujin Mario part 2</x:v>
      </x:c>
      <x:c r="B2321" t="str">
        <x:v>Tatsujin Mario part 2</x:v>
      </x:c>
      <x:c r="C2321" t="str">
        <x:v>abc_ore</x:v>
      </x:c>
      <x:c r="D2321" t="n">
        <x:v>89</x:v>
      </x:c>
      <x:c r="E2321" t="str">
        <x:v>Grandmaster</x:v>
      </x:c>
      <x:c r="F2321" t="str">
        <x:v>Kaizo</x:v>
      </x:c>
      <x:c r="G2321" t="n">
        <x:v>44946</x:v>
      </x:c>
      <x:c r="H2321" t="str">
        <x:v>32910</x:v>
      </x:c>
      <x:c r="I2321" t="str">
        <x:v>https://www.smwcentral.net/?a=details&amp;id=32910&amp;p=section</x:v>
      </x:c>
      <x:c r="J2321" t="str">
        <x:v>https://dl.smwcentral.net/32910/Tatsujin%20Mario%20part%202%20v13.zip</x:v>
      </x:c>
    </x:row>
    <x:row r="2322">
      <x:c r="A2322" t="str">
        <x:v>TDC Shells Edition</x:v>
      </x:c>
      <x:c r="B2322" t="str">
        <x:v>TDC Shells Edition</x:v>
      </x:c>
      <x:c r="C2322" t="str">
        <x:v>Deivid Borba</x:v>
      </x:c>
      <x:c r="D2322" t="n">
        <x:v>0</x:v>
      </x:c>
      <x:c r="E2322" t="str">
        <x:v>Advanced</x:v>
      </x:c>
      <x:c r="F2322" t="str">
        <x:v>Kaizo</x:v>
      </x:c>
      <x:c r="G2322" t="n">
        <x:v>44309</x:v>
      </x:c>
      <x:c r="H2322" t="str">
        <x:v>26826</x:v>
      </x:c>
      <x:c r="I2322" t="str">
        <x:v>https://www.smwcentral.net/?a=details&amp;id=26826&amp;p=section</x:v>
      </x:c>
      <x:c r="J2322" t="str">
        <x:v>https://dl.smwcentral.net/26826/TDCShellsEdition.zip</x:v>
      </x:c>
    </x:row>
    <x:row r="2323">
      <x:c r="A2323" t="str">
        <x:v>te's Exo</x:v>
      </x:c>
      <x:c r="B2323" t="str">
        <x:v>te's Exo</x:v>
      </x:c>
      <x:c r="C2323" t="str">
        <x:v>Daizo Dee Von, EvilGuy0613</x:v>
      </x:c>
      <x:c r="D2323" t="n">
        <x:v>0</x:v>
      </x:c>
      <x:c r="E2323" t="str">
        <x:v>Intermediate</x:v>
      </x:c>
      <x:c r="F2323" t="str">
        <x:v>Standard</x:v>
      </x:c>
      <x:c r="G2323" t="n">
        <x:v>45762</x:v>
      </x:c>
      <x:c r="H2323" t="str">
        <x:v>39548</x:v>
      </x:c>
      <x:c r="I2323" t="str">
        <x:v>https://www.smwcentral.net/?a=details&amp;id=39548&amp;p=section</x:v>
      </x:c>
      <x:c r="J2323" t="str">
        <x:v>https://dl.smwcentral.net/39548/%5BHack%5D%20TE%27S%20EXO%20%28v1.01%29.zip</x:v>
      </x:c>
    </x:row>
    <x:row r="2324">
      <x:c r="A2324" t="str">
        <x:v>Teamwork Mario</x:v>
      </x:c>
      <x:c r="B2324" t="str">
        <x:v>Teamwork Mario</x:v>
      </x:c>
      <x:c r="C2324" t="str">
        <x:v>Sammmoo</x:v>
      </x:c>
      <x:c r="D2324" t="n">
        <x:v>8</x:v>
      </x:c>
      <x:c r="E2324" t="str">
        <x:v>Expert</x:v>
      </x:c>
      <x:c r="F2324" t="str">
        <x:v>Kaizo</x:v>
      </x:c>
      <x:c r="G2324" t="n">
        <x:v>45244</x:v>
      </x:c>
      <x:c r="H2324" t="str">
        <x:v>35502</x:v>
      </x:c>
      <x:c r="I2324" t="str">
        <x:v>https://www.smwcentral.net/?a=details&amp;id=35502&amp;p=section</x:v>
      </x:c>
      <x:c r="J2324" t="str">
        <x:v>https://dl.smwcentral.net/35502/Teamwork%20Mario.zip</x:v>
      </x:c>
    </x:row>
    <x:row r="2325">
      <x:c r="A2325" t="str">
        <x:v>Tears Joy and Happiness v1.1</x:v>
      </x:c>
      <x:c r="B2325" t="str">
        <x:v>Tears Joy and Happiness v1.1</x:v>
      </x:c>
      <x:c r="C2325" t="str">
        <x:v>Jukeboxi_</x:v>
      </x:c>
      <x:c r="D2325" t="n">
        <x:v>21</x:v>
      </x:c>
      <x:c r="E2325" t="str">
        <x:v>Master</x:v>
      </x:c>
      <x:c r="F2325" t="str">
        <x:v>Kaizo</x:v>
      </x:c>
      <x:c r="G2325" t="n">
        <x:v>46215</x:v>
      </x:c>
      <x:c r="H2325" t="str">
        <x:v>42509</x:v>
      </x:c>
      <x:c r="I2325" t="str">
        <x:v>https://www.smwcentral.net/?a=details&amp;id=42509&amp;p=section</x:v>
      </x:c>
      <x:c r="J2325" t="str">
        <x:v>https://dl.smwcentral.net/42509/tearsjoyandhappiness.zip</x:v>
      </x:c>
    </x:row>
    <x:row r="2326">
      <x:c r="A2326" t="str">
        <x:v>Tebeo</x:v>
      </x:c>
      <x:c r="B2326" t="str">
        <x:v>Tebeo</x:v>
      </x:c>
      <x:c r="C2326" t="str">
        <x:v>Nirv</x:v>
      </x:c>
      <x:c r="D2326" t="n">
        <x:v>24</x:v>
      </x:c>
      <x:c r="E2326" t="str">
        <x:v>Expert</x:v>
      </x:c>
      <x:c r="F2326" t="str">
        <x:v>Kaizo</x:v>
      </x:c>
      <x:c r="G2326" t="n">
        <x:v>44163</x:v>
      </x:c>
      <x:c r="H2326" t="str">
        <x:v>25215</x:v>
      </x:c>
      <x:c r="I2326" t="str">
        <x:v>https://www.smwcentral.net/?a=details&amp;id=25215&amp;p=section</x:v>
      </x:c>
      <x:c r="J2326" t="str">
        <x:v>https://dl.smwcentral.net/25215/Tebeo.bps.zip</x:v>
      </x:c>
    </x:row>
    <x:row r="2327">
      <x:c r="A2327" t="str">
        <x:v>Tebeo 2</x:v>
      </x:c>
      <x:c r="B2327" t="str">
        <x:v>Tebeo 2</x:v>
      </x:c>
      <x:c r="C2327" t="str">
        <x:v>Nirv</x:v>
      </x:c>
      <x:c r="D2327" t="n">
        <x:v>20</x:v>
      </x:c>
      <x:c r="E2327" t="str">
        <x:v>Expert</x:v>
      </x:c>
      <x:c r="F2327" t="str">
        <x:v>Kaizo</x:v>
      </x:c>
      <x:c r="G2327" t="n">
        <x:v>44366</x:v>
      </x:c>
      <x:c r="H2327" t="str">
        <x:v>27311</x:v>
      </x:c>
      <x:c r="I2327" t="str">
        <x:v>https://www.smwcentral.net/?a=details&amp;id=27311&amp;p=section</x:v>
      </x:c>
      <x:c r="J2327" t="str">
        <x:v>https://dl.smwcentral.net/27311/Tebeo%202.zip</x:v>
      </x:c>
    </x:row>
    <x:row r="2328">
      <x:c r="A2328" t="str">
        <x:v>Technicolor Mario World</x:v>
      </x:c>
      <x:c r="B2328" t="str">
        <x:v>Technicolor Mario World</x:v>
      </x:c>
      <x:c r="C2328" t="str">
        <x:v>Green Jerry</x:v>
      </x:c>
      <x:c r="D2328" t="n">
        <x:v>16</x:v>
      </x:c>
      <x:c r="E2328" t="str">
        <x:v>Casual</x:v>
      </x:c>
      <x:c r="F2328" t="str">
        <x:v>Standard</x:v>
      </x:c>
      <x:c r="G2328" t="n">
        <x:v>43859</x:v>
      </x:c>
      <x:c r="H2328" t="str">
        <x:v>21873</x:v>
      </x:c>
      <x:c r="I2328" t="str">
        <x:v>https://www.smwcentral.net/?a=details&amp;id=21873&amp;p=section</x:v>
      </x:c>
      <x:c r="J2328" t="str">
        <x:v>https://dl.smwcentral.net/21873/Technicolor%20Mario%20World%20-%20Demo%202%20%28Bug%20Fix%203%29.zip</x:v>
      </x:c>
    </x:row>
    <x:row r="2329">
      <x:c r="A2329" t="str">
        <x:v>Teh Hack</x:v>
      </x:c>
      <x:c r="B2329" t="str">
        <x:v>Teh Hack</x:v>
      </x:c>
      <x:c r="C2329" t="str">
        <x:v>sugar</x:v>
      </x:c>
      <x:c r="D2329" t="n">
        <x:v>5</x:v>
      </x:c>
      <x:c r="E2329" t="str">
        <x:v>Casual</x:v>
      </x:c>
      <x:c r="F2329" t="str">
        <x:v>Standard</x:v>
      </x:c>
      <x:c r="G2329" t="n">
        <x:v>42248</x:v>
      </x:c>
      <x:c r="H2329" t="str">
        <x:v>10071</x:v>
      </x:c>
      <x:c r="I2329" t="str">
        <x:v>https://www.smwcentral.net/?a=details&amp;id=10071&amp;p=section</x:v>
      </x:c>
      <x:c r="J2329" t="str">
        <x:v>https://dl.smwcentral.net/10071/Teh%20Hack.zip</x:v>
      </x:c>
    </x:row>
    <x:row r="2330">
      <x:c r="A2330" t="str">
        <x:v>Teh Hack 2</x:v>
      </x:c>
      <x:c r="B2330" t="str">
        <x:v>Teh Hack 2</x:v>
      </x:c>
      <x:c r="C2330" t="str">
        <x:v>sugar</x:v>
      </x:c>
      <x:c r="D2330" t="n">
        <x:v>26</x:v>
      </x:c>
      <x:c r="E2330" t="str">
        <x:v>Casual</x:v>
      </x:c>
      <x:c r="F2330" t="str">
        <x:v>Standard</x:v>
      </x:c>
      <x:c r="G2330" t="n">
        <x:v>42223</x:v>
      </x:c>
      <x:c r="H2330" t="str">
        <x:v>10169</x:v>
      </x:c>
      <x:c r="I2330" t="str">
        <x:v>https://www.smwcentral.net/?a=details&amp;id=10169&amp;p=section</x:v>
      </x:c>
      <x:c r="J2330" t="str">
        <x:v>https://dl.smwcentral.net/10169/tehhack.zip</x:v>
      </x:c>
    </x:row>
    <x:row r="2331">
      <x:c r="A2331" t="str">
        <x:v>Ten</x:v>
      </x:c>
      <x:c r="B2331" t="str">
        <x:v>Ten</x:v>
      </x:c>
      <x:c r="C2331" t="str">
        <x:v>Gamma V</x:v>
      </x:c>
      <x:c r="D2331" t="n">
        <x:v>10</x:v>
      </x:c>
      <x:c r="E2331" t="str">
        <x:v>Casual</x:v>
      </x:c>
      <x:c r="F2331" t="str">
        <x:v>Standard</x:v>
      </x:c>
      <x:c r="G2331" t="n">
        <x:v>43904</x:v>
      </x:c>
      <x:c r="H2331" t="str">
        <x:v>22304</x:v>
      </x:c>
      <x:c r="I2331" t="str">
        <x:v>https://www.smwcentral.net/?a=details&amp;id=22304&amp;p=section</x:v>
      </x:c>
      <x:c r="J2331" t="str">
        <x:v>https://dl.smwcentral.net/22304/TEN.zip</x:v>
      </x:c>
    </x:row>
    <x:row r="2332">
      <x:c r="A2332" t="str">
        <x:v>TEN A-Side</x:v>
      </x:c>
      <x:c r="B2332" t="str">
        <x:v>TEN A-Side</x:v>
      </x:c>
      <x:c r="C2332" t="str">
        <x:v>Big Brawler</x:v>
      </x:c>
      <x:c r="D2332" t="n">
        <x:v>10</x:v>
      </x:c>
      <x:c r="E2332" t="str">
        <x:v>Advanced</x:v>
      </x:c>
      <x:c r="F2332" t="str">
        <x:v>Standard</x:v>
      </x:c>
      <x:c r="G2332" t="n">
        <x:v>44927</x:v>
      </x:c>
      <x:c r="H2332" t="str">
        <x:v>32788</x:v>
      </x:c>
      <x:c r="I2332" t="str">
        <x:v>https://www.smwcentral.net/?a=details&amp;id=32788&amp;p=section</x:v>
      </x:c>
      <x:c r="J2332" t="str">
        <x:v>https://dl.smwcentral.net/32788/TEN%20v1.2b.zip</x:v>
      </x:c>
    </x:row>
    <x:row r="2333">
      <x:c r="A2333" t="str">
        <x:v>TEN B-Side</x:v>
      </x:c>
      <x:c r="B2333" t="str">
        <x:v>TEN B-Side</x:v>
      </x:c>
      <x:c r="C2333" t="str">
        <x:v>Big Brawler</x:v>
      </x:c>
      <x:c r="D2333" t="n">
        <x:v>10</x:v>
      </x:c>
      <x:c r="E2333" t="str">
        <x:v>Advanced</x:v>
      </x:c>
      <x:c r="F2333" t="str">
        <x:v>Standard</x:v>
      </x:c>
      <x:c r="G2333" t="n">
        <x:v>44980</x:v>
      </x:c>
      <x:c r="H2333" t="str">
        <x:v>33142</x:v>
      </x:c>
      <x:c r="I2333" t="str">
        <x:v>https://www.smwcentral.net/?a=details&amp;id=33142&amp;p=section</x:v>
      </x:c>
      <x:c r="J2333" t="str">
        <x:v>https://dl.smwcentral.net/33142/Ten%20B-Side.zip</x:v>
      </x:c>
    </x:row>
    <x:row r="2334">
      <x:c r="A2334" t="str">
        <x:v>Terminus</x:v>
      </x:c>
      <x:c r="B2334" t="str">
        <x:v>Terminus</x:v>
      </x:c>
      <x:c r="C2334" t="str">
        <x:v>Kr00mmi</x:v>
      </x:c>
      <x:c r="D2334" t="n">
        <x:v>11</x:v>
      </x:c>
      <x:c r="E2334" t="str">
        <x:v>Advanced</x:v>
      </x:c>
      <x:c r="F2334" t="str">
        <x:v>Kaizo</x:v>
      </x:c>
      <x:c r="G2334" t="n">
        <x:v>43532</x:v>
      </x:c>
      <x:c r="H2334" t="str">
        <x:v>19261</x:v>
      </x:c>
      <x:c r="I2334" t="str">
        <x:v>https://www.smwcentral.net/?a=details&amp;id=19261&amp;p=section</x:v>
      </x:c>
      <x:c r="J2334" t="str">
        <x:v>https://dl.smwcentral.net/19261/Terminus1.1.zip</x:v>
      </x:c>
    </x:row>
    <x:row r="2335">
      <x:c r="A2335" t="str">
        <x:v>Terminus 2</x:v>
      </x:c>
      <x:c r="B2335" t="str">
        <x:v>Terminus 2</x:v>
      </x:c>
      <x:c r="C2335" t="str">
        <x:v>Kr00mmi</x:v>
      </x:c>
      <x:c r="D2335" t="n">
        <x:v>15</x:v>
      </x:c>
      <x:c r="E2335" t="str">
        <x:v>Expert</x:v>
      </x:c>
      <x:c r="F2335" t="str">
        <x:v>Kaizo</x:v>
      </x:c>
      <x:c r="G2335" t="n">
        <x:v>43637</x:v>
      </x:c>
      <x:c r="H2335" t="str">
        <x:v>20208</x:v>
      </x:c>
      <x:c r="I2335" t="str">
        <x:v>https://www.smwcentral.net/?a=details&amp;id=20208&amp;p=section</x:v>
      </x:c>
      <x:c r="J2335" t="str">
        <x:v>https://dl.smwcentral.net/20208/Terminus2RealWithOW.zip</x:v>
      </x:c>
    </x:row>
    <x:row r="2336">
      <x:c r="A2336" t="str">
        <x:v>Terra</x:v>
      </x:c>
      <x:c r="B2336" t="str">
        <x:v>Terra</x:v>
      </x:c>
      <x:c r="C2336" t="str">
        <x:v>Dobosco</x:v>
      </x:c>
      <x:c r="D2336" t="n">
        <x:v>21</x:v>
      </x:c>
      <x:c r="E2336" t="str">
        <x:v>Expert</x:v>
      </x:c>
      <x:c r="F2336" t="str">
        <x:v>Kaizo</x:v>
      </x:c>
      <x:c r="G2336" t="n">
        <x:v>44183</x:v>
      </x:c>
      <x:c r="H2336" t="str">
        <x:v>25475</x:v>
      </x:c>
      <x:c r="I2336" t="str">
        <x:v>https://www.smwcentral.net/?a=details&amp;id=25475&amp;p=section</x:v>
      </x:c>
      <x:c r="J2336" t="str">
        <x:v>https://dl.smwcentral.net/25475/Terra1.0.zip</x:v>
      </x:c>
    </x:row>
    <x:row r="2337">
      <x:c r="A2337" t="str">
        <x:v>Terraria</x:v>
      </x:c>
      <x:c r="B2337" t="str">
        <x:v>Terraria</x:v>
      </x:c>
      <x:c r="C2337" t="str">
        <x:v>Windveil</x:v>
      </x:c>
      <x:c r="D2337" t="n">
        <x:v>4</x:v>
      </x:c>
      <x:c r="E2337" t="str">
        <x:v>Casual</x:v>
      </x:c>
      <x:c r="F2337" t="str">
        <x:v>Standard</x:v>
      </x:c>
      <x:c r="G2337" t="n">
        <x:v>42207</x:v>
      </x:c>
      <x:c r="H2337" t="str">
        <x:v>10031</x:v>
      </x:c>
      <x:c r="I2337" t="str">
        <x:v>https://www.smwcentral.net/?a=details&amp;id=10031&amp;p=section</x:v>
      </x:c>
      <x:c r="J2337" t="str">
        <x:v>https://dl.smwcentral.net/10031/Terraria.zip</x:v>
      </x:c>
    </x:row>
    <x:row r="2338">
      <x:c r="A2338" t="str">
        <x:v>TERRIBLE</x:v>
      </x:c>
      <x:c r="B2338" t="str">
        <x:v>TERRIBLE</x:v>
      </x:c>
      <x:c r="C2338" t="str">
        <x:v>Lmao</x:v>
      </x:c>
      <x:c r="D2338" t="n">
        <x:v>12</x:v>
      </x:c>
      <x:c r="E2338" t="str">
        <x:v>Casual</x:v>
      </x:c>
      <x:c r="F2338" t="str">
        <x:v>Standard</x:v>
      </x:c>
      <x:c r="G2338" t="n">
        <x:v>45461</x:v>
      </x:c>
      <x:c r="H2338" t="str">
        <x:v>37971</x:v>
      </x:c>
      <x:c r="I2338" t="str">
        <x:v>https://www.smwcentral.net/?a=details&amp;id=37971&amp;p=section</x:v>
      </x:c>
      <x:c r="J2338" t="str">
        <x:v>https://dl.smwcentral.net/37971/Tbuild11.zip</x:v>
      </x:c>
    </x:row>
    <x:row r="2339">
      <x:c r="A2339" t="str">
        <x:v>test.smc | The old and new Mario World</x:v>
      </x:c>
      <x:c r="B2339" t="str">
        <x:v>test.smc | The old and new Mario World</x:v>
      </x:c>
      <x:c r="C2339" t="str">
        <x:v>yogui</x:v>
      </x:c>
      <x:c r="D2339" t="n">
        <x:v>41</x:v>
      </x:c>
      <x:c r="E2339" t="str">
        <x:v>Intermediate</x:v>
      </x:c>
      <x:c r="F2339" t="str">
        <x:v>Standard</x:v>
      </x:c>
      <x:c r="G2339" t="n">
        <x:v>42348</x:v>
      </x:c>
      <x:c r="H2339" t="str">
        <x:v>12810</x:v>
      </x:c>
      <x:c r="I2339" t="str">
        <x:v>https://www.smwcentral.net/?a=details&amp;id=12810&amp;p=section</x:v>
      </x:c>
      <x:c r="J2339" t="str">
        <x:v>https://dl.smwcentral.net/12810/test.zip</x:v>
      </x:c>
    </x:row>
    <x:row r="2340">
      <x:c r="A2340" t="str">
        <x:v>Thanks, I hate it</x:v>
      </x:c>
      <x:c r="B2340" t="str">
        <x:v>Thanks, I hate it</x:v>
      </x:c>
      <x:c r="C2340" t="str">
        <x:v>Captain_Hacko</x:v>
      </x:c>
      <x:c r="D2340" t="n">
        <x:v>5</x:v>
      </x:c>
      <x:c r="E2340" t="str">
        <x:v>Advanced</x:v>
      </x:c>
      <x:c r="F2340" t="str">
        <x:v>Kaizo</x:v>
      </x:c>
      <x:c r="G2340" t="n">
        <x:v>44760</x:v>
      </x:c>
      <x:c r="H2340" t="str">
        <x:v>31520</x:v>
      </x:c>
      <x:c r="I2340" t="str">
        <x:v>https://www.smwcentral.net/?a=details&amp;id=31520&amp;p=section</x:v>
      </x:c>
      <x:c r="J2340" t="str">
        <x:v>https://dl.smwcentral.net/31520/TIHI.zip</x:v>
      </x:c>
    </x:row>
    <x:row r="2341">
      <x:c r="A2341" t="str">
        <x:v>Thanksgiving Hack</x:v>
      </x:c>
      <x:c r="B2341" t="str">
        <x:v>Thanksgiving Hack</x:v>
      </x:c>
      <x:c r="C2341" t="str">
        <x:v>Golden Yoshi</x:v>
      </x:c>
      <x:c r="D2341" t="n">
        <x:v>6</x:v>
      </x:c>
      <x:c r="E2341" t="str">
        <x:v>Intermediate</x:v>
      </x:c>
      <x:c r="F2341" t="str">
        <x:v>Standard</x:v>
      </x:c>
      <x:c r="G2341" t="n">
        <x:v>45960</x:v>
      </x:c>
      <x:c r="H2341" t="str">
        <x:v>40909</x:v>
      </x:c>
      <x:c r="I2341" t="str">
        <x:v>https://www.smwcentral.net/?a=details&amp;id=40909&amp;p=section</x:v>
      </x:c>
      <x:c r="J2341" t="str">
        <x:v>https://dl.smwcentral.net/40909/Thanksgiving%20Hack.zip</x:v>
      </x:c>
    </x:row>
    <x:row r="2342">
      <x:c r="A2342" t="str">
        <x:v>The 11th Annual Vanilla Level Design Contest: Compilation Hack</x:v>
      </x:c>
      <x:c r="B2342" t="str">
        <x:v>The 11th Annual Vanilla Level Design Contest: Compilation Hack</x:v>
      </x:c>
      <x:c r="C2342" t="str">
        <x:v>AnEvilGhost, SMW Central, Stivi</x:v>
      </x:c>
      <x:c r="D2342" t="n">
        <x:v>116</x:v>
      </x:c>
      <x:c r="E2342" t="str">
        <x:v>Intermediate</x:v>
      </x:c>
      <x:c r="F2342" t="str">
        <x:v>Standard</x:v>
      </x:c>
      <x:c r="G2342" t="n">
        <x:v>44706</x:v>
      </x:c>
      <x:c r="H2342" t="str">
        <x:v>30173</x:v>
      </x:c>
      <x:c r="I2342" t="str">
        <x:v>https://www.smwcentral.net/?a=details&amp;id=30173&amp;p=section</x:v>
      </x:c>
      <x:c r="J2342" t="str">
        <x:v>https://dl.smwcentral.net/30173/VLDC11_1.4.zip</x:v>
      </x:c>
    </x:row>
    <x:row r="2343">
      <x:c r="A2343" t="str">
        <x:v>The 12th Annual Vanilla Level Design Contest: Compilation Hack</x:v>
      </x:c>
      <x:c r="B2343" t="str">
        <x:v>The 12th Annual Vanilla Level Design Contest: Compilation Hack</x:v>
      </x:c>
      <x:c r="C2343" t="str">
        <x:v>AnEvilGhost, SMW Central, Stivi</x:v>
      </x:c>
      <x:c r="D2343" t="n">
        <x:v>131</x:v>
      </x:c>
      <x:c r="E2343" t="str">
        <x:v>Intermediate</x:v>
      </x:c>
      <x:c r="F2343" t="str">
        <x:v>Standard</x:v>
      </x:c>
      <x:c r="G2343" t="n">
        <x:v>44879</x:v>
      </x:c>
      <x:c r="H2343" t="str">
        <x:v>32572</x:v>
      </x:c>
      <x:c r="I2343" t="str">
        <x:v>https://www.smwcentral.net/?a=details&amp;id=32572&amp;p=section</x:v>
      </x:c>
      <x:c r="J2343" t="str">
        <x:v>https://dl.smwcentral.net/32572/VLDC12_1.07.zip</x:v>
      </x:c>
    </x:row>
    <x:row r="2344">
      <x:c r="A2344" t="str">
        <x:v>The 1st Annual Vanilla Level Design Contest: Compilation Hack</x:v>
      </x:c>
      <x:c r="B2344" t="str">
        <x:v>The 1st Annual Vanilla Level Design Contest: Compilation Hack</x:v>
      </x:c>
      <x:c r="C2344" t="str">
        <x:v>SMW Central</x:v>
      </x:c>
      <x:c r="D2344" t="n">
        <x:v>76</x:v>
      </x:c>
      <x:c r="E2344" t="str">
        <x:v>Intermediate</x:v>
      </x:c>
      <x:c r="F2344" t="str">
        <x:v>Standard</x:v>
      </x:c>
      <x:c r="G2344" t="n">
        <x:v>42583</x:v>
      </x:c>
      <x:c r="H2344" t="str">
        <x:v>13947</x:v>
      </x:c>
      <x:c r="I2344" t="str">
        <x:v>https://www.smwcentral.net/?a=details&amp;id=13947&amp;p=section</x:v>
      </x:c>
      <x:c r="J2344" t="str">
        <x:v>https://dl.smwcentral.net/13947/VLDC1.zip</x:v>
      </x:c>
    </x:row>
    <x:row r="2345">
      <x:c r="A2345" t="str">
        <x:v>The 1st Old-School Level Design Contest: Compilation Hack</x:v>
      </x:c>
      <x:c r="B2345" t="str">
        <x:v>The 1st Old-School Level Design Contest: Compilation Hack</x:v>
      </x:c>
      <x:c r="C2345" t="str">
        <x:v>SMW Central</x:v>
      </x:c>
      <x:c r="D2345" t="n">
        <x:v>113</x:v>
      </x:c>
      <x:c r="E2345" t="str">
        <x:v>Intermediate</x:v>
      </x:c>
      <x:c r="F2345" t="str">
        <x:v>Standard</x:v>
      </x:c>
      <x:c r="G2345" t="n">
        <x:v>43280</x:v>
      </x:c>
      <x:c r="H2345" t="str">
        <x:v>17706</x:v>
      </x:c>
      <x:c r="I2345" t="str">
        <x:v>https://www.smwcentral.net/?a=details&amp;id=17706&amp;p=section</x:v>
      </x:c>
      <x:c r="J2345" t="str">
        <x:v>https://dl.smwcentral.net/17706/2017%20OLDC%20v1.1.zip</x:v>
      </x:c>
    </x:row>
    <x:row r="2346">
      <x:c r="A2346" t="str">
        <x:v>The 2nd Old-School Level Design Contest: Compilation Hack</x:v>
      </x:c>
      <x:c r="B2346" t="str">
        <x:v>The 2nd Old-School Level Design Contest: Compilation Hack</x:v>
      </x:c>
      <x:c r="C2346" t="str">
        <x:v>SMW Central</x:v>
      </x:c>
      <x:c r="D2346" t="n">
        <x:v>150</x:v>
      </x:c>
      <x:c r="E2346" t="str">
        <x:v>Intermediate</x:v>
      </x:c>
      <x:c r="F2346" t="str">
        <x:v>Standard</x:v>
      </x:c>
      <x:c r="G2346" t="n">
        <x:v>44868</x:v>
      </x:c>
      <x:c r="H2346" t="str">
        <x:v>32409</x:v>
      </x:c>
      <x:c r="I2346" t="str">
        <x:v>https://www.smwcentral.net/?a=details&amp;id=32409&amp;p=section</x:v>
      </x:c>
      <x:c r="J2346" t="str">
        <x:v>https://dl.smwcentral.net/32409/OLDC2_1.02.zip</x:v>
      </x:c>
    </x:row>
    <x:row r="2347">
      <x:c r="A2347" t="str">
        <x:v>The 3 Little Princesses</x:v>
      </x:c>
      <x:c r="B2347" t="str">
        <x:v>The 3 Little Princesses</x:v>
      </x:c>
      <x:c r="C2347" t="str">
        <x:v>Batata Douce, OrangeBronzeDaisy</x:v>
      </x:c>
      <x:c r="D2347" t="n">
        <x:v>27</x:v>
      </x:c>
      <x:c r="E2347" t="str">
        <x:v>Intermediate</x:v>
      </x:c>
      <x:c r="F2347" t="str">
        <x:v>Standard</x:v>
      </x:c>
      <x:c r="G2347" t="n">
        <x:v>44581</x:v>
      </x:c>
      <x:c r="H2347" t="str">
        <x:v>29409</x:v>
      </x:c>
      <x:c r="I2347" t="str">
        <x:v>https://www.smwcentral.net/?a=details&amp;id=29409&amp;p=section</x:v>
      </x:c>
      <x:c r="J2347" t="str">
        <x:v>https://dl.smwcentral.net/29409/The_3_Little_Princesses.zip</x:v>
      </x:c>
    </x:row>
    <x:row r="2348">
      <x:c r="A2348" t="str">
        <x:v>The 4 Heroes Of The Great Land</x:v>
      </x:c>
      <x:c r="B2348" t="str">
        <x:v>The 4 Heroes Of The Great Land</x:v>
      </x:c>
      <x:c r="C2348" t="str">
        <x:v>Gamet2004</x:v>
      </x:c>
      <x:c r="D2348" t="n">
        <x:v>37</x:v>
      </x:c>
      <x:c r="E2348" t="str">
        <x:v>Advanced</x:v>
      </x:c>
      <x:c r="F2348" t="str">
        <x:v>Standard</x:v>
      </x:c>
      <x:c r="G2348" t="n">
        <x:v>45900</x:v>
      </x:c>
      <x:c r="H2348" t="str">
        <x:v>40281</x:v>
      </x:c>
      <x:c r="I2348" t="str">
        <x:v>https://www.smwcentral.net/?a=details&amp;id=40281&amp;p=section</x:v>
      </x:c>
      <x:c r="J2348" t="str">
        <x:v>https://dl.smwcentral.net/40281/4heroesforever.zip</x:v>
      </x:c>
    </x:row>
    <x:row r="2349">
      <x:c r="A2349" t="str">
        <x:v>The 4 Keys of Safety</x:v>
      </x:c>
      <x:c r="B2349" t="str">
        <x:v>The 4 Keys of Safety</x:v>
      </x:c>
      <x:c r="C2349" t="str">
        <x:v>Koelkast</x:v>
      </x:c>
      <x:c r="D2349" t="n">
        <x:v>6</x:v>
      </x:c>
      <x:c r="E2349" t="str">
        <x:v>Newcomer</x:v>
      </x:c>
      <x:c r="F2349" t="str">
        <x:v>Standard</x:v>
      </x:c>
      <x:c r="G2349" t="n">
        <x:v>42235</x:v>
      </x:c>
      <x:c r="H2349" t="str">
        <x:v>9907</x:v>
      </x:c>
      <x:c r="I2349" t="str">
        <x:v>https://www.smwcentral.net/?a=details&amp;id=9907&amp;p=section</x:v>
      </x:c>
      <x:c r="J2349" t="str">
        <x:v>https://dl.smwcentral.net/9907/The%204%20Keys%20of%20Safety%20Demo%20FIX.zip</x:v>
      </x:c>
    </x:row>
    <x:row r="2350">
      <x:c r="A2350" t="str">
        <x:v>The 5 Dragon Gems</x:v>
      </x:c>
      <x:c r="B2350" t="str">
        <x:v>The 5 Dragon Gems</x:v>
      </x:c>
      <x:c r="C2350" t="str">
        <x:v>Robju</x:v>
      </x:c>
      <x:c r="D2350" t="n">
        <x:v>10</x:v>
      </x:c>
      <x:c r="E2350" t="str">
        <x:v>Casual</x:v>
      </x:c>
      <x:c r="F2350" t="str">
        <x:v>Standard</x:v>
      </x:c>
      <x:c r="G2350" t="n">
        <x:v>42102</x:v>
      </x:c>
      <x:c r="H2350" t="str">
        <x:v>9779</x:v>
      </x:c>
      <x:c r="I2350" t="str">
        <x:v>https://www.smwcentral.net/?a=details&amp;id=9779&amp;p=section</x:v>
      </x:c>
      <x:c r="J2350" t="str">
        <x:v>https://dl.smwcentral.net/9779/5%20Dragon%20Gems.zip</x:v>
      </x:c>
    </x:row>
    <x:row r="2351">
      <x:c r="A2351" t="str">
        <x:v>The 5 Keys</x:v>
      </x:c>
      <x:c r="B2351" t="str">
        <x:v>The 5 Keys</x:v>
      </x:c>
      <x:c r="C2351" t="str">
        <x:v>iyanzakai10</x:v>
      </x:c>
      <x:c r="D2351" t="n">
        <x:v>5</x:v>
      </x:c>
      <x:c r="E2351" t="str">
        <x:v>Newcomer</x:v>
      </x:c>
      <x:c r="F2351" t="str">
        <x:v>Standard</x:v>
      </x:c>
      <x:c r="G2351" t="n">
        <x:v>42311</x:v>
      </x:c>
      <x:c r="H2351" t="str">
        <x:v>10158</x:v>
      </x:c>
      <x:c r="I2351" t="str">
        <x:v>https://www.smwcentral.net/?a=details&amp;id=10158&amp;p=section</x:v>
      </x:c>
      <x:c r="J2351" t="str">
        <x:v>https://dl.smwcentral.net/10158/The%205%20Keys%20-%28DEMO%29-.zip</x:v>
      </x:c>
    </x:row>
    <x:row r="2352">
      <x:c r="A2352" t="str">
        <x:v>The 6th Annual Vanilla Level Design Contest: Compilation Hack</x:v>
      </x:c>
      <x:c r="B2352" t="str">
        <x:v>The 6th Annual Vanilla Level Design Contest: Compilation Hack</x:v>
      </x:c>
      <x:c r="C2352" t="str">
        <x:v>SMW Central</x:v>
      </x:c>
      <x:c r="D2352" t="n">
        <x:v>114</x:v>
      </x:c>
      <x:c r="E2352" t="str">
        <x:v>Intermediate</x:v>
      </x:c>
      <x:c r="F2352" t="str">
        <x:v>Standard</x:v>
      </x:c>
      <x:c r="G2352" t="n">
        <x:v>45498</x:v>
      </x:c>
      <x:c r="H2352" t="str">
        <x:v>38000</x:v>
      </x:c>
      <x:c r="I2352" t="str">
        <x:v>https://www.smwcentral.net/?a=details&amp;id=38000&amp;p=section</x:v>
      </x:c>
      <x:c r="J2352" t="str">
        <x:v>https://dl.smwcentral.net/38000/vldc6%20v1.1.zip</x:v>
      </x:c>
    </x:row>
    <x:row r="2353">
      <x:c r="A2353" t="str">
        <x:v>The 7th Annual Vanilla Level Design Contest: Compilation Hack</x:v>
      </x:c>
      <x:c r="B2353" t="str">
        <x:v>The 7th Annual Vanilla Level Design Contest: Compilation Hack</x:v>
      </x:c>
      <x:c r="C2353" t="str">
        <x:v>SMW Central</x:v>
      </x:c>
      <x:c r="D2353" t="n">
        <x:v>86</x:v>
      </x:c>
      <x:c r="E2353" t="str">
        <x:v>Intermediate</x:v>
      </x:c>
      <x:c r="F2353" t="str">
        <x:v>Standard</x:v>
      </x:c>
      <x:c r="G2353" t="n">
        <x:v>41831</x:v>
      </x:c>
      <x:c r="H2353" t="str">
        <x:v>6872</x:v>
      </x:c>
      <x:c r="I2353" t="str">
        <x:v>https://www.smwcentral.net/?a=details&amp;id=6872&amp;p=section</x:v>
      </x:c>
      <x:c r="J2353" t="str">
        <x:v>https://dl.smwcentral.net/6872/VLDC_2014.zip</x:v>
      </x:c>
    </x:row>
    <x:row r="2354">
      <x:c r="A2354" t="str">
        <x:v>The 8th Annual Vanilla Level Design Contest: Compilation Hack</x:v>
      </x:c>
      <x:c r="B2354" t="str">
        <x:v>The 8th Annual Vanilla Level Design Contest: Compilation Hack</x:v>
      </x:c>
      <x:c r="C2354" t="str">
        <x:v>SMW Central</x:v>
      </x:c>
      <x:c r="D2354" t="n">
        <x:v>121</x:v>
      </x:c>
      <x:c r="E2354" t="str">
        <x:v>Advanced</x:v>
      </x:c>
      <x:c r="F2354" t="str">
        <x:v>Standard</x:v>
      </x:c>
      <x:c r="G2354" t="n">
        <x:v>42121</x:v>
      </x:c>
      <x:c r="H2354" t="str">
        <x:v>11254</x:v>
      </x:c>
      <x:c r="I2354" t="str">
        <x:v>https://www.smwcentral.net/?a=details&amp;id=11254&amp;p=section</x:v>
      </x:c>
      <x:c r="J2354" t="str">
        <x:v>https://dl.smwcentral.net/11254/vldc8_1.2.zip</x:v>
      </x:c>
    </x:row>
    <x:row r="2355">
      <x:c r="A2355" t="str">
        <x:v>The 9th Annual Vanilla Level Design Contest: Compilation Hack</x:v>
      </x:c>
      <x:c r="B2355" t="str">
        <x:v>The 9th Annual Vanilla Level Design Contest: Compilation Hack</x:v>
      </x:c>
      <x:c r="C2355" t="str">
        <x:v>SMW Central</x:v>
      </x:c>
      <x:c r="D2355" t="n">
        <x:v>152</x:v>
      </x:c>
      <x:c r="E2355" t="str">
        <x:v>Advanced</x:v>
      </x:c>
      <x:c r="F2355" t="str">
        <x:v>Standard</x:v>
      </x:c>
      <x:c r="G2355" t="n">
        <x:v>42725</x:v>
      </x:c>
      <x:c r="H2355" t="str">
        <x:v>14812</x:v>
      </x:c>
      <x:c r="I2355" t="str">
        <x:v>https://www.smwcentral.net/?a=details&amp;id=14812&amp;p=section</x:v>
      </x:c>
      <x:c r="J2355" t="str">
        <x:v>https://dl.smwcentral.net/14812/VLDC9%20v1.11.zip</x:v>
      </x:c>
    </x:row>
    <x:row r="2356">
      <x:c r="A2356" t="str">
        <x:v>The Adventures of Bucken Berry and Ala-Gold</x:v>
      </x:c>
      <x:c r="B2356" t="str">
        <x:v>The Adventures of Bucken Berry and Ala-Gold</x:v>
      </x:c>
      <x:c r="C2356" t="str">
        <x:v>bandicoot</x:v>
      </x:c>
      <x:c r="D2356" t="n">
        <x:v>93</x:v>
      </x:c>
      <x:c r="E2356" t="str">
        <x:v>Intermediate</x:v>
      </x:c>
      <x:c r="F2356" t="str">
        <x:v>Standard</x:v>
      </x:c>
      <x:c r="G2356" t="n">
        <x:v>45800</x:v>
      </x:c>
      <x:c r="H2356" t="str">
        <x:v>39808</x:v>
      </x:c>
      <x:c r="I2356" t="str">
        <x:v>https://www.smwcentral.net/?a=details&amp;id=39808&amp;p=section</x:v>
      </x:c>
      <x:c r="J2356" t="str">
        <x:v>https://dl.smwcentral.net/39808/The%20Adventures%20of%20Bucken%20Berry%20and%20ala-Gold%201.3.zip</x:v>
      </x:c>
    </x:row>
    <x:row r="2357">
      <x:c r="A2357" t="str">
        <x:v>The Adventures Of Super Mario</x:v>
      </x:c>
      <x:c r="B2357" t="str">
        <x:v>The Adventures Of Super Mario</x:v>
      </x:c>
      <x:c r="C2357" t="str">
        <x:v>1xsonic</x:v>
      </x:c>
      <x:c r="D2357" t="n">
        <x:v>6</x:v>
      </x:c>
      <x:c r="E2357" t="str">
        <x:v>Newcomer</x:v>
      </x:c>
      <x:c r="F2357" t="str">
        <x:v>Standard</x:v>
      </x:c>
      <x:c r="G2357" t="n">
        <x:v>42339</x:v>
      </x:c>
      <x:c r="H2357" t="str">
        <x:v>10195</x:v>
      </x:c>
      <x:c r="I2357" t="str">
        <x:v>https://www.smwcentral.net/?a=details&amp;id=10195&amp;p=section</x:v>
      </x:c>
      <x:c r="J2357" t="str">
        <x:v>https://dl.smwcentral.net/10195/The%20Adventures%20Of%20Super%20Mario.zip</x:v>
      </x:c>
    </x:row>
    <x:row r="2358">
      <x:c r="A2358" t="str">
        <x:v>The Amazing Autowalk Adventure</x:v>
      </x:c>
      <x:c r="B2358" t="str">
        <x:v>The Amazing Autowalk Adventure</x:v>
      </x:c>
      <x:c r="C2358" t="str">
        <x:v>xHF01x</x:v>
      </x:c>
      <x:c r="D2358" t="n">
        <x:v>14</x:v>
      </x:c>
      <x:c r="E2358" t="str">
        <x:v>Master</x:v>
      </x:c>
      <x:c r="F2358" t="str">
        <x:v>Kaizo</x:v>
      </x:c>
      <x:c r="G2358" t="n">
        <x:v>45447</x:v>
      </x:c>
      <x:c r="H2358" t="str">
        <x:v>37781</x:v>
      </x:c>
      <x:c r="I2358" t="str">
        <x:v>https://www.smwcentral.net/?a=details&amp;id=37781&amp;p=section</x:v>
      </x:c>
      <x:c r="J2358" t="str">
        <x:v>https://dl.smwcentral.net/37781/Autowalk_1.1.zip</x:v>
      </x:c>
    </x:row>
    <x:row r="2359">
      <x:c r="A2359" t="str">
        <x:v>The Art of Shells</x:v>
      </x:c>
      <x:c r="B2359" t="str">
        <x:v>The Art of Shells</x:v>
      </x:c>
      <x:c r="C2359" t="str">
        <x:v>Riu_69</x:v>
      </x:c>
      <x:c r="D2359" t="n">
        <x:v>10</x:v>
      </x:c>
      <x:c r="E2359" t="str">
        <x:v>Expert</x:v>
      </x:c>
      <x:c r="F2359" t="str">
        <x:v>Kaizo</x:v>
      </x:c>
      <x:c r="G2359" t="n">
        <x:v>45941</x:v>
      </x:c>
      <x:c r="H2359" t="str">
        <x:v>40765</x:v>
      </x:c>
      <x:c r="I2359" t="str">
        <x:v>https://www.smwcentral.net/?a=details&amp;id=40765&amp;p=section</x:v>
      </x:c>
      <x:c r="J2359" t="str">
        <x:v>https://dl.smwcentral.net/40765/The%20Art%20of%20Shells.zip</x:v>
      </x:c>
    </x:row>
    <x:row r="2360">
      <x:c r="A2360" t="str">
        <x:v>The artifacts of marvelous birds</x:v>
      </x:c>
      <x:c r="B2360" t="str">
        <x:v>The artifacts of marvelous birds</x:v>
      </x:c>
      <x:c r="C2360" t="str">
        <x:v>exit1337</x:v>
      </x:c>
      <x:c r="D2360" t="n">
        <x:v>45</x:v>
      </x:c>
      <x:c r="E2360" t="str">
        <x:v>Casual</x:v>
      </x:c>
      <x:c r="F2360" t="str">
        <x:v>Standard</x:v>
      </x:c>
      <x:c r="G2360" t="n">
        <x:v>43218</x:v>
      </x:c>
      <x:c r="H2360" t="str">
        <x:v>17437</x:v>
      </x:c>
      <x:c r="I2360" t="str">
        <x:v>https://www.smwcentral.net/?a=details&amp;id=17437&amp;p=section</x:v>
      </x:c>
      <x:c r="J2360" t="str">
        <x:v>https://dl.smwcentral.net/17437/The%20artifacts%20of%20marvelous%20birds%20-%20Demo%203.zip</x:v>
      </x:c>
    </x:row>
    <x:row r="2361">
      <x:c r="A2361" t="str">
        <x:v>The Baby Rescue - Starring Yoshi &amp; Friends!</x:v>
      </x:c>
      <x:c r="B2361" t="str">
        <x:v>The Baby Rescue - Starring Yoshi &amp; Friends!</x:v>
      </x:c>
      <x:c r="C2361" t="str">
        <x:v>P1JDS</x:v>
      </x:c>
      <x:c r="D2361" t="n">
        <x:v>10</x:v>
      </x:c>
      <x:c r="E2361" t="str">
        <x:v>Advanced</x:v>
      </x:c>
      <x:c r="F2361" t="str">
        <x:v>Kaizo</x:v>
      </x:c>
      <x:c r="G2361" t="n">
        <x:v>45078</x:v>
      </x:c>
      <x:c r="H2361" t="str">
        <x:v>34022</x:v>
      </x:c>
      <x:c r="I2361" t="str">
        <x:v>https://www.smwcentral.net/?a=details&amp;id=34022&amp;p=section</x:v>
      </x:c>
      <x:c r="J2361" t="str">
        <x:v>https://dl.smwcentral.net/34022/The%20Baby%20Rescue%20-%20Starring%20Yoshi%20%26%20Friends%21.zip</x:v>
      </x:c>
    </x:row>
    <x:row r="2362">
      <x:c r="A2362" t="str">
        <x:v>The Big Boo's Legion</x:v>
      </x:c>
      <x:c r="B2362" t="str">
        <x:v>The Big Boo's Legion</x:v>
      </x:c>
      <x:c r="C2362" t="str">
        <x:v>Hadron</x:v>
      </x:c>
      <x:c r="D2362" t="n">
        <x:v>10</x:v>
      </x:c>
      <x:c r="E2362" t="str">
        <x:v>Newcomer</x:v>
      </x:c>
      <x:c r="F2362" t="str">
        <x:v>Standard</x:v>
      </x:c>
      <x:c r="G2362" t="n">
        <x:v>41545</x:v>
      </x:c>
      <x:c r="H2362" t="str">
        <x:v>5260</x:v>
      </x:c>
      <x:c r="I2362" t="str">
        <x:v>https://www.smwcentral.net/?a=details&amp;id=5260&amp;p=section</x:v>
      </x:c>
      <x:c r="J2362" t="str">
        <x:v>https://dl.smwcentral.net/5260/The%20Big%20Boo%27s%20Legion.zip</x:v>
      </x:c>
    </x:row>
    <x:row r="2363">
      <x:c r="A2363" t="str">
        <x:v>The Big Boo's Legion 2: The Curse of the Magic Wand</x:v>
      </x:c>
      <x:c r="B2363" t="str">
        <x:v>The Big Boo's Legion 2: The Curse of the Magic Wand</x:v>
      </x:c>
      <x:c r="C2363" t="str">
        <x:v>Hadron</x:v>
      </x:c>
      <x:c r="D2363" t="n">
        <x:v>8</x:v>
      </x:c>
      <x:c r="E2363" t="str">
        <x:v>Casual</x:v>
      </x:c>
      <x:c r="F2363" t="str">
        <x:v>Standard</x:v>
      </x:c>
      <x:c r="G2363" t="n">
        <x:v>41573</x:v>
      </x:c>
      <x:c r="H2363" t="str">
        <x:v>5106</x:v>
      </x:c>
      <x:c r="I2363" t="str">
        <x:v>https://www.smwcentral.net/?a=details&amp;id=5106&amp;p=section</x:v>
      </x:c>
      <x:c r="J2363" t="str">
        <x:v>https://dl.smwcentral.net/5106/The%20Big%20Boo%27s%20Legion%202%20demo.zip</x:v>
      </x:c>
    </x:row>
    <x:row r="2364">
      <x:c r="A2364" t="str">
        <x:v>The Big Fish Chrisis</x:v>
      </x:c>
      <x:c r="B2364" t="str">
        <x:v>The Big Fish Chrisis</x:v>
      </x:c>
      <x:c r="C2364" t="str">
        <x:v>Klopenator</x:v>
      </x:c>
      <x:c r="D2364" t="n">
        <x:v>3</x:v>
      </x:c>
      <x:c r="E2364" t="str">
        <x:v>Casual</x:v>
      </x:c>
      <x:c r="F2364" t="str">
        <x:v>Standard</x:v>
      </x:c>
      <x:c r="G2364" t="n">
        <x:v>42040</x:v>
      </x:c>
      <x:c r="H2364" t="str">
        <x:v>9788</x:v>
      </x:c>
      <x:c r="I2364" t="str">
        <x:v>https://www.smwcentral.net/?a=details&amp;id=9788&amp;p=section</x:v>
      </x:c>
      <x:c r="J2364" t="str">
        <x:v>https://dl.smwcentral.net/9788/The%20Big%20Fish%20Chrisis.zip</x:v>
      </x:c>
    </x:row>
    <x:row r="2365">
      <x:c r="A2365" t="str">
        <x:v>The Big Five</x:v>
      </x:c>
      <x:c r="B2365" t="str">
        <x:v>The Big Five</x:v>
      </x:c>
      <x:c r="C2365" t="str">
        <x:v>Atomic-Citrus</x:v>
      </x:c>
      <x:c r="D2365" t="n">
        <x:v>5</x:v>
      </x:c>
      <x:c r="E2365" t="str">
        <x:v>Intermediate</x:v>
      </x:c>
      <x:c r="F2365" t="str">
        <x:v>Kaizo, Tool-Assisted</x:v>
      </x:c>
      <x:c r="G2365" t="n">
        <x:v>43520</x:v>
      </x:c>
      <x:c r="H2365" t="str">
        <x:v>18962</x:v>
      </x:c>
      <x:c r="I2365" t="str">
        <x:v>https://www.smwcentral.net/?a=details&amp;id=18962&amp;p=section</x:v>
      </x:c>
      <x:c r="J2365" t="str">
        <x:v>https://dl.smwcentral.net/18962/The%20Big%20Five.zip</x:v>
      </x:c>
    </x:row>
    <x:row r="2366">
      <x:c r="A2366" t="str">
        <x:v>The Bonus Rooms</x:v>
      </x:c>
      <x:c r="B2366" t="str">
        <x:v>The Bonus Rooms</x:v>
      </x:c>
      <x:c r="C2366" t="str">
        <x:v>Daizo Dee Von</x:v>
      </x:c>
      <x:c r="D2366" t="n">
        <x:v>0</x:v>
      </x:c>
      <x:c r="E2366" t="str">
        <x:v>Newcomer</x:v>
      </x:c>
      <x:c r="F2366" t="str">
        <x:v>Standard</x:v>
      </x:c>
      <x:c r="G2366" t="n">
        <x:v>45604</x:v>
      </x:c>
      <x:c r="H2366" t="str">
        <x:v>38710</x:v>
      </x:c>
      <x:c r="I2366" t="str">
        <x:v>https://www.smwcentral.net/?a=details&amp;id=38710&amp;p=section</x:v>
      </x:c>
      <x:c r="J2366" t="str">
        <x:v>https://dl.smwcentral.net/38710/%5BHack%5D%20The%20Bonus%20Rooms%20%28Official%29.zip</x:v>
      </x:c>
    </x:row>
    <x:row r="2367">
      <x:c r="A2367" t="str">
        <x:v>The Cave of Loathing</x:v>
      </x:c>
      <x:c r="B2367" t="str">
        <x:v>The Cave of Loathing</x:v>
      </x:c>
      <x:c r="C2367" t="str">
        <x:v>NixKillsMyths</x:v>
      </x:c>
      <x:c r="D2367" t="n">
        <x:v>1</x:v>
      </x:c>
      <x:c r="E2367" t="str">
        <x:v>Master</x:v>
      </x:c>
      <x:c r="F2367" t="str">
        <x:v>Kaizo</x:v>
      </x:c>
      <x:c r="G2367" t="n">
        <x:v>45074</x:v>
      </x:c>
      <x:c r="H2367" t="str">
        <x:v>33977</x:v>
      </x:c>
      <x:c r="I2367" t="str">
        <x:v>https://www.smwcentral.net/?a=details&amp;id=33977&amp;p=section</x:v>
      </x:c>
      <x:c r="J2367" t="str">
        <x:v>https://dl.smwcentral.net/33977/The%20Cave%20of%20Loathing%20%281.0%29.zip</x:v>
      </x:c>
    </x:row>
    <x:row r="2368">
      <x:c r="A2368" t="str">
        <x:v>The Cave of Loathing 2</x:v>
      </x:c>
      <x:c r="B2368" t="str">
        <x:v>The Cave of Loathing 2</x:v>
      </x:c>
      <x:c r="C2368" t="str">
        <x:v>NixKillsMyths</x:v>
      </x:c>
      <x:c r="D2368" t="n">
        <x:v>1</x:v>
      </x:c>
      <x:c r="E2368" t="str">
        <x:v>Grandmaster</x:v>
      </x:c>
      <x:c r="F2368" t="str">
        <x:v>Kaizo</x:v>
      </x:c>
      <x:c r="G2368" t="n">
        <x:v>46000</x:v>
      </x:c>
      <x:c r="H2368" t="str">
        <x:v>40774</x:v>
      </x:c>
      <x:c r="I2368" t="str">
        <x:v>https://www.smwcentral.net/?a=details&amp;id=40774&amp;p=section</x:v>
      </x:c>
      <x:c r="J2368" t="str">
        <x:v>https://dl.smwcentral.net/40774/The%20Cave%20of%20Loathing%202%20%281.0%29.zip</x:v>
      </x:c>
    </x:row>
    <x:row r="2369">
      <x:c r="A2369" t="str">
        <x:v>The Chamber of 32 Doors</x:v>
      </x:c>
      <x:c r="B2369" t="str">
        <x:v>The Chamber of 32 Doors</x:v>
      </x:c>
      <x:c r="C2369" t="str">
        <x:v>oyok</x:v>
      </x:c>
      <x:c r="D2369" t="n">
        <x:v>0</x:v>
      </x:c>
      <x:c r="E2369" t="str">
        <x:v>Expert</x:v>
      </x:c>
      <x:c r="F2369" t="str">
        <x:v>Kaizo</x:v>
      </x:c>
      <x:c r="G2369" t="n">
        <x:v>46090</x:v>
      </x:c>
      <x:c r="H2369" t="str">
        <x:v>41814</x:v>
      </x:c>
      <x:c r="I2369" t="str">
        <x:v>https://www.smwcentral.net/?a=details&amp;id=41814&amp;p=section</x:v>
      </x:c>
      <x:c r="J2369" t="str">
        <x:v>https://dl.smwcentral.net/41814/32.zip</x:v>
      </x:c>
    </x:row>
    <x:row r="2370">
      <x:c r="A2370" t="str">
        <x:v>The Clockwork Chronicles</x:v>
      </x:c>
      <x:c r="B2370" t="str">
        <x:v>The Clockwork Chronicles</x:v>
      </x:c>
      <x:c r="C2370" t="str">
        <x:v>Atomic-Citrus</x:v>
      </x:c>
      <x:c r="D2370" t="n">
        <x:v>12</x:v>
      </x:c>
      <x:c r="E2370" t="str">
        <x:v>Expert</x:v>
      </x:c>
      <x:c r="F2370" t="str">
        <x:v>Kaizo</x:v>
      </x:c>
      <x:c r="G2370" t="n">
        <x:v>43696</x:v>
      </x:c>
      <x:c r="H2370" t="str">
        <x:v>20855</x:v>
      </x:c>
      <x:c r="I2370" t="str">
        <x:v>https://www.smwcentral.net/?a=details&amp;id=20855&amp;p=section</x:v>
      </x:c>
      <x:c r="J2370" t="str">
        <x:v>https://dl.smwcentral.net/20855/The%20Clockwork%20Chronicles.zip</x:v>
      </x:c>
    </x:row>
    <x:row r="2371">
      <x:c r="A2371" t="str">
        <x:v>The Coin Hunt</x:v>
      </x:c>
      <x:c r="B2371" t="str">
        <x:v>The Coin Hunt</x:v>
      </x:c>
      <x:c r="C2371" t="str">
        <x:v>wye</x:v>
      </x:c>
      <x:c r="D2371" t="n">
        <x:v>6</x:v>
      </x:c>
      <x:c r="E2371" t="str">
        <x:v>Newcomer</x:v>
      </x:c>
      <x:c r="F2371" t="str">
        <x:v>Standard</x:v>
      </x:c>
      <x:c r="G2371" t="n">
        <x:v>42027</x:v>
      </x:c>
      <x:c r="H2371" t="str">
        <x:v>10557</x:v>
      </x:c>
      <x:c r="I2371" t="str">
        <x:v>https://www.smwcentral.net/?a=details&amp;id=10557&amp;p=section</x:v>
      </x:c>
      <x:c r="J2371" t="str">
        <x:v>https://dl.smwcentral.net/10557/TheCoinHunt_v1.zip</x:v>
      </x:c>
    </x:row>
    <x:row r="2372">
      <x:c r="A2372" t="str">
        <x:v>The Coin Hunt 2</x:v>
      </x:c>
      <x:c r="B2372" t="str">
        <x:v>The Coin Hunt 2</x:v>
      </x:c>
      <x:c r="C2372" t="str">
        <x:v>wye</x:v>
      </x:c>
      <x:c r="D2372" t="n">
        <x:v>9</x:v>
      </x:c>
      <x:c r="E2372" t="str">
        <x:v>Casual</x:v>
      </x:c>
      <x:c r="F2372" t="str">
        <x:v>Standard</x:v>
      </x:c>
      <x:c r="G2372" t="n">
        <x:v>41701</x:v>
      </x:c>
      <x:c r="H2372" t="str">
        <x:v>6331</x:v>
      </x:c>
      <x:c r="I2372" t="str">
        <x:v>https://www.smwcentral.net/?a=details&amp;id=6331&amp;p=section</x:v>
      </x:c>
      <x:c r="J2372" t="str">
        <x:v>https://dl.smwcentral.net/6331/TheCoinHunt2.zip</x:v>
      </x:c>
    </x:row>
    <x:row r="2373">
      <x:c r="A2373" t="str">
        <x:v>The Conventional Isle</x:v>
      </x:c>
      <x:c r="B2373" t="str">
        <x:v>The Conventional Isle</x:v>
      </x:c>
      <x:c r="C2373" t="str">
        <x:v>JeepySol</x:v>
      </x:c>
      <x:c r="D2373" t="n">
        <x:v>12</x:v>
      </x:c>
      <x:c r="E2373" t="str">
        <x:v>Expert</x:v>
      </x:c>
      <x:c r="F2373" t="str">
        <x:v>Kaizo</x:v>
      </x:c>
      <x:c r="G2373" t="n">
        <x:v>45603</x:v>
      </x:c>
      <x:c r="H2373" t="str">
        <x:v>38682</x:v>
      </x:c>
      <x:c r="I2373" t="str">
        <x:v>https://www.smwcentral.net/?a=details&amp;id=38682&amp;p=section</x:v>
      </x:c>
      <x:c r="J2373" t="str">
        <x:v>https://dl.smwcentral.net/38682/The%20Conventional%20Isle%20v1_1.zip</x:v>
      </x:c>
    </x:row>
    <x:row r="2374">
      <x:c r="A2374" t="str">
        <x:v>The Crimson Castle</x:v>
      </x:c>
      <x:c r="B2374" t="str">
        <x:v>The Crimson Castle</x:v>
      </x:c>
      <x:c r="C2374" t="str">
        <x:v>Redspyda9</x:v>
      </x:c>
      <x:c r="D2374" t="n">
        <x:v>14</x:v>
      </x:c>
      <x:c r="E2374" t="str">
        <x:v>Master</x:v>
      </x:c>
      <x:c r="F2374" t="str">
        <x:v>Kaizo</x:v>
      </x:c>
      <x:c r="G2374" t="n">
        <x:v>46101</x:v>
      </x:c>
      <x:c r="H2374" t="str">
        <x:v>41949</x:v>
      </x:c>
      <x:c r="I2374" t="str">
        <x:v>https://www.smwcentral.net/?a=details&amp;id=41949&amp;p=section</x:v>
      </x:c>
      <x:c r="J2374" t="str">
        <x:v>https://dl.smwcentral.net/41949/The%20Crimson%20Castle.zip</x:v>
      </x:c>
    </x:row>
    <x:row r="2375">
      <x:c r="A2375" t="str">
        <x:v>The Darkside REMASTERED</x:v>
      </x:c>
      <x:c r="B2375" t="str">
        <x:v>The Darkside REMASTERED</x:v>
      </x:c>
      <x:c r="C2375" t="str">
        <x:v>Insanit</x:v>
      </x:c>
      <x:c r="D2375" t="n">
        <x:v>12</x:v>
      </x:c>
      <x:c r="E2375" t="str">
        <x:v>Expert</x:v>
      </x:c>
      <x:c r="F2375" t="str">
        <x:v>Kaizo</x:v>
      </x:c>
      <x:c r="G2375" t="n">
        <x:v>45389</x:v>
      </x:c>
      <x:c r="H2375" t="str">
        <x:v>37477</x:v>
      </x:c>
      <x:c r="I2375" t="str">
        <x:v>https://www.smwcentral.net/?a=details&amp;id=37477&amp;p=section</x:v>
      </x:c>
      <x:c r="J2375" t="str">
        <x:v>https://dl.smwcentral.net/37477/The%20Darkside%20REMASTERED%5B1.3%5D.zip</x:v>
      </x:c>
    </x:row>
    <x:row r="2376">
      <x:c r="A2376" t="str">
        <x:v>The Devious Four Chronicles 3: The Crater</x:v>
      </x:c>
      <x:c r="B2376" t="str">
        <x:v>The Devious Four Chronicles 3: The Crater</x:v>
      </x:c>
      <x:c r="C2376" t="str">
        <x:v>Skewer, amhunter</x:v>
      </x:c>
      <x:c r="D2376" t="n">
        <x:v>100</x:v>
      </x:c>
      <x:c r="E2376" t="str">
        <x:v>Intermediate</x:v>
      </x:c>
      <x:c r="F2376" t="str">
        <x:v>Standard</x:v>
      </x:c>
      <x:c r="G2376" t="n">
        <x:v>42167</x:v>
      </x:c>
      <x:c r="H2376" t="str">
        <x:v>11441</x:v>
      </x:c>
      <x:c r="I2376" t="str">
        <x:v>https://www.smwcentral.net/?a=details&amp;id=11441&amp;p=section</x:v>
      </x:c>
      <x:c r="J2376" t="str">
        <x:v>https://dl.smwcentral.net/11441/Crater%201_32.zip</x:v>
      </x:c>
    </x:row>
    <x:row r="2377">
      <x:c r="A2377" t="str">
        <x:v>The Devious Four Chronicles 4: Hunter's Revenge ReVised</x:v>
      </x:c>
      <x:c r="B2377" t="str">
        <x:v>The Devious Four Chronicles 4: Hunter's Revenge ReVised</x:v>
      </x:c>
      <x:c r="C2377" t="str">
        <x:v>Skewer, amhunter</x:v>
      </x:c>
      <x:c r="D2377" t="n">
        <x:v>107</x:v>
      </x:c>
      <x:c r="E2377" t="str">
        <x:v>Intermediate</x:v>
      </x:c>
      <x:c r="F2377" t="str">
        <x:v>Standard</x:v>
      </x:c>
      <x:c r="G2377" t="n">
        <x:v>42594</x:v>
      </x:c>
      <x:c r="H2377" t="str">
        <x:v>13915</x:v>
      </x:c>
      <x:c r="I2377" t="str">
        <x:v>https://www.smwcentral.net/?a=details&amp;id=13915&amp;p=section</x:v>
      </x:c>
      <x:c r="J2377" t="str">
        <x:v>https://dl.smwcentral.net/13915/%234-Hunter%27sRevenge%201_1.zip</x:v>
      </x:c>
    </x:row>
    <x:row r="2378">
      <x:c r="A2378" t="str">
        <x:v>The Devious Four Chronicles 6 : The Fourth Sector</x:v>
      </x:c>
      <x:c r="B2378" t="str">
        <x:v>The Devious Four Chronicles 6 : The Fourth Sector</x:v>
      </x:c>
      <x:c r="C2378" t="str">
        <x:v>Skewer</x:v>
      </x:c>
      <x:c r="D2378" t="n">
        <x:v>102</x:v>
      </x:c>
      <x:c r="E2378" t="str">
        <x:v>Intermediate</x:v>
      </x:c>
      <x:c r="F2378" t="str">
        <x:v>Standard</x:v>
      </x:c>
      <x:c r="G2378" t="n">
        <x:v>41916</x:v>
      </x:c>
      <x:c r="H2378" t="str">
        <x:v>9170</x:v>
      </x:c>
      <x:c r="I2378" t="str">
        <x:v>https://www.smwcentral.net/?a=details&amp;id=9170&amp;p=section</x:v>
      </x:c>
      <x:c r="J2378" t="str">
        <x:v>https://dl.smwcentral.net/9170/%236-FourthSector1_7.zip</x:v>
      </x:c>
    </x:row>
    <x:row r="2379">
      <x:c r="A2379" t="str">
        <x:v>The Devious Four Chronicles 8 : Goddess Robes</x:v>
      </x:c>
      <x:c r="B2379" t="str">
        <x:v>The Devious Four Chronicles 8 : Goddess Robes</x:v>
      </x:c>
      <x:c r="C2379" t="str">
        <x:v>Skewer</x:v>
      </x:c>
      <x:c r="D2379" t="n">
        <x:v>23</x:v>
      </x:c>
      <x:c r="E2379" t="str">
        <x:v>Casual</x:v>
      </x:c>
      <x:c r="F2379" t="str">
        <x:v>Standard</x:v>
      </x:c>
      <x:c r="G2379" t="n">
        <x:v>41808</x:v>
      </x:c>
      <x:c r="H2379" t="str">
        <x:v>6693</x:v>
      </x:c>
      <x:c r="I2379" t="str">
        <x:v>https://www.smwcentral.net/?a=details&amp;id=6693&amp;p=section</x:v>
      </x:c>
      <x:c r="J2379" t="str">
        <x:v>https://dl.smwcentral.net/6693/TD4C%238-GoddessRobesDemo1_5.zip</x:v>
      </x:c>
    </x:row>
    <x:row r="2380">
      <x:c r="A2380" t="str">
        <x:v>The Dimensional Castle Starring Aeron</x:v>
      </x:c>
      <x:c r="B2380" t="str">
        <x:v>The Dimensional Castle Starring Aeron</x:v>
      </x:c>
      <x:c r="C2380" t="str">
        <x:v>Anorakun</x:v>
      </x:c>
      <x:c r="D2380" t="n">
        <x:v>4</x:v>
      </x:c>
      <x:c r="E2380" t="str">
        <x:v>Advanced</x:v>
      </x:c>
      <x:c r="F2380" t="str">
        <x:v>Standard, Kaizo</x:v>
      </x:c>
      <x:c r="G2380" t="n">
        <x:v>46113</x:v>
      </x:c>
      <x:c r="H2380" t="str">
        <x:v>41893</x:v>
      </x:c>
      <x:c r="I2380" t="str">
        <x:v>https://www.smwcentral.net/?a=details&amp;id=41893&amp;p=section</x:v>
      </x:c>
      <x:c r="J2380" t="str">
        <x:v>https://dl.smwcentral.net/41893/The%20Dimensional%20Castle%20Starring%20Aeron%20%28version%201.3.8.2%29.zip</x:v>
      </x:c>
    </x:row>
    <x:row r="2381">
      <x:c r="A2381" t="str">
        <x:v>The Duality of Mario</x:v>
      </x:c>
      <x:c r="B2381" t="str">
        <x:v>The Duality of Mario</x:v>
      </x:c>
      <x:c r="C2381" t="str">
        <x:v>AmazingChest</x:v>
      </x:c>
      <x:c r="D2381" t="n">
        <x:v>4</x:v>
      </x:c>
      <x:c r="E2381" t="str">
        <x:v>Expert</x:v>
      </x:c>
      <x:c r="F2381" t="str">
        <x:v>Kaizo</x:v>
      </x:c>
      <x:c r="G2381" t="n">
        <x:v>44592</x:v>
      </x:c>
      <x:c r="H2381" t="str">
        <x:v>29661</x:v>
      </x:c>
      <x:c r="I2381" t="str">
        <x:v>https://www.smwcentral.net/?a=details&amp;id=29661&amp;p=section</x:v>
      </x:c>
      <x:c r="J2381" t="str">
        <x:v>https://dl.smwcentral.net/29661/the-duality-of-mario.zip</x:v>
      </x:c>
    </x:row>
    <x:row r="2382">
      <x:c r="A2382" t="str">
        <x:v>The Eggs Of Saear</x:v>
      </x:c>
      <x:c r="B2382" t="str">
        <x:v>The Eggs Of Saear</x:v>
      </x:c>
      <x:c r="C2382" t="str">
        <x:v>Spade</x:v>
      </x:c>
      <x:c r="D2382" t="n">
        <x:v>32</x:v>
      </x:c>
      <x:c r="E2382" t="str">
        <x:v>Newcomer</x:v>
      </x:c>
      <x:c r="F2382" t="str">
        <x:v>Standard</x:v>
      </x:c>
      <x:c r="G2382" t="n">
        <x:v>41570</x:v>
      </x:c>
      <x:c r="H2382" t="str">
        <x:v>5161</x:v>
      </x:c>
      <x:c r="I2382" t="str">
        <x:v>https://www.smwcentral.net/?a=details&amp;id=5161&amp;p=section</x:v>
      </x:c>
      <x:c r="J2382" t="str">
        <x:v>https://dl.smwcentral.net/5161/TEOS%20Demo%204.zip</x:v>
      </x:c>
    </x:row>
    <x:row r="2383">
      <x:c r="A2383" t="str">
        <x:v>The Epic Quest Of Birdo The Pink Dinosaur</x:v>
      </x:c>
      <x:c r="B2383" t="str">
        <x:v>The Epic Quest Of Birdo The Pink Dinosaur</x:v>
      </x:c>
      <x:c r="C2383" t="str">
        <x:v>AjaTheVampire</x:v>
      </x:c>
      <x:c r="D2383" t="n">
        <x:v>34</x:v>
      </x:c>
      <x:c r="E2383" t="str">
        <x:v>Intermediate</x:v>
      </x:c>
      <x:c r="F2383" t="str">
        <x:v>Standard</x:v>
      </x:c>
      <x:c r="G2383" t="n">
        <x:v>44655</x:v>
      </x:c>
      <x:c r="H2383" t="str">
        <x:v>30186</x:v>
      </x:c>
      <x:c r="I2383" t="str">
        <x:v>https://www.smwcentral.net/?a=details&amp;id=30186&amp;p=section</x:v>
      </x:c>
      <x:c r="J2383" t="str">
        <x:v>https://dl.smwcentral.net/30186/TEQOBirdoThePinkDinsosaur%20v1.1.zip</x:v>
      </x:c>
    </x:row>
    <x:row r="2384">
      <x:c r="A2384" t="str">
        <x:v>The Epic Quest Of Birdo The Pink Dinosaur Dark Behaviours</x:v>
      </x:c>
      <x:c r="B2384" t="str">
        <x:v>The Epic Quest Of Birdo The Pink Dinosaur Dark Behaviours</x:v>
      </x:c>
      <x:c r="C2384" t="str">
        <x:v>AjaTheVampire</x:v>
      </x:c>
      <x:c r="D2384" t="n">
        <x:v>41</x:v>
      </x:c>
      <x:c r="E2384" t="str">
        <x:v>Intermediate</x:v>
      </x:c>
      <x:c r="F2384" t="str">
        <x:v>Standard</x:v>
      </x:c>
      <x:c r="G2384" t="n">
        <x:v>44736</x:v>
      </x:c>
      <x:c r="H2384" t="str">
        <x:v>31168</x:v>
      </x:c>
      <x:c r="I2384" t="str">
        <x:v>https://www.smwcentral.net/?a=details&amp;id=31168&amp;p=section</x:v>
      </x:c>
      <x:c r="J2384" t="str">
        <x:v>https://dl.smwcentral.net/31168/TEQOBirdoThePinkDinosaurDarkBehaviours%201.1.zip</x:v>
      </x:c>
    </x:row>
    <x:row r="2385">
      <x:c r="A2385" t="str">
        <x:v>The Epic Quest Of Birdo The Vampire Subcon Journey</x:v>
      </x:c>
      <x:c r="B2385" t="str">
        <x:v>The Epic Quest Of Birdo The Vampire Subcon Journey</x:v>
      </x:c>
      <x:c r="C2385" t="str">
        <x:v>AjaTheVampire</x:v>
      </x:c>
      <x:c r="D2385" t="n">
        <x:v>44</x:v>
      </x:c>
      <x:c r="E2385" t="str">
        <x:v>Intermediate</x:v>
      </x:c>
      <x:c r="F2385" t="str">
        <x:v>Standard</x:v>
      </x:c>
      <x:c r="G2385" t="n">
        <x:v>44914</x:v>
      </x:c>
      <x:c r="H2385" t="str">
        <x:v>32750</x:v>
      </x:c>
      <x:c r="I2385" t="str">
        <x:v>https://www.smwcentral.net/?a=details&amp;id=32750&amp;p=section</x:v>
      </x:c>
      <x:c r="J2385" t="str">
        <x:v>https://dl.smwcentral.net/32750/TEQOBirdoTheVampire%201.1.zip</x:v>
      </x:c>
    </x:row>
    <x:row r="2386">
      <x:c r="A2386" t="str">
        <x:v>The Evil Maze</x:v>
      </x:c>
      <x:c r="B2386" t="str">
        <x:v>The Evil Maze</x:v>
      </x:c>
      <x:c r="C2386" t="str">
        <x:v>limepie20</x:v>
      </x:c>
      <x:c r="D2386" t="n">
        <x:v>4</x:v>
      </x:c>
      <x:c r="E2386" t="str">
        <x:v>Intermediate</x:v>
      </x:c>
      <x:c r="F2386" t="str">
        <x:v>Standard</x:v>
      </x:c>
      <x:c r="G2386" t="n">
        <x:v>42345</x:v>
      </x:c>
      <x:c r="H2386" t="str">
        <x:v>10064</x:v>
      </x:c>
      <x:c r="I2386" t="str">
        <x:v>https://www.smwcentral.net/?a=details&amp;id=10064&amp;p=section</x:v>
      </x:c>
      <x:c r="J2386" t="str">
        <x:v>https://dl.smwcentral.net/10064/EvilMaze2.4.zip</x:v>
      </x:c>
    </x:row>
    <x:row r="2387">
      <x:c r="A2387" t="str">
        <x:v>The Expansion of the Combat Zone</x:v>
      </x:c>
      <x:c r="B2387" t="str">
        <x:v>The Expansion of the Combat Zone</x:v>
      </x:c>
      <x:c r="C2387" t="str">
        <x:v>Eden_</x:v>
      </x:c>
      <x:c r="D2387" t="n">
        <x:v>8</x:v>
      </x:c>
      <x:c r="E2387" t="str">
        <x:v>Grandmaster</x:v>
      </x:c>
      <x:c r="F2387" t="str">
        <x:v>Kaizo</x:v>
      </x:c>
      <x:c r="G2387" t="n">
        <x:v>45883</x:v>
      </x:c>
      <x:c r="H2387" t="str">
        <x:v>39986</x:v>
      </x:c>
      <x:c r="I2387" t="str">
        <x:v>https://www.smwcentral.net/?a=details&amp;id=39986&amp;p=section</x:v>
      </x:c>
      <x:c r="J2387" t="str">
        <x:v>https://dl.smwcentral.net/39986/CombatZone.zip</x:v>
      </x:c>
    </x:row>
    <x:row r="2388">
      <x:c r="A2388" t="str">
        <x:v>The Fallen Star</x:v>
      </x:c>
      <x:c r="B2388" t="str">
        <x:v>The Fallen Star</x:v>
      </x:c>
      <x:c r="C2388" t="str">
        <x:v>Ringo</x:v>
      </x:c>
      <x:c r="D2388" t="n">
        <x:v>8</x:v>
      </x:c>
      <x:c r="E2388" t="str">
        <x:v>Casual</x:v>
      </x:c>
      <x:c r="F2388" t="str">
        <x:v>Standard</x:v>
      </x:c>
      <x:c r="G2388" t="n">
        <x:v>45391</x:v>
      </x:c>
      <x:c r="H2388" t="str">
        <x:v>37607</x:v>
      </x:c>
      <x:c r="I2388" t="str">
        <x:v>https://www.smwcentral.net/?a=details&amp;id=37607&amp;p=section</x:v>
      </x:c>
      <x:c r="J2388" t="str">
        <x:v>https://dl.smwcentral.net/37607/TFSDemo1v1.3.zip</x:v>
      </x:c>
    </x:row>
    <x:row r="2389">
      <x:c r="A2389" t="str">
        <x:v>The Fellership</x:v>
      </x:c>
      <x:c r="B2389" t="str">
        <x:v>The Fellership</x:v>
      </x:c>
      <x:c r="C2389" t="str">
        <x:v>SolveForX, Team Slop</x:v>
      </x:c>
      <x:c r="D2389" t="n">
        <x:v>12</x:v>
      </x:c>
      <x:c r="E2389" t="str">
        <x:v>Expert</x:v>
      </x:c>
      <x:c r="F2389" t="str">
        <x:v>Kaizo</x:v>
      </x:c>
      <x:c r="G2389" t="n">
        <x:v>44972</x:v>
      </x:c>
      <x:c r="H2389" t="str">
        <x:v>33105</x:v>
      </x:c>
      <x:c r="I2389" t="str">
        <x:v>https://www.smwcentral.net/?a=details&amp;id=33105&amp;p=section</x:v>
      </x:c>
      <x:c r="J2389" t="str">
        <x:v>https://dl.smwcentral.net/33105/TheFellership.zip</x:v>
      </x:c>
    </x:row>
    <x:row r="2390">
      <x:c r="A2390" t="str">
        <x:v>The First Round</x:v>
      </x:c>
      <x:c r="B2390" t="str">
        <x:v>The First Round</x:v>
      </x:c>
      <x:c r="C2390" t="str">
        <x:v>GamesInTweed</x:v>
      </x:c>
      <x:c r="D2390" t="n">
        <x:v>0</x:v>
      </x:c>
      <x:c r="E2390" t="str">
        <x:v>Intermediate</x:v>
      </x:c>
      <x:c r="F2390" t="str">
        <x:v>Kaizo</x:v>
      </x:c>
      <x:c r="G2390" t="n">
        <x:v>45307</x:v>
      </x:c>
      <x:c r="H2390" t="str">
        <x:v>35612</x:v>
      </x:c>
      <x:c r="I2390" t="str">
        <x:v>https://www.smwcentral.net/?a=details&amp;id=35612&amp;p=section</x:v>
      </x:c>
      <x:c r="J2390" t="str">
        <x:v>https://dl.smwcentral.net/35612/The%20First%20Round%20v1.11.zip</x:v>
      </x:c>
    </x:row>
    <x:row r="2391">
      <x:c r="A2391" t="str">
        <x:v>the first smw hack that will ever be so lucky as to gain the luxury of leaving my pc</x:v>
      </x:c>
      <x:c r="B2391" t="str">
        <x:v>the first smw hack that will ever be so lucky as to gain the luxury of leaving my pc</x:v>
      </x:c>
      <x:c r="C2391" t="str">
        <x:v>DynastyLobster</x:v>
      </x:c>
      <x:c r="D2391" t="n">
        <x:v>13</x:v>
      </x:c>
      <x:c r="E2391" t="str">
        <x:v>Casual</x:v>
      </x:c>
      <x:c r="F2391" t="str">
        <x:v>Standard</x:v>
      </x:c>
      <x:c r="G2391" t="n">
        <x:v>42976</x:v>
      </x:c>
      <x:c r="H2391" t="str">
        <x:v>16046</x:v>
      </x:c>
      <x:c r="I2391" t="str">
        <x:v>https://www.smwcentral.net/?a=details&amp;id=16046&amp;p=section</x:v>
      </x:c>
      <x:c r="J2391" t="str">
        <x:v>https://dl.smwcentral.net/16046/TFSMWHTWEBSLATGTLOLMPC.zip</x:v>
      </x:c>
    </x:row>
    <x:row r="2392">
      <x:c r="A2392" t="str">
        <x:v>The Five "Five Room" Room Castle</x:v>
      </x:c>
      <x:c r="B2392" t="str">
        <x:v>The Five "Five Room" Room Castle</x:v>
      </x:c>
      <x:c r="C2392" t="str">
        <x:v>StayAtHomeStegosaurus</x:v>
      </x:c>
      <x:c r="D2392" t="n">
        <x:v>5</x:v>
      </x:c>
      <x:c r="E2392" t="str">
        <x:v>Master</x:v>
      </x:c>
      <x:c r="F2392" t="str">
        <x:v>Kaizo</x:v>
      </x:c>
      <x:c r="G2392" t="n">
        <x:v>45054</x:v>
      </x:c>
      <x:c r="H2392" t="str">
        <x:v>33734</x:v>
      </x:c>
      <x:c r="I2392" t="str">
        <x:v>https://www.smwcentral.net/?a=details&amp;id=33734&amp;p=section</x:v>
      </x:c>
      <x:c r="J2392" t="str">
        <x:v>https://dl.smwcentral.net/33734/TheFiveFiveRoomRoomCastle_V1.0.zip</x:v>
      </x:c>
    </x:row>
    <x:row r="2393">
      <x:c r="A2393" t="str">
        <x:v>The Forest of Rovaki</x:v>
      </x:c>
      <x:c r="B2393" t="str">
        <x:v>The Forest of Rovaki</x:v>
      </x:c>
      <x:c r="C2393" t="str">
        <x:v>Windveil</x:v>
      </x:c>
      <x:c r="D2393" t="n">
        <x:v>8</x:v>
      </x:c>
      <x:c r="E2393" t="str">
        <x:v>Newcomer</x:v>
      </x:c>
      <x:c r="F2393" t="str">
        <x:v>Standard</x:v>
      </x:c>
      <x:c r="G2393" t="n">
        <x:v>42259</x:v>
      </x:c>
      <x:c r="H2393" t="str">
        <x:v>9986</x:v>
      </x:c>
      <x:c r="I2393" t="str">
        <x:v>https://www.smwcentral.net/?a=details&amp;id=9986&amp;p=section</x:v>
      </x:c>
      <x:c r="J2393" t="str">
        <x:v>https://dl.smwcentral.net/9986/The%20Forest%20of%20Rovaki.zip</x:v>
      </x:c>
    </x:row>
    <x:row r="2394">
      <x:c r="A2394" t="str">
        <x:v>The Forever Mystery, Part One: Rescue!</x:v>
      </x:c>
      <x:c r="B2394" t="str">
        <x:v>The Forever Mystery, Part One: Rescue!</x:v>
      </x:c>
      <x:c r="C2394" t="str">
        <x:v>FPzero</x:v>
      </x:c>
      <x:c r="D2394" t="n">
        <x:v>49</x:v>
      </x:c>
      <x:c r="E2394" t="str">
        <x:v>Casual</x:v>
      </x:c>
      <x:c r="F2394" t="str">
        <x:v>Standard</x:v>
      </x:c>
      <x:c r="G2394" t="n">
        <x:v>42218</x:v>
      </x:c>
      <x:c r="H2394" t="str">
        <x:v>9824</x:v>
      </x:c>
      <x:c r="I2394" t="str">
        <x:v>https://www.smwcentral.net/?a=details&amp;id=9824&amp;p=section</x:v>
      </x:c>
      <x:c r="J2394" t="str">
        <x:v>https://dl.smwcentral.net/9824/Super%20Mario%20Eternity%200.7.1.zip</x:v>
      </x:c>
    </x:row>
    <x:row r="2395">
      <x:c r="A2395" t="str">
        <x:v>The Forever Mystery, Part Zero: Prologue</x:v>
      </x:c>
      <x:c r="B2395" t="str">
        <x:v>The Forever Mystery, Part Zero: Prologue</x:v>
      </x:c>
      <x:c r="C2395" t="str">
        <x:v>FPzero</x:v>
      </x:c>
      <x:c r="D2395" t="n">
        <x:v>7</x:v>
      </x:c>
      <x:c r="E2395" t="str">
        <x:v>Newcomer</x:v>
      </x:c>
      <x:c r="F2395" t="str">
        <x:v>Standard</x:v>
      </x:c>
      <x:c r="G2395" t="n">
        <x:v>41445</x:v>
      </x:c>
      <x:c r="H2395" t="str">
        <x:v>4972</x:v>
      </x:c>
      <x:c r="I2395" t="str">
        <x:v>https://www.smwcentral.net/?a=details&amp;id=4972&amp;p=section</x:v>
      </x:c>
      <x:c r="J2395" t="str">
        <x:v>https://dl.smwcentral.net/4972/Forever%20Mystery%20Prologue.zip</x:v>
      </x:c>
    </x:row>
    <x:row r="2396">
      <x:c r="A2396" t="str">
        <x:v>The Forgotten Island</x:v>
      </x:c>
      <x:c r="B2396" t="str">
        <x:v>The Forgotten Island</x:v>
      </x:c>
      <x:c r="C2396" t="str">
        <x:v>I8Strudel</x:v>
      </x:c>
      <x:c r="D2396" t="n">
        <x:v>22</x:v>
      </x:c>
      <x:c r="E2396" t="str">
        <x:v>Casual</x:v>
      </x:c>
      <x:c r="F2396" t="str">
        <x:v>Standard</x:v>
      </x:c>
      <x:c r="G2396" t="n">
        <x:v>42243</x:v>
      </x:c>
      <x:c r="H2396" t="str">
        <x:v>9935</x:v>
      </x:c>
      <x:c r="I2396" t="str">
        <x:v>https://www.smwcentral.net/?a=details&amp;id=9935&amp;p=section</x:v>
      </x:c>
      <x:c r="J2396" t="str">
        <x:v>https://dl.smwcentral.net/9935/The_Forgotten_Island.zip</x:v>
      </x:c>
    </x:row>
    <x:row r="2397">
      <x:c r="A2397" t="str">
        <x:v>The Fort</x:v>
      </x:c>
      <x:c r="B2397" t="str">
        <x:v>The Fort</x:v>
      </x:c>
      <x:c r="C2397" t="str">
        <x:v>Ostix, Silverfox, Trollope</x:v>
      </x:c>
      <x:c r="D2397" t="n">
        <x:v>1</x:v>
      </x:c>
      <x:c r="E2397" t="str">
        <x:v>Intermediate</x:v>
      </x:c>
      <x:c r="F2397" t="str">
        <x:v>Kaizo, Tool-Assisted</x:v>
      </x:c>
      <x:c r="G2397" t="n">
        <x:v>41808</x:v>
      </x:c>
      <x:c r="H2397" t="str">
        <x:v>6130</x:v>
      </x:c>
      <x:c r="I2397" t="str">
        <x:v>https://www.smwcentral.net/?a=details&amp;id=6130&amp;p=section</x:v>
      </x:c>
      <x:c r="J2397" t="str">
        <x:v>https://dl.smwcentral.net/6130/The_Fort.zip</x:v>
      </x:c>
    </x:row>
    <x:row r="2398">
      <x:c r="A2398" t="str">
        <x:v>The Found Levels featuring Aeron</x:v>
      </x:c>
      <x:c r="B2398" t="str">
        <x:v>The Found Levels featuring Aeron</x:v>
      </x:c>
      <x:c r="C2398" t="str">
        <x:v>Anorakun</x:v>
      </x:c>
      <x:c r="D2398" t="n">
        <x:v>9</x:v>
      </x:c>
      <x:c r="E2398" t="str">
        <x:v>Advanced</x:v>
      </x:c>
      <x:c r="F2398" t="str">
        <x:v>Standard, Kaizo</x:v>
      </x:c>
      <x:c r="G2398" t="n">
        <x:v>46132</x:v>
      </x:c>
      <x:c r="H2398" t="str">
        <x:v>42166</x:v>
      </x:c>
      <x:c r="I2398" t="str">
        <x:v>https://www.smwcentral.net/?a=details&amp;id=42166&amp;p=section</x:v>
      </x:c>
      <x:c r="J2398" t="str">
        <x:v>https://dl.smwcentral.net/42166/The%20Found%20Levels%20featuring%20Aeron%20%28version%201.4.5%29.zip</x:v>
      </x:c>
    </x:row>
    <x:row r="2399">
      <x:c r="A2399" t="str">
        <x:v>The Four Boos of the Apocalypse</x:v>
      </x:c>
      <x:c r="B2399" t="str">
        <x:v>The Four Boos of the Apocalypse</x:v>
      </x:c>
      <x:c r="C2399" t="str">
        <x:v>Redspyda9</x:v>
      </x:c>
      <x:c r="D2399" t="n">
        <x:v>16</x:v>
      </x:c>
      <x:c r="E2399" t="str">
        <x:v>Grandmaster</x:v>
      </x:c>
      <x:c r="F2399" t="str">
        <x:v>Kaizo</x:v>
      </x:c>
      <x:c r="G2399" t="n">
        <x:v>46116</x:v>
      </x:c>
      <x:c r="H2399" t="str">
        <x:v>42107</x:v>
      </x:c>
      <x:c r="I2399" t="str">
        <x:v>https://www.smwcentral.net/?a=details&amp;id=42107&amp;p=section</x:v>
      </x:c>
      <x:c r="J2399" t="str">
        <x:v>https://dl.smwcentral.net/42107/4BoosOfTheApocalypse.zip</x:v>
      </x:c>
    </x:row>
    <x:row r="2400">
      <x:c r="A2400" t="str">
        <x:v>The Fragmented Realm</x:v>
      </x:c>
      <x:c r="B2400" t="str">
        <x:v>The Fragmented Realm</x:v>
      </x:c>
      <x:c r="C2400" t="str">
        <x:v>Dan</x:v>
      </x:c>
      <x:c r="D2400" t="n">
        <x:v>12</x:v>
      </x:c>
      <x:c r="E2400" t="str">
        <x:v>Casual</x:v>
      </x:c>
      <x:c r="F2400" t="str">
        <x:v>Standard</x:v>
      </x:c>
      <x:c r="G2400" t="n">
        <x:v>42783</x:v>
      </x:c>
      <x:c r="H2400" t="str">
        <x:v>15202</x:v>
      </x:c>
      <x:c r="I2400" t="str">
        <x:v>https://www.smwcentral.net/?a=details&amp;id=15202&amp;p=section</x:v>
      </x:c>
      <x:c r="J2400" t="str">
        <x:v>https://dl.smwcentral.net/15202/The_Fragmented_Realm_-_Demo_2.zip</x:v>
      </x:c>
    </x:row>
    <x:row r="2401">
      <x:c r="A2401" t="str">
        <x:v>The Friends We Made</x:v>
      </x:c>
      <x:c r="B2401" t="str">
        <x:v>The Friends We Made</x:v>
      </x:c>
      <x:c r="C2401" t="str">
        <x:v>Jibjig</x:v>
      </x:c>
      <x:c r="D2401" t="n">
        <x:v>18</x:v>
      </x:c>
      <x:c r="E2401" t="str">
        <x:v>Master</x:v>
      </x:c>
      <x:c r="F2401" t="str">
        <x:v>Kaizo</x:v>
      </x:c>
      <x:c r="G2401" t="n">
        <x:v>44670</x:v>
      </x:c>
      <x:c r="H2401" t="str">
        <x:v>30014</x:v>
      </x:c>
      <x:c r="I2401" t="str">
        <x:v>https://www.smwcentral.net/?a=details&amp;id=30014&amp;p=section</x:v>
      </x:c>
      <x:c r="J2401" t="str">
        <x:v>https://dl.smwcentral.net/30014/TFWM1.1.zip</x:v>
      </x:c>
    </x:row>
    <x:row r="2402">
      <x:c r="A2402" t="str">
        <x:v>The Fugue</x:v>
      </x:c>
      <x:c r="B2402" t="str">
        <x:v>The Fugue</x:v>
      </x:c>
      <x:c r="C2402" t="str">
        <x:v>NewPointless</x:v>
      </x:c>
      <x:c r="D2402" t="n">
        <x:v>0</x:v>
      </x:c>
      <x:c r="E2402" t="str">
        <x:v>Newcomer</x:v>
      </x:c>
      <x:c r="F2402" t="str">
        <x:v>Standard</x:v>
      </x:c>
      <x:c r="G2402" t="n">
        <x:v>45961</x:v>
      </x:c>
      <x:c r="H2402" t="str">
        <x:v>40917</x:v>
      </x:c>
      <x:c r="I2402" t="str">
        <x:v>https://www.smwcentral.net/?a=details&amp;id=40917&amp;p=section</x:v>
      </x:c>
      <x:c r="J2402" t="str">
        <x:v>https://dl.smwcentral.net/40917/TheFugue1_1.zip</x:v>
      </x:c>
    </x:row>
    <x:row r="2403">
      <x:c r="A2403" t="str">
        <x:v>The Gatekeeper Strikes Again!!!</x:v>
      </x:c>
      <x:c r="B2403" t="str">
        <x:v>The Gatekeeper Strikes Again!!!</x:v>
      </x:c>
      <x:c r="C2403" t="str">
        <x:v>Gamet2004</x:v>
      </x:c>
      <x:c r="D2403" t="n">
        <x:v>17</x:v>
      </x:c>
      <x:c r="E2403" t="str">
        <x:v>Intermediate</x:v>
      </x:c>
      <x:c r="F2403" t="str">
        <x:v>Standard</x:v>
      </x:c>
      <x:c r="G2403" t="n">
        <x:v>45696</x:v>
      </x:c>
      <x:c r="H2403" t="str">
        <x:v>39021</x:v>
      </x:c>
      <x:c r="I2403" t="str">
        <x:v>https://www.smwcentral.net/?a=details&amp;id=39021&amp;p=section</x:v>
      </x:c>
      <x:c r="J2403" t="str">
        <x:v>https://dl.smwcentral.net/39021/Gatekeeper.zip</x:v>
      </x:c>
    </x:row>
    <x:row r="2404">
      <x:c r="A2404" t="str">
        <x:v>The Getaway</x:v>
      </x:c>
      <x:c r="B2404" t="str">
        <x:v>The Getaway</x:v>
      </x:c>
      <x:c r="C2404" t="str">
        <x:v>Parahax</x:v>
      </x:c>
      <x:c r="D2404" t="n">
        <x:v>8</x:v>
      </x:c>
      <x:c r="E2404" t="str">
        <x:v>Expert</x:v>
      </x:c>
      <x:c r="F2404" t="str">
        <x:v>Kaizo</x:v>
      </x:c>
      <x:c r="G2404" t="n">
        <x:v>44736</x:v>
      </x:c>
      <x:c r="H2404" t="str">
        <x:v>31221</x:v>
      </x:c>
      <x:c r="I2404" t="str">
        <x:v>https://www.smwcentral.net/?a=details&amp;id=31221&amp;p=section</x:v>
      </x:c>
      <x:c r="J2404" t="str">
        <x:v>https://dl.smwcentral.net/31221/The%20Getaway%201.12.zip</x:v>
      </x:c>
    </x:row>
    <x:row r="2405">
      <x:c r="A2405" t="str">
        <x:v>The Grassy Plains</x:v>
      </x:c>
      <x:c r="B2405" t="str">
        <x:v>The Grassy Plains</x:v>
      </x:c>
      <x:c r="C2405" t="str">
        <x:v>pieguy184</x:v>
      </x:c>
      <x:c r="D2405" t="n">
        <x:v>4</x:v>
      </x:c>
      <x:c r="E2405" t="str">
        <x:v>Casual</x:v>
      </x:c>
      <x:c r="F2405" t="str">
        <x:v>Standard</x:v>
      </x:c>
      <x:c r="G2405" t="n">
        <x:v>42163</x:v>
      </x:c>
      <x:c r="H2405" t="str">
        <x:v>9955</x:v>
      </x:c>
      <x:c r="I2405" t="str">
        <x:v>https://www.smwcentral.net/?a=details&amp;id=9955&amp;p=section</x:v>
      </x:c>
      <x:c r="J2405" t="str">
        <x:v>https://dl.smwcentral.net/9955/TheGrassyPlains.zip</x:v>
      </x:c>
    </x:row>
    <x:row r="2406">
      <x:c r="A2406" t="str">
        <x:v>The Great Giana Sisters</x:v>
      </x:c>
      <x:c r="B2406" t="str">
        <x:v>The Great Giana Sisters</x:v>
      </x:c>
      <x:c r="C2406" t="str">
        <x:v>Big Brawler</x:v>
      </x:c>
      <x:c r="D2406" t="n">
        <x:v>33</x:v>
      </x:c>
      <x:c r="E2406" t="str">
        <x:v>Newcomer</x:v>
      </x:c>
      <x:c r="F2406" t="str">
        <x:v>Standard</x:v>
      </x:c>
      <x:c r="G2406" t="n">
        <x:v>42445</x:v>
      </x:c>
      <x:c r="H2406" t="str">
        <x:v>13430</x:v>
      </x:c>
      <x:c r="I2406" t="str">
        <x:v>https://www.smwcentral.net/?a=details&amp;id=13430&amp;p=section</x:v>
      </x:c>
      <x:c r="J2406" t="str">
        <x:v>https://dl.smwcentral.net/13430/The%20Great%20Giana%20Sisters.zip</x:v>
      </x:c>
    </x:row>
    <x:row r="2407">
      <x:c r="A2407" t="str">
        <x:v>The Great Giana Sisters 2: Another Generical Hack</x:v>
      </x:c>
      <x:c r="B2407" t="str">
        <x:v>The Great Giana Sisters 2: Another Generical Hack</x:v>
      </x:c>
      <x:c r="C2407" t="str">
        <x:v>Big Brawler</x:v>
      </x:c>
      <x:c r="D2407" t="n">
        <x:v>28</x:v>
      </x:c>
      <x:c r="E2407" t="str">
        <x:v>Advanced</x:v>
      </x:c>
      <x:c r="F2407" t="str">
        <x:v>Standard</x:v>
      </x:c>
      <x:c r="G2407" t="n">
        <x:v>42695</x:v>
      </x:c>
      <x:c r="H2407" t="str">
        <x:v>14627</x:v>
      </x:c>
      <x:c r="I2407" t="str">
        <x:v>https://www.smwcentral.net/?a=details&amp;id=14627&amp;p=section</x:v>
      </x:c>
      <x:c r="J2407" t="str">
        <x:v>https://dl.smwcentral.net/14627/The%20Great%20Giana%20Sisters%202%20-%20Another%20Generical%20Hack.zip</x:v>
      </x:c>
    </x:row>
    <x:row r="2408">
      <x:c r="A2408" t="str">
        <x:v>The Great Giana Sisters 3: The Forgotten Dream</x:v>
      </x:c>
      <x:c r="B2408" t="str">
        <x:v>The Great Giana Sisters 3: The Forgotten Dream</x:v>
      </x:c>
      <x:c r="C2408" t="str">
        <x:v>Big Brawler</x:v>
      </x:c>
      <x:c r="D2408" t="n">
        <x:v>5</x:v>
      </x:c>
      <x:c r="E2408" t="str">
        <x:v>Advanced</x:v>
      </x:c>
      <x:c r="F2408" t="str">
        <x:v>Standard</x:v>
      </x:c>
      <x:c r="G2408" t="n">
        <x:v>42697</x:v>
      </x:c>
      <x:c r="H2408" t="str">
        <x:v>14671</x:v>
      </x:c>
      <x:c r="I2408" t="str">
        <x:v>https://www.smwcentral.net/?a=details&amp;id=14671&amp;p=section</x:v>
      </x:c>
      <x:c r="J2408" t="str">
        <x:v>https://dl.smwcentral.net/14671/The%20Great%20Giana%20Sisters%203%20-%20The%20Forrgoten%20Dream%20Demo1.zip</x:v>
      </x:c>
    </x:row>
    <x:row r="2409">
      <x:c r="A2409" t="str">
        <x:v>The Great Search</x:v>
      </x:c>
      <x:c r="B2409" t="str">
        <x:v>The Great Search</x:v>
      </x:c>
      <x:c r="C2409" t="str">
        <x:v>Easy Difficulty</x:v>
      </x:c>
      <x:c r="D2409" t="n">
        <x:v>0</x:v>
      </x:c>
      <x:c r="E2409" t="str">
        <x:v>Intermediate</x:v>
      </x:c>
      <x:c r="F2409" t="str">
        <x:v>Standard</x:v>
      </x:c>
      <x:c r="G2409" t="n">
        <x:v>45177</x:v>
      </x:c>
      <x:c r="H2409" t="str">
        <x:v>34298</x:v>
      </x:c>
      <x:c r="I2409" t="str">
        <x:v>https://www.smwcentral.net/?a=details&amp;id=34298&amp;p=section</x:v>
      </x:c>
      <x:c r="J2409" t="str">
        <x:v>https://dl.smwcentral.net/34298/The%20Great%20Search.zip</x:v>
      </x:c>
    </x:row>
    <x:row r="2410">
      <x:c r="A2410" t="str">
        <x:v>The Green Plumber's Adventure: A Future Prequel</x:v>
      </x:c>
      <x:c r="B2410" t="str">
        <x:v>The Green Plumber's Adventure: A Future Prequel</x:v>
      </x:c>
      <x:c r="C2410" t="str">
        <x:v>Super Buzzy Yoshi, TheOrangeToad</x:v>
      </x:c>
      <x:c r="D2410" t="n">
        <x:v>12</x:v>
      </x:c>
      <x:c r="E2410" t="str">
        <x:v>Casual</x:v>
      </x:c>
      <x:c r="F2410" t="str">
        <x:v>Standard</x:v>
      </x:c>
      <x:c r="G2410" t="n">
        <x:v>44428</x:v>
      </x:c>
      <x:c r="H2410" t="str">
        <x:v>27980</x:v>
      </x:c>
      <x:c r="I2410" t="str">
        <x:v>https://www.smwcentral.net/?a=details&amp;id=27980&amp;p=section</x:v>
      </x:c>
      <x:c r="J2410" t="str">
        <x:v>https://dl.smwcentral.net/27980/TGPAAFPDemo.zip</x:v>
      </x:c>
    </x:row>
    <x:row r="2411">
      <x:c r="A2411" t="str">
        <x:v>The grey chapter</x:v>
      </x:c>
      <x:c r="B2411" t="str">
        <x:v>The grey chapter</x:v>
      </x:c>
      <x:c r="C2411" t="str">
        <x:v>Lush_50</x:v>
      </x:c>
      <x:c r="D2411" t="n">
        <x:v>4</x:v>
      </x:c>
      <x:c r="E2411" t="str">
        <x:v>Expert</x:v>
      </x:c>
      <x:c r="F2411" t="str">
        <x:v>Kaizo</x:v>
      </x:c>
      <x:c r="G2411" t="n">
        <x:v>44613</x:v>
      </x:c>
      <x:c r="H2411" t="str">
        <x:v>29915</x:v>
      </x:c>
      <x:c r="I2411" t="str">
        <x:v>https://www.smwcentral.net/?a=details&amp;id=29915&amp;p=section</x:v>
      </x:c>
      <x:c r="J2411" t="str">
        <x:v>https://dl.smwcentral.net/29915/The%20grey%20chapter.zip</x:v>
      </x:c>
    </x:row>
    <x:row r="2412">
      <x:c r="A2412" t="str">
        <x:v>The Hackening</x:v>
      </x:c>
      <x:c r="B2412" t="str">
        <x:v>The Hackening</x:v>
      </x:c>
      <x:c r="C2412" t="str">
        <x:v>Captain_Hacko</x:v>
      </x:c>
      <x:c r="D2412" t="n">
        <x:v>7</x:v>
      </x:c>
      <x:c r="E2412" t="str">
        <x:v>Expert</x:v>
      </x:c>
      <x:c r="F2412" t="str">
        <x:v>Kaizo</x:v>
      </x:c>
      <x:c r="G2412" t="n">
        <x:v>44519</x:v>
      </x:c>
      <x:c r="H2412" t="str">
        <x:v>28709</x:v>
      </x:c>
      <x:c r="I2412" t="str">
        <x:v>https://www.smwcentral.net/?a=details&amp;id=28709&amp;p=section</x:v>
      </x:c>
      <x:c r="J2412" t="str">
        <x:v>https://dl.smwcentral.net/28709/The%20Hackening.zip</x:v>
      </x:c>
    </x:row>
    <x:row r="2413">
      <x:c r="A2413" t="str">
        <x:v>The Hackrooms</x:v>
      </x:c>
      <x:c r="B2413" t="str">
        <x:v>The Hackrooms</x:v>
      </x:c>
      <x:c r="C2413" t="str">
        <x:v>Donut</x:v>
      </x:c>
      <x:c r="D2413" t="n">
        <x:v>0</x:v>
      </x:c>
      <x:c r="E2413" t="str">
        <x:v>Advanced</x:v>
      </x:c>
      <x:c r="F2413" t="str">
        <x:v>Standard</x:v>
      </x:c>
      <x:c r="G2413" t="n">
        <x:v>45898</x:v>
      </x:c>
      <x:c r="H2413" t="str">
        <x:v>40345</x:v>
      </x:c>
      <x:c r="I2413" t="str">
        <x:v>https://www.smwcentral.net/?a=details&amp;id=40345&amp;p=section</x:v>
      </x:c>
      <x:c r="J2413" t="str">
        <x:v>https://dl.smwcentral.net/40345/The_Hackrooms.zip</x:v>
      </x:c>
    </x:row>
    <x:row r="2414">
      <x:c r="A2414" t="str">
        <x:v>The Halloween Island</x:v>
      </x:c>
      <x:c r="B2414" t="str">
        <x:v>The Halloween Island</x:v>
      </x:c>
      <x:c r="C2414" t="str">
        <x:v>Green Jerry</x:v>
      </x:c>
      <x:c r="D2414" t="n">
        <x:v>9</x:v>
      </x:c>
      <x:c r="E2414" t="str">
        <x:v>Casual</x:v>
      </x:c>
      <x:c r="F2414" t="str">
        <x:v>Standard</x:v>
      </x:c>
      <x:c r="G2414" t="n">
        <x:v>43770</x:v>
      </x:c>
      <x:c r="H2414" t="str">
        <x:v>21388</x:v>
      </x:c>
      <x:c r="I2414" t="str">
        <x:v>https://www.smwcentral.net/?a=details&amp;id=21388&amp;p=section</x:v>
      </x:c>
      <x:c r="J2414" t="str">
        <x:v>https://dl.smwcentral.net/21388/The%20Halloween%20Island%20V1.2.zip</x:v>
      </x:c>
    </x:row>
    <x:row r="2415">
      <x:c r="A2415" t="str">
        <x:v>The Hand Of Chaos</x:v>
      </x:c>
      <x:c r="B2415" t="str">
        <x:v>The Hand Of Chaos</x:v>
      </x:c>
      <x:c r="C2415" t="str">
        <x:v>Forsequad</x:v>
      </x:c>
      <x:c r="D2415" t="n">
        <x:v>9</x:v>
      </x:c>
      <x:c r="E2415" t="str">
        <x:v>Casual</x:v>
      </x:c>
      <x:c r="F2415" t="str">
        <x:v>Standard</x:v>
      </x:c>
      <x:c r="G2415" t="n">
        <x:v>41545</x:v>
      </x:c>
      <x:c r="H2415" t="str">
        <x:v>5588</x:v>
      </x:c>
      <x:c r="I2415" t="str">
        <x:v>https://www.smwcentral.net/?a=details&amp;id=5588&amp;p=section</x:v>
      </x:c>
      <x:c r="J2415" t="str">
        <x:v>https://dl.smwcentral.net/5588/THOCDEMOFIXED.zip</x:v>
      </x:c>
    </x:row>
    <x:row r="2416">
      <x:c r="A2416" t="str">
        <x:v>The Hangover</x:v>
      </x:c>
      <x:c r="B2416" t="str">
        <x:v>The Hangover</x:v>
      </x:c>
      <x:c r="C2416" t="str">
        <x:v>TheMorganah</x:v>
      </x:c>
      <x:c r="D2416" t="n">
        <x:v>53</x:v>
      </x:c>
      <x:c r="E2416" t="str">
        <x:v>Casual</x:v>
      </x:c>
      <x:c r="F2416" t="str">
        <x:v>Standard</x:v>
      </x:c>
      <x:c r="G2416" t="n">
        <x:v>42484</x:v>
      </x:c>
      <x:c r="H2416" t="str">
        <x:v>13602</x:v>
      </x:c>
      <x:c r="I2416" t="str">
        <x:v>https://www.smwcentral.net/?a=details&amp;id=13602&amp;p=section</x:v>
      </x:c>
      <x:c r="J2416" t="str">
        <x:v>https://dl.smwcentral.net/13602/The%20Hangover%20V1.0.zip</x:v>
      </x:c>
    </x:row>
    <x:row r="2417">
      <x:c r="A2417" t="str">
        <x:v>The Hard</x:v>
      </x:c>
      <x:c r="B2417" t="str">
        <x:v>The Hard</x:v>
      </x:c>
      <x:c r="C2417" t="str">
        <x:v>kurtistrydiz</x:v>
      </x:c>
      <x:c r="D2417" t="n">
        <x:v>13</x:v>
      </x:c>
      <x:c r="E2417" t="str">
        <x:v>Grandmaster</x:v>
      </x:c>
      <x:c r="F2417" t="str">
        <x:v>Kaizo</x:v>
      </x:c>
      <x:c r="G2417" t="n">
        <x:v>45377</x:v>
      </x:c>
      <x:c r="H2417" t="str">
        <x:v>34341</x:v>
      </x:c>
      <x:c r="I2417" t="str">
        <x:v>https://www.smwcentral.net/?a=details&amp;id=34341&amp;p=section</x:v>
      </x:c>
      <x:c r="J2417" t="str">
        <x:v>https://dl.smwcentral.net/34341/The%20The%20Hard.zip</x:v>
      </x:c>
    </x:row>
    <x:row r="2418">
      <x:c r="A2418" t="str">
        <x:v>The Haunt</x:v>
      </x:c>
      <x:c r="B2418" t="str">
        <x:v>The Haunt</x:v>
      </x:c>
      <x:c r="C2418" t="str">
        <x:v>CaseP</x:v>
      </x:c>
      <x:c r="D2418" t="n">
        <x:v>2</x:v>
      </x:c>
      <x:c r="E2418" t="str">
        <x:v>Casual</x:v>
      </x:c>
      <x:c r="F2418" t="str">
        <x:v>Standard</x:v>
      </x:c>
      <x:c r="G2418" t="n">
        <x:v>41521</x:v>
      </x:c>
      <x:c r="H2418" t="str">
        <x:v>5082</x:v>
      </x:c>
      <x:c r="I2418" t="str">
        <x:v>https://www.smwcentral.net/?a=details&amp;id=5082&amp;p=section</x:v>
      </x:c>
      <x:c r="J2418" t="str">
        <x:v>https://dl.smwcentral.net/5082/The%20Haunt.zip</x:v>
      </x:c>
    </x:row>
    <x:row r="2419">
      <x:c r="A2419" t="str">
        <x:v>The Haunted Desert: OLD EDITION</x:v>
      </x:c>
      <x:c r="B2419" t="str">
        <x:v>The Haunted Desert: OLD EDITION</x:v>
      </x:c>
      <x:c r="C2419" t="str">
        <x:v>Crispy, Dan, Hadron</x:v>
      </x:c>
      <x:c r="D2419" t="n">
        <x:v>1</x:v>
      </x:c>
      <x:c r="E2419" t="str">
        <x:v>Intermediate</x:v>
      </x:c>
      <x:c r="F2419" t="str">
        <x:v>Standard</x:v>
      </x:c>
      <x:c r="G2419" t="n">
        <x:v>42691</x:v>
      </x:c>
      <x:c r="H2419" t="str">
        <x:v>14657</x:v>
      </x:c>
      <x:c r="I2419" t="str">
        <x:v>https://www.smwcentral.net/?a=details&amp;id=14657&amp;p=section</x:v>
      </x:c>
      <x:c r="J2419" t="str">
        <x:v>https://dl.smwcentral.net/14657/The%20Haunted%20Desert%20OLD%20EDITION.zip</x:v>
      </x:c>
    </x:row>
    <x:row r="2420">
      <x:c r="A2420" t="str">
        <x:v>The Haunted Desert: REMASTERED</x:v>
      </x:c>
      <x:c r="B2420" t="str">
        <x:v>The Haunted Desert: REMASTERED</x:v>
      </x:c>
      <x:c r="C2420" t="str">
        <x:v>Dan</x:v>
      </x:c>
      <x:c r="D2420" t="n">
        <x:v>0</x:v>
      </x:c>
      <x:c r="E2420" t="str">
        <x:v>Casual</x:v>
      </x:c>
      <x:c r="F2420" t="str">
        <x:v>Standard</x:v>
      </x:c>
      <x:c r="G2420" t="n">
        <x:v>42691</x:v>
      </x:c>
      <x:c r="H2420" t="str">
        <x:v>14592</x:v>
      </x:c>
      <x:c r="I2420" t="str">
        <x:v>https://www.smwcentral.net/?a=details&amp;id=14592&amp;p=section</x:v>
      </x:c>
      <x:c r="J2420" t="str">
        <x:v>https://dl.smwcentral.net/14592/The%20Haunted%20Desert%20REMASTERED.zip</x:v>
      </x:c>
    </x:row>
    <x:row r="2421">
      <x:c r="A2421" t="str">
        <x:v>The Hodgepodge: A Collection of Would Be Scrapped Levels</x:v>
      </x:c>
      <x:c r="B2421" t="str">
        <x:v>The Hodgepodge: A Collection of Would Be Scrapped Levels</x:v>
      </x:c>
      <x:c r="C2421" t="str">
        <x:v>Jamie, Kr00mmi</x:v>
      </x:c>
      <x:c r="D2421" t="n">
        <x:v>10</x:v>
      </x:c>
      <x:c r="E2421" t="str">
        <x:v>Expert</x:v>
      </x:c>
      <x:c r="F2421" t="str">
        <x:v>Kaizo</x:v>
      </x:c>
      <x:c r="G2421" t="n">
        <x:v>45047</x:v>
      </x:c>
      <x:c r="H2421" t="str">
        <x:v>33813</x:v>
      </x:c>
      <x:c r="I2421" t="str">
        <x:v>https://www.smwcentral.net/?a=details&amp;id=33813&amp;p=section</x:v>
      </x:c>
      <x:c r="J2421" t="str">
        <x:v>https://dl.smwcentral.net/33813/The%20Hodgepodge.zip</x:v>
      </x:c>
    </x:row>
    <x:row r="2422">
      <x:c r="A2422" t="str">
        <x:v>The Hooray! - Fishing Season</x:v>
      </x:c>
      <x:c r="B2422" t="str">
        <x:v>The Hooray! - Fishing Season</x:v>
      </x:c>
      <x:c r="C2422" t="str">
        <x:v>MellyMellouange</x:v>
      </x:c>
      <x:c r="D2422" t="n">
        <x:v>14</x:v>
      </x:c>
      <x:c r="E2422" t="str">
        <x:v>Casual</x:v>
      </x:c>
      <x:c r="F2422" t="str">
        <x:v>Standard</x:v>
      </x:c>
      <x:c r="G2422" t="n">
        <x:v>42458</x:v>
      </x:c>
      <x:c r="H2422" t="str">
        <x:v>13496</x:v>
      </x:c>
      <x:c r="I2422" t="str">
        <x:v>https://www.smwcentral.net/?a=details&amp;id=13496&amp;p=section</x:v>
      </x:c>
      <x:c r="J2422" t="str">
        <x:v>https://dl.smwcentral.net/13496/The%20Hooray%21%20-%20Fishing%20Season%20%28v1.01.1%29.zip</x:v>
      </x:c>
    </x:row>
    <x:row r="2423">
      <x:c r="A2423" t="str">
        <x:v>The House of Many Trolls</x:v>
      </x:c>
      <x:c r="B2423" t="str">
        <x:v>The House of Many Trolls</x:v>
      </x:c>
      <x:c r="C2423" t="str">
        <x:v>GoldenSpiny</x:v>
      </x:c>
      <x:c r="D2423" t="n">
        <x:v>1</x:v>
      </x:c>
      <x:c r="E2423" t="str">
        <x:v>Casual</x:v>
      </x:c>
      <x:c r="F2423" t="str">
        <x:v>Standard</x:v>
      </x:c>
      <x:c r="G2423" t="n">
        <x:v>46036</x:v>
      </x:c>
      <x:c r="H2423" t="str">
        <x:v>41392</x:v>
      </x:c>
      <x:c r="I2423" t="str">
        <x:v>https://www.smwcentral.net/?a=details&amp;id=41392&amp;p=section</x:v>
      </x:c>
      <x:c r="J2423" t="str">
        <x:v>https://dl.smwcentral.net/41392/TheHouseOfManyTrolls.zip</x:v>
      </x:c>
    </x:row>
    <x:row r="2424">
      <x:c r="A2424" t="str">
        <x:v>The Hungrymumbles Project</x:v>
      </x:c>
      <x:c r="B2424" t="str">
        <x:v>The Hungrymumbles Project</x:v>
      </x:c>
      <x:c r="C2424" t="str">
        <x:v>Hungrymumbles</x:v>
      </x:c>
      <x:c r="D2424" t="n">
        <x:v>16</x:v>
      </x:c>
      <x:c r="E2424" t="str">
        <x:v>Advanced</x:v>
      </x:c>
      <x:c r="F2424" t="str">
        <x:v>Kaizo</x:v>
      </x:c>
      <x:c r="G2424" t="n">
        <x:v>44133</x:v>
      </x:c>
      <x:c r="H2424" t="str">
        <x:v>24997</x:v>
      </x:c>
      <x:c r="I2424" t="str">
        <x:v>https://www.smwcentral.net/?a=details&amp;id=24997&amp;p=section</x:v>
      </x:c>
      <x:c r="J2424" t="str">
        <x:v>https://dl.smwcentral.net/24997/The%20Hungrymumbles%20Project%20V1.3.zip</x:v>
      </x:c>
    </x:row>
    <x:row r="2425">
      <x:c r="A2425" t="str">
        <x:v>The Hunt for the Chocolate Egg</x:v>
      </x:c>
      <x:c r="B2425" t="str">
        <x:v>The Hunt for the Chocolate Egg</x:v>
      </x:c>
      <x:c r="C2425" t="str">
        <x:v>Green Jerry</x:v>
      </x:c>
      <x:c r="D2425" t="n">
        <x:v>8</x:v>
      </x:c>
      <x:c r="E2425" t="str">
        <x:v>Casual</x:v>
      </x:c>
      <x:c r="F2425" t="str">
        <x:v>Standard</x:v>
      </x:c>
      <x:c r="G2425" t="n">
        <x:v>43569</x:v>
      </x:c>
      <x:c r="H2425" t="str">
        <x:v>19664</x:v>
      </x:c>
      <x:c r="I2425" t="str">
        <x:v>https://www.smwcentral.net/?a=details&amp;id=19664&amp;p=section</x:v>
      </x:c>
      <x:c r="J2425" t="str">
        <x:v>https://dl.smwcentral.net/19664/The_Hunt_for_the_Chocolate_Egg.zip</x:v>
      </x:c>
    </x:row>
    <x:row r="2426">
      <x:c r="A2426" t="str">
        <x:v>The Joy of Kaizo</x:v>
      </x:c>
      <x:c r="B2426" t="str">
        <x:v>The Joy of Kaizo</x:v>
      </x:c>
      <x:c r="C2426" t="str">
        <x:v>NaroGugul</x:v>
      </x:c>
      <x:c r="D2426" t="n">
        <x:v>54</x:v>
      </x:c>
      <x:c r="E2426" t="str">
        <x:v>Master</x:v>
      </x:c>
      <x:c r="F2426" t="str">
        <x:v>Kaizo</x:v>
      </x:c>
      <x:c r="G2426" t="n">
        <x:v>43374</x:v>
      </x:c>
      <x:c r="H2426" t="str">
        <x:v>18200</x:v>
      </x:c>
      <x:c r="I2426" t="str">
        <x:v>https://www.smwcentral.net/?a=details&amp;id=18200&amp;p=section</x:v>
      </x:c>
      <x:c r="J2426" t="str">
        <x:v>https://dl.smwcentral.net/18200/Joy%20of%20Kaizo%201.6.zip</x:v>
      </x:c>
    </x:row>
    <x:row r="2427">
      <x:c r="A2427" t="str">
        <x:v>The Junkbox</x:v>
      </x:c>
      <x:c r="B2427" t="str">
        <x:v>The Junkbox</x:v>
      </x:c>
      <x:c r="C2427" t="str">
        <x:v>Wind Fish</x:v>
      </x:c>
      <x:c r="D2427" t="n">
        <x:v>6</x:v>
      </x:c>
      <x:c r="E2427" t="str">
        <x:v>Casual</x:v>
      </x:c>
      <x:c r="F2427" t="str">
        <x:v>Standard</x:v>
      </x:c>
      <x:c r="G2427" t="n">
        <x:v>43178</x:v>
      </x:c>
      <x:c r="H2427" t="str">
        <x:v>17256</x:v>
      </x:c>
      <x:c r="I2427" t="str">
        <x:v>https://www.smwcentral.net/?a=details&amp;id=17256&amp;p=section</x:v>
      </x:c>
      <x:c r="J2427" t="str">
        <x:v>https://dl.smwcentral.net/17256/The%20Junkbox%201.1.zip</x:v>
      </x:c>
    </x:row>
    <x:row r="2428">
      <x:c r="A2428" t="str">
        <x:v>The Last Journey</x:v>
      </x:c>
      <x:c r="B2428" t="str">
        <x:v>The Last Journey</x:v>
      </x:c>
      <x:c r="C2428" t="str">
        <x:v>TheMURAmatsu</x:v>
      </x:c>
      <x:c r="D2428" t="n">
        <x:v>16</x:v>
      </x:c>
      <x:c r="E2428" t="str">
        <x:v>Expert</x:v>
      </x:c>
      <x:c r="F2428" t="str">
        <x:v>Kaizo</x:v>
      </x:c>
      <x:c r="G2428" t="n">
        <x:v>44456</x:v>
      </x:c>
      <x:c r="H2428" t="str">
        <x:v>28336</x:v>
      </x:c>
      <x:c r="I2428" t="str">
        <x:v>https://www.smwcentral.net/?a=details&amp;id=28336&amp;p=section</x:v>
      </x:c>
      <x:c r="J2428" t="str">
        <x:v>https://dl.smwcentral.net/28336/TheLastJourney_V1.1.zip</x:v>
      </x:c>
    </x:row>
    <x:row r="2429">
      <x:c r="A2429" t="str">
        <x:v>The Last Straw</x:v>
      </x:c>
      <x:c r="B2429" t="str">
        <x:v>The Last Straw</x:v>
      </x:c>
      <x:c r="C2429" t="str">
        <x:v>Diego</x:v>
      </x:c>
      <x:c r="D2429" t="n">
        <x:v>14</x:v>
      </x:c>
      <x:c r="E2429" t="str">
        <x:v>Casual</x:v>
      </x:c>
      <x:c r="F2429" t="str">
        <x:v>Standard</x:v>
      </x:c>
      <x:c r="G2429" t="n">
        <x:v>44098</x:v>
      </x:c>
      <x:c r="H2429" t="str">
        <x:v>24693</x:v>
      </x:c>
      <x:c r="I2429" t="str">
        <x:v>https://www.smwcentral.net/?a=details&amp;id=24693&amp;p=section</x:v>
      </x:c>
      <x:c r="J2429" t="str">
        <x:v>https://dl.smwcentral.net/24693/TLS%20v2.2.zip</x:v>
      </x:c>
    </x:row>
    <x:row r="2430">
      <x:c r="A2430" t="str">
        <x:v>The Left Hand of Rosalina</x:v>
      </x:c>
      <x:c r="B2430" t="str">
        <x:v>The Left Hand of Rosalina</x:v>
      </x:c>
      <x:c r="C2430" t="str">
        <x:v>Buzbee, GrumpyWalrus</x:v>
      </x:c>
      <x:c r="D2430" t="n">
        <x:v>13</x:v>
      </x:c>
      <x:c r="E2430" t="str">
        <x:v>Expert</x:v>
      </x:c>
      <x:c r="F2430" t="str">
        <x:v>Kaizo</x:v>
      </x:c>
      <x:c r="G2430" t="n">
        <x:v>45323</x:v>
      </x:c>
      <x:c r="H2430" t="str">
        <x:v>36686</x:v>
      </x:c>
      <x:c r="I2430" t="str">
        <x:v>https://www.smwcentral.net/?a=details&amp;id=36686&amp;p=section</x:v>
      </x:c>
      <x:c r="J2430" t="str">
        <x:v>https://dl.smwcentral.net/36686/TheLeftHandOfRosalina_2.zip</x:v>
      </x:c>
    </x:row>
    <x:row r="2431">
      <x:c r="A2431" t="str">
        <x:v>The Legend of Randorland 1 - The Rise of Randor - Resurrected</x:v>
      </x:c>
      <x:c r="B2431" t="str">
        <x:v>The Legend of Randorland 1 - The Rise of Randor - Resurrected</x:v>
      </x:c>
      <x:c r="C2431" t="str">
        <x:v>Chikane</x:v>
      </x:c>
      <x:c r="D2431" t="n">
        <x:v>37</x:v>
      </x:c>
      <x:c r="E2431" t="str">
        <x:v>Casual</x:v>
      </x:c>
      <x:c r="F2431" t="str">
        <x:v>Standard</x:v>
      </x:c>
      <x:c r="G2431" t="n">
        <x:v>42304</x:v>
      </x:c>
      <x:c r="H2431" t="str">
        <x:v>10152</x:v>
      </x:c>
      <x:c r="I2431" t="str">
        <x:v>https://www.smwcentral.net/?a=details&amp;id=10152&amp;p=section</x:v>
      </x:c>
      <x:c r="J2431" t="str">
        <x:v>https://dl.smwcentral.net/10152/The%20Legend%20of%20Randorland%201%20-%20The%20Rise%20of%20Randor%20V1.2.zip</x:v>
      </x:c>
    </x:row>
    <x:row r="2432">
      <x:c r="A2432" t="str">
        <x:v>The Legend of Randorland 3 - Randor's Eternal Empire</x:v>
      </x:c>
      <x:c r="B2432" t="str">
        <x:v>The Legend of Randorland 3 - Randor's Eternal Empire</x:v>
      </x:c>
      <x:c r="C2432" t="str">
        <x:v>Chikane</x:v>
      </x:c>
      <x:c r="D2432" t="n">
        <x:v>36</x:v>
      </x:c>
      <x:c r="E2432" t="str">
        <x:v>Casual</x:v>
      </x:c>
      <x:c r="F2432" t="str">
        <x:v>Standard</x:v>
      </x:c>
      <x:c r="G2432" t="n">
        <x:v>42281</x:v>
      </x:c>
      <x:c r="H2432" t="str">
        <x:v>10002</x:v>
      </x:c>
      <x:c r="I2432" t="str">
        <x:v>https://www.smwcentral.net/?a=details&amp;id=10002&amp;p=section</x:v>
      </x:c>
      <x:c r="J2432" t="str">
        <x:v>https://dl.smwcentral.net/10002/The%20Legend%20of%20Randorland%203.zip</x:v>
      </x:c>
    </x:row>
    <x:row r="2433">
      <x:c r="A2433" t="str">
        <x:v>The Legend Of Red Plumber</x:v>
      </x:c>
      <x:c r="B2433" t="str">
        <x:v>The Legend Of Red Plumber</x:v>
      </x:c>
      <x:c r="C2433" t="str">
        <x:v>Jukeboxi_</x:v>
      </x:c>
      <x:c r="D2433" t="n">
        <x:v>22</x:v>
      </x:c>
      <x:c r="E2433" t="str">
        <x:v>Master</x:v>
      </x:c>
      <x:c r="F2433" t="str">
        <x:v>Kaizo</x:v>
      </x:c>
      <x:c r="G2433" t="n">
        <x:v>45721</x:v>
      </x:c>
      <x:c r="H2433" t="str">
        <x:v>39497</x:v>
      </x:c>
      <x:c r="I2433" t="str">
        <x:v>https://www.smwcentral.net/?a=details&amp;id=39497&amp;p=section</x:v>
      </x:c>
      <x:c r="J2433" t="str">
        <x:v>https://dl.smwcentral.net/39497/thelegendofredplumber.zip</x:v>
      </x:c>
    </x:row>
    <x:row r="2434">
      <x:c r="A2434" t="str">
        <x:v>The Legend of Zelda - The Mini Quest</x:v>
      </x:c>
      <x:c r="B2434" t="str">
        <x:v>The Legend of Zelda - The Mini Quest</x:v>
      </x:c>
      <x:c r="C2434" t="str">
        <x:v>MaxwelHacks</x:v>
      </x:c>
      <x:c r="D2434" t="n">
        <x:v>14</x:v>
      </x:c>
      <x:c r="E2434" t="str">
        <x:v>Intermediate</x:v>
      </x:c>
      <x:c r="F2434" t="str">
        <x:v>Standard</x:v>
      </x:c>
      <x:c r="G2434" t="n">
        <x:v>44607</x:v>
      </x:c>
      <x:c r="H2434" t="str">
        <x:v>29774</x:v>
      </x:c>
      <x:c r="I2434" t="str">
        <x:v>https://www.smwcentral.net/?a=details&amp;id=29774&amp;p=section</x:v>
      </x:c>
      <x:c r="J2434" t="str">
        <x:v>https://dl.smwcentral.net/29774/The%20Legend%20of%20Zelda%20-%20The%20Mini%20Quest.zip</x:v>
      </x:c>
    </x:row>
    <x:row r="2435">
      <x:c r="A2435" t="str">
        <x:v>The Legendary Bros.</x:v>
      </x:c>
      <x:c r="B2435" t="str">
        <x:v>The Legendary Bros.</x:v>
      </x:c>
      <x:c r="C2435" t="str">
        <x:v>Stivi</x:v>
      </x:c>
      <x:c r="D2435" t="n">
        <x:v>15</x:v>
      </x:c>
      <x:c r="E2435" t="str">
        <x:v>Casual</x:v>
      </x:c>
      <x:c r="F2435" t="str">
        <x:v>Standard</x:v>
      </x:c>
      <x:c r="G2435" t="n">
        <x:v>42628</x:v>
      </x:c>
      <x:c r="H2435" t="str">
        <x:v>14419</x:v>
      </x:c>
      <x:c r="I2435" t="str">
        <x:v>https://www.smwcentral.net/?a=details&amp;id=14419&amp;p=section</x:v>
      </x:c>
      <x:c r="J2435" t="str">
        <x:v>https://dl.smwcentral.net/14419/The%20Legendary%20Bros.%20Demo%202.zip</x:v>
      </x:c>
    </x:row>
    <x:row r="2436">
      <x:c r="A2436" t="str">
        <x:v>The Level</x:v>
      </x:c>
      <x:c r="B2436" t="str">
        <x:v>The Level</x:v>
      </x:c>
      <x:c r="C2436" t="str">
        <x:v>TheGremlin</x:v>
      </x:c>
      <x:c r="D2436" t="n">
        <x:v>2</x:v>
      </x:c>
      <x:c r="E2436" t="str">
        <x:v>Intermediate</x:v>
      </x:c>
      <x:c r="F2436" t="str">
        <x:v>Standard</x:v>
      </x:c>
      <x:c r="G2436" t="n">
        <x:v>41974</x:v>
      </x:c>
      <x:c r="H2436" t="str">
        <x:v>9525</x:v>
      </x:c>
      <x:c r="I2436" t="str">
        <x:v>https://www.smwcentral.net/?a=details&amp;id=9525&amp;p=section</x:v>
      </x:c>
      <x:c r="J2436" t="str">
        <x:v>https://dl.smwcentral.net/9525/TheLevel1.2.zip</x:v>
      </x:c>
    </x:row>
    <x:row r="2437">
      <x:c r="A2437" t="str">
        <x:v>The long way home</x:v>
      </x:c>
      <x:c r="B2437" t="str">
        <x:v>The long way home</x:v>
      </x:c>
      <x:c r="C2437" t="str">
        <x:v>Lush_50</x:v>
      </x:c>
      <x:c r="D2437" t="n">
        <x:v>20</x:v>
      </x:c>
      <x:c r="E2437" t="str">
        <x:v>Advanced</x:v>
      </x:c>
      <x:c r="F2437" t="str">
        <x:v>Kaizo</x:v>
      </x:c>
      <x:c r="G2437" t="n">
        <x:v>45145</x:v>
      </x:c>
      <x:c r="H2437" t="str">
        <x:v>34659</x:v>
      </x:c>
      <x:c r="I2437" t="str">
        <x:v>https://www.smwcentral.net/?a=details&amp;id=34659&amp;p=section</x:v>
      </x:c>
      <x:c r="J2437" t="str">
        <x:v>https://dl.smwcentral.net/34659/The%20long%20way%20home%20v1.1.zip</x:v>
      </x:c>
    </x:row>
    <x:row r="2438">
      <x:c r="A2438" t="str">
        <x:v>The long way home 2</x:v>
      </x:c>
      <x:c r="B2438" t="str">
        <x:v>The long way home 2</x:v>
      </x:c>
      <x:c r="C2438" t="str">
        <x:v>Lush_50</x:v>
      </x:c>
      <x:c r="D2438" t="n">
        <x:v>18</x:v>
      </x:c>
      <x:c r="E2438" t="str">
        <x:v>Advanced</x:v>
      </x:c>
      <x:c r="F2438" t="str">
        <x:v>Kaizo</x:v>
      </x:c>
      <x:c r="G2438" t="n">
        <x:v>45195</x:v>
      </x:c>
      <x:c r="H2438" t="str">
        <x:v>35088</x:v>
      </x:c>
      <x:c r="I2438" t="str">
        <x:v>https://www.smwcentral.net/?a=details&amp;id=35088&amp;p=section</x:v>
      </x:c>
      <x:c r="J2438" t="str">
        <x:v>https://dl.smwcentral.net/35088/The%20long%20way%20home%20II%20V1.1.zip</x:v>
      </x:c>
    </x:row>
    <x:row r="2439">
      <x:c r="A2439" t="str">
        <x:v>The Lost Chapters - Chapter 1: Reminiscence</x:v>
      </x:c>
      <x:c r="B2439" t="str">
        <x:v>The Lost Chapters - Chapter 1: Reminiscence</x:v>
      </x:c>
      <x:c r="C2439" t="str">
        <x:v>Lumy</x:v>
      </x:c>
      <x:c r="D2439" t="n">
        <x:v>77</x:v>
      </x:c>
      <x:c r="E2439" t="str">
        <x:v>Intermediate</x:v>
      </x:c>
      <x:c r="F2439" t="str">
        <x:v>Standard</x:v>
      </x:c>
      <x:c r="G2439" t="n">
        <x:v>41620</x:v>
      </x:c>
      <x:c r="H2439" t="str">
        <x:v>5965</x:v>
      </x:c>
      <x:c r="I2439" t="str">
        <x:v>https://www.smwcentral.net/?a=details&amp;id=5965&amp;p=section</x:v>
      </x:c>
      <x:c r="J2439" t="str">
        <x:v>https://dl.smwcentral.net/5965/TLC%20-%20Chapter%201%20Demo%203.zip</x:v>
      </x:c>
    </x:row>
    <x:row r="2440">
      <x:c r="A2440" t="str">
        <x:v>The Lost Land</x:v>
      </x:c>
      <x:c r="B2440" t="str">
        <x:v>The Lost Land</x:v>
      </x:c>
      <x:c r="C2440" t="str">
        <x:v>Tahixham</x:v>
      </x:c>
      <x:c r="D2440" t="n">
        <x:v>2</x:v>
      </x:c>
      <x:c r="E2440" t="str">
        <x:v>Casual</x:v>
      </x:c>
      <x:c r="F2440" t="str">
        <x:v>Standard</x:v>
      </x:c>
      <x:c r="G2440" t="n">
        <x:v>42018</x:v>
      </x:c>
      <x:c r="H2440" t="str">
        <x:v>10244</x:v>
      </x:c>
      <x:c r="I2440" t="str">
        <x:v>https://www.smwcentral.net/?a=details&amp;id=10244&amp;p=section</x:v>
      </x:c>
      <x:c r="J2440" t="str">
        <x:v>https://dl.smwcentral.net/10244/The%20Lost%20Land.zip</x:v>
      </x:c>
    </x:row>
    <x:row r="2441">
      <x:c r="A2441" t="str">
        <x:v>The Lost Land 2: The 4 Switches</x:v>
      </x:c>
      <x:c r="B2441" t="str">
        <x:v>The Lost Land 2: The 4 Switches</x:v>
      </x:c>
      <x:c r="C2441" t="str">
        <x:v>Tahixham</x:v>
      </x:c>
      <x:c r="D2441" t="n">
        <x:v>6</x:v>
      </x:c>
      <x:c r="E2441" t="str">
        <x:v>Casual</x:v>
      </x:c>
      <x:c r="F2441" t="str">
        <x:v>Standard</x:v>
      </x:c>
      <x:c r="G2441" t="n">
        <x:v>41533</x:v>
      </x:c>
      <x:c r="H2441" t="str">
        <x:v>5256</x:v>
      </x:c>
      <x:c r="I2441" t="str">
        <x:v>https://www.smwcentral.net/?a=details&amp;id=5256&amp;p=section</x:v>
      </x:c>
      <x:c r="J2441" t="str">
        <x:v>https://dl.smwcentral.net/5256/The%20Lost%20Land%202%20-%20The%204%20Switches.zip</x:v>
      </x:c>
    </x:row>
    <x:row r="2442">
      <x:c r="A2442" t="str">
        <x:v>The Lost Land 3</x:v>
      </x:c>
      <x:c r="B2442" t="str">
        <x:v>The Lost Land 3</x:v>
      </x:c>
      <x:c r="C2442" t="str">
        <x:v>Tahixham</x:v>
      </x:c>
      <x:c r="D2442" t="n">
        <x:v>15</x:v>
      </x:c>
      <x:c r="E2442" t="str">
        <x:v>Casual</x:v>
      </x:c>
      <x:c r="F2442" t="str">
        <x:v>Standard</x:v>
      </x:c>
      <x:c r="G2442" t="n">
        <x:v>41563</x:v>
      </x:c>
      <x:c r="H2442" t="str">
        <x:v>5543</x:v>
      </x:c>
      <x:c r="I2442" t="str">
        <x:v>https://www.smwcentral.net/?a=details&amp;id=5543&amp;p=section</x:v>
      </x:c>
      <x:c r="J2442" t="str">
        <x:v>https://dl.smwcentral.net/5543/The%20Lost%20Land%203.zip</x:v>
      </x:c>
    </x:row>
    <x:row r="2443">
      <x:c r="A2443" t="str">
        <x:v>The Lost Levels Enhanced</x:v>
      </x:c>
      <x:c r="B2443" t="str">
        <x:v>The Lost Levels Enhanced</x:v>
      </x:c>
      <x:c r="C2443" t="str">
        <x:v>Pac</x:v>
      </x:c>
      <x:c r="D2443" t="n">
        <x:v>54</x:v>
      </x:c>
      <x:c r="E2443" t="str">
        <x:v>Intermediate</x:v>
      </x:c>
      <x:c r="F2443" t="str">
        <x:v>Standard</x:v>
      </x:c>
      <x:c r="G2443" t="n">
        <x:v>42299</x:v>
      </x:c>
      <x:c r="H2443" t="str">
        <x:v>10229</x:v>
      </x:c>
      <x:c r="I2443" t="str">
        <x:v>https://www.smwcentral.net/?a=details&amp;id=10229&amp;p=section</x:v>
      </x:c>
      <x:c r="J2443" t="str">
        <x:v>https://dl.smwcentral.net/10229/tlle.zip</x:v>
      </x:c>
    </x:row>
    <x:row r="2444">
      <x:c r="A2444" t="str">
        <x:v>The Lost Woods</x:v>
      </x:c>
      <x:c r="B2444" t="str">
        <x:v>The Lost Woods</x:v>
      </x:c>
      <x:c r="C2444" t="str">
        <x:v>K1ngHacks</x:v>
      </x:c>
      <x:c r="D2444" t="n">
        <x:v>6</x:v>
      </x:c>
      <x:c r="E2444" t="str">
        <x:v>Casual</x:v>
      </x:c>
      <x:c r="F2444" t="str">
        <x:v>Standard</x:v>
      </x:c>
      <x:c r="G2444" t="n">
        <x:v>41535</x:v>
      </x:c>
      <x:c r="H2444" t="str">
        <x:v>5603</x:v>
      </x:c>
      <x:c r="I2444" t="str">
        <x:v>https://www.smwcentral.net/?a=details&amp;id=5603&amp;p=section</x:v>
      </x:c>
      <x:c r="J2444" t="str">
        <x:v>https://dl.smwcentral.net/5603/The%20Lost%20Woods.zip</x:v>
      </x:c>
    </x:row>
    <x:row r="2445">
      <x:c r="A2445" t="str">
        <x:v>The Lost World Journey</x:v>
      </x:c>
      <x:c r="B2445" t="str">
        <x:v>The Lost World Journey</x:v>
      </x:c>
      <x:c r="C2445" t="str">
        <x:v>Team Haunted</x:v>
      </x:c>
      <x:c r="D2445" t="n">
        <x:v>4</x:v>
      </x:c>
      <x:c r="E2445" t="str">
        <x:v>Casual</x:v>
      </x:c>
      <x:c r="F2445" t="str">
        <x:v>Standard</x:v>
      </x:c>
      <x:c r="G2445" t="n">
        <x:v>42066</x:v>
      </x:c>
      <x:c r="H2445" t="str">
        <x:v>9922</x:v>
      </x:c>
      <x:c r="I2445" t="str">
        <x:v>https://www.smwcentral.net/?a=details&amp;id=9922&amp;p=section</x:v>
      </x:c>
      <x:c r="J2445" t="str">
        <x:v>https://dl.smwcentral.net/9922/The%20Lost%20World%20Journey.zip</x:v>
      </x:c>
    </x:row>
    <x:row r="2446">
      <x:c r="A2446" t="str">
        <x:v>The Magic Cooking Pot</x:v>
      </x:c>
      <x:c r="B2446" t="str">
        <x:v>The Magic Cooking Pot</x:v>
      </x:c>
      <x:c r="C2446" t="str">
        <x:v>Goobie Doobie</x:v>
      </x:c>
      <x:c r="D2446" t="n">
        <x:v>32</x:v>
      </x:c>
      <x:c r="E2446" t="str">
        <x:v>Casual</x:v>
      </x:c>
      <x:c r="F2446" t="str">
        <x:v>Standard</x:v>
      </x:c>
      <x:c r="G2446" t="n">
        <x:v>45138</x:v>
      </x:c>
      <x:c r="H2446" t="str">
        <x:v>34379</x:v>
      </x:c>
      <x:c r="I2446" t="str">
        <x:v>https://www.smwcentral.net/?a=details&amp;id=34379&amp;p=section</x:v>
      </x:c>
      <x:c r="J2446" t="str">
        <x:v>https://dl.smwcentral.net/34379/MCP.zip</x:v>
      </x:c>
    </x:row>
    <x:row r="2447">
      <x:c r="A2447" t="str">
        <x:v>The Mario World</x:v>
      </x:c>
      <x:c r="B2447" t="str">
        <x:v>The Mario World</x:v>
      </x:c>
      <x:c r="C2447" t="str">
        <x:v>Mariogoon</x:v>
      </x:c>
      <x:c r="D2447" t="n">
        <x:v>6</x:v>
      </x:c>
      <x:c r="E2447" t="str">
        <x:v>Newcomer</x:v>
      </x:c>
      <x:c r="F2447" t="str">
        <x:v>Standard</x:v>
      </x:c>
      <x:c r="G2447" t="n">
        <x:v>42317</x:v>
      </x:c>
      <x:c r="H2447" t="str">
        <x:v>10084</x:v>
      </x:c>
      <x:c r="I2447" t="str">
        <x:v>https://www.smwcentral.net/?a=details&amp;id=10084&amp;p=section</x:v>
      </x:c>
      <x:c r="J2447" t="str">
        <x:v>https://dl.smwcentral.net/10084/The%20Mario%20World.zip</x:v>
      </x:c>
    </x:row>
    <x:row r="2448">
      <x:c r="A2448" t="str">
        <x:v>The Mario's Greatest Adventure</x:v>
      </x:c>
      <x:c r="B2448" t="str">
        <x:v>The Mario's Greatest Adventure</x:v>
      </x:c>
      <x:c r="C2448" t="str">
        <x:v>Brutapode89</x:v>
      </x:c>
      <x:c r="D2448" t="n">
        <x:v>25</x:v>
      </x:c>
      <x:c r="E2448" t="str">
        <x:v>Intermediate</x:v>
      </x:c>
      <x:c r="F2448" t="str">
        <x:v>Standard</x:v>
      </x:c>
      <x:c r="G2448" t="n">
        <x:v>44167</x:v>
      </x:c>
      <x:c r="H2448" t="str">
        <x:v>25281</x:v>
      </x:c>
      <x:c r="I2448" t="str">
        <x:v>https://www.smwcentral.net/?a=details&amp;id=25281&amp;p=section</x:v>
      </x:c>
      <x:c r="J2448" t="str">
        <x:v>https://dl.smwcentral.net/25281/The%20Mario%27s%20Greatest%20Adventure%20%28Demo%202.1%29.zip</x:v>
      </x:c>
    </x:row>
    <x:row r="2449">
      <x:c r="A2449" t="str">
        <x:v>The Mirror Border</x:v>
      </x:c>
      <x:c r="B2449" t="str">
        <x:v>The Mirror Border</x:v>
      </x:c>
      <x:c r="C2449" t="str">
        <x:v>Ckristina, Kixune, Masterlink, Mentholeus, yupilongas</x:v>
      </x:c>
      <x:c r="D2449" t="n">
        <x:v>0</x:v>
      </x:c>
      <x:c r="E2449" t="str">
        <x:v>Casual</x:v>
      </x:c>
      <x:c r="F2449" t="str">
        <x:v>Standard</x:v>
      </x:c>
      <x:c r="G2449" t="n">
        <x:v>44676</x:v>
      </x:c>
      <x:c r="H2449" t="str">
        <x:v>30156</x:v>
      </x:c>
      <x:c r="I2449" t="str">
        <x:v>https://www.smwcentral.net/?a=details&amp;id=30156&amp;p=section</x:v>
      </x:c>
      <x:c r="J2449" t="str">
        <x:v>https://dl.smwcentral.net/30156/The%20Mirror%20Border.zip</x:v>
      </x:c>
    </x:row>
    <x:row r="2450">
      <x:c r="A2450" t="str">
        <x:v>The Misfortunes of Little Denise</x:v>
      </x:c>
      <x:c r="B2450" t="str">
        <x:v>The Misfortunes of Little Denise</x:v>
      </x:c>
      <x:c r="C2450" t="str">
        <x:v>Mpereira</x:v>
      </x:c>
      <x:c r="D2450" t="n">
        <x:v>44</x:v>
      </x:c>
      <x:c r="E2450" t="str">
        <x:v>Casual</x:v>
      </x:c>
      <x:c r="F2450" t="str">
        <x:v>Standard</x:v>
      </x:c>
      <x:c r="G2450" t="n">
        <x:v>43955</x:v>
      </x:c>
      <x:c r="H2450" t="str">
        <x:v>22858</x:v>
      </x:c>
      <x:c r="I2450" t="str">
        <x:v>https://www.smwcentral.net/?a=details&amp;id=22858&amp;p=section</x:v>
      </x:c>
      <x:c r="J2450" t="str">
        <x:v>https://dl.smwcentral.net/22858/Little%20Denise.zip</x:v>
      </x:c>
    </x:row>
    <x:row r="2451">
      <x:c r="A2451" t="str">
        <x:v>The Missing Eggs</x:v>
      </x:c>
      <x:c r="B2451" t="str">
        <x:v>The Missing Eggs</x:v>
      </x:c>
      <x:c r="C2451" t="str">
        <x:v>AHawk</x:v>
      </x:c>
      <x:c r="D2451" t="n">
        <x:v>11</x:v>
      </x:c>
      <x:c r="E2451" t="str">
        <x:v>Casual</x:v>
      </x:c>
      <x:c r="F2451" t="str">
        <x:v>Standard</x:v>
      </x:c>
      <x:c r="G2451" t="n">
        <x:v>42276</x:v>
      </x:c>
      <x:c r="H2451" t="str">
        <x:v>10261</x:v>
      </x:c>
      <x:c r="I2451" t="str">
        <x:v>https://www.smwcentral.net/?a=details&amp;id=10261&amp;p=section</x:v>
      </x:c>
      <x:c r="J2451" t="str">
        <x:v>https://dl.smwcentral.net/10261/megayoshi%20patch.zip</x:v>
      </x:c>
    </x:row>
    <x:row r="2452">
      <x:c r="A2452" t="str">
        <x:v>The Missing Plot</x:v>
      </x:c>
      <x:c r="B2452" t="str">
        <x:v>The Missing Plot</x:v>
      </x:c>
      <x:c r="C2452" t="str">
        <x:v>Huxellberger</x:v>
      </x:c>
      <x:c r="D2452" t="n">
        <x:v>13</x:v>
      </x:c>
      <x:c r="E2452" t="str">
        <x:v>Casual</x:v>
      </x:c>
      <x:c r="F2452" t="str">
        <x:v>Standard</x:v>
      </x:c>
      <x:c r="G2452" t="n">
        <x:v>42302</x:v>
      </x:c>
      <x:c r="H2452" t="str">
        <x:v>10096</x:v>
      </x:c>
      <x:c r="I2452" t="str">
        <x:v>https://www.smwcentral.net/?a=details&amp;id=10096&amp;p=section</x:v>
      </x:c>
      <x:c r="J2452" t="str">
        <x:v>https://dl.smwcentral.net/10096/Missing%20Plot.zip</x:v>
      </x:c>
    </x:row>
    <x:row r="2453">
      <x:c r="A2453" t="str">
        <x:v>The Most Pointless Hack Ever</x:v>
      </x:c>
      <x:c r="B2453" t="str">
        <x:v>The Most Pointless Hack Ever</x:v>
      </x:c>
      <x:c r="C2453" t="str">
        <x:v>Diddy Kong</x:v>
      </x:c>
      <x:c r="D2453" t="n">
        <x:v>2</x:v>
      </x:c>
      <x:c r="E2453" t="str">
        <x:v>Newcomer</x:v>
      </x:c>
      <x:c r="F2453" t="str">
        <x:v>Standard</x:v>
      </x:c>
      <x:c r="G2453" t="n">
        <x:v>42018</x:v>
      </x:c>
      <x:c r="H2453" t="str">
        <x:v>9835</x:v>
      </x:c>
      <x:c r="I2453" t="str">
        <x:v>https://www.smwcentral.net/?a=details&amp;id=9835&amp;p=section</x:v>
      </x:c>
      <x:c r="J2453" t="str">
        <x:v>https://dl.smwcentral.net/9835/tMPHE.zip</x:v>
      </x:c>
    </x:row>
    <x:row r="2454">
      <x:c r="A2454" t="str">
        <x:v>The Mountain Adventure</x:v>
      </x:c>
      <x:c r="B2454" t="str">
        <x:v>The Mountain Adventure</x:v>
      </x:c>
      <x:c r="C2454" t="str">
        <x:v>Delta</x:v>
      </x:c>
      <x:c r="D2454" t="n">
        <x:v>5</x:v>
      </x:c>
      <x:c r="E2454" t="str">
        <x:v>Newcomer</x:v>
      </x:c>
      <x:c r="F2454" t="str">
        <x:v>Standard</x:v>
      </x:c>
      <x:c r="G2454" t="n">
        <x:v>42265</x:v>
      </x:c>
      <x:c r="H2454" t="str">
        <x:v>9684</x:v>
      </x:c>
      <x:c r="I2454" t="str">
        <x:v>https://www.smwcentral.net/?a=details&amp;id=9684&amp;p=section</x:v>
      </x:c>
      <x:c r="J2454" t="str">
        <x:v>https://dl.smwcentral.net/9684/The%20Mountain%20Adventure.zip</x:v>
      </x:c>
    </x:row>
    <x:row r="2455">
      <x:c r="A2455" t="str">
        <x:v>The Muncher Run</x:v>
      </x:c>
      <x:c r="B2455" t="str">
        <x:v>The Muncher Run</x:v>
      </x:c>
      <x:c r="C2455" t="str">
        <x:v>Ersanio</x:v>
      </x:c>
      <x:c r="D2455" t="n">
        <x:v>1</x:v>
      </x:c>
      <x:c r="E2455" t="str">
        <x:v>Casual</x:v>
      </x:c>
      <x:c r="F2455" t="str">
        <x:v>Standard</x:v>
      </x:c>
      <x:c r="G2455" t="n">
        <x:v>42017</x:v>
      </x:c>
      <x:c r="H2455" t="str">
        <x:v>9876</x:v>
      </x:c>
      <x:c r="I2455" t="str">
        <x:v>https://www.smwcentral.net/?a=details&amp;id=9876&amp;p=section</x:v>
      </x:c>
      <x:c r="J2455" t="str">
        <x:v>https://dl.smwcentral.net/9876/TMR.zip</x:v>
      </x:c>
    </x:row>
    <x:row r="2456">
      <x:c r="A2456" t="str">
        <x:v>The Muncher Run 2</x:v>
      </x:c>
      <x:c r="B2456" t="str">
        <x:v>The Muncher Run 2</x:v>
      </x:c>
      <x:c r="C2456" t="str">
        <x:v>Bad luck man, Ersanio</x:v>
      </x:c>
      <x:c r="D2456" t="n">
        <x:v>4</x:v>
      </x:c>
      <x:c r="E2456" t="str">
        <x:v>Expert</x:v>
      </x:c>
      <x:c r="F2456" t="str">
        <x:v>Kaizo</x:v>
      </x:c>
      <x:c r="G2456" t="n">
        <x:v>42222</x:v>
      </x:c>
      <x:c r="H2456" t="str">
        <x:v>9695</x:v>
      </x:c>
      <x:c r="I2456" t="str">
        <x:v>https://www.smwcentral.net/?a=details&amp;id=9695&amp;p=section</x:v>
      </x:c>
      <x:c r="J2456" t="str">
        <x:v>https://dl.smwcentral.net/9695/The_Muncher_Run_2_V1.1.zip</x:v>
      </x:c>
    </x:row>
    <x:row r="2457">
      <x:c r="A2457" t="str">
        <x:v>The Mushroom Factor</x:v>
      </x:c>
      <x:c r="B2457" t="str">
        <x:v>The Mushroom Factor</x:v>
      </x:c>
      <x:c r="C2457" t="str">
        <x:v>pablopeach</x:v>
      </x:c>
      <x:c r="D2457" t="n">
        <x:v>12</x:v>
      </x:c>
      <x:c r="E2457" t="str">
        <x:v>Casual</x:v>
      </x:c>
      <x:c r="F2457" t="str">
        <x:v>Standard</x:v>
      </x:c>
      <x:c r="G2457" t="n">
        <x:v>41567</x:v>
      </x:c>
      <x:c r="H2457" t="str">
        <x:v>5557</x:v>
      </x:c>
      <x:c r="I2457" t="str">
        <x:v>https://www.smwcentral.net/?a=details&amp;id=5557&amp;p=section</x:v>
      </x:c>
      <x:c r="J2457" t="str">
        <x:v>https://dl.smwcentral.net/5557/tmf.zip</x:v>
      </x:c>
    </x:row>
    <x:row r="2458">
      <x:c r="A2458" t="str">
        <x:v>The Mushroom Manifold</x:v>
      </x:c>
      <x:c r="B2458" t="str">
        <x:v>The Mushroom Manifold</x:v>
      </x:c>
      <x:c r="C2458" t="str">
        <x:v>FerpyMcFrosting, FridayFables, Hwailaluta, Mithrillionaire, Prestinator13</x:v>
      </x:c>
      <x:c r="D2458" t="n">
        <x:v>11</x:v>
      </x:c>
      <x:c r="E2458" t="str">
        <x:v>Master</x:v>
      </x:c>
      <x:c r="F2458" t="str">
        <x:v>Kaizo</x:v>
      </x:c>
      <x:c r="G2458" t="n">
        <x:v>44631</x:v>
      </x:c>
      <x:c r="H2458" t="str">
        <x:v>30029</x:v>
      </x:c>
      <x:c r="I2458" t="str">
        <x:v>https://www.smwcentral.net/?a=details&amp;id=30029&amp;p=section</x:v>
      </x:c>
      <x:c r="J2458" t="str">
        <x:v>https://dl.smwcentral.net/30029/TheMushroomManifold.zip</x:v>
      </x:c>
    </x:row>
    <x:row r="2459">
      <x:c r="A2459" t="str">
        <x:v>The New Comfort Zone</x:v>
      </x:c>
      <x:c r="B2459" t="str">
        <x:v>The New Comfort Zone</x:v>
      </x:c>
      <x:c r="C2459" t="str">
        <x:v>orka-bln</x:v>
      </x:c>
      <x:c r="D2459" t="n">
        <x:v>19</x:v>
      </x:c>
      <x:c r="E2459" t="str">
        <x:v>Expert</x:v>
      </x:c>
      <x:c r="F2459" t="str">
        <x:v>Kaizo</x:v>
      </x:c>
      <x:c r="G2459" t="n">
        <x:v>44480</x:v>
      </x:c>
      <x:c r="H2459" t="str">
        <x:v>28543</x:v>
      </x:c>
      <x:c r="I2459" t="str">
        <x:v>https://www.smwcentral.net/?a=details&amp;id=28543&amp;p=section</x:v>
      </x:c>
      <x:c r="J2459" t="str">
        <x:v>https://dl.smwcentral.net/28543/NewComfy1.02.zip</x:v>
      </x:c>
    </x:row>
    <x:row r="2460">
      <x:c r="A2460" t="str">
        <x:v>The New Mario World</x:v>
      </x:c>
      <x:c r="B2460" t="str">
        <x:v>The New Mario World</x:v>
      </x:c>
      <x:c r="C2460" t="str">
        <x:v>OnlineVideoSurfer</x:v>
      </x:c>
      <x:c r="D2460" t="n">
        <x:v>96</x:v>
      </x:c>
      <x:c r="E2460" t="str">
        <x:v>Master</x:v>
      </x:c>
      <x:c r="F2460" t="str">
        <x:v>Standard</x:v>
      </x:c>
      <x:c r="G2460" t="n">
        <x:v>41582</x:v>
      </x:c>
      <x:c r="H2460" t="str">
        <x:v>5294</x:v>
      </x:c>
      <x:c r="I2460" t="str">
        <x:v>https://www.smwcentral.net/?a=details&amp;id=5294&amp;p=section</x:v>
      </x:c>
      <x:c r="J2460" t="str">
        <x:v>https://dl.smwcentral.net/5294/The%20New%20Mario%20World%20V1.1.zip</x:v>
      </x:c>
    </x:row>
    <x:row r="2461">
      <x:c r="A2461" t="str">
        <x:v>The Ninji Saga</x:v>
      </x:c>
      <x:c r="B2461" t="str">
        <x:v>The Ninji Saga</x:v>
      </x:c>
      <x:c r="C2461" t="str">
        <x:v>The Kins</x:v>
      </x:c>
      <x:c r="D2461" t="n">
        <x:v>9</x:v>
      </x:c>
      <x:c r="E2461" t="str">
        <x:v>Intermediate</x:v>
      </x:c>
      <x:c r="F2461" t="str">
        <x:v>Standard</x:v>
      </x:c>
      <x:c r="G2461" t="n">
        <x:v>42040</x:v>
      </x:c>
      <x:c r="H2461" t="str">
        <x:v>9710</x:v>
      </x:c>
      <x:c r="I2461" t="str">
        <x:v>https://www.smwcentral.net/?a=details&amp;id=9710&amp;p=section</x:v>
      </x:c>
      <x:c r="J2461" t="str">
        <x:v>https://dl.smwcentral.net/9710/ninjisaga.zip</x:v>
      </x:c>
    </x:row>
    <x:row r="2462">
      <x:c r="A2462" t="str">
        <x:v>The Old Mansion</x:v>
      </x:c>
      <x:c r="B2462" t="str">
        <x:v>The Old Mansion</x:v>
      </x:c>
      <x:c r="C2462" t="str">
        <x:v>MaiK</x:v>
      </x:c>
      <x:c r="D2462" t="n">
        <x:v>1</x:v>
      </x:c>
      <x:c r="E2462" t="str">
        <x:v>Intermediate</x:v>
      </x:c>
      <x:c r="F2462" t="str">
        <x:v>Standard</x:v>
      </x:c>
      <x:c r="G2462" t="n">
        <x:v>42155</x:v>
      </x:c>
      <x:c r="H2462" t="str">
        <x:v>10121</x:v>
      </x:c>
      <x:c r="I2462" t="str">
        <x:v>https://www.smwcentral.net/?a=details&amp;id=10121&amp;p=section</x:v>
      </x:c>
      <x:c r="J2462" t="str">
        <x:v>https://dl.smwcentral.net/10121/The%20Old%20Mansion.zip</x:v>
      </x:c>
    </x:row>
    <x:row r="2463">
      <x:c r="A2463" t="str">
        <x:v>The Path from Prisminia</x:v>
      </x:c>
      <x:c r="B2463" t="str">
        <x:v>The Path from Prisminia</x:v>
      </x:c>
      <x:c r="C2463" t="str">
        <x:v>Sayuri</x:v>
      </x:c>
      <x:c r="D2463" t="n">
        <x:v>15</x:v>
      </x:c>
      <x:c r="E2463" t="str">
        <x:v>Intermediate</x:v>
      </x:c>
      <x:c r="F2463" t="str">
        <x:v>Standard</x:v>
      </x:c>
      <x:c r="G2463" t="n">
        <x:v>45407</x:v>
      </x:c>
      <x:c r="H2463" t="str">
        <x:v>37627</x:v>
      </x:c>
      <x:c r="I2463" t="str">
        <x:v>https://www.smwcentral.net/?a=details&amp;id=37627&amp;p=section</x:v>
      </x:c>
      <x:c r="J2463" t="str">
        <x:v>https://dl.smwcentral.net/37627/The%20Path%20from%20Prisminia%20%28Chapter%201%2B2%20Demo%2C%20v2.1%29.zip</x:v>
      </x:c>
    </x:row>
    <x:row r="2464">
      <x:c r="A2464" t="str">
        <x:v>The Pit Level 2</x:v>
      </x:c>
      <x:c r="B2464" t="str">
        <x:v>The Pit Level 2</x:v>
      </x:c>
      <x:c r="C2464" t="str">
        <x:v>IgorS777</x:v>
      </x:c>
      <x:c r="D2464" t="n">
        <x:v>1</x:v>
      </x:c>
      <x:c r="E2464" t="str">
        <x:v>Master</x:v>
      </x:c>
      <x:c r="F2464" t="str">
        <x:v>Tool-Assisted, Pit</x:v>
      </x:c>
      <x:c r="G2464" t="n">
        <x:v>42939</x:v>
      </x:c>
      <x:c r="H2464" t="str">
        <x:v>15823</x:v>
      </x:c>
      <x:c r="I2464" t="str">
        <x:v>https://www.smwcentral.net/?a=details&amp;id=15823&amp;p=section</x:v>
      </x:c>
      <x:c r="J2464" t="str">
        <x:v>https://dl.smwcentral.net/15823/TPL2.zip</x:v>
      </x:c>
    </x:row>
    <x:row r="2465">
      <x:c r="A2465" t="str">
        <x:v>The Pit Level 2 REMASTERED</x:v>
      </x:c>
      <x:c r="B2465" t="str">
        <x:v>The Pit Level 2 REMASTERED</x:v>
      </x:c>
      <x:c r="C2465" t="str">
        <x:v>IgorOliveira666</x:v>
      </x:c>
      <x:c r="D2465" t="n">
        <x:v>1</x:v>
      </x:c>
      <x:c r="E2465" t="str">
        <x:v>Master</x:v>
      </x:c>
      <x:c r="F2465" t="str">
        <x:v>Tool-Assisted, Pit</x:v>
      </x:c>
      <x:c r="G2465" t="n">
        <x:v>45209</x:v>
      </x:c>
      <x:c r="H2465" t="str">
        <x:v>32607</x:v>
      </x:c>
      <x:c r="I2465" t="str">
        <x:v>https://www.smwcentral.net/?a=details&amp;id=32607&amp;p=section</x:v>
      </x:c>
      <x:c r="J2465" t="str">
        <x:v>https://dl.smwcentral.net/32607/The%20Pit%20Level%202%20REMASTERED.zip</x:v>
      </x:c>
    </x:row>
    <x:row r="2466">
      <x:c r="A2466" t="str">
        <x:v>The Plumber Saga</x:v>
      </x:c>
      <x:c r="B2466" t="str">
        <x:v>The Plumber Saga</x:v>
      </x:c>
      <x:c r="C2466" t="str">
        <x:v>E-Man</x:v>
      </x:c>
      <x:c r="D2466" t="n">
        <x:v>17</x:v>
      </x:c>
      <x:c r="E2466" t="str">
        <x:v>Newcomer</x:v>
      </x:c>
      <x:c r="F2466" t="str">
        <x:v>Standard</x:v>
      </x:c>
      <x:c r="G2466" t="n">
        <x:v>42256</x:v>
      </x:c>
      <x:c r="H2466" t="str">
        <x:v>9982</x:v>
      </x:c>
      <x:c r="I2466" t="str">
        <x:v>https://www.smwcentral.net/?a=details&amp;id=9982&amp;p=section</x:v>
      </x:c>
      <x:c r="J2466" t="str">
        <x:v>https://dl.smwcentral.net/9982/The%20Plumber%20Saga.zip</x:v>
      </x:c>
    </x:row>
    <x:row r="2467">
      <x:c r="A2467" t="str">
        <x:v>The Possibility Of An Island</x:v>
      </x:c>
      <x:c r="B2467" t="str">
        <x:v>The Possibility Of An Island</x:v>
      </x:c>
      <x:c r="C2467" t="str">
        <x:v>Eden_</x:v>
      </x:c>
      <x:c r="D2467" t="n">
        <x:v>5</x:v>
      </x:c>
      <x:c r="E2467" t="str">
        <x:v>Grandmaster</x:v>
      </x:c>
      <x:c r="F2467" t="str">
        <x:v>Kaizo</x:v>
      </x:c>
      <x:c r="G2467" t="n">
        <x:v>45127</x:v>
      </x:c>
      <x:c r="H2467" t="str">
        <x:v>34219</x:v>
      </x:c>
      <x:c r="I2467" t="str">
        <x:v>https://www.smwcentral.net/?a=details&amp;id=34219&amp;p=section</x:v>
      </x:c>
      <x:c r="J2467" t="str">
        <x:v>https://dl.smwcentral.net/34219/ThePossibilityOfAnIsland.zip</x:v>
      </x:c>
    </x:row>
    <x:row r="2468">
      <x:c r="A2468" t="str">
        <x:v>The Power Beneath</x:v>
      </x:c>
      <x:c r="B2468" t="str">
        <x:v>The Power Beneath</x:v>
      </x:c>
      <x:c r="C2468" t="str">
        <x:v>Nint</x:v>
      </x:c>
      <x:c r="D2468" t="n">
        <x:v>22</x:v>
      </x:c>
      <x:c r="E2468" t="str">
        <x:v>Expert</x:v>
      </x:c>
      <x:c r="F2468" t="str">
        <x:v>Kaizo</x:v>
      </x:c>
      <x:c r="G2468" t="n">
        <x:v>44384</x:v>
      </x:c>
      <x:c r="H2468" t="str">
        <x:v>27443</x:v>
      </x:c>
      <x:c r="I2468" t="str">
        <x:v>https://www.smwcentral.net/?a=details&amp;id=27443&amp;p=section</x:v>
      </x:c>
      <x:c r="J2468" t="str">
        <x:v>https://dl.smwcentral.net/27443/The%20Power%20Beneath.zip</x:v>
      </x:c>
    </x:row>
    <x:row r="2469">
      <x:c r="A2469" t="str">
        <x:v>The Precise Is Right</x:v>
      </x:c>
      <x:c r="B2469" t="str">
        <x:v>The Precise Is Right</x:v>
      </x:c>
      <x:c r="C2469" t="str">
        <x:v>pixlrik</x:v>
      </x:c>
      <x:c r="D2469" t="n">
        <x:v>8</x:v>
      </x:c>
      <x:c r="E2469" t="str">
        <x:v>Expert</x:v>
      </x:c>
      <x:c r="F2469" t="str">
        <x:v>Kaizo</x:v>
      </x:c>
      <x:c r="G2469" t="n">
        <x:v>46194</x:v>
      </x:c>
      <x:c r="H2469" t="str">
        <x:v>42566</x:v>
      </x:c>
      <x:c r="I2469" t="str">
        <x:v>https://www.smwcentral.net/?a=details&amp;id=42566&amp;p=section</x:v>
      </x:c>
      <x:c r="J2469" t="str">
        <x:v>https://dl.smwcentral.net/42566/The%20Precise%20Is%20Right%20V1.1.zip</x:v>
      </x:c>
    </x:row>
    <x:row r="2470">
      <x:c r="A2470" t="str">
        <x:v>The Princess Was Kidnapped Again DEMO</x:v>
      </x:c>
      <x:c r="B2470" t="str">
        <x:v>The Princess Was Kidnapped Again DEMO</x:v>
      </x:c>
      <x:c r="C2470" t="str">
        <x:v>Gabriel BR</x:v>
      </x:c>
      <x:c r="D2470" t="n">
        <x:v>24</x:v>
      </x:c>
      <x:c r="E2470" t="str">
        <x:v>Casual</x:v>
      </x:c>
      <x:c r="F2470" t="str">
        <x:v>Standard</x:v>
      </x:c>
      <x:c r="G2470" t="n">
        <x:v>44152</x:v>
      </x:c>
      <x:c r="H2470" t="str">
        <x:v>25186</x:v>
      </x:c>
      <x:c r="I2470" t="str">
        <x:v>https://www.smwcentral.net/?a=details&amp;id=25186&amp;p=section</x:v>
      </x:c>
      <x:c r="J2470" t="str">
        <x:v>https://dl.smwcentral.net/25186/The%20Princess%20Was%20Kidnapped%20Again%20DEMO.zip</x:v>
      </x:c>
    </x:row>
    <x:row r="2471">
      <x:c r="A2471" t="str">
        <x:v>The Prodigy's Last Stand</x:v>
      </x:c>
      <x:c r="B2471" t="str">
        <x:v>The Prodigy's Last Stand</x:v>
      </x:c>
      <x:c r="C2471" t="str">
        <x:v>SMGamer</x:v>
      </x:c>
      <x:c r="D2471" t="n">
        <x:v>7</x:v>
      </x:c>
      <x:c r="E2471" t="str">
        <x:v>Casual</x:v>
      </x:c>
      <x:c r="F2471" t="str">
        <x:v>Standard</x:v>
      </x:c>
      <x:c r="G2471" t="n">
        <x:v>41451</x:v>
      </x:c>
      <x:c r="H2471" t="str">
        <x:v>5133</x:v>
      </x:c>
      <x:c r="I2471" t="str">
        <x:v>https://www.smwcentral.net/?a=details&amp;id=5133&amp;p=section</x:v>
      </x:c>
      <x:c r="J2471" t="str">
        <x:v>https://dl.smwcentral.net/5133/The%20Prodigy%27s%20Last%20Stand.zip</x:v>
      </x:c>
    </x:row>
    <x:row r="2472">
      <x:c r="A2472" t="str">
        <x:v>The Quest for the Candies</x:v>
      </x:c>
      <x:c r="B2472" t="str">
        <x:v>The Quest for the Candies</x:v>
      </x:c>
      <x:c r="C2472" t="str">
        <x:v>Green Jerry</x:v>
      </x:c>
      <x:c r="D2472" t="n">
        <x:v>34</x:v>
      </x:c>
      <x:c r="E2472" t="str">
        <x:v>Intermediate</x:v>
      </x:c>
      <x:c r="F2472" t="str">
        <x:v>Standard</x:v>
      </x:c>
      <x:c r="G2472" t="n">
        <x:v>44868</x:v>
      </x:c>
      <x:c r="H2472" t="str">
        <x:v>32483</x:v>
      </x:c>
      <x:c r="I2472" t="str">
        <x:v>https://www.smwcentral.net/?a=details&amp;id=32483&amp;p=section</x:v>
      </x:c>
      <x:c r="J2472" t="str">
        <x:v>https://dl.smwcentral.net/32483/The%20Quest%20for%20the%20Candies%20%28V1.1.1%29.zip</x:v>
      </x:c>
    </x:row>
    <x:row r="2473">
      <x:c r="A2473" t="str">
        <x:v>The Quiet Island Quest Starring Mario</x:v>
      </x:c>
      <x:c r="B2473" t="str">
        <x:v>The Quiet Island Quest Starring Mario</x:v>
      </x:c>
      <x:c r="C2473" t="str">
        <x:v>DatGuyT</x:v>
      </x:c>
      <x:c r="D2473" t="n">
        <x:v>62</x:v>
      </x:c>
      <x:c r="E2473" t="str">
        <x:v>Casual</x:v>
      </x:c>
      <x:c r="F2473" t="str">
        <x:v>Standard</x:v>
      </x:c>
      <x:c r="G2473" t="n">
        <x:v>42300</x:v>
      </x:c>
      <x:c r="H2473" t="str">
        <x:v>10093</x:v>
      </x:c>
      <x:c r="I2473" t="str">
        <x:v>https://www.smwcentral.net/?a=details&amp;id=10093&amp;p=section</x:v>
      </x:c>
      <x:c r="J2473" t="str">
        <x:v>https://dl.smwcentral.net/10093/Quiet%20Island%20%28Final%29.zip</x:v>
      </x:c>
    </x:row>
    <x:row r="2474">
      <x:c r="A2474" t="str">
        <x:v>The Reapers Shells</x:v>
      </x:c>
      <x:c r="B2474" t="str">
        <x:v>The Reapers Shells</x:v>
      </x:c>
      <x:c r="C2474" t="str">
        <x:v>Deivid Borba</x:v>
      </x:c>
      <x:c r="D2474" t="n">
        <x:v>15</x:v>
      </x:c>
      <x:c r="E2474" t="str">
        <x:v>Master</x:v>
      </x:c>
      <x:c r="F2474" t="str">
        <x:v>Kaizo</x:v>
      </x:c>
      <x:c r="G2474" t="n">
        <x:v>44302</x:v>
      </x:c>
      <x:c r="H2474" t="str">
        <x:v>26558</x:v>
      </x:c>
      <x:c r="I2474" t="str">
        <x:v>https://www.smwcentral.net/?a=details&amp;id=26558&amp;p=section</x:v>
      </x:c>
      <x:c r="J2474" t="str">
        <x:v>https://dl.smwcentral.net/26558/TheReaperShells.zip</x:v>
      </x:c>
    </x:row>
    <x:row r="2475">
      <x:c r="A2475" t="str">
        <x:v>The Reapers Shells 2</x:v>
      </x:c>
      <x:c r="B2475" t="str">
        <x:v>The Reapers Shells 2</x:v>
      </x:c>
      <x:c r="C2475" t="str">
        <x:v>Deivid Borba</x:v>
      </x:c>
      <x:c r="D2475" t="n">
        <x:v>10</x:v>
      </x:c>
      <x:c r="E2475" t="str">
        <x:v>Master</x:v>
      </x:c>
      <x:c r="F2475" t="str">
        <x:v>Kaizo</x:v>
      </x:c>
      <x:c r="G2475" t="n">
        <x:v>44656</x:v>
      </x:c>
      <x:c r="H2475" t="str">
        <x:v>30170</x:v>
      </x:c>
      <x:c r="I2475" t="str">
        <x:v>https://www.smwcentral.net/?a=details&amp;id=30170&amp;p=section</x:v>
      </x:c>
      <x:c r="J2475" t="str">
        <x:v>https://dl.smwcentral.net/30170/TheReapersShells2.zip</x:v>
      </x:c>
    </x:row>
    <x:row r="2476">
      <x:c r="A2476" t="str">
        <x:v>The Rebuilding of the Star Palace</x:v>
      </x:c>
      <x:c r="B2476" t="str">
        <x:v>The Rebuilding of the Star Palace</x:v>
      </x:c>
      <x:c r="C2476" t="str">
        <x:v>IsoFrieze</x:v>
      </x:c>
      <x:c r="D2476" t="n">
        <x:v>13</x:v>
      </x:c>
      <x:c r="E2476" t="str">
        <x:v>Casual</x:v>
      </x:c>
      <x:c r="F2476" t="str">
        <x:v>Standard</x:v>
      </x:c>
      <x:c r="G2476" t="n">
        <x:v>42209</x:v>
      </x:c>
      <x:c r="H2476" t="str">
        <x:v>9722</x:v>
      </x:c>
      <x:c r="I2476" t="str">
        <x:v>https://www.smwcentral.net/?a=details&amp;id=9722&amp;p=section</x:v>
      </x:c>
      <x:c r="J2476" t="str">
        <x:v>https://dl.smwcentral.net/9722/vb0.35TheRebuildingofthestarpalace.zip</x:v>
      </x:c>
    </x:row>
    <x:row r="2477">
      <x:c r="A2477" t="str">
        <x:v>The Reconciliation of Ascension</x:v>
      </x:c>
      <x:c r="B2477" t="str">
        <x:v>The Reconciliation of Ascension</x:v>
      </x:c>
      <x:c r="C2477" t="str">
        <x:v>LightAligns, Saela</x:v>
      </x:c>
      <x:c r="D2477" t="n">
        <x:v>22</x:v>
      </x:c>
      <x:c r="E2477" t="str">
        <x:v>Expert</x:v>
      </x:c>
      <x:c r="F2477" t="str">
        <x:v>Kaizo</x:v>
      </x:c>
      <x:c r="G2477" t="n">
        <x:v>44962</x:v>
      </x:c>
      <x:c r="H2477" t="str">
        <x:v>33033</x:v>
      </x:c>
      <x:c r="I2477" t="str">
        <x:v>https://www.smwcentral.net/?a=details&amp;id=33033&amp;p=section</x:v>
      </x:c>
      <x:c r="J2477" t="str">
        <x:v>https://dl.smwcentral.net/33033/The%20Reconciliation%20of%20Ascension.zip</x:v>
      </x:c>
    </x:row>
    <x:row r="2478">
      <x:c r="A2478" t="str">
        <x:v>The Repetitive Adventure of a Distended Plumber</x:v>
      </x:c>
      <x:c r="B2478" t="str">
        <x:v>The Repetitive Adventure of a Distended Plumber</x:v>
      </x:c>
      <x:c r="C2478" t="str">
        <x:v>The Blue Yoshi</x:v>
      </x:c>
      <x:c r="D2478" t="n">
        <x:v>7</x:v>
      </x:c>
      <x:c r="E2478" t="str">
        <x:v>Newcomer</x:v>
      </x:c>
      <x:c r="F2478" t="str">
        <x:v>Standard</x:v>
      </x:c>
      <x:c r="G2478" t="n">
        <x:v>42279</x:v>
      </x:c>
      <x:c r="H2478" t="str">
        <x:v>9909</x:v>
      </x:c>
      <x:c r="I2478" t="str">
        <x:v>https://www.smwcentral.net/?a=details&amp;id=9909&amp;p=section</x:v>
      </x:c>
      <x:c r="J2478" t="str">
        <x:v>https://dl.smwcentral.net/9909/TRAoaDP.zip</x:v>
      </x:c>
    </x:row>
    <x:row r="2479">
      <x:c r="A2479" t="str">
        <x:v>The Return to Super Mario World</x:v>
      </x:c>
      <x:c r="B2479" t="str">
        <x:v>The Return to Super Mario World</x:v>
      </x:c>
      <x:c r="C2479" t="str">
        <x:v>nnn</x:v>
      </x:c>
      <x:c r="D2479" t="n">
        <x:v>96</x:v>
      </x:c>
      <x:c r="E2479" t="str">
        <x:v>Intermediate</x:v>
      </x:c>
      <x:c r="F2479" t="str">
        <x:v>Standard</x:v>
      </x:c>
      <x:c r="G2479" t="n">
        <x:v>42339</x:v>
      </x:c>
      <x:c r="H2479" t="str">
        <x:v>10135</x:v>
      </x:c>
      <x:c r="I2479" t="str">
        <x:v>https://www.smwcentral.net/?a=details&amp;id=10135&amp;p=section</x:v>
      </x:c>
      <x:c r="J2479" t="str">
        <x:v>https://dl.smwcentral.net/10135/SMW%20EXP%20v3.2%20The%20return%20to%20SMW%20%28Fixed%29.zip</x:v>
      </x:c>
    </x:row>
    <x:row r="2480">
      <x:c r="A2480" t="str">
        <x:v>The Rituals Of Resurrection</x:v>
      </x:c>
      <x:c r="B2480" t="str">
        <x:v>The Rituals Of Resurrection</x:v>
      </x:c>
      <x:c r="C2480" t="str">
        <x:v>SyStemkraSh</x:v>
      </x:c>
      <x:c r="D2480" t="n">
        <x:v>14</x:v>
      </x:c>
      <x:c r="E2480" t="str">
        <x:v>Casual</x:v>
      </x:c>
      <x:c r="F2480" t="str">
        <x:v>Standard</x:v>
      </x:c>
      <x:c r="G2480" t="n">
        <x:v>42207</x:v>
      </x:c>
      <x:c r="H2480" t="str">
        <x:v>9848</x:v>
      </x:c>
      <x:c r="I2480" t="str">
        <x:v>https://www.smwcentral.net/?a=details&amp;id=9848&amp;p=section</x:v>
      </x:c>
      <x:c r="J2480" t="str">
        <x:v>https://dl.smwcentral.net/9848/The_Rituals_of_Resurrection.zip</x:v>
      </x:c>
    </x:row>
    <x:row r="2481">
      <x:c r="A2481" t="str">
        <x:v>The Rock 'n' Roll Mario Show: Set 1</x:v>
      </x:c>
      <x:c r="B2481" t="str">
        <x:v>The Rock 'n' Roll Mario Show: Set 1</x:v>
      </x:c>
      <x:c r="C2481" t="str">
        <x:v>kaigem</x:v>
      </x:c>
      <x:c r="D2481" t="n">
        <x:v>15</x:v>
      </x:c>
      <x:c r="E2481" t="str">
        <x:v>Expert</x:v>
      </x:c>
      <x:c r="F2481" t="str">
        <x:v>Kaizo</x:v>
      </x:c>
      <x:c r="G2481" t="n">
        <x:v>44113</x:v>
      </x:c>
      <x:c r="H2481" t="str">
        <x:v>24625</x:v>
      </x:c>
      <x:c r="I2481" t="str">
        <x:v>https://www.smwcentral.net/?a=details&amp;id=24625&amp;p=section</x:v>
      </x:c>
      <x:c r="J2481" t="str">
        <x:v>https://dl.smwcentral.net/24625/Rock%20n%20Roll%20Mario%20Show%20set%201%20v1.13.zip</x:v>
      </x:c>
    </x:row>
    <x:row r="2482">
      <x:c r="A2482" t="str">
        <x:v>The Rock 'n' Roll Mario Show: Set Two</x:v>
      </x:c>
      <x:c r="B2482" t="str">
        <x:v>The Rock 'n' Roll Mario Show: Set Two</x:v>
      </x:c>
      <x:c r="C2482" t="str">
        <x:v>kaigem</x:v>
      </x:c>
      <x:c r="D2482" t="n">
        <x:v>20</x:v>
      </x:c>
      <x:c r="E2482" t="str">
        <x:v>Master</x:v>
      </x:c>
      <x:c r="F2482" t="str">
        <x:v>Kaizo</x:v>
      </x:c>
      <x:c r="G2482" t="n">
        <x:v>44600</x:v>
      </x:c>
      <x:c r="H2482" t="str">
        <x:v>29606</x:v>
      </x:c>
      <x:c r="I2482" t="str">
        <x:v>https://www.smwcentral.net/?a=details&amp;id=29606&amp;p=section</x:v>
      </x:c>
      <x:c r="J2482" t="str">
        <x:v>https://dl.smwcentral.net/29606/The%20Rock%20n%20Roll%20Mario%20Show%20Set%20Two%20v1.1.zip</x:v>
      </x:c>
    </x:row>
    <x:row r="2483">
      <x:c r="A2483" t="str">
        <x:v>The Ruin</x:v>
      </x:c>
      <x:c r="B2483" t="str">
        <x:v>The Ruin</x:v>
      </x:c>
      <x:c r="C2483" t="str">
        <x:v>Mao</x:v>
      </x:c>
      <x:c r="D2483" t="n">
        <x:v>1</x:v>
      </x:c>
      <x:c r="E2483" t="str">
        <x:v>Casual</x:v>
      </x:c>
      <x:c r="F2483" t="str">
        <x:v>Standard</x:v>
      </x:c>
      <x:c r="G2483" t="n">
        <x:v>45320</x:v>
      </x:c>
      <x:c r="H2483" t="str">
        <x:v>36673</x:v>
      </x:c>
      <x:c r="I2483" t="str">
        <x:v>https://www.smwcentral.net/?a=details&amp;id=36673&amp;p=section</x:v>
      </x:c>
      <x:c r="J2483" t="str">
        <x:v>https://dl.smwcentral.net/36673/The%20Ruin.zip</x:v>
      </x:c>
    </x:row>
    <x:row r="2484">
      <x:c r="A2484" t="str">
        <x:v>The Saga - Kame</x:v>
      </x:c>
      <x:c r="B2484" t="str">
        <x:v>The Saga - Kame</x:v>
      </x:c>
      <x:c r="C2484" t="str">
        <x:v>Rauy Style</x:v>
      </x:c>
      <x:c r="D2484" t="n">
        <x:v>7</x:v>
      </x:c>
      <x:c r="E2484" t="str">
        <x:v>Intermediate</x:v>
      </x:c>
      <x:c r="F2484" t="str">
        <x:v>Standard</x:v>
      </x:c>
      <x:c r="G2484" t="n">
        <x:v>42231</x:v>
      </x:c>
      <x:c r="H2484" t="str">
        <x:v>9875</x:v>
      </x:c>
      <x:c r="I2484" t="str">
        <x:v>https://www.smwcentral.net/?a=details&amp;id=9875&amp;p=section</x:v>
      </x:c>
      <x:c r="J2484" t="str">
        <x:v>https://dl.smwcentral.net/9875/The%20Saga%20-%20Kame.zip</x:v>
      </x:c>
    </x:row>
    <x:row r="2485">
      <x:c r="A2485" t="str">
        <x:v>The Sapphire</x:v>
      </x:c>
      <x:c r="B2485" t="str">
        <x:v>The Sapphire</x:v>
      </x:c>
      <x:c r="C2485" t="str">
        <x:v>Atari2.0</x:v>
      </x:c>
      <x:c r="D2485" t="n">
        <x:v>12</x:v>
      </x:c>
      <x:c r="E2485" t="str">
        <x:v>Expert</x:v>
      </x:c>
      <x:c r="F2485" t="str">
        <x:v>Kaizo</x:v>
      </x:c>
      <x:c r="G2485" t="n">
        <x:v>43444</x:v>
      </x:c>
      <x:c r="H2485" t="str">
        <x:v>18601</x:v>
      </x:c>
      <x:c r="I2485" t="str">
        <x:v>https://www.smwcentral.net/?a=details&amp;id=18601&amp;p=section</x:v>
      </x:c>
      <x:c r="J2485" t="str">
        <x:v>https://dl.smwcentral.net/18601/TheSapphireV1.1%281%29.zip</x:v>
      </x:c>
    </x:row>
    <x:row r="2486">
      <x:c r="A2486" t="str">
        <x:v>The Search for Salmon</x:v>
      </x:c>
      <x:c r="B2486" t="str">
        <x:v>The Search for Salmon</x:v>
      </x:c>
      <x:c r="C2486" t="str">
        <x:v>GlitchCat7</x:v>
      </x:c>
      <x:c r="D2486" t="n">
        <x:v>11</x:v>
      </x:c>
      <x:c r="E2486" t="str">
        <x:v>Master</x:v>
      </x:c>
      <x:c r="F2486" t="str">
        <x:v>Kaizo</x:v>
      </x:c>
      <x:c r="G2486" t="n">
        <x:v>43260</x:v>
      </x:c>
      <x:c r="H2486" t="str">
        <x:v>17555</x:v>
      </x:c>
      <x:c r="I2486" t="str">
        <x:v>https://www.smwcentral.net/?a=details&amp;id=17555&amp;p=section</x:v>
      </x:c>
      <x:c r="J2486" t="str">
        <x:v>https://dl.smwcentral.net/17555/The%20Search%20for%20Salmon%201.2.zip</x:v>
      </x:c>
    </x:row>
    <x:row r="2487">
      <x:c r="A2487" t="str">
        <x:v>The Second Reality Project</x:v>
      </x:c>
      <x:c r="B2487" t="str">
        <x:v>The Second Reality Project</x:v>
      </x:c>
      <x:c r="C2487" t="str">
        <x:v>FPI</x:v>
      </x:c>
      <x:c r="D2487" t="n">
        <x:v>96</x:v>
      </x:c>
      <x:c r="E2487" t="str">
        <x:v>Expert</x:v>
      </x:c>
      <x:c r="F2487" t="str">
        <x:v>Standard</x:v>
      </x:c>
      <x:c r="G2487" t="n">
        <x:v>41455</x:v>
      </x:c>
      <x:c r="H2487" t="str">
        <x:v>4983</x:v>
      </x:c>
      <x:c r="I2487" t="str">
        <x:v>https://www.smwcentral.net/?a=details&amp;id=4983&amp;p=section</x:v>
      </x:c>
      <x:c r="J2487" t="str">
        <x:v>https://dl.smwcentral.net/4983/TSRP1.zip</x:v>
      </x:c>
    </x:row>
    <x:row r="2488">
      <x:c r="A2488" t="str">
        <x:v>The Second Reality Project 2 Reloaded: Zycloboo's Challenge</x:v>
      </x:c>
      <x:c r="B2488" t="str">
        <x:v>The Second Reality Project 2 Reloaded: Zycloboo's Challenge</x:v>
      </x:c>
      <x:c r="C2488" t="str">
        <x:v>FPI</x:v>
      </x:c>
      <x:c r="D2488" t="n">
        <x:v>112</x:v>
      </x:c>
      <x:c r="E2488" t="str">
        <x:v>Advanced</x:v>
      </x:c>
      <x:c r="F2488" t="str">
        <x:v>Standard</x:v>
      </x:c>
      <x:c r="G2488" t="n">
        <x:v>41967</x:v>
      </x:c>
      <x:c r="H2488" t="str">
        <x:v>9543</x:v>
      </x:c>
      <x:c r="I2488" t="str">
        <x:v>https://www.smwcentral.net/?a=details&amp;id=9543&amp;p=section</x:v>
      </x:c>
      <x:c r="J2488" t="str">
        <x:v>https://dl.smwcentral.net/9543/TSRP2v2.2.zip</x:v>
      </x:c>
    </x:row>
    <x:row r="2489">
      <x:c r="A2489" t="str">
        <x:v>The Second Reality Project 2: Zycloboo's Challenge</x:v>
      </x:c>
      <x:c r="B2489" t="str">
        <x:v>The Second Reality Project 2: Zycloboo's Challenge</x:v>
      </x:c>
      <x:c r="C2489" t="str">
        <x:v>FPI</x:v>
      </x:c>
      <x:c r="D2489" t="n">
        <x:v>109</x:v>
      </x:c>
      <x:c r="E2489" t="str">
        <x:v>Advanced</x:v>
      </x:c>
      <x:c r="F2489" t="str">
        <x:v>Standard</x:v>
      </x:c>
      <x:c r="G2489" t="n">
        <x:v>41455</x:v>
      </x:c>
      <x:c r="H2489" t="str">
        <x:v>4974</x:v>
      </x:c>
      <x:c r="I2489" t="str">
        <x:v>https://www.smwcentral.net/?a=details&amp;id=4974&amp;p=section</x:v>
      </x:c>
      <x:c r="J2489" t="str">
        <x:v>https://dl.smwcentral.net/4974/TSRP2vers1.2.zip</x:v>
      </x:c>
    </x:row>
    <x:row r="2490">
      <x:c r="A2490" t="str">
        <x:v>The Second Reality Project Reloaded</x:v>
      </x:c>
      <x:c r="B2490" t="str">
        <x:v>The Second Reality Project Reloaded</x:v>
      </x:c>
      <x:c r="C2490" t="str">
        <x:v>FPI</x:v>
      </x:c>
      <x:c r="D2490" t="n">
        <x:v>117</x:v>
      </x:c>
      <x:c r="E2490" t="str">
        <x:v>Advanced</x:v>
      </x:c>
      <x:c r="F2490" t="str">
        <x:v>Standard</x:v>
      </x:c>
      <x:c r="G2490" t="n">
        <x:v>43071</x:v>
      </x:c>
      <x:c r="H2490" t="str">
        <x:v>16696</x:v>
      </x:c>
      <x:c r="I2490" t="str">
        <x:v>https://www.smwcentral.net/?a=details&amp;id=16696&amp;p=section</x:v>
      </x:c>
      <x:c r="J2490" t="str">
        <x:v>https://dl.smwcentral.net/16696/TSRPR%20v1.2.zip</x:v>
      </x:c>
    </x:row>
    <x:row r="2491">
      <x:c r="A2491" t="str">
        <x:v>The Secret Islands</x:v>
      </x:c>
      <x:c r="B2491" t="str">
        <x:v>The Secret Islands</x:v>
      </x:c>
      <x:c r="C2491" t="str">
        <x:v>Mario is the best</x:v>
      </x:c>
      <x:c r="D2491" t="n">
        <x:v>10</x:v>
      </x:c>
      <x:c r="E2491" t="str">
        <x:v>Casual</x:v>
      </x:c>
      <x:c r="F2491" t="str">
        <x:v>Standard</x:v>
      </x:c>
      <x:c r="G2491" t="n">
        <x:v>44084</x:v>
      </x:c>
      <x:c r="H2491" t="str">
        <x:v>24565</x:v>
      </x:c>
      <x:c r="I2491" t="str">
        <x:v>https://www.smwcentral.net/?a=details&amp;id=24565&amp;p=section</x:v>
      </x:c>
      <x:c r="J2491" t="str">
        <x:v>https://dl.smwcentral.net/24565/Secret%20Island.zip</x:v>
      </x:c>
    </x:row>
    <x:row r="2492">
      <x:c r="A2492" t="str">
        <x:v>The Secret of the Switches</x:v>
      </x:c>
      <x:c r="B2492" t="str">
        <x:v>The Secret of the Switches</x:v>
      </x:c>
      <x:c r="C2492" t="str">
        <x:v>arotenbe</x:v>
      </x:c>
      <x:c r="D2492" t="n">
        <x:v>11</x:v>
      </x:c>
      <x:c r="E2492" t="str">
        <x:v>Newcomer</x:v>
      </x:c>
      <x:c r="F2492" t="str">
        <x:v>Standard</x:v>
      </x:c>
      <x:c r="G2492" t="n">
        <x:v>42241</x:v>
      </x:c>
      <x:c r="H2492" t="str">
        <x:v>9902</x:v>
      </x:c>
      <x:c r="I2492" t="str">
        <x:v>https://www.smwcentral.net/?a=details&amp;id=9902&amp;p=section</x:v>
      </x:c>
      <x:c r="J2492" t="str">
        <x:v>https://dl.smwcentral.net/9902/The%20Secret%20of%20the%20Switches%20%28Demo%201.1%29.zip</x:v>
      </x:c>
    </x:row>
    <x:row r="2493">
      <x:c r="A2493" t="str">
        <x:v>The Senate</x:v>
      </x:c>
      <x:c r="B2493" t="str">
        <x:v>The Senate</x:v>
      </x:c>
      <x:c r="C2493" t="str">
        <x:v>Fornaxus</x:v>
      </x:c>
      <x:c r="D2493" t="n">
        <x:v>85</x:v>
      </x:c>
      <x:c r="E2493" t="str">
        <x:v>Intermediate</x:v>
      </x:c>
      <x:c r="F2493" t="str">
        <x:v>Standard</x:v>
      </x:c>
      <x:c r="G2493" t="n">
        <x:v>41657</x:v>
      </x:c>
      <x:c r="H2493" t="str">
        <x:v>6161</x:v>
      </x:c>
      <x:c r="I2493" t="str">
        <x:v>https://www.smwcentral.net/?a=details&amp;id=6161&amp;p=section</x:v>
      </x:c>
      <x:c r="J2493" t="str">
        <x:v>https://dl.smwcentral.net/6161/The%20Senate%20v1.3.zip</x:v>
      </x:c>
    </x:row>
    <x:row r="2494">
      <x:c r="A2494" t="str">
        <x:v>The Seven Hurdles</x:v>
      </x:c>
      <x:c r="B2494" t="str">
        <x:v>The Seven Hurdles</x:v>
      </x:c>
      <x:c r="C2494" t="str">
        <x:v>Wind Fish</x:v>
      </x:c>
      <x:c r="D2494" t="n">
        <x:v>7</x:v>
      </x:c>
      <x:c r="E2494" t="str">
        <x:v>Newcomer</x:v>
      </x:c>
      <x:c r="F2494" t="str">
        <x:v>Standard</x:v>
      </x:c>
      <x:c r="G2494" t="n">
        <x:v>42211</x:v>
      </x:c>
      <x:c r="H2494" t="str">
        <x:v>11848</x:v>
      </x:c>
      <x:c r="I2494" t="str">
        <x:v>https://www.smwcentral.net/?a=details&amp;id=11848&amp;p=section</x:v>
      </x:c>
      <x:c r="J2494" t="str">
        <x:v>https://dl.smwcentral.net/11848/The%20Seven%20Hurdles%20v1.1.zip</x:v>
      </x:c>
    </x:row>
    <x:row r="2495">
      <x:c r="A2495" t="str">
        <x:v>The Seven Hurdles 2</x:v>
      </x:c>
      <x:c r="B2495" t="str">
        <x:v>The Seven Hurdles 2</x:v>
      </x:c>
      <x:c r="C2495" t="str">
        <x:v>Wind Fish</x:v>
      </x:c>
      <x:c r="D2495" t="n">
        <x:v>10</x:v>
      </x:c>
      <x:c r="E2495" t="str">
        <x:v>Casual</x:v>
      </x:c>
      <x:c r="F2495" t="str">
        <x:v>Standard</x:v>
      </x:c>
      <x:c r="G2495" t="n">
        <x:v>42546</x:v>
      </x:c>
      <x:c r="H2495" t="str">
        <x:v>13850</x:v>
      </x:c>
      <x:c r="I2495" t="str">
        <x:v>https://www.smwcentral.net/?a=details&amp;id=13850&amp;p=section</x:v>
      </x:c>
      <x:c r="J2495" t="str">
        <x:v>https://dl.smwcentral.net/13850/TSH2v121.zip</x:v>
      </x:c>
    </x:row>
    <x:row r="2496">
      <x:c r="A2496" t="str">
        <x:v>The Seven Star Pieces</x:v>
      </x:c>
      <x:c r="B2496" t="str">
        <x:v>The Seven Star Pieces</x:v>
      </x:c>
      <x:c r="C2496" t="str">
        <x:v>pieguy1372</x:v>
      </x:c>
      <x:c r="D2496" t="n">
        <x:v>10</x:v>
      </x:c>
      <x:c r="E2496" t="str">
        <x:v>Newcomer</x:v>
      </x:c>
      <x:c r="F2496" t="str">
        <x:v>Standard</x:v>
      </x:c>
      <x:c r="G2496" t="n">
        <x:v>41447</x:v>
      </x:c>
      <x:c r="H2496" t="str">
        <x:v>4989</x:v>
      </x:c>
      <x:c r="I2496" t="str">
        <x:v>https://www.smwcentral.net/?a=details&amp;id=4989&amp;p=section</x:v>
      </x:c>
      <x:c r="J2496" t="str">
        <x:v>https://dl.smwcentral.net/4989/7star_demo1.zip</x:v>
      </x:c>
    </x:row>
    <x:row r="2497">
      <x:c r="A2497" t="str">
        <x:v>The Sixty-four Trials</x:v>
      </x:c>
      <x:c r="B2497" t="str">
        <x:v>The Sixty-four Trials</x:v>
      </x:c>
      <x:c r="C2497" t="str">
        <x:v>Mariowings77</x:v>
      </x:c>
      <x:c r="D2497" t="n">
        <x:v>18</x:v>
      </x:c>
      <x:c r="E2497" t="str">
        <x:v>Newcomer</x:v>
      </x:c>
      <x:c r="F2497" t="str">
        <x:v>Standard</x:v>
      </x:c>
      <x:c r="G2497" t="n">
        <x:v>42312</x:v>
      </x:c>
      <x:c r="H2497" t="str">
        <x:v>9992</x:v>
      </x:c>
      <x:c r="I2497" t="str">
        <x:v>https://www.smwcentral.net/?a=details&amp;id=9992&amp;p=section</x:v>
      </x:c>
      <x:c r="J2497" t="str">
        <x:v>https://dl.smwcentral.net/9992/The%20Sixty-four%20Trials%20Demo%201.zip</x:v>
      </x:c>
    </x:row>
    <x:row r="2498">
      <x:c r="A2498" t="str">
        <x:v>The Stinky Black Banana Peel</x:v>
      </x:c>
      <x:c r="B2498" t="str">
        <x:v>The Stinky Black Banana Peel</x:v>
      </x:c>
      <x:c r="C2498" t="str">
        <x:v>xMANGRAVYx</x:v>
      </x:c>
      <x:c r="D2498" t="n">
        <x:v>8</x:v>
      </x:c>
      <x:c r="E2498" t="str">
        <x:v>Advanced</x:v>
      </x:c>
      <x:c r="F2498" t="str">
        <x:v>Kaizo</x:v>
      </x:c>
      <x:c r="G2498" t="n">
        <x:v>45585</x:v>
      </x:c>
      <x:c r="H2498" t="str">
        <x:v>38660</x:v>
      </x:c>
      <x:c r="I2498" t="str">
        <x:v>https://www.smwcentral.net/?a=details&amp;id=38660&amp;p=section</x:v>
      </x:c>
      <x:c r="J2498" t="str">
        <x:v>https://dl.smwcentral.net/38660/the%20stinky%20black%20banana%20peel.zip</x:v>
      </x:c>
    </x:row>
    <x:row r="2499">
      <x:c r="A2499" t="str">
        <x:v>The Stolen Yoshi Coins</x:v>
      </x:c>
      <x:c r="B2499" t="str">
        <x:v>The Stolen Yoshi Coins</x:v>
      </x:c>
      <x:c r="C2499" t="str">
        <x:v>super pokemon world</x:v>
      </x:c>
      <x:c r="D2499" t="n">
        <x:v>4</x:v>
      </x:c>
      <x:c r="E2499" t="str">
        <x:v>Newcomer</x:v>
      </x:c>
      <x:c r="F2499" t="str">
        <x:v>Standard</x:v>
      </x:c>
      <x:c r="G2499" t="n">
        <x:v>42209</x:v>
      </x:c>
      <x:c r="H2499" t="str">
        <x:v>9970</x:v>
      </x:c>
      <x:c r="I2499" t="str">
        <x:v>https://www.smwcentral.net/?a=details&amp;id=9970&amp;p=section</x:v>
      </x:c>
      <x:c r="J2499" t="str">
        <x:v>https://dl.smwcentral.net/9970/the%20stolen%20yoshi%20coins.zip</x:v>
      </x:c>
    </x:row>
    <x:row r="2500">
      <x:c r="A2500" t="str">
        <x:v>The Sweet Sweet Love</x:v>
      </x:c>
      <x:c r="B2500" t="str">
        <x:v>The Sweet Sweet Love</x:v>
      </x:c>
      <x:c r="C2500" t="str">
        <x:v>Beefy Chud</x:v>
      </x:c>
      <x:c r="D2500" t="n">
        <x:v>16</x:v>
      </x:c>
      <x:c r="E2500" t="str">
        <x:v>Intermediate</x:v>
      </x:c>
      <x:c r="F2500" t="str">
        <x:v>Kaizo</x:v>
      </x:c>
      <x:c r="G2500" t="n">
        <x:v>44487</x:v>
      </x:c>
      <x:c r="H2500" t="str">
        <x:v>28591</x:v>
      </x:c>
      <x:c r="I2500" t="str">
        <x:v>https://www.smwcentral.net/?a=details&amp;id=28591&amp;p=section</x:v>
      </x:c>
      <x:c r="J2500" t="str">
        <x:v>https://dl.smwcentral.net/28591/The_Sweet_Sweet_Love_V1.1.zip</x:v>
      </x:c>
    </x:row>
    <x:row r="2501">
      <x:c r="A2501" t="str">
        <x:v>The Sweet Sweet Love Forever</x:v>
      </x:c>
      <x:c r="B2501" t="str">
        <x:v>The Sweet Sweet Love Forever</x:v>
      </x:c>
      <x:c r="C2501" t="str">
        <x:v>Beefy Chud</x:v>
      </x:c>
      <x:c r="D2501" t="n">
        <x:v>12</x:v>
      </x:c>
      <x:c r="E2501" t="str">
        <x:v>Intermediate</x:v>
      </x:c>
      <x:c r="F2501" t="str">
        <x:v>Kaizo</x:v>
      </x:c>
      <x:c r="G2501" t="n">
        <x:v>44797</x:v>
      </x:c>
      <x:c r="H2501" t="str">
        <x:v>31894</x:v>
      </x:c>
      <x:c r="I2501" t="str">
        <x:v>https://www.smwcentral.net/?a=details&amp;id=31894&amp;p=section</x:v>
      </x:c>
      <x:c r="J2501" t="str">
        <x:v>https://dl.smwcentral.net/31894/The_Sweet_Sweet_Love_Forever.zip</x:v>
      </x:c>
    </x:row>
    <x:row r="2502">
      <x:c r="A2502" t="str">
        <x:v>The Sweet Sweet Love Returns</x:v>
      </x:c>
      <x:c r="B2502" t="str">
        <x:v>The Sweet Sweet Love Returns</x:v>
      </x:c>
      <x:c r="C2502" t="str">
        <x:v>Beefy Chud</x:v>
      </x:c>
      <x:c r="D2502" t="n">
        <x:v>13</x:v>
      </x:c>
      <x:c r="E2502" t="str">
        <x:v>Advanced</x:v>
      </x:c>
      <x:c r="F2502" t="str">
        <x:v>Kaizo</x:v>
      </x:c>
      <x:c r="G2502" t="n">
        <x:v>44613</x:v>
      </x:c>
      <x:c r="H2502" t="str">
        <x:v>29914</x:v>
      </x:c>
      <x:c r="I2502" t="str">
        <x:v>https://www.smwcentral.net/?a=details&amp;id=29914&amp;p=section</x:v>
      </x:c>
      <x:c r="J2502" t="str">
        <x:v>https://dl.smwcentral.net/29914/The_Sweet_Sweet_Love_Returns.zip</x:v>
      </x:c>
    </x:row>
    <x:row r="2503">
      <x:c r="A2503" t="str">
        <x:v>The Swift Skooter Parallelogram</x:v>
      </x:c>
      <x:c r="B2503" t="str">
        <x:v>The Swift Skooter Parallelogram</x:v>
      </x:c>
      <x:c r="C2503" t="str">
        <x:v>placeholdertest</x:v>
      </x:c>
      <x:c r="D2503" t="n">
        <x:v>1</x:v>
      </x:c>
      <x:c r="E2503" t="str">
        <x:v>Expert</x:v>
      </x:c>
      <x:c r="F2503" t="str">
        <x:v>Kaizo</x:v>
      </x:c>
      <x:c r="G2503" t="n">
        <x:v>45215</x:v>
      </x:c>
      <x:c r="H2503" t="str">
        <x:v>35279</x:v>
      </x:c>
      <x:c r="I2503" t="str">
        <x:v>https://www.smwcentral.net/?a=details&amp;id=35279&amp;p=section</x:v>
      </x:c>
      <x:c r="J2503" t="str">
        <x:v>https://dl.smwcentral.net/35279/pht.zip</x:v>
      </x:c>
    </x:row>
    <x:row r="2504">
      <x:c r="A2504" t="str">
        <x:v>The Tale of Elementia</x:v>
      </x:c>
      <x:c r="B2504" t="str">
        <x:v>The Tale of Elementia</x:v>
      </x:c>
      <x:c r="C2504" t="str">
        <x:v>Supertails</x:v>
      </x:c>
      <x:c r="D2504" t="n">
        <x:v>38</x:v>
      </x:c>
      <x:c r="E2504" t="str">
        <x:v>Newcomer</x:v>
      </x:c>
      <x:c r="F2504" t="str">
        <x:v>Standard</x:v>
      </x:c>
      <x:c r="G2504" t="n">
        <x:v>42972</x:v>
      </x:c>
      <x:c r="H2504" t="str">
        <x:v>16068</x:v>
      </x:c>
      <x:c r="I2504" t="str">
        <x:v>https://www.smwcentral.net/?a=details&amp;id=16068&amp;p=section</x:v>
      </x:c>
      <x:c r="J2504" t="str">
        <x:v>https://dl.smwcentral.net/16068/ttoedemo2-fixed.zip</x:v>
      </x:c>
    </x:row>
    <x:row r="2505">
      <x:c r="A2505" t="str">
        <x:v>The Team Shell Hack</x:v>
      </x:c>
      <x:c r="B2505" t="str">
        <x:v>The Team Shell Hack</x:v>
      </x:c>
      <x:c r="C2505" t="str">
        <x:v>Jikurein, Team Shell, xamexer</x:v>
      </x:c>
      <x:c r="D2505" t="n">
        <x:v>38</x:v>
      </x:c>
      <x:c r="E2505" t="str">
        <x:v>Master</x:v>
      </x:c>
      <x:c r="F2505" t="str">
        <x:v>Kaizo</x:v>
      </x:c>
      <x:c r="G2505" t="n">
        <x:v>45349</x:v>
      </x:c>
      <x:c r="H2505" t="str">
        <x:v>36961</x:v>
      </x:c>
      <x:c r="I2505" t="str">
        <x:v>https://www.smwcentral.net/?a=details&amp;id=36961&amp;p=section</x:v>
      </x:c>
      <x:c r="J2505" t="str">
        <x:v>https://dl.smwcentral.net/36961/TEAM_SHELL_3.0.zip</x:v>
      </x:c>
    </x:row>
    <x:row r="2506">
      <x:c r="A2506" t="str">
        <x:v>The Temple of Dinosaurs</x:v>
      </x:c>
      <x:c r="B2506" t="str">
        <x:v>The Temple of Dinosaurs</x:v>
      </x:c>
      <x:c r="C2506" t="str">
        <x:v>Multibella</x:v>
      </x:c>
      <x:c r="D2506" t="n">
        <x:v>5</x:v>
      </x:c>
      <x:c r="E2506" t="str">
        <x:v>Casual</x:v>
      </x:c>
      <x:c r="F2506" t="str">
        <x:v>Standard</x:v>
      </x:c>
      <x:c r="G2506" t="n">
        <x:v>42293</x:v>
      </x:c>
      <x:c r="H2506" t="str">
        <x:v>9960</x:v>
      </x:c>
      <x:c r="I2506" t="str">
        <x:v>https://www.smwcentral.net/?a=details&amp;id=9960&amp;p=section</x:v>
      </x:c>
      <x:c r="J2506" t="str">
        <x:v>https://dl.smwcentral.net/9960/Temple.zip</x:v>
      </x:c>
    </x:row>
    <x:row r="2507">
      <x:c r="A2507" t="str">
        <x:v>The Thousand Year Castle: A Sholmes Adventure</x:v>
      </x:c>
      <x:c r="B2507" t="str">
        <x:v>The Thousand Year Castle: A Sholmes Adventure</x:v>
      </x:c>
      <x:c r="C2507" t="str">
        <x:v>sholmes</x:v>
      </x:c>
      <x:c r="D2507" t="n">
        <x:v>12</x:v>
      </x:c>
      <x:c r="E2507" t="str">
        <x:v>Master</x:v>
      </x:c>
      <x:c r="F2507" t="str">
        <x:v>Kaizo</x:v>
      </x:c>
      <x:c r="G2507" t="n">
        <x:v>46004</x:v>
      </x:c>
      <x:c r="H2507" t="str">
        <x:v>41257</x:v>
      </x:c>
      <x:c r="I2507" t="str">
        <x:v>https://www.smwcentral.net/?a=details&amp;id=41257&amp;p=section</x:v>
      </x:c>
      <x:c r="J2507" t="str">
        <x:v>https://dl.smwcentral.net/41257/Sholmes%20Adventure%20updated.zip</x:v>
      </x:c>
    </x:row>
    <x:row r="2508">
      <x:c r="A2508" t="str">
        <x:v>The Title is Irrelevant</x:v>
      </x:c>
      <x:c r="B2508" t="str">
        <x:v>The Title is Irrelevant</x:v>
      </x:c>
      <x:c r="C2508" t="str">
        <x:v>Forty2</x:v>
      </x:c>
      <x:c r="D2508" t="n">
        <x:v>47</x:v>
      </x:c>
      <x:c r="E2508" t="str">
        <x:v>Casual</x:v>
      </x:c>
      <x:c r="F2508" t="str">
        <x:v>Standard</x:v>
      </x:c>
      <x:c r="G2508" t="n">
        <x:v>42219</x:v>
      </x:c>
      <x:c r="H2508" t="str">
        <x:v>10136</x:v>
      </x:c>
      <x:c r="I2508" t="str">
        <x:v>https://www.smwcentral.net/?a=details&amp;id=10136&amp;p=section</x:v>
      </x:c>
      <x:c r="J2508" t="str">
        <x:v>https://dl.smwcentral.net/10136/tTiI-demo2.zip</x:v>
      </x:c>
    </x:row>
    <x:row r="2509">
      <x:c r="A2509" t="str">
        <x:v>The Tower Tyrant</x:v>
      </x:c>
      <x:c r="B2509" t="str">
        <x:v>The Tower Tyrant</x:v>
      </x:c>
      <x:c r="C2509" t="str">
        <x:v>Mtb4000</x:v>
      </x:c>
      <x:c r="D2509" t="n">
        <x:v>6</x:v>
      </x:c>
      <x:c r="E2509" t="str">
        <x:v>Casual</x:v>
      </x:c>
      <x:c r="F2509" t="str">
        <x:v>Standard</x:v>
      </x:c>
      <x:c r="G2509" t="n">
        <x:v>42288</x:v>
      </x:c>
      <x:c r="H2509" t="str">
        <x:v>10200</x:v>
      </x:c>
      <x:c r="I2509" t="str">
        <x:v>https://www.smwcentral.net/?a=details&amp;id=10200&amp;p=section</x:v>
      </x:c>
      <x:c r="J2509" t="str">
        <x:v>https://dl.smwcentral.net/10200/The%20Tower%20Tyrant%20DEMO.zip</x:v>
      </x:c>
    </x:row>
    <x:row r="2510">
      <x:c r="A2510" t="str">
        <x:v>The Treasure Hunt</x:v>
      </x:c>
      <x:c r="B2510" t="str">
        <x:v>The Treasure Hunt</x:v>
      </x:c>
      <x:c r="C2510" t="str">
        <x:v>Joshua</x:v>
      </x:c>
      <x:c r="D2510" t="n">
        <x:v>39</x:v>
      </x:c>
      <x:c r="E2510" t="str">
        <x:v>Intermediate</x:v>
      </x:c>
      <x:c r="F2510" t="str">
        <x:v>Standard</x:v>
      </x:c>
      <x:c r="G2510" t="n">
        <x:v>42397</x:v>
      </x:c>
      <x:c r="H2510" t="str">
        <x:v>13148</x:v>
      </x:c>
      <x:c r="I2510" t="str">
        <x:v>https://www.smwcentral.net/?a=details&amp;id=13148&amp;p=section</x:v>
      </x:c>
      <x:c r="J2510" t="str">
        <x:v>https://dl.smwcentral.net/13148/The%20Treasure%20Huntv1.1.zip</x:v>
      </x:c>
    </x:row>
    <x:row r="2511">
      <x:c r="A2511" t="str">
        <x:v>The unbearable lightness of being</x:v>
      </x:c>
      <x:c r="B2511" t="str">
        <x:v>The unbearable lightness of being</x:v>
      </x:c>
      <x:c r="C2511" t="str">
        <x:v>dotCoockie</x:v>
      </x:c>
      <x:c r="D2511" t="n">
        <x:v>7</x:v>
      </x:c>
      <x:c r="E2511" t="str">
        <x:v>Expert</x:v>
      </x:c>
      <x:c r="F2511" t="str">
        <x:v>Kaizo</x:v>
      </x:c>
      <x:c r="G2511" t="n">
        <x:v>44683</x:v>
      </x:c>
      <x:c r="H2511" t="str">
        <x:v>30657</x:v>
      </x:c>
      <x:c r="I2511" t="str">
        <x:v>https://www.smwcentral.net/?a=details&amp;id=30657&amp;p=section</x:v>
      </x:c>
      <x:c r="J2511" t="str">
        <x:v>https://dl.smwcentral.net/30657/Release.zip</x:v>
      </x:c>
    </x:row>
    <x:row r="2512">
      <x:c r="A2512" t="str">
        <x:v>The Underground</x:v>
      </x:c>
      <x:c r="B2512" t="str">
        <x:v>The Underground</x:v>
      </x:c>
      <x:c r="C2512" t="str">
        <x:v>algae5</x:v>
      </x:c>
      <x:c r="D2512" t="n">
        <x:v>11</x:v>
      </x:c>
      <x:c r="E2512" t="str">
        <x:v>Expert</x:v>
      </x:c>
      <x:c r="F2512" t="str">
        <x:v>Kaizo</x:v>
      </x:c>
      <x:c r="G2512" t="n">
        <x:v>43630</x:v>
      </x:c>
      <x:c r="H2512" t="str">
        <x:v>20204</x:v>
      </x:c>
      <x:c r="I2512" t="str">
        <x:v>https://www.smwcentral.net/?a=details&amp;id=20204&amp;p=section</x:v>
      </x:c>
      <x:c r="J2512" t="str">
        <x:v>https://dl.smwcentral.net/20204/The%20Underground.zip</x:v>
      </x:c>
    </x:row>
    <x:row r="2513">
      <x:c r="A2513" t="str">
        <x:v>The United States of Mario</x:v>
      </x:c>
      <x:c r="B2513" t="str">
        <x:v>The United States of Mario</x:v>
      </x:c>
      <x:c r="C2513" t="str">
        <x:v>marathonx</x:v>
      </x:c>
      <x:c r="D2513" t="n">
        <x:v>26</x:v>
      </x:c>
      <x:c r="E2513" t="str">
        <x:v>Expert</x:v>
      </x:c>
      <x:c r="F2513" t="str">
        <x:v>Kaizo</x:v>
      </x:c>
      <x:c r="G2513" t="n">
        <x:v>44365</x:v>
      </x:c>
      <x:c r="H2513" t="str">
        <x:v>27225</x:v>
      </x:c>
      <x:c r="I2513" t="str">
        <x:v>https://www.smwcentral.net/?a=details&amp;id=27225&amp;p=section</x:v>
      </x:c>
      <x:c r="J2513" t="str">
        <x:v>https://dl.smwcentral.net/27225/USM%20v1.04a.zip</x:v>
      </x:c>
    </x:row>
    <x:row r="2514">
      <x:c r="A2514" t="str">
        <x:v>The Unknown</x:v>
      </x:c>
      <x:c r="B2514" t="str">
        <x:v>The Unknown</x:v>
      </x:c>
      <x:c r="C2514" t="str">
        <x:v>Jordan</x:v>
      </x:c>
      <x:c r="D2514" t="n">
        <x:v>42</x:v>
      </x:c>
      <x:c r="E2514" t="str">
        <x:v>Advanced</x:v>
      </x:c>
      <x:c r="F2514" t="str">
        <x:v>Kaizo</x:v>
      </x:c>
      <x:c r="G2514" t="n">
        <x:v>44617</x:v>
      </x:c>
      <x:c r="H2514" t="str">
        <x:v>29951</x:v>
      </x:c>
      <x:c r="I2514" t="str">
        <x:v>https://www.smwcentral.net/?a=details&amp;id=29951&amp;p=section</x:v>
      </x:c>
      <x:c r="J2514" t="str">
        <x:v>https://dl.smwcentral.net/29951/The%20Unknown.zip</x:v>
      </x:c>
    </x:row>
    <x:row r="2515">
      <x:c r="A2515" t="str">
        <x:v>The Unworld</x:v>
      </x:c>
      <x:c r="B2515" t="str">
        <x:v>The Unworld</x:v>
      </x:c>
      <x:c r="C2515" t="str">
        <x:v>PrincessEmilu</x:v>
      </x:c>
      <x:c r="D2515" t="n">
        <x:v>92</x:v>
      </x:c>
      <x:c r="E2515" t="str">
        <x:v>Casual</x:v>
      </x:c>
      <x:c r="F2515" t="str">
        <x:v>Standard</x:v>
      </x:c>
      <x:c r="G2515" t="n">
        <x:v>42229</x:v>
      </x:c>
      <x:c r="H2515" t="str">
        <x:v>9653</x:v>
      </x:c>
      <x:c r="I2515" t="str">
        <x:v>https://www.smwcentral.net/?a=details&amp;id=9653&amp;p=section</x:v>
      </x:c>
      <x:c r="J2515" t="str">
        <x:v>https://dl.smwcentral.net/9653/The%20Unworld.zip</x:v>
      </x:c>
    </x:row>
    <x:row r="2516">
      <x:c r="A2516" t="str">
        <x:v>The Unworld: Recharged</x:v>
      </x:c>
      <x:c r="B2516" t="str">
        <x:v>The Unworld: Recharged</x:v>
      </x:c>
      <x:c r="C2516" t="str">
        <x:v>PrincessEmilu</x:v>
      </x:c>
      <x:c r="D2516" t="n">
        <x:v>93</x:v>
      </x:c>
      <x:c r="E2516" t="str">
        <x:v>Casual</x:v>
      </x:c>
      <x:c r="F2516" t="str">
        <x:v>Standard</x:v>
      </x:c>
      <x:c r="G2516" t="n">
        <x:v>41667</x:v>
      </x:c>
      <x:c r="H2516" t="str">
        <x:v>6230</x:v>
      </x:c>
      <x:c r="I2516" t="str">
        <x:v>https://www.smwcentral.net/?a=details&amp;id=6230&amp;p=section</x:v>
      </x:c>
      <x:c r="J2516" t="str">
        <x:v>https://dl.smwcentral.net/6230/The%20Unworld%20Recharged.zip</x:v>
      </x:c>
    </x:row>
    <x:row r="2517">
      <x:c r="A2517" t="str">
        <x:v>The Vanilla</x:v>
      </x:c>
      <x:c r="B2517" t="str">
        <x:v>The Vanilla</x:v>
      </x:c>
      <x:c r="C2517" t="str">
        <x:v>Robju</x:v>
      </x:c>
      <x:c r="D2517" t="n">
        <x:v>8</x:v>
      </x:c>
      <x:c r="E2517" t="str">
        <x:v>Newcomer</x:v>
      </x:c>
      <x:c r="F2517" t="str">
        <x:v>Standard</x:v>
      </x:c>
      <x:c r="G2517" t="n">
        <x:v>42845</x:v>
      </x:c>
      <x:c r="H2517" t="str">
        <x:v>15486</x:v>
      </x:c>
      <x:c r="I2517" t="str">
        <x:v>https://www.smwcentral.net/?a=details&amp;id=15486&amp;p=section</x:v>
      </x:c>
      <x:c r="J2517" t="str">
        <x:v>https://dl.smwcentral.net/15486/TheVanilla%201.3.zip</x:v>
      </x:c>
    </x:row>
    <x:row r="2518">
      <x:c r="A2518" t="str">
        <x:v>The Wahn Stew Race</x:v>
      </x:c>
      <x:c r="B2518" t="str">
        <x:v>The Wahn Stew Race</x:v>
      </x:c>
      <x:c r="C2518" t="str">
        <x:v>Captain_Hacko, Erik_The_Swift, Para_0, VLSkoot, Yetibucca, placeholdertest, user_36733</x:v>
      </x:c>
      <x:c r="D2518" t="n">
        <x:v>6</x:v>
      </x:c>
      <x:c r="E2518" t="str">
        <x:v>Advanced</x:v>
      </x:c>
      <x:c r="F2518" t="str">
        <x:v>Kaizo</x:v>
      </x:c>
      <x:c r="G2518" t="n">
        <x:v>44060</x:v>
      </x:c>
      <x:c r="H2518" t="str">
        <x:v>23816</x:v>
      </x:c>
      <x:c r="I2518" t="str">
        <x:v>https://www.smwcentral.net/?a=details&amp;id=23816&amp;p=section</x:v>
      </x:c>
      <x:c r="J2518" t="str">
        <x:v>https://dl.smwcentral.net/23816/The_Wahn_Stew_Race.zip</x:v>
      </x:c>
    </x:row>
    <x:row r="2519">
      <x:c r="A2519" t="str">
        <x:v>The Way</x:v>
      </x:c>
      <x:c r="B2519" t="str">
        <x:v>The Way</x:v>
      </x:c>
      <x:c r="C2519" t="str">
        <x:v>jdero</x:v>
      </x:c>
      <x:c r="D2519" t="n">
        <x:v>15</x:v>
      </x:c>
      <x:c r="E2519" t="str">
        <x:v>Expert</x:v>
      </x:c>
      <x:c r="F2519" t="str">
        <x:v>Kaizo</x:v>
      </x:c>
      <x:c r="G2519" t="n">
        <x:v>45313</x:v>
      </x:c>
      <x:c r="H2519" t="str">
        <x:v>36599</x:v>
      </x:c>
      <x:c r="I2519" t="str">
        <x:v>https://www.smwcentral.net/?a=details&amp;id=36599&amp;p=section</x:v>
      </x:c>
      <x:c r="J2519" t="str">
        <x:v>https://dl.smwcentral.net/36599/The%20Way.zip</x:v>
      </x:c>
    </x:row>
    <x:row r="2520">
      <x:c r="A2520" t="str">
        <x:v>The Way of The M</x:v>
      </x:c>
      <x:c r="B2520" t="str">
        <x:v>The Way of The M</x:v>
      </x:c>
      <x:c r="C2520" t="str">
        <x:v>levelengine</x:v>
      </x:c>
      <x:c r="D2520" t="n">
        <x:v>80</x:v>
      </x:c>
      <x:c r="E2520" t="str">
        <x:v>Advanced</x:v>
      </x:c>
      <x:c r="F2520" t="str">
        <x:v>Standard</x:v>
      </x:c>
      <x:c r="G2520" t="n">
        <x:v>41717</x:v>
      </x:c>
      <x:c r="H2520" t="str">
        <x:v>6225</x:v>
      </x:c>
      <x:c r="I2520" t="str">
        <x:v>https://www.smwcentral.net/?a=details&amp;id=6225&amp;p=section</x:v>
      </x:c>
      <x:c r="J2520" t="str">
        <x:v>https://dl.smwcentral.net/6225/The%20Way%20of%20The%20M%20%28Epsilon%29.zip</x:v>
      </x:c>
    </x:row>
    <x:row r="2521">
      <x:c r="A2521" t="str">
        <x:v>The Winter Island</x:v>
      </x:c>
      <x:c r="B2521" t="str">
        <x:v>The Winter Island</x:v>
      </x:c>
      <x:c r="C2521" t="str">
        <x:v>Mario is the best</x:v>
      </x:c>
      <x:c r="D2521" t="n">
        <x:v>3</x:v>
      </x:c>
      <x:c r="E2521" t="str">
        <x:v>Casual</x:v>
      </x:c>
      <x:c r="F2521" t="str">
        <x:v>Standard</x:v>
      </x:c>
      <x:c r="G2521" t="n">
        <x:v>44155</x:v>
      </x:c>
      <x:c r="H2521" t="str">
        <x:v>25206</x:v>
      </x:c>
      <x:c r="I2521" t="str">
        <x:v>https://www.smwcentral.net/?a=details&amp;id=25206&amp;p=section</x:v>
      </x:c>
      <x:c r="J2521" t="str">
        <x:v>https://dl.smwcentral.net/25206/The%20Winter%20Island.zip</x:v>
      </x:c>
    </x:row>
    <x:row r="2522">
      <x:c r="A2522" t="str">
        <x:v>The Worlds Longest Shelljump</x:v>
      </x:c>
      <x:c r="B2522" t="str">
        <x:v>The Worlds Longest Shelljump</x:v>
      </x:c>
      <x:c r="C2522" t="str">
        <x:v>HoorayForJay</x:v>
      </x:c>
      <x:c r="D2522" t="n">
        <x:v>1</x:v>
      </x:c>
      <x:c r="E2522" t="str">
        <x:v>Grandmaster</x:v>
      </x:c>
      <x:c r="F2522" t="str">
        <x:v>Tool-Assisted, Pit</x:v>
      </x:c>
      <x:c r="G2522" t="n">
        <x:v>42854</x:v>
      </x:c>
      <x:c r="H2522" t="str">
        <x:v>15340</x:v>
      </x:c>
      <x:c r="I2522" t="str">
        <x:v>https://www.smwcentral.net/?a=details&amp;id=15340&amp;p=section</x:v>
      </x:c>
      <x:c r="J2522" t="str">
        <x:v>https://dl.smwcentral.net/15340/WorldsLongestShellJump.zip</x:v>
      </x:c>
    </x:row>
    <x:row r="2523">
      <x:c r="A2523" t="str">
        <x:v>The Yoshi Egg: A Mission in Miniature</x:v>
      </x:c>
      <x:c r="B2523" t="str">
        <x:v>The Yoshi Egg: A Mission in Miniature</x:v>
      </x:c>
      <x:c r="C2523" t="str">
        <x:v>Noivern</x:v>
      </x:c>
      <x:c r="D2523" t="n">
        <x:v>5</x:v>
      </x:c>
      <x:c r="E2523" t="str">
        <x:v>Newcomer</x:v>
      </x:c>
      <x:c r="F2523" t="str">
        <x:v>Standard</x:v>
      </x:c>
      <x:c r="G2523" t="n">
        <x:v>41491</x:v>
      </x:c>
      <x:c r="H2523" t="str">
        <x:v>5344</x:v>
      </x:c>
      <x:c r="I2523" t="str">
        <x:v>https://www.smwcentral.net/?a=details&amp;id=5344&amp;p=section</x:v>
      </x:c>
      <x:c r="J2523" t="str">
        <x:v>https://dl.smwcentral.net/5344/The%20Yoshi%20Egg.zip</x:v>
      </x:c>
    </x:row>
    <x:row r="2524">
      <x:c r="A2524" t="str">
        <x:v>The Yoshi Trilogy: Part 1 - Dawn of the Darkness</x:v>
      </x:c>
      <x:c r="B2524" t="str">
        <x:v>The Yoshi Trilogy: Part 1 - Dawn of the Darkness</x:v>
      </x:c>
      <x:c r="C2524" t="str">
        <x:v>DarthYoshi492</x:v>
      </x:c>
      <x:c r="D2524" t="n">
        <x:v>43</x:v>
      </x:c>
      <x:c r="E2524" t="str">
        <x:v>Intermediate</x:v>
      </x:c>
      <x:c r="F2524" t="str">
        <x:v>Standard</x:v>
      </x:c>
      <x:c r="G2524" t="n">
        <x:v>42276</x:v>
      </x:c>
      <x:c r="H2524" t="str">
        <x:v>10025</x:v>
      </x:c>
      <x:c r="I2524" t="str">
        <x:v>https://www.smwcentral.net/?a=details&amp;id=10025&amp;p=section</x:v>
      </x:c>
      <x:c r="J2524" t="str">
        <x:v>https://dl.smwcentral.net/10025/Yoshi%20-%20Dawn%20of%20the%20Darkness%20demo2.zip</x:v>
      </x:c>
    </x:row>
    <x:row r="2525">
      <x:c r="A2525" t="str">
        <x:v>TheIslands</x:v>
      </x:c>
      <x:c r="B2525" t="str">
        <x:v>TheIslands</x:v>
      </x:c>
      <x:c r="C2525" t="str">
        <x:v>SonofSolaire</x:v>
      </x:c>
      <x:c r="D2525" t="n">
        <x:v>13</x:v>
      </x:c>
      <x:c r="E2525" t="str">
        <x:v>Expert</x:v>
      </x:c>
      <x:c r="F2525" t="str">
        <x:v>Kaizo</x:v>
      </x:c>
      <x:c r="G2525" t="n">
        <x:v>46199</x:v>
      </x:c>
      <x:c r="H2525" t="str">
        <x:v>42594</x:v>
      </x:c>
      <x:c r="I2525" t="str">
        <x:v>https://www.smwcentral.net/?a=details&amp;id=42594&amp;p=section</x:v>
      </x:c>
      <x:c r="J2525" t="str">
        <x:v>https://dl.smwcentral.net/42594/TheIslandsv1.1.zip</x:v>
      </x:c>
    </x:row>
    <x:row r="2526">
      <x:c r="A2526" t="str">
        <x:v>theplumber'sodyssey</x:v>
      </x:c>
      <x:c r="B2526" t="str">
        <x:v>theplumber'sodyssey</x:v>
      </x:c>
      <x:c r="C2526" t="str">
        <x:v>Angel Miranda</x:v>
      </x:c>
      <x:c r="D2526" t="n">
        <x:v>13</x:v>
      </x:c>
      <x:c r="E2526" t="str">
        <x:v>Intermediate</x:v>
      </x:c>
      <x:c r="F2526" t="str">
        <x:v>Standard</x:v>
      </x:c>
      <x:c r="G2526" t="n">
        <x:v>45076</x:v>
      </x:c>
      <x:c r="H2526" t="str">
        <x:v>33848</x:v>
      </x:c>
      <x:c r="I2526" t="str">
        <x:v>https://www.smwcentral.net/?a=details&amp;id=33848&amp;p=section</x:v>
      </x:c>
      <x:c r="J2526" t="str">
        <x:v>https://dl.smwcentral.net/33848/theplumber%27sodyssey.zip</x:v>
      </x:c>
    </x:row>
    <x:row r="2527">
      <x:c r="A2527" t="str">
        <x:v>therapy!</x:v>
      </x:c>
      <x:c r="B2527" t="str">
        <x:v>therapy!</x:v>
      </x:c>
      <x:c r="C2527" t="str">
        <x:v>TheGremlin</x:v>
      </x:c>
      <x:c r="D2527" t="n">
        <x:v>10</x:v>
      </x:c>
      <x:c r="E2527" t="str">
        <x:v>Master</x:v>
      </x:c>
      <x:c r="F2527" t="str">
        <x:v>Kaizo</x:v>
      </x:c>
      <x:c r="G2527" t="n">
        <x:v>44455</x:v>
      </x:c>
      <x:c r="H2527" t="str">
        <x:v>28332</x:v>
      </x:c>
      <x:c r="I2527" t="str">
        <x:v>https://www.smwcentral.net/?a=details&amp;id=28332&amp;p=section</x:v>
      </x:c>
      <x:c r="J2527" t="str">
        <x:v>https://dl.smwcentral.net/28332/therapy%21.zip</x:v>
      </x:c>
    </x:row>
    <x:row r="2528">
      <x:c r="A2528" t="str">
        <x:v>Things.smc</x:v>
      </x:c>
      <x:c r="B2528" t="str">
        <x:v>Things.smc</x:v>
      </x:c>
      <x:c r="C2528" t="str">
        <x:v>Sweetdude</x:v>
      </x:c>
      <x:c r="D2528" t="n">
        <x:v>80</x:v>
      </x:c>
      <x:c r="E2528" t="str">
        <x:v>Expert</x:v>
      </x:c>
      <x:c r="F2528" t="str">
        <x:v>Kaizo</x:v>
      </x:c>
      <x:c r="G2528" t="n">
        <x:v>44545</x:v>
      </x:c>
      <x:c r="H2528" t="str">
        <x:v>28936</x:v>
      </x:c>
      <x:c r="I2528" t="str">
        <x:v>https://www.smwcentral.net/?a=details&amp;id=28936&amp;p=section</x:v>
      </x:c>
      <x:c r="J2528" t="str">
        <x:v>https://dl.smwcentral.net/28936/Things4U2Play.zip</x:v>
      </x:c>
    </x:row>
    <x:row r="2529">
      <x:c r="A2529" t="str">
        <x:v>Think Fast</x:v>
      </x:c>
      <x:c r="B2529" t="str">
        <x:v>Think Fast</x:v>
      </x:c>
      <x:c r="C2529" t="str">
        <x:v>Desert</x:v>
      </x:c>
      <x:c r="D2529" t="n">
        <x:v>14</x:v>
      </x:c>
      <x:c r="E2529" t="str">
        <x:v>Intermediate</x:v>
      </x:c>
      <x:c r="F2529" t="str">
        <x:v>Kaizo</x:v>
      </x:c>
      <x:c r="G2529" t="n">
        <x:v>44272</x:v>
      </x:c>
      <x:c r="H2529" t="str">
        <x:v>26277</x:v>
      </x:c>
      <x:c r="I2529" t="str">
        <x:v>https://www.smwcentral.net/?a=details&amp;id=26277&amp;p=section</x:v>
      </x:c>
      <x:c r="J2529" t="str">
        <x:v>https://dl.smwcentral.net/26277/Think%20Fast.zip</x:v>
      </x:c>
    </x:row>
    <x:row r="2530">
      <x:c r="A2530" t="str">
        <x:v>Third Whistle</x:v>
      </x:c>
      <x:c r="B2530" t="str">
        <x:v>Third Whistle</x:v>
      </x:c>
      <x:c r="C2530" t="str">
        <x:v>Edidoo</x:v>
      </x:c>
      <x:c r="D2530" t="n">
        <x:v>15</x:v>
      </x:c>
      <x:c r="E2530" t="str">
        <x:v>Advanced</x:v>
      </x:c>
      <x:c r="F2530" t="str">
        <x:v>Kaizo</x:v>
      </x:c>
      <x:c r="G2530" t="n">
        <x:v>44864</x:v>
      </x:c>
      <x:c r="H2530" t="str">
        <x:v>32464</x:v>
      </x:c>
      <x:c r="I2530" t="str">
        <x:v>https://www.smwcentral.net/?a=details&amp;id=32464&amp;p=section</x:v>
      </x:c>
      <x:c r="J2530" t="str">
        <x:v>https://dl.smwcentral.net/32464/ThirdWhistle.zip</x:v>
      </x:c>
    </x:row>
    <x:row r="2531">
      <x:c r="A2531" t="str">
        <x:v>This Hack Contains EVERY Switch Palace Switch</x:v>
      </x:c>
      <x:c r="B2531" t="str">
        <x:v>This Hack Contains EVERY Switch Palace Switch</x:v>
      </x:c>
      <x:c r="C2531" t="str">
        <x:v>Daizo Dee Von</x:v>
      </x:c>
      <x:c r="D2531" t="n">
        <x:v>56</x:v>
      </x:c>
      <x:c r="E2531" t="str">
        <x:v>Newcomer</x:v>
      </x:c>
      <x:c r="F2531" t="str">
        <x:v>Standard</x:v>
      </x:c>
      <x:c r="G2531" t="n">
        <x:v>44661</x:v>
      </x:c>
      <x:c r="H2531" t="str">
        <x:v>30338</x:v>
      </x:c>
      <x:c r="I2531" t="str">
        <x:v>https://www.smwcentral.net/?a=details&amp;id=30338&amp;p=section</x:v>
      </x:c>
      <x:c r="J2531" t="str">
        <x:v>https://dl.smwcentral.net/30338/%5BHack%5D%20This%20Hack%20Contains%20EVERY%20Switch%20Palace%20Switch.zip</x:v>
      </x:c>
    </x:row>
    <x:row r="2532">
      <x:c r="A2532" t="str">
        <x:v>This Hack Needs a Name</x:v>
      </x:c>
      <x:c r="B2532" t="str">
        <x:v>This Hack Needs a Name</x:v>
      </x:c>
      <x:c r="C2532" t="str">
        <x:v>yeahman</x:v>
      </x:c>
      <x:c r="D2532" t="n">
        <x:v>118</x:v>
      </x:c>
      <x:c r="E2532" t="str">
        <x:v>Intermediate</x:v>
      </x:c>
      <x:c r="F2532" t="str">
        <x:v>Standard</x:v>
      </x:c>
      <x:c r="G2532" t="n">
        <x:v>45081</x:v>
      </x:c>
      <x:c r="H2532" t="str">
        <x:v>33796</x:v>
      </x:c>
      <x:c r="I2532" t="str">
        <x:v>https://www.smwcentral.net/?a=details&amp;id=33796&amp;p=section</x:v>
      </x:c>
      <x:c r="J2532" t="str">
        <x:v>https://dl.smwcentral.net/33796/this%20hack%20needs%20a%20name.zip</x:v>
      </x:c>
    </x:row>
    <x:row r="2533">
      <x:c r="A2533" t="str">
        <x:v>This Hack Was Made in 2 Hours</x:v>
      </x:c>
      <x:c r="B2533" t="str">
        <x:v>This Hack Was Made in 2 Hours</x:v>
      </x:c>
      <x:c r="C2533" t="str">
        <x:v>ft029</x:v>
      </x:c>
      <x:c r="D2533" t="n">
        <x:v>7</x:v>
      </x:c>
      <x:c r="E2533" t="str">
        <x:v>Intermediate</x:v>
      </x:c>
      <x:c r="F2533" t="str">
        <x:v>Standard</x:v>
      </x:c>
      <x:c r="G2533" t="n">
        <x:v>42744</x:v>
      </x:c>
      <x:c r="H2533" t="str">
        <x:v>14930</x:v>
      </x:c>
      <x:c r="I2533" t="str">
        <x:v>https://www.smwcentral.net/?a=details&amp;id=14930&amp;p=section</x:v>
      </x:c>
      <x:c r="J2533" t="str">
        <x:v>https://dl.smwcentral.net/14930/This%20Hack%20Was%20Made%20in%202%20Hours.zip</x:v>
      </x:c>
    </x:row>
    <x:row r="2534">
      <x:c r="A2534" t="str">
        <x:v>This is a Good Hack to Play if You Just Started Playing Kaizo... World</x:v>
      </x:c>
      <x:c r="B2534" t="str">
        <x:v>This is a Good Hack to Play if You Just Started Playing Kaizo... World</x:v>
      </x:c>
      <x:c r="C2534" t="str">
        <x:v>BabaYegha, LouisDoucet, Magmatic, StayAtHomeStegosaurus, Sweetdude, gui</x:v>
      </x:c>
      <x:c r="D2534" t="n">
        <x:v>26</x:v>
      </x:c>
      <x:c r="E2534" t="str">
        <x:v>Advanced</x:v>
      </x:c>
      <x:c r="F2534" t="str">
        <x:v>Kaizo</x:v>
      </x:c>
      <x:c r="G2534" t="n">
        <x:v>44396</x:v>
      </x:c>
      <x:c r="H2534" t="str">
        <x:v>27729</x:v>
      </x:c>
      <x:c r="I2534" t="str">
        <x:v>https://www.smwcentral.net/?a=details&amp;id=27729&amp;p=section</x:v>
      </x:c>
      <x:c r="J2534" t="str">
        <x:v>https://dl.smwcentral.net/27729/TIAGHTPIYJSPKW_V1.1.1.zip</x:v>
      </x:c>
    </x:row>
    <x:row r="2535">
      <x:c r="A2535" t="str">
        <x:v>This Is Why We Kaizo</x:v>
      </x:c>
      <x:c r="B2535" t="str">
        <x:v>This Is Why We Kaizo</x:v>
      </x:c>
      <x:c r="C2535" t="str">
        <x:v>Firstnamebutt</x:v>
      </x:c>
      <x:c r="D2535" t="n">
        <x:v>9</x:v>
      </x:c>
      <x:c r="E2535" t="str">
        <x:v>Casual</x:v>
      </x:c>
      <x:c r="F2535" t="str">
        <x:v>Kaizo</x:v>
      </x:c>
      <x:c r="G2535" t="n">
        <x:v>46167</x:v>
      </x:c>
      <x:c r="H2535" t="str">
        <x:v>42425</x:v>
      </x:c>
      <x:c r="I2535" t="str">
        <x:v>https://www.smwcentral.net/?a=details&amp;id=42425&amp;p=section</x:v>
      </x:c>
      <x:c r="J2535" t="str">
        <x:v>https://dl.smwcentral.net/42425/ThisIsWhyWeKaizo.zip</x:v>
      </x:c>
    </x:row>
    <x:row r="2536">
      <x:c r="A2536" t="str">
        <x:v>Those Darn Plumbers</x:v>
      </x:c>
      <x:c r="B2536" t="str">
        <x:v>Those Darn Plumbers</x:v>
      </x:c>
      <x:c r="C2536" t="str">
        <x:v>nintendofreck</x:v>
      </x:c>
      <x:c r="D2536" t="n">
        <x:v>21</x:v>
      </x:c>
      <x:c r="E2536" t="str">
        <x:v>Newcomer</x:v>
      </x:c>
      <x:c r="F2536" t="str">
        <x:v>Standard</x:v>
      </x:c>
      <x:c r="G2536" t="n">
        <x:v>42230</x:v>
      </x:c>
      <x:c r="H2536" t="str">
        <x:v>9697</x:v>
      </x:c>
      <x:c r="I2536" t="str">
        <x:v>https://www.smwcentral.net/?a=details&amp;id=9697&amp;p=section</x:v>
      </x:c>
      <x:c r="J2536" t="str">
        <x:v>https://dl.smwcentral.net/9697/TDPV03.zip</x:v>
      </x:c>
    </x:row>
    <x:row r="2537">
      <x:c r="A2537" t="str">
        <x:v>Thread the Needle</x:v>
      </x:c>
      <x:c r="B2537" t="str">
        <x:v>Thread the Needle</x:v>
      </x:c>
      <x:c r="C2537" t="str">
        <x:v>NixKillsMyths</x:v>
      </x:c>
      <x:c r="D2537" t="n">
        <x:v>1</x:v>
      </x:c>
      <x:c r="E2537" t="str">
        <x:v>Master</x:v>
      </x:c>
      <x:c r="F2537" t="str">
        <x:v>Kaizo</x:v>
      </x:c>
      <x:c r="G2537" t="n">
        <x:v>45214</x:v>
      </x:c>
      <x:c r="H2537" t="str">
        <x:v>35044</x:v>
      </x:c>
      <x:c r="I2537" t="str">
        <x:v>https://www.smwcentral.net/?a=details&amp;id=35044&amp;p=section</x:v>
      </x:c>
      <x:c r="J2537" t="str">
        <x:v>https://dl.smwcentral.net/35044/Thread%20the%20Needle%201.3.zip</x:v>
      </x:c>
    </x:row>
    <x:row r="2538">
      <x:c r="A2538" t="str">
        <x:v>THROWING HANDS</x:v>
      </x:c>
      <x:c r="B2538" t="str">
        <x:v>THROWING HANDS</x:v>
      </x:c>
      <x:c r="C2538" t="str">
        <x:v>Samantha</x:v>
      </x:c>
      <x:c r="D2538" t="n">
        <x:v>12</x:v>
      </x:c>
      <x:c r="E2538" t="str">
        <x:v>Intermediate</x:v>
      </x:c>
      <x:c r="F2538" t="str">
        <x:v>Standard</x:v>
      </x:c>
      <x:c r="G2538" t="n">
        <x:v>45941</x:v>
      </x:c>
      <x:c r="H2538" t="str">
        <x:v>40657</x:v>
      </x:c>
      <x:c r="I2538" t="str">
        <x:v>https://www.smwcentral.net/?a=details&amp;id=40657&amp;p=section</x:v>
      </x:c>
      <x:c r="J2538" t="str">
        <x:v>https://dl.smwcentral.net/40657/THROWING%20HANDS.zip</x:v>
      </x:c>
    </x:row>
    <x:row r="2539">
      <x:c r="A2539" t="str">
        <x:v>Thunderstruck Mario</x:v>
      </x:c>
      <x:c r="B2539" t="str">
        <x:v>Thunderstruck Mario</x:v>
      </x:c>
      <x:c r="C2539" t="str">
        <x:v>Mr Esc</x:v>
      </x:c>
      <x:c r="D2539" t="n">
        <x:v>22</x:v>
      </x:c>
      <x:c r="E2539" t="str">
        <x:v>Casual</x:v>
      </x:c>
      <x:c r="F2539" t="str">
        <x:v>Standard</x:v>
      </x:c>
      <x:c r="G2539" t="n">
        <x:v>42326</x:v>
      </x:c>
      <x:c r="H2539" t="str">
        <x:v>10241</x:v>
      </x:c>
      <x:c r="I2539" t="str">
        <x:v>https://www.smwcentral.net/?a=details&amp;id=10241&amp;p=section</x:v>
      </x:c>
      <x:c r="J2539" t="str">
        <x:v>https://dl.smwcentral.net/10241/Thunderstruck%20demo%202012%20v1A.zip</x:v>
      </x:c>
    </x:row>
    <x:row r="2540">
      <x:c r="A2540" t="str">
        <x:v>TILIA</x:v>
      </x:c>
      <x:c r="B2540" t="str">
        <x:v>TILIA</x:v>
      </x:c>
      <x:c r="C2540" t="str">
        <x:v>neidoodle</x:v>
      </x:c>
      <x:c r="D2540" t="n">
        <x:v>17</x:v>
      </x:c>
      <x:c r="E2540" t="str">
        <x:v>Advanced</x:v>
      </x:c>
      <x:c r="F2540" t="str">
        <x:v>Kaizo</x:v>
      </x:c>
      <x:c r="G2540" t="n">
        <x:v>46075</x:v>
      </x:c>
      <x:c r="H2540" t="str">
        <x:v>41580</x:v>
      </x:c>
      <x:c r="I2540" t="str">
        <x:v>https://www.smwcentral.net/?a=details&amp;id=41580&amp;p=section</x:v>
      </x:c>
      <x:c r="J2540" t="str">
        <x:v>https://dl.smwcentral.net/41580/TILIA%202.3.zip</x:v>
      </x:c>
    </x:row>
    <x:row r="2541">
      <x:c r="A2541" t="str">
        <x:v>Time Out!</x:v>
      </x:c>
      <x:c r="B2541" t="str">
        <x:v>Time Out!</x:v>
      </x:c>
      <x:c r="C2541" t="str">
        <x:v>GlitchyR-01</x:v>
      </x:c>
      <x:c r="D2541" t="n">
        <x:v>11</x:v>
      </x:c>
      <x:c r="E2541" t="str">
        <x:v>Casual</x:v>
      </x:c>
      <x:c r="F2541" t="str">
        <x:v>Standard</x:v>
      </x:c>
      <x:c r="G2541" t="n">
        <x:v>44467</x:v>
      </x:c>
      <x:c r="H2541" t="str">
        <x:v>28440</x:v>
      </x:c>
      <x:c r="I2541" t="str">
        <x:v>https://www.smwcentral.net/?a=details&amp;id=28440&amp;p=section</x:v>
      </x:c>
      <x:c r="J2541" t="str">
        <x:v>https://dl.smwcentral.net/28440/Time%20Out%21%20%5BDemo%202%5D.zip</x:v>
      </x:c>
    </x:row>
    <x:row r="2542">
      <x:c r="A2542" t="str">
        <x:v>TIME UP!</x:v>
      </x:c>
      <x:c r="B2542" t="str">
        <x:v>TIME UP!</x:v>
      </x:c>
      <x:c r="C2542" t="str">
        <x:v>Scarfley</x:v>
      </x:c>
      <x:c r="D2542" t="n">
        <x:v>12</x:v>
      </x:c>
      <x:c r="E2542" t="str">
        <x:v>Advanced</x:v>
      </x:c>
      <x:c r="F2542" t="str">
        <x:v>Standard</x:v>
      </x:c>
      <x:c r="G2542" t="n">
        <x:v>45717</x:v>
      </x:c>
      <x:c r="H2542" t="str">
        <x:v>39398</x:v>
      </x:c>
      <x:c r="I2542" t="str">
        <x:v>https://www.smwcentral.net/?a=details&amp;id=39398&amp;p=section</x:v>
      </x:c>
      <x:c r="J2542" t="str">
        <x:v>https://dl.smwcentral.net/39398/TIME%20UP.zip</x:v>
      </x:c>
    </x:row>
    <x:row r="2543">
      <x:c r="A2543" t="str">
        <x:v>Timeline Death Challenge</x:v>
      </x:c>
      <x:c r="B2543" t="str">
        <x:v>Timeline Death Challenge</x:v>
      </x:c>
      <x:c r="C2543" t="str">
        <x:v>Deivid Borba</x:v>
      </x:c>
      <x:c r="D2543" t="n">
        <x:v>4</x:v>
      </x:c>
      <x:c r="E2543" t="str">
        <x:v>Advanced</x:v>
      </x:c>
      <x:c r="F2543" t="str">
        <x:v>Kaizo</x:v>
      </x:c>
      <x:c r="G2543" t="n">
        <x:v>44305</x:v>
      </x:c>
      <x:c r="H2543" t="str">
        <x:v>26719</x:v>
      </x:c>
      <x:c r="I2543" t="str">
        <x:v>https://www.smwcentral.net/?a=details&amp;id=26719&amp;p=section</x:v>
      </x:c>
      <x:c r="J2543" t="str">
        <x:v>https://dl.smwcentral.net/26719/TimelineDeathChallenge.zip</x:v>
      </x:c>
    </x:row>
    <x:row r="2544">
      <x:c r="A2544" t="str">
        <x:v>Timeline World</x:v>
      </x:c>
      <x:c r="B2544" t="str">
        <x:v>Timeline World</x:v>
      </x:c>
      <x:c r="C2544" t="str">
        <x:v>Natsuz2, TheReaper</x:v>
      </x:c>
      <x:c r="D2544" t="n">
        <x:v>9</x:v>
      </x:c>
      <x:c r="E2544" t="str">
        <x:v>Master</x:v>
      </x:c>
      <x:c r="F2544" t="str">
        <x:v>Kaizo</x:v>
      </x:c>
      <x:c r="G2544" t="n">
        <x:v>44523</x:v>
      </x:c>
      <x:c r="H2544" t="str">
        <x:v>28647</x:v>
      </x:c>
      <x:c r="I2544" t="str">
        <x:v>https://www.smwcentral.net/?a=details&amp;id=28647&amp;p=section</x:v>
      </x:c>
      <x:c r="J2544" t="str">
        <x:v>https://dl.smwcentral.net/28647/Timeline%20World%201.2.zip</x:v>
      </x:c>
    </x:row>
    <x:row r="2545">
      <x:c r="A2545" t="str">
        <x:v>Tiny Variety World</x:v>
      </x:c>
      <x:c r="B2545" t="str">
        <x:v>Tiny Variety World</x:v>
      </x:c>
      <x:c r="C2545" t="str">
        <x:v>Snifit</x:v>
      </x:c>
      <x:c r="D2545" t="n">
        <x:v>4</x:v>
      </x:c>
      <x:c r="E2545" t="str">
        <x:v>Intermediate</x:v>
      </x:c>
      <x:c r="F2545" t="str">
        <x:v>Standard</x:v>
      </x:c>
      <x:c r="G2545" t="n">
        <x:v>42044</x:v>
      </x:c>
      <x:c r="H2545" t="str">
        <x:v>10250</x:v>
      </x:c>
      <x:c r="I2545" t="str">
        <x:v>https://www.smwcentral.net/?a=details&amp;id=10250&amp;p=section</x:v>
      </x:c>
      <x:c r="J2545" t="str">
        <x:v>https://dl.smwcentral.net/10250/TVW.zip</x:v>
      </x:c>
    </x:row>
    <x:row r="2546">
      <x:c r="A2546" t="str">
        <x:v>Tired Mario World</x:v>
      </x:c>
      <x:c r="B2546" t="str">
        <x:v>Tired Mario World</x:v>
      </x:c>
      <x:c r="C2546" t="str">
        <x:v>Wyatt</x:v>
      </x:c>
      <x:c r="D2546" t="n">
        <x:v>10</x:v>
      </x:c>
      <x:c r="E2546" t="str">
        <x:v>Master</x:v>
      </x:c>
      <x:c r="F2546" t="str">
        <x:v>Kaizo</x:v>
      </x:c>
      <x:c r="G2546" t="n">
        <x:v>44983</x:v>
      </x:c>
      <x:c r="H2546" t="str">
        <x:v>33137</x:v>
      </x:c>
      <x:c r="I2546" t="str">
        <x:v>https://www.smwcentral.net/?a=details&amp;id=33137&amp;p=section</x:v>
      </x:c>
      <x:c r="J2546" t="str">
        <x:v>https://dl.smwcentral.net/33137/Tired%20Mario%20World.zip</x:v>
      </x:c>
    </x:row>
    <x:row r="2547">
      <x:c r="A2547" t="str">
        <x:v>Titan Mario</x:v>
      </x:c>
      <x:c r="B2547" t="str">
        <x:v>Titan Mario</x:v>
      </x:c>
      <x:c r="C2547" t="str">
        <x:v>orka-bln</x:v>
      </x:c>
      <x:c r="D2547" t="n">
        <x:v>11</x:v>
      </x:c>
      <x:c r="E2547" t="str">
        <x:v>Master</x:v>
      </x:c>
      <x:c r="F2547" t="str">
        <x:v>Kaizo</x:v>
      </x:c>
      <x:c r="G2547" t="n">
        <x:v>44449</x:v>
      </x:c>
      <x:c r="H2547" t="str">
        <x:v>28247</x:v>
      </x:c>
      <x:c r="I2547" t="str">
        <x:v>https://www.smwcentral.net/?a=details&amp;id=28247&amp;p=section</x:v>
      </x:c>
      <x:c r="J2547" t="str">
        <x:v>https://dl.smwcentral.net/28247/titan1.1.zip</x:v>
      </x:c>
    </x:row>
    <x:row r="2548">
      <x:c r="A2548" t="str">
        <x:v>Titan Mario 2</x:v>
      </x:c>
      <x:c r="B2548" t="str">
        <x:v>Titan Mario 2</x:v>
      </x:c>
      <x:c r="C2548" t="str">
        <x:v>orka-bln</x:v>
      </x:c>
      <x:c r="D2548" t="n">
        <x:v>14</x:v>
      </x:c>
      <x:c r="E2548" t="str">
        <x:v>Master</x:v>
      </x:c>
      <x:c r="F2548" t="str">
        <x:v>Kaizo</x:v>
      </x:c>
      <x:c r="G2548" t="n">
        <x:v>45424</x:v>
      </x:c>
      <x:c r="H2548" t="str">
        <x:v>37767</x:v>
      </x:c>
      <x:c r="I2548" t="str">
        <x:v>https://www.smwcentral.net/?a=details&amp;id=37767&amp;p=section</x:v>
      </x:c>
      <x:c r="J2548" t="str">
        <x:v>https://dl.smwcentral.net/37767/Titan2_1.1.zip</x:v>
      </x:c>
    </x:row>
    <x:row r="2549">
      <x:c r="A2549" t="str">
        <x:v>Tithered Mario</x:v>
      </x:c>
      <x:c r="B2549" t="str">
        <x:v>Tithered Mario</x:v>
      </x:c>
      <x:c r="C2549" t="str">
        <x:v>Anonymous</x:v>
      </x:c>
      <x:c r="D2549" t="n">
        <x:v>13</x:v>
      </x:c>
      <x:c r="E2549" t="str">
        <x:v>Master</x:v>
      </x:c>
      <x:c r="F2549" t="str">
        <x:v>Standard, Kaizo</x:v>
      </x:c>
      <x:c r="G2549" t="n">
        <x:v>43965</x:v>
      </x:c>
      <x:c r="H2549" t="str">
        <x:v>22845</x:v>
      </x:c>
      <x:c r="I2549" t="str">
        <x:v>https://www.smwcentral.net/?a=details&amp;id=22845&amp;p=section</x:v>
      </x:c>
      <x:c r="J2549" t="str">
        <x:v>https://dl.smwcentral.net/22845/Tithered_Mario.zip</x:v>
      </x:c>
    </x:row>
    <x:row r="2550">
      <x:c r="A2550" t="str">
        <x:v>Title</x:v>
      </x:c>
      <x:c r="B2550" t="str">
        <x:v>Title</x:v>
      </x:c>
      <x:c r="C2550" t="str">
        <x:v>Noivern</x:v>
      </x:c>
      <x:c r="D2550" t="n">
        <x:v>12</x:v>
      </x:c>
      <x:c r="E2550" t="str">
        <x:v>Casual</x:v>
      </x:c>
      <x:c r="F2550" t="str">
        <x:v>Standard</x:v>
      </x:c>
      <x:c r="G2550" t="n">
        <x:v>41445</x:v>
      </x:c>
      <x:c r="H2550" t="str">
        <x:v>5577</x:v>
      </x:c>
      <x:c r="I2550" t="str">
        <x:v>https://www.smwcentral.net/?a=details&amp;id=5577&amp;p=section</x:v>
      </x:c>
      <x:c r="J2550" t="str">
        <x:v>https://dl.smwcentral.net/5577/%5Btitle%5D.zip</x:v>
      </x:c>
    </x:row>
    <x:row r="2551">
      <x:c r="A2551" t="str">
        <x:v>TmD</x:v>
      </x:c>
      <x:c r="B2551" t="str">
        <x:v>TmD</x:v>
      </x:c>
      <x:c r="C2551" t="str">
        <x:v>Kazefbr</x:v>
      </x:c>
      <x:c r="D2551" t="n">
        <x:v>6</x:v>
      </x:c>
      <x:c r="E2551" t="str">
        <x:v>Intermediate</x:v>
      </x:c>
      <x:c r="F2551" t="str">
        <x:v>Kaizo</x:v>
      </x:c>
      <x:c r="G2551" t="n">
        <x:v>44677</x:v>
      </x:c>
      <x:c r="H2551" t="str">
        <x:v>30607</x:v>
      </x:c>
      <x:c r="I2551" t="str">
        <x:v>https://www.smwcentral.net/?a=details&amp;id=30607&amp;p=section</x:v>
      </x:c>
      <x:c r="J2551" t="str">
        <x:v>https://dl.smwcentral.net/30607/TmD.zip</x:v>
      </x:c>
    </x:row>
    <x:row r="2552">
      <x:c r="A2552" t="str">
        <x:v>TMFC3EYHEP&amp;K - Q2BDB</x:v>
      </x:c>
      <x:c r="B2552" t="str">
        <x:v>TMFC3EYHEP&amp;K - Q2BDB</x:v>
      </x:c>
      <x:c r="C2552" t="str">
        <x:v>S.N.N.</x:v>
      </x:c>
      <x:c r="D2552" t="n">
        <x:v>5</x:v>
      </x:c>
      <x:c r="E2552" t="str">
        <x:v>Newcomer</x:v>
      </x:c>
      <x:c r="F2552" t="str">
        <x:v>Standard</x:v>
      </x:c>
      <x:c r="G2552" t="n">
        <x:v>42178</x:v>
      </x:c>
      <x:c r="H2552" t="str">
        <x:v>11499</x:v>
      </x:c>
      <x:c r="I2552" t="str">
        <x:v>https://www.smwcentral.net/?a=details&amp;id=11499&amp;p=section</x:v>
      </x:c>
      <x:c r="J2552" t="str">
        <x:v>https://dl.smwcentral.net/11499/TMFC3EYHAP%26K%20-%20Q2BDB.zip</x:v>
      </x:c>
    </x:row>
    <x:row r="2553">
      <x:c r="A2553" t="str">
        <x:v>To Shell And Back!</x:v>
      </x:c>
      <x:c r="B2553" t="str">
        <x:v>To Shell And Back!</x:v>
      </x:c>
      <x:c r="C2553" t="str">
        <x:v>Bux</x:v>
      </x:c>
      <x:c r="D2553" t="n">
        <x:v>11</x:v>
      </x:c>
      <x:c r="E2553" t="str">
        <x:v>Master</x:v>
      </x:c>
      <x:c r="F2553" t="str">
        <x:v>Kaizo</x:v>
      </x:c>
      <x:c r="G2553" t="n">
        <x:v>45386</x:v>
      </x:c>
      <x:c r="H2553" t="str">
        <x:v>36780</x:v>
      </x:c>
      <x:c r="I2553" t="str">
        <x:v>https://www.smwcentral.net/?a=details&amp;id=36780&amp;p=section</x:v>
      </x:c>
      <x:c r="J2553" t="str">
        <x:v>https://dl.smwcentral.net/36780/To%20Shell%20And%20Back%21%201.3.zip</x:v>
      </x:c>
    </x:row>
    <x:row r="2554">
      <x:c r="A2554" t="str">
        <x:v>Toad Kaizo World</x:v>
      </x:c>
      <x:c r="B2554" t="str">
        <x:v>Toad Kaizo World</x:v>
      </x:c>
      <x:c r="C2554" t="str">
        <x:v>Bruno Peixoto</x:v>
      </x:c>
      <x:c r="D2554" t="n">
        <x:v>22</x:v>
      </x:c>
      <x:c r="E2554" t="str">
        <x:v>Advanced</x:v>
      </x:c>
      <x:c r="F2554" t="str">
        <x:v>Kaizo</x:v>
      </x:c>
      <x:c r="G2554" t="n">
        <x:v>43970</x:v>
      </x:c>
      <x:c r="H2554" t="str">
        <x:v>22869</x:v>
      </x:c>
      <x:c r="I2554" t="str">
        <x:v>https://www.smwcentral.net/?a=details&amp;id=22869&amp;p=section</x:v>
      </x:c>
      <x:c r="J2554" t="str">
        <x:v>https://dl.smwcentral.net/22869/Toad%20Kaizo%20World.zip</x:v>
      </x:c>
    </x:row>
    <x:row r="2555">
      <x:c r="A2555" t="str">
        <x:v>Toad Kaizo World 2</x:v>
      </x:c>
      <x:c r="B2555" t="str">
        <x:v>Toad Kaizo World 2</x:v>
      </x:c>
      <x:c r="C2555" t="str">
        <x:v>Bruno_Peixoto</x:v>
      </x:c>
      <x:c r="D2555" t="n">
        <x:v>17</x:v>
      </x:c>
      <x:c r="E2555" t="str">
        <x:v>Advanced</x:v>
      </x:c>
      <x:c r="F2555" t="str">
        <x:v>Kaizo</x:v>
      </x:c>
      <x:c r="G2555" t="n">
        <x:v>44318</x:v>
      </x:c>
      <x:c r="H2555" t="str">
        <x:v>26862</x:v>
      </x:c>
      <x:c r="I2555" t="str">
        <x:v>https://www.smwcentral.net/?a=details&amp;id=26862&amp;p=section</x:v>
      </x:c>
      <x:c r="J2555" t="str">
        <x:v>https://dl.smwcentral.net/26862/Toad%20Kaizo%20World%202.zip</x:v>
      </x:c>
    </x:row>
    <x:row r="2556">
      <x:c r="A2556" t="str">
        <x:v>Toad's cherry tracker</x:v>
      </x:c>
      <x:c r="B2556" t="str">
        <x:v>Toad's cherry tracker</x:v>
      </x:c>
      <x:c r="C2556" t="str">
        <x:v>Lush_50</x:v>
      </x:c>
      <x:c r="D2556" t="n">
        <x:v>18</x:v>
      </x:c>
      <x:c r="E2556" t="str">
        <x:v>Intermediate</x:v>
      </x:c>
      <x:c r="F2556" t="str">
        <x:v>Standard</x:v>
      </x:c>
      <x:c r="G2556" t="n">
        <x:v>45573</x:v>
      </x:c>
      <x:c r="H2556" t="str">
        <x:v>38570</x:v>
      </x:c>
      <x:c r="I2556" t="str">
        <x:v>https://www.smwcentral.net/?a=details&amp;id=38570&amp;p=section</x:v>
      </x:c>
      <x:c r="J2556" t="str">
        <x:v>https://dl.smwcentral.net/38570/Toad%27s%20Cherry%20Tracker%20V1.3.zip</x:v>
      </x:c>
    </x:row>
    <x:row r="2557">
      <x:c r="A2557" t="str">
        <x:v>Toad's World</x:v>
      </x:c>
      <x:c r="B2557" t="str">
        <x:v>Toad's World</x:v>
      </x:c>
      <x:c r="C2557" t="str">
        <x:v>FPI, Ice Man, ghettoyouth</x:v>
      </x:c>
      <x:c r="D2557" t="n">
        <x:v>56</x:v>
      </x:c>
      <x:c r="E2557" t="str">
        <x:v>Advanced</x:v>
      </x:c>
      <x:c r="F2557" t="str">
        <x:v>Standard</x:v>
      </x:c>
      <x:c r="G2557" t="n">
        <x:v>46222</x:v>
      </x:c>
      <x:c r="H2557" t="str">
        <x:v>42620</x:v>
      </x:c>
      <x:c r="I2557" t="str">
        <x:v>https://www.smwcentral.net/?a=details&amp;id=42620&amp;p=section</x:v>
      </x:c>
      <x:c r="J2557" t="str">
        <x:v>https://dl.smwcentral.net/42620/Toad%27s%20World%20%282026%20Version%201.2%29.zip</x:v>
      </x:c>
    </x:row>
    <x:row r="2558">
      <x:c r="A2558" t="str">
        <x:v>Toad's World 2</x:v>
      </x:c>
      <x:c r="B2558" t="str">
        <x:v>Toad's World 2</x:v>
      </x:c>
      <x:c r="C2558" t="str">
        <x:v>Ice Man</x:v>
      </x:c>
      <x:c r="D2558" t="n">
        <x:v>65</x:v>
      </x:c>
      <x:c r="E2558" t="str">
        <x:v>Intermediate</x:v>
      </x:c>
      <x:c r="F2558" t="str">
        <x:v>Standard</x:v>
      </x:c>
      <x:c r="G2558" t="n">
        <x:v>45725</x:v>
      </x:c>
      <x:c r="H2558" t="str">
        <x:v>39167</x:v>
      </x:c>
      <x:c r="I2558" t="str">
        <x:v>https://www.smwcentral.net/?a=details&amp;id=39167&amp;p=section</x:v>
      </x:c>
      <x:c r="J2558" t="str">
        <x:v>https://dl.smwcentral.net/39167/Toad%27s%20World%202%20v1.2%20%28Normal%20%2B%20Hard%20Mode%29.zip</x:v>
      </x:c>
    </x:row>
    <x:row r="2559">
      <x:c r="A2559" t="str">
        <x:v>Toadette's Adventure</x:v>
      </x:c>
      <x:c r="B2559" t="str">
        <x:v>Toadette's Adventure</x:v>
      </x:c>
      <x:c r="C2559" t="str">
        <x:v>I don't know a good name.</x:v>
      </x:c>
      <x:c r="D2559" t="n">
        <x:v>9</x:v>
      </x:c>
      <x:c r="E2559" t="str">
        <x:v>Newcomer</x:v>
      </x:c>
      <x:c r="F2559" t="str">
        <x:v>Standard</x:v>
      </x:c>
      <x:c r="G2559" t="n">
        <x:v>43783</x:v>
      </x:c>
      <x:c r="H2559" t="str">
        <x:v>21476</x:v>
      </x:c>
      <x:c r="I2559" t="str">
        <x:v>https://www.smwcentral.net/?a=details&amp;id=21476&amp;p=section</x:v>
      </x:c>
      <x:c r="J2559" t="str">
        <x:v>https://dl.smwcentral.net/21476/Toadette.zip</x:v>
      </x:c>
    </x:row>
    <x:row r="2560">
      <x:c r="A2560" t="str">
        <x:v>Toadette's Kaizo Tuesday</x:v>
      </x:c>
      <x:c r="B2560" t="str">
        <x:v>Toadette's Kaizo Tuesday</x:v>
      </x:c>
      <x:c r="C2560" t="str">
        <x:v>Hwailaluta</x:v>
      </x:c>
      <x:c r="D2560" t="n">
        <x:v>27</x:v>
      </x:c>
      <x:c r="E2560" t="str">
        <x:v>Master</x:v>
      </x:c>
      <x:c r="F2560" t="str">
        <x:v>Kaizo</x:v>
      </x:c>
      <x:c r="G2560" t="n">
        <x:v>44872</x:v>
      </x:c>
      <x:c r="H2560" t="str">
        <x:v>31771</x:v>
      </x:c>
      <x:c r="I2560" t="str">
        <x:v>https://www.smwcentral.net/?a=details&amp;id=31771&amp;p=section</x:v>
      </x:c>
      <x:c r="J2560" t="str">
        <x:v>https://dl.smwcentral.net/31771/ToadettesKaizoTuesday.zip</x:v>
      </x:c>
    </x:row>
    <x:row r="2561">
      <x:c r="A2561" t="str">
        <x:v>Toadventure</x:v>
      </x:c>
      <x:c r="B2561" t="str">
        <x:v>Toadventure</x:v>
      </x:c>
      <x:c r="C2561" t="str">
        <x:v>Captain Domas</x:v>
      </x:c>
      <x:c r="D2561" t="n">
        <x:v>10</x:v>
      </x:c>
      <x:c r="E2561" t="str">
        <x:v>Advanced</x:v>
      </x:c>
      <x:c r="F2561" t="str">
        <x:v>Kaizo</x:v>
      </x:c>
      <x:c r="G2561" t="n">
        <x:v>44449</x:v>
      </x:c>
      <x:c r="H2561" t="str">
        <x:v>28264</x:v>
      </x:c>
      <x:c r="I2561" t="str">
        <x:v>https://www.smwcentral.net/?a=details&amp;id=28264&amp;p=section</x:v>
      </x:c>
      <x:c r="J2561" t="str">
        <x:v>https://dl.smwcentral.net/28264/Toadventure.zip</x:v>
      </x:c>
    </x:row>
    <x:row r="2562">
      <x:c r="A2562" t="str">
        <x:v>Tomorrow, Together</x:v>
      </x:c>
      <x:c r="B2562" t="str">
        <x:v>Tomorrow, Together</x:v>
      </x:c>
      <x:c r="C2562" t="str">
        <x:v>dotCoockie</x:v>
      </x:c>
      <x:c r="D2562" t="n">
        <x:v>9</x:v>
      </x:c>
      <x:c r="E2562" t="str">
        <x:v>Master</x:v>
      </x:c>
      <x:c r="F2562" t="str">
        <x:v>Kaizo</x:v>
      </x:c>
      <x:c r="G2562" t="n">
        <x:v>44909</x:v>
      </x:c>
      <x:c r="H2562" t="str">
        <x:v>32718</x:v>
      </x:c>
      <x:c r="I2562" t="str">
        <x:v>https://www.smwcentral.net/?a=details&amp;id=32718&amp;p=section</x:v>
      </x:c>
      <x:c r="J2562" t="str">
        <x:v>https://dl.smwcentral.net/32718/Tomorrow.zip</x:v>
      </x:c>
    </x:row>
    <x:row r="2563">
      <x:c r="A2563" t="str">
        <x:v>Toothpaste World</x:v>
      </x:c>
      <x:c r="B2563" t="str">
        <x:v>Toothpaste World</x:v>
      </x:c>
      <x:c r="C2563" t="str">
        <x:v>TheRedCrystal</x:v>
      </x:c>
      <x:c r="D2563" t="n">
        <x:v>20</x:v>
      </x:c>
      <x:c r="E2563" t="str">
        <x:v>Advanced</x:v>
      </x:c>
      <x:c r="F2563" t="str">
        <x:v>Standard</x:v>
      </x:c>
      <x:c r="G2563" t="n">
        <x:v>45859</x:v>
      </x:c>
      <x:c r="H2563" t="str">
        <x:v>40125</x:v>
      </x:c>
      <x:c r="I2563" t="str">
        <x:v>https://www.smwcentral.net/?a=details&amp;id=40125&amp;p=section</x:v>
      </x:c>
      <x:c r="J2563" t="str">
        <x:v>https://dl.smwcentral.net/40125/toothpaste%20world.zip</x:v>
      </x:c>
    </x:row>
    <x:row r="2564">
      <x:c r="A2564" t="str">
        <x:v>Torkiyello</x:v>
      </x:c>
      <x:c r="B2564" t="str">
        <x:v>Torkiyello</x:v>
      </x:c>
      <x:c r="C2564" t="str">
        <x:v>OEO6</x:v>
      </x:c>
      <x:c r="D2564" t="n">
        <x:v>8</x:v>
      </x:c>
      <x:c r="E2564" t="str">
        <x:v>Expert</x:v>
      </x:c>
      <x:c r="F2564" t="str">
        <x:v>Kaizo</x:v>
      </x:c>
      <x:c r="G2564" t="n">
        <x:v>43666</x:v>
      </x:c>
      <x:c r="H2564" t="str">
        <x:v>20120</x:v>
      </x:c>
      <x:c r="I2564" t="str">
        <x:v>https://www.smwcentral.net/?a=details&amp;id=20120&amp;p=section</x:v>
      </x:c>
      <x:c r="J2564" t="str">
        <x:v>https://dl.smwcentral.net/20120/Torkiyello%20v1.zip</x:v>
      </x:c>
    </x:row>
    <x:row r="2565">
      <x:c r="A2565" t="str">
        <x:v>torkiyello extra pack</x:v>
      </x:c>
      <x:c r="B2565" t="str">
        <x:v>torkiyello extra pack</x:v>
      </x:c>
      <x:c r="C2565" t="str">
        <x:v>OEO6</x:v>
      </x:c>
      <x:c r="D2565" t="n">
        <x:v>5</x:v>
      </x:c>
      <x:c r="E2565" t="str">
        <x:v>Expert</x:v>
      </x:c>
      <x:c r="F2565" t="str">
        <x:v>Kaizo</x:v>
      </x:c>
      <x:c r="G2565" t="n">
        <x:v>44147</x:v>
      </x:c>
      <x:c r="H2565" t="str">
        <x:v>25031</x:v>
      </x:c>
      <x:c r="I2565" t="str">
        <x:v>https://www.smwcentral.net/?a=details&amp;id=25031&amp;p=section</x:v>
      </x:c>
      <x:c r="J2565" t="str">
        <x:v>https://dl.smwcentral.net/25031/torkiyello%20extra%20pack%20new%20update.zip</x:v>
      </x:c>
    </x:row>
    <x:row r="2566">
      <x:c r="A2566" t="str">
        <x:v>torkiyello iki</x:v>
      </x:c>
      <x:c r="B2566" t="str">
        <x:v>torkiyello iki</x:v>
      </x:c>
      <x:c r="C2566" t="str">
        <x:v>OEO6</x:v>
      </x:c>
      <x:c r="D2566" t="n">
        <x:v>7</x:v>
      </x:c>
      <x:c r="E2566" t="str">
        <x:v>Expert</x:v>
      </x:c>
      <x:c r="F2566" t="str">
        <x:v>Kaizo</x:v>
      </x:c>
      <x:c r="G2566" t="n">
        <x:v>44146</x:v>
      </x:c>
      <x:c r="H2566" t="str">
        <x:v>25030</x:v>
      </x:c>
      <x:c r="I2566" t="str">
        <x:v>https://www.smwcentral.net/?a=details&amp;id=25030&amp;p=section</x:v>
      </x:c>
      <x:c r="J2566" t="str">
        <x:v>https://dl.smwcentral.net/25030/torkiyello%20iki%20new%20update.zip</x:v>
      </x:c>
    </x:row>
    <x:row r="2567">
      <x:c r="A2567" t="str">
        <x:v>Tortured Souls</x:v>
      </x:c>
      <x:c r="B2567" t="str">
        <x:v>Tortured Souls</x:v>
      </x:c>
      <x:c r="C2567" t="str">
        <x:v>RZRider</x:v>
      </x:c>
      <x:c r="D2567" t="n">
        <x:v>33</x:v>
      </x:c>
      <x:c r="E2567" t="str">
        <x:v>Expert</x:v>
      </x:c>
      <x:c r="F2567" t="str">
        <x:v>Kaizo</x:v>
      </x:c>
      <x:c r="G2567" t="n">
        <x:v>44735</x:v>
      </x:c>
      <x:c r="H2567" t="str">
        <x:v>31160</x:v>
      </x:c>
      <x:c r="I2567" t="str">
        <x:v>https://www.smwcentral.net/?a=details&amp;id=31160&amp;p=section</x:v>
      </x:c>
      <x:c r="J2567" t="str">
        <x:v>https://dl.smwcentral.net/31160/TorturedSouls1.2.zip</x:v>
      </x:c>
    </x:row>
    <x:row r="2568">
      <x:c r="A2568" t="str">
        <x:v>Tortured Souls 3 DEMO</x:v>
      </x:c>
      <x:c r="B2568" t="str">
        <x:v>Tortured Souls 3 DEMO</x:v>
      </x:c>
      <x:c r="C2568" t="str">
        <x:v>RZRider</x:v>
      </x:c>
      <x:c r="D2568" t="n">
        <x:v>23</x:v>
      </x:c>
      <x:c r="E2568" t="str">
        <x:v>Master</x:v>
      </x:c>
      <x:c r="F2568" t="str">
        <x:v>Kaizo</x:v>
      </x:c>
      <x:c r="G2568" t="n">
        <x:v>45642</x:v>
      </x:c>
      <x:c r="H2568" t="str">
        <x:v>38917</x:v>
      </x:c>
      <x:c r="I2568" t="str">
        <x:v>https://www.smwcentral.net/?a=details&amp;id=38917&amp;p=section</x:v>
      </x:c>
      <x:c r="J2568" t="str">
        <x:v>https://dl.smwcentral.net/38917/TS3Demo1.1.zip</x:v>
      </x:c>
    </x:row>
    <x:row r="2569">
      <x:c r="A2569" t="str">
        <x:v>Tortured Souls II: Rapture</x:v>
      </x:c>
      <x:c r="B2569" t="str">
        <x:v>Tortured Souls II: Rapture</x:v>
      </x:c>
      <x:c r="C2569" t="str">
        <x:v>RZRider</x:v>
      </x:c>
      <x:c r="D2569" t="n">
        <x:v>44</x:v>
      </x:c>
      <x:c r="E2569" t="str">
        <x:v>Expert</x:v>
      </x:c>
      <x:c r="F2569" t="str">
        <x:v>Kaizo</x:v>
      </x:c>
      <x:c r="G2569" t="n">
        <x:v>45383</x:v>
      </x:c>
      <x:c r="H2569" t="str">
        <x:v>37513</x:v>
      </x:c>
      <x:c r="I2569" t="str">
        <x:v>https://www.smwcentral.net/?a=details&amp;id=37513&amp;p=section</x:v>
      </x:c>
      <x:c r="J2569" t="str">
        <x:v>https://dl.smwcentral.net/37513/TorturedSoulsIIRapture.zip</x:v>
      </x:c>
    </x:row>
    <x:row r="2570">
      <x:c r="A2570" t="str">
        <x:v>Total Jotary World</x:v>
      </x:c>
      <x:c r="B2570" t="str">
        <x:v>Total Jotary World</x:v>
      </x:c>
      <x:c r="C2570" t="str">
        <x:v>Narcologer</x:v>
      </x:c>
      <x:c r="D2570" t="n">
        <x:v>26</x:v>
      </x:c>
      <x:c r="E2570" t="str">
        <x:v>Intermediate</x:v>
      </x:c>
      <x:c r="F2570" t="str">
        <x:v>Standard</x:v>
      </x:c>
      <x:c r="G2570" t="n">
        <x:v>44726</x:v>
      </x:c>
      <x:c r="H2570" t="str">
        <x:v>31032</x:v>
      </x:c>
      <x:c r="I2570" t="str">
        <x:v>https://www.smwcentral.net/?a=details&amp;id=31032&amp;p=section</x:v>
      </x:c>
      <x:c r="J2570" t="str">
        <x:v>https://dl.smwcentral.net/31032/Total%20Jotary%20World.zip</x:v>
      </x:c>
    </x:row>
    <x:row r="2571">
      <x:c r="A2571" t="str">
        <x:v>Total Mario World</x:v>
      </x:c>
      <x:c r="B2571" t="str">
        <x:v>Total Mario World</x:v>
      </x:c>
      <x:c r="C2571" t="str">
        <x:v>Narcologer</x:v>
      </x:c>
      <x:c r="D2571" t="n">
        <x:v>23</x:v>
      </x:c>
      <x:c r="E2571" t="str">
        <x:v>Casual</x:v>
      </x:c>
      <x:c r="F2571" t="str">
        <x:v>Standard</x:v>
      </x:c>
      <x:c r="G2571" t="n">
        <x:v>43449</x:v>
      </x:c>
      <x:c r="H2571" t="str">
        <x:v>18665</x:v>
      </x:c>
      <x:c r="I2571" t="str">
        <x:v>https://www.smwcentral.net/?a=details&amp;id=18665&amp;p=section</x:v>
      </x:c>
      <x:c r="J2571" t="str">
        <x:v>https://dl.smwcentral.net/18665/TMW.zip</x:v>
      </x:c>
    </x:row>
    <x:row r="2572">
      <x:c r="A2572" t="str">
        <x:v>Totally Vanilla</x:v>
      </x:c>
      <x:c r="B2572" t="str">
        <x:v>Totally Vanilla</x:v>
      </x:c>
      <x:c r="C2572" t="str">
        <x:v>RussianMan</x:v>
      </x:c>
      <x:c r="D2572" t="n">
        <x:v>9</x:v>
      </x:c>
      <x:c r="E2572" t="str">
        <x:v>Intermediate</x:v>
      </x:c>
      <x:c r="F2572" t="str">
        <x:v>Standard</x:v>
      </x:c>
      <x:c r="G2572" t="n">
        <x:v>44035</x:v>
      </x:c>
      <x:c r="H2572" t="str">
        <x:v>23974</x:v>
      </x:c>
      <x:c r="I2572" t="str">
        <x:v>https://www.smwcentral.net/?a=details&amp;id=23974&amp;p=section</x:v>
      </x:c>
      <x:c r="J2572" t="str">
        <x:v>https://dl.smwcentral.net/23974/Totally%20Vanilla.zip</x:v>
      </x:c>
    </x:row>
    <x:row r="2573">
      <x:c r="A2573" t="str">
        <x:v>Totemo Tanoshii World</x:v>
      </x:c>
      <x:c r="B2573" t="str">
        <x:v>Totemo Tanoshii World</x:v>
      </x:c>
      <x:c r="C2573" t="str">
        <x:v>StayAtHomeStegosaurus</x:v>
      </x:c>
      <x:c r="D2573" t="n">
        <x:v>19</x:v>
      </x:c>
      <x:c r="E2573" t="str">
        <x:v>Master</x:v>
      </x:c>
      <x:c r="F2573" t="str">
        <x:v>Kaizo</x:v>
      </x:c>
      <x:c r="G2573" t="n">
        <x:v>44268</x:v>
      </x:c>
      <x:c r="H2573" t="str">
        <x:v>26296</x:v>
      </x:c>
      <x:c r="I2573" t="str">
        <x:v>https://www.smwcentral.net/?a=details&amp;id=26296&amp;p=section</x:v>
      </x:c>
      <x:c r="J2573" t="str">
        <x:v>https://dl.smwcentral.net/26296/TotemoTanoshiWorld_v1.02.zip</x:v>
      </x:c>
    </x:row>
    <x:row r="2574">
      <x:c r="A2574" t="str">
        <x:v>Touhou Mario: Imperishable Night</x:v>
      </x:c>
      <x:c r="B2574" t="str">
        <x:v>Touhou Mario: Imperishable Night</x:v>
      </x:c>
      <x:c r="C2574" t="str">
        <x:v>Vitor Vilela, Wakana</x:v>
      </x:c>
      <x:c r="D2574" t="n">
        <x:v>18</x:v>
      </x:c>
      <x:c r="E2574" t="str">
        <x:v>Intermediate</x:v>
      </x:c>
      <x:c r="F2574" t="str">
        <x:v>Standard</x:v>
      </x:c>
      <x:c r="G2574" t="n">
        <x:v>41650</x:v>
      </x:c>
      <x:c r="H2574" t="str">
        <x:v>6059</x:v>
      </x:c>
      <x:c r="I2574" t="str">
        <x:v>https://www.smwcentral.net/?a=details&amp;id=6059&amp;p=section</x:v>
      </x:c>
      <x:c r="J2574" t="str">
        <x:v>https://dl.smwcentral.net/6059/Touhou%20Mario.zip</x:v>
      </x:c>
    </x:row>
    <x:row r="2575">
      <x:c r="A2575" t="str">
        <x:v>Tower of Facades</x:v>
      </x:c>
      <x:c r="B2575" t="str">
        <x:v>Tower of Facades</x:v>
      </x:c>
      <x:c r="C2575" t="str">
        <x:v>GbreezeSunset</x:v>
      </x:c>
      <x:c r="D2575" t="n">
        <x:v>1</x:v>
      </x:c>
      <x:c r="E2575" t="str">
        <x:v>Expert</x:v>
      </x:c>
      <x:c r="F2575" t="str">
        <x:v>Puzzle</x:v>
      </x:c>
      <x:c r="G2575" t="n">
        <x:v>45736</x:v>
      </x:c>
      <x:c r="H2575" t="str">
        <x:v>39332</x:v>
      </x:c>
      <x:c r="I2575" t="str">
        <x:v>https://www.smwcentral.net/?a=details&amp;id=39332&amp;p=section</x:v>
      </x:c>
      <x:c r="J2575" t="str">
        <x:v>https://dl.smwcentral.net/39332/Tower%20of%20Facades.zip</x:v>
      </x:c>
    </x:row>
    <x:row r="2576">
      <x:c r="A2576" t="str">
        <x:v>Tower Of Glory</x:v>
      </x:c>
      <x:c r="B2576" t="str">
        <x:v>Tower Of Glory</x:v>
      </x:c>
      <x:c r="C2576" t="str">
        <x:v>ShoopDaWhoop</x:v>
      </x:c>
      <x:c r="D2576" t="n">
        <x:v>1</x:v>
      </x:c>
      <x:c r="E2576" t="str">
        <x:v>Advanced</x:v>
      </x:c>
      <x:c r="F2576" t="str">
        <x:v>Kaizo</x:v>
      </x:c>
      <x:c r="G2576" t="n">
        <x:v>45481</x:v>
      </x:c>
      <x:c r="H2576" t="str">
        <x:v>38036</x:v>
      </x:c>
      <x:c r="I2576" t="str">
        <x:v>https://www.smwcentral.net/?a=details&amp;id=38036&amp;p=section</x:v>
      </x:c>
      <x:c r="J2576" t="str">
        <x:v>https://dl.smwcentral.net/38036/Tower%20of%20Glory.zip</x:v>
      </x:c>
    </x:row>
    <x:row r="2577">
      <x:c r="A2577" t="str">
        <x:v>Tower Of Glory 2</x:v>
      </x:c>
      <x:c r="B2577" t="str">
        <x:v>Tower Of Glory 2</x:v>
      </x:c>
      <x:c r="C2577" t="str">
        <x:v>ShoopDaWhoop</x:v>
      </x:c>
      <x:c r="D2577" t="n">
        <x:v>0</x:v>
      </x:c>
      <x:c r="E2577" t="str">
        <x:v>Advanced</x:v>
      </x:c>
      <x:c r="F2577" t="str">
        <x:v>Kaizo</x:v>
      </x:c>
      <x:c r="G2577" t="n">
        <x:v>46191</x:v>
      </x:c>
      <x:c r="H2577" t="str">
        <x:v>42504</x:v>
      </x:c>
      <x:c r="I2577" t="str">
        <x:v>https://www.smwcentral.net/?a=details&amp;id=42504&amp;p=section</x:v>
      </x:c>
      <x:c r="J2577" t="str">
        <x:v>https://dl.smwcentral.net/42504/Tower%20of%20Glory%202%20%281%29.zip</x:v>
      </x:c>
    </x:row>
    <x:row r="2578">
      <x:c r="A2578" t="str">
        <x:v>Tower Of Keys</x:v>
      </x:c>
      <x:c r="B2578" t="str">
        <x:v>Tower Of Keys</x:v>
      </x:c>
      <x:c r="C2578" t="str">
        <x:v>lolyoshi</x:v>
      </x:c>
      <x:c r="D2578" t="n">
        <x:v>1</x:v>
      </x:c>
      <x:c r="E2578" t="str">
        <x:v>Expert</x:v>
      </x:c>
      <x:c r="F2578" t="str">
        <x:v>Kaizo</x:v>
      </x:c>
      <x:c r="G2578" t="n">
        <x:v>42638</x:v>
      </x:c>
      <x:c r="H2578" t="str">
        <x:v>14452</x:v>
      </x:c>
      <x:c r="I2578" t="str">
        <x:v>https://www.smwcentral.net/?a=details&amp;id=14452&amp;p=section</x:v>
      </x:c>
      <x:c r="J2578" t="str">
        <x:v>https://dl.smwcentral.net/14452/tower%20of%20keys.zip</x:v>
      </x:c>
    </x:row>
    <x:row r="2579">
      <x:c r="A2579" t="str">
        <x:v>Tower Of Nopecr</x:v>
      </x:c>
      <x:c r="B2579" t="str">
        <x:v>Tower Of Nopecr</x:v>
      </x:c>
      <x:c r="C2579" t="str">
        <x:v>MarioFan1337</x:v>
      </x:c>
      <x:c r="D2579" t="n">
        <x:v>1</x:v>
      </x:c>
      <x:c r="E2579" t="str">
        <x:v>Expert</x:v>
      </x:c>
      <x:c r="F2579" t="str">
        <x:v>Kaizo</x:v>
      </x:c>
      <x:c r="G2579" t="n">
        <x:v>45613</x:v>
      </x:c>
      <x:c r="H2579" t="str">
        <x:v>38786</x:v>
      </x:c>
      <x:c r="I2579" t="str">
        <x:v>https://www.smwcentral.net/?a=details&amp;id=38786&amp;p=section</x:v>
      </x:c>
      <x:c r="J2579" t="str">
        <x:v>https://dl.smwcentral.net/38786/Tower_Of_Nopecr.zip</x:v>
      </x:c>
    </x:row>
    <x:row r="2580">
      <x:c r="A2580" t="str">
        <x:v>Tower of Shells 2: True Insanity</x:v>
      </x:c>
      <x:c r="B2580" t="str">
        <x:v>Tower of Shells 2: True Insanity</x:v>
      </x:c>
      <x:c r="C2580" t="str">
        <x:v>Insanit</x:v>
      </x:c>
      <x:c r="D2580" t="n">
        <x:v>2</x:v>
      </x:c>
      <x:c r="E2580" t="str">
        <x:v>Master</x:v>
      </x:c>
      <x:c r="F2580" t="str">
        <x:v>Kaizo</x:v>
      </x:c>
      <x:c r="G2580" t="n">
        <x:v>44816</x:v>
      </x:c>
      <x:c r="H2580" t="str">
        <x:v>32042</x:v>
      </x:c>
      <x:c r="I2580" t="str">
        <x:v>https://www.smwcentral.net/?a=details&amp;id=32042&amp;p=section</x:v>
      </x:c>
      <x:c r="J2580" t="str">
        <x:v>https://dl.smwcentral.net/32042/TowerOfShells2TrueInsanity.zip</x:v>
      </x:c>
    </x:row>
    <x:row r="2581">
      <x:c r="A2581" t="str">
        <x:v>Tower of Shells DELUXE</x:v>
      </x:c>
      <x:c r="B2581" t="str">
        <x:v>Tower of Shells DELUXE</x:v>
      </x:c>
      <x:c r="C2581" t="str">
        <x:v>Insanit</x:v>
      </x:c>
      <x:c r="D2581" t="n">
        <x:v>1</x:v>
      </x:c>
      <x:c r="E2581" t="str">
        <x:v>Expert</x:v>
      </x:c>
      <x:c r="F2581" t="str">
        <x:v>Kaizo</x:v>
      </x:c>
      <x:c r="G2581" t="n">
        <x:v>44400</x:v>
      </x:c>
      <x:c r="H2581" t="str">
        <x:v>27801</x:v>
      </x:c>
      <x:c r="I2581" t="str">
        <x:v>https://www.smwcentral.net/?a=details&amp;id=27801&amp;p=section</x:v>
      </x:c>
      <x:c r="J2581" t="str">
        <x:v>https://dl.smwcentral.net/27801/Tower%20of%20Shells%20DELUXE.zip</x:v>
      </x:c>
    </x:row>
    <x:row r="2582">
      <x:c r="A2582" t="str">
        <x:v>Trans Liberation Forever</x:v>
      </x:c>
      <x:c r="B2582" t="str">
        <x:v>Trans Liberation Forever</x:v>
      </x:c>
      <x:c r="C2582" t="str">
        <x:v>MarsAmPear</x:v>
      </x:c>
      <x:c r="D2582" t="n">
        <x:v>5</x:v>
      </x:c>
      <x:c r="E2582" t="str">
        <x:v>Grandmaster</x:v>
      </x:c>
      <x:c r="F2582" t="str">
        <x:v>Kaizo</x:v>
      </x:c>
      <x:c r="G2582" t="n">
        <x:v>44953</x:v>
      </x:c>
      <x:c r="H2582" t="str">
        <x:v>33007</x:v>
      </x:c>
      <x:c r="I2582" t="str">
        <x:v>https://www.smwcentral.net/?a=details&amp;id=33007&amp;p=section</x:v>
      </x:c>
      <x:c r="J2582" t="str">
        <x:v>https://dl.smwcentral.net/33007/Trans%20Liberation%20Forever%202.04.zip</x:v>
      </x:c>
    </x:row>
    <x:row r="2583">
      <x:c r="A2583" t="str">
        <x:v>Transatlantic Flights</x:v>
      </x:c>
      <x:c r="B2583" t="str">
        <x:v>Transatlantic Flights</x:v>
      </x:c>
      <x:c r="C2583" t="str">
        <x:v>l337f00l</x:v>
      </x:c>
      <x:c r="D2583" t="n">
        <x:v>9</x:v>
      </x:c>
      <x:c r="E2583" t="str">
        <x:v>Master</x:v>
      </x:c>
      <x:c r="F2583" t="str">
        <x:v>Kaizo</x:v>
      </x:c>
      <x:c r="G2583" t="n">
        <x:v>45462</x:v>
      </x:c>
      <x:c r="H2583" t="str">
        <x:v>37885</x:v>
      </x:c>
      <x:c r="I2583" t="str">
        <x:v>https://www.smwcentral.net/?a=details&amp;id=37885&amp;p=section</x:v>
      </x:c>
      <x:c r="J2583" t="str">
        <x:v>https://dl.smwcentral.net/37885/Transatlantic_Flight-V1.1.zip</x:v>
      </x:c>
    </x:row>
    <x:row r="2584">
      <x:c r="A2584" t="str">
        <x:v>Transmission Chain Experiment</x:v>
      </x:c>
      <x:c r="B2584" t="str">
        <x:v>Transmission Chain Experiment</x:v>
      </x:c>
      <x:c r="C2584" t="str">
        <x:v>Various Authors</x:v>
      </x:c>
      <x:c r="D2584" t="n">
        <x:v>6</x:v>
      </x:c>
      <x:c r="E2584" t="str">
        <x:v>Expert</x:v>
      </x:c>
      <x:c r="F2584" t="str">
        <x:v>Standard, Kaizo</x:v>
      </x:c>
      <x:c r="G2584" t="n">
        <x:v>44623</x:v>
      </x:c>
      <x:c r="H2584" t="str">
        <x:v>29659</x:v>
      </x:c>
      <x:c r="I2584" t="str">
        <x:v>https://www.smwcentral.net/?a=details&amp;id=29659&amp;p=section</x:v>
      </x:c>
      <x:c r="J2584" t="str">
        <x:v>https://dl.smwcentral.net/29659/TransmissionChainExperiment.zip</x:v>
      </x:c>
    </x:row>
    <x:row r="2585">
      <x:c r="A2585" t="str">
        <x:v>Transylvania Fable- Legacy of Archaic Arcanum</x:v>
      </x:c>
      <x:c r="B2585" t="str">
        <x:v>Transylvania Fable- Legacy of Archaic Arcanum</x:v>
      </x:c>
      <x:c r="C2585" t="str">
        <x:v>Vamperumbra</x:v>
      </x:c>
      <x:c r="D2585" t="n">
        <x:v>20</x:v>
      </x:c>
      <x:c r="E2585" t="str">
        <x:v>Intermediate</x:v>
      </x:c>
      <x:c r="F2585" t="str">
        <x:v>Standard</x:v>
      </x:c>
      <x:c r="G2585" t="n">
        <x:v>42977</x:v>
      </x:c>
      <x:c r="H2585" t="str">
        <x:v>16080</x:v>
      </x:c>
      <x:c r="I2585" t="str">
        <x:v>https://www.smwcentral.net/?a=details&amp;id=16080&amp;p=section</x:v>
      </x:c>
      <x:c r="J2585" t="str">
        <x:v>https://dl.smwcentral.net/16080/TF.zip</x:v>
      </x:c>
    </x:row>
    <x:row r="2586">
      <x:c r="A2586" t="str">
        <x:v>trashdumb</x:v>
      </x:c>
      <x:c r="B2586" t="str">
        <x:v>trashdumb</x:v>
      </x:c>
      <x:c r="C2586" t="str">
        <x:v>OEO6</x:v>
      </x:c>
      <x:c r="D2586" t="n">
        <x:v>29</x:v>
      </x:c>
      <x:c r="E2586" t="str">
        <x:v>Advanced</x:v>
      </x:c>
      <x:c r="F2586" t="str">
        <x:v>Standard</x:v>
      </x:c>
      <x:c r="G2586" t="n">
        <x:v>44312</x:v>
      </x:c>
      <x:c r="H2586" t="str">
        <x:v>26737</x:v>
      </x:c>
      <x:c r="I2586" t="str">
        <x:v>https://www.smwcentral.net/?a=details&amp;id=26737&amp;p=section</x:v>
      </x:c>
      <x:c r="J2586" t="str">
        <x:v>https://dl.smwcentral.net/26737/trashdumb.zip</x:v>
      </x:c>
    </x:row>
    <x:row r="2587">
      <x:c r="A2587" t="str">
        <x:v>TRAWASBNONASYACTNISGAS</x:v>
      </x:c>
      <x:c r="B2587" t="str">
        <x:v>TRAWASBNONASYACTNISGAS</x:v>
      </x:c>
      <x:c r="C2587" t="str">
        <x:v>Shizufuzu</x:v>
      </x:c>
      <x:c r="D2587" t="n">
        <x:v>5</x:v>
      </x:c>
      <x:c r="E2587" t="str">
        <x:v>Casual</x:v>
      </x:c>
      <x:c r="F2587" t="str">
        <x:v>Standard</x:v>
      </x:c>
      <x:c r="G2587" t="n">
        <x:v>42482</x:v>
      </x:c>
      <x:c r="H2587" t="str">
        <x:v>13554</x:v>
      </x:c>
      <x:c r="I2587" t="str">
        <x:v>https://www.smwcentral.net/?a=details&amp;id=13554&amp;p=section</x:v>
      </x:c>
      <x:c r="J2587" t="str">
        <x:v>https://dl.smwcentral.net/13554/TRAWASBNONASYACTNISGAS.zip</x:v>
      </x:c>
    </x:row>
    <x:row r="2588">
      <x:c r="A2588" t="str">
        <x:v>Tribute</x:v>
      </x:c>
      <x:c r="B2588" t="str">
        <x:v>Tribute</x:v>
      </x:c>
      <x:c r="C2588" t="str">
        <x:v>JakAttack</x:v>
      </x:c>
      <x:c r="D2588" t="n">
        <x:v>16</x:v>
      </x:c>
      <x:c r="E2588" t="str">
        <x:v>Intermediate</x:v>
      </x:c>
      <x:c r="F2588" t="str">
        <x:v>Kaizo</x:v>
      </x:c>
      <x:c r="G2588" t="n">
        <x:v>46220</x:v>
      </x:c>
      <x:c r="H2588" t="str">
        <x:v>42703</x:v>
      </x:c>
      <x:c r="I2588" t="str">
        <x:v>https://www.smwcentral.net/?a=details&amp;id=42703&amp;p=section</x:v>
      </x:c>
      <x:c r="J2588" t="str">
        <x:v>https://dl.smwcentral.net/42703/Tribute.zip</x:v>
      </x:c>
    </x:row>
    <x:row r="2589">
      <x:c r="A2589" t="str">
        <x:v>Tricky Mario</x:v>
      </x:c>
      <x:c r="B2589" t="str">
        <x:v>Tricky Mario</x:v>
      </x:c>
      <x:c r="C2589" t="str">
        <x:v>tomato jonson</x:v>
      </x:c>
      <x:c r="D2589" t="n">
        <x:v>8</x:v>
      </x:c>
      <x:c r="E2589" t="str">
        <x:v>Expert</x:v>
      </x:c>
      <x:c r="F2589" t="str">
        <x:v>Kaizo</x:v>
      </x:c>
      <x:c r="G2589" t="n">
        <x:v>43957</x:v>
      </x:c>
      <x:c r="H2589" t="str">
        <x:v>22832</x:v>
      </x:c>
      <x:c r="I2589" t="str">
        <x:v>https://www.smwcentral.net/?a=details&amp;id=22832&amp;p=section</x:v>
      </x:c>
      <x:c r="J2589" t="str">
        <x:v>https://dl.smwcentral.net/22832/tricky%20mario.zip</x:v>
      </x:c>
    </x:row>
    <x:row r="2590">
      <x:c r="A2590" t="str">
        <x:v>Tricky Mario 2</x:v>
      </x:c>
      <x:c r="B2590" t="str">
        <x:v>Tricky Mario 2</x:v>
      </x:c>
      <x:c r="C2590" t="str">
        <x:v>tomato jonson</x:v>
      </x:c>
      <x:c r="D2590" t="n">
        <x:v>7</x:v>
      </x:c>
      <x:c r="E2590" t="str">
        <x:v>Master</x:v>
      </x:c>
      <x:c r="F2590" t="str">
        <x:v>Kaizo</x:v>
      </x:c>
      <x:c r="G2590" t="n">
        <x:v>44506</x:v>
      </x:c>
      <x:c r="H2590" t="str">
        <x:v>28235</x:v>
      </x:c>
      <x:c r="I2590" t="str">
        <x:v>https://www.smwcentral.net/?a=details&amp;id=28235&amp;p=section</x:v>
      </x:c>
      <x:c r="J2590" t="str">
        <x:v>https://dl.smwcentral.net/28235/tm2.zip</x:v>
      </x:c>
    </x:row>
    <x:row r="2591">
      <x:c r="A2591" t="str">
        <x:v>Trinity Shells</x:v>
      </x:c>
      <x:c r="B2591" t="str">
        <x:v>Trinity Shells</x:v>
      </x:c>
      <x:c r="C2591" t="str">
        <x:v>arantes</x:v>
      </x:c>
      <x:c r="D2591" t="n">
        <x:v>14</x:v>
      </x:c>
      <x:c r="E2591" t="str">
        <x:v>Expert</x:v>
      </x:c>
      <x:c r="F2591" t="str">
        <x:v>Kaizo</x:v>
      </x:c>
      <x:c r="G2591" t="n">
        <x:v>45022</x:v>
      </x:c>
      <x:c r="H2591" t="str">
        <x:v>33538</x:v>
      </x:c>
      <x:c r="I2591" t="str">
        <x:v>https://www.smwcentral.net/?a=details&amp;id=33538&amp;p=section</x:v>
      </x:c>
      <x:c r="J2591" t="str">
        <x:v>https://dl.smwcentral.net/33538/Trinity%20Shells%20V1.1.zip</x:v>
      </x:c>
    </x:row>
    <x:row r="2592">
      <x:c r="A2592" t="str">
        <x:v>Trouble at Snow Land</x:v>
      </x:c>
      <x:c r="B2592" t="str">
        <x:v>Trouble at Snow Land</x:v>
      </x:c>
      <x:c r="C2592" t="str">
        <x:v>P1JDS</x:v>
      </x:c>
      <x:c r="D2592" t="n">
        <x:v>10</x:v>
      </x:c>
      <x:c r="E2592" t="str">
        <x:v>Intermediate</x:v>
      </x:c>
      <x:c r="F2592" t="str">
        <x:v>Standard</x:v>
      </x:c>
      <x:c r="G2592" t="n">
        <x:v>45295</x:v>
      </x:c>
      <x:c r="H2592" t="str">
        <x:v>35774</x:v>
      </x:c>
      <x:c r="I2592" t="str">
        <x:v>https://www.smwcentral.net/?a=details&amp;id=35774&amp;p=section</x:v>
      </x:c>
      <x:c r="J2592" t="str">
        <x:v>https://dl.smwcentral.net/35774/Trouble%20at%20Snow%20Land%201.1.zip</x:v>
      </x:c>
    </x:row>
    <x:row r="2593">
      <x:c r="A2593" t="str">
        <x:v>Trouble in Truffle Islands</x:v>
      </x:c>
      <x:c r="B2593" t="str">
        <x:v>Trouble in Truffle Islands</x:v>
      </x:c>
      <x:c r="C2593" t="str">
        <x:v>Cydrius</x:v>
      </x:c>
      <x:c r="D2593" t="n">
        <x:v>17</x:v>
      </x:c>
      <x:c r="E2593" t="str">
        <x:v>Casual</x:v>
      </x:c>
      <x:c r="F2593" t="str">
        <x:v>Standard</x:v>
      </x:c>
      <x:c r="G2593" t="n">
        <x:v>42611</x:v>
      </x:c>
      <x:c r="H2593" t="str">
        <x:v>14167</x:v>
      </x:c>
      <x:c r="I2593" t="str">
        <x:v>https://www.smwcentral.net/?a=details&amp;id=14167&amp;p=section</x:v>
      </x:c>
      <x:c r="J2593" t="str">
        <x:v>https://dl.smwcentral.net/14167/SMW%20-%20Trouble%20in%20Truffle%20Islands.zip</x:v>
      </x:c>
    </x:row>
    <x:row r="2594">
      <x:c r="A2594" t="str">
        <x:v>Truc Bidule</x:v>
      </x:c>
      <x:c r="B2594" t="str">
        <x:v>Truc Bidule</x:v>
      </x:c>
      <x:c r="C2594" t="str">
        <x:v>yogui</x:v>
      </x:c>
      <x:c r="D2594" t="n">
        <x:v>43</x:v>
      </x:c>
      <x:c r="E2594" t="str">
        <x:v>Advanced</x:v>
      </x:c>
      <x:c r="F2594" t="str">
        <x:v>Standard</x:v>
      </x:c>
      <x:c r="G2594" t="n">
        <x:v>45314</x:v>
      </x:c>
      <x:c r="H2594" t="str">
        <x:v>35741</x:v>
      </x:c>
      <x:c r="I2594" t="str">
        <x:v>https://www.smwcentral.net/?a=details&amp;id=35741&amp;p=section</x:v>
      </x:c>
      <x:c r="J2594" t="str">
        <x:v>https://dl.smwcentral.net/35741/Truc_Bidule.zip</x:v>
      </x:c>
    </x:row>
    <x:row r="2595">
      <x:c r="A2595" t="str">
        <x:v>TSG's Obligatory Ice Level</x:v>
      </x:c>
      <x:c r="B2595" t="str">
        <x:v>TSG's Obligatory Ice Level</x:v>
      </x:c>
      <x:c r="C2595" t="str">
        <x:v>Doseianasan</x:v>
      </x:c>
      <x:c r="D2595" t="n">
        <x:v>1</x:v>
      </x:c>
      <x:c r="E2595" t="str">
        <x:v>Casual</x:v>
      </x:c>
      <x:c r="F2595" t="str">
        <x:v>Standard</x:v>
      </x:c>
      <x:c r="G2595" t="n">
        <x:v>42128</x:v>
      </x:c>
      <x:c r="H2595" t="str">
        <x:v>10120</x:v>
      </x:c>
      <x:c r="I2595" t="str">
        <x:v>https://www.smwcentral.net/?a=details&amp;id=10120&amp;p=section</x:v>
      </x:c>
      <x:c r="J2595" t="str">
        <x:v>https://dl.smwcentral.net/10120/OILDL.zip</x:v>
      </x:c>
    </x:row>
    <x:row r="2596">
      <x:c r="A2596" t="str">
        <x:v>Tsunami Island</x:v>
      </x:c>
      <x:c r="B2596" t="str">
        <x:v>Tsunami Island</x:v>
      </x:c>
      <x:c r="C2596" t="str">
        <x:v>PROMETHEUS</x:v>
      </x:c>
      <x:c r="D2596" t="n">
        <x:v>9</x:v>
      </x:c>
      <x:c r="E2596" t="str">
        <x:v>Casual</x:v>
      </x:c>
      <x:c r="F2596" t="str">
        <x:v>Standard</x:v>
      </x:c>
      <x:c r="G2596" t="n">
        <x:v>41445</x:v>
      </x:c>
      <x:c r="H2596" t="str">
        <x:v>5609</x:v>
      </x:c>
      <x:c r="I2596" t="str">
        <x:v>https://www.smwcentral.net/?a=details&amp;id=5609&amp;p=section</x:v>
      </x:c>
      <x:c r="J2596" t="str">
        <x:v>https://dl.smwcentral.net/5609/Tsunami%20Island.zip</x:v>
      </x:c>
    </x:row>
    <x:row r="2597">
      <x:c r="A2597" t="str">
        <x:v>Twisted Plains</x:v>
      </x:c>
      <x:c r="B2597" t="str">
        <x:v>Twisted Plains</x:v>
      </x:c>
      <x:c r="C2597" t="str">
        <x:v>TheBiob</x:v>
      </x:c>
      <x:c r="D2597" t="n">
        <x:v>1</x:v>
      </x:c>
      <x:c r="E2597" t="str">
        <x:v>Master</x:v>
      </x:c>
      <x:c r="F2597" t="str">
        <x:v>Kaizo</x:v>
      </x:c>
      <x:c r="G2597" t="n">
        <x:v>44197</x:v>
      </x:c>
      <x:c r="H2597" t="str">
        <x:v>25564</x:v>
      </x:c>
      <x:c r="I2597" t="str">
        <x:v>https://www.smwcentral.net/?a=details&amp;id=25564&amp;p=section</x:v>
      </x:c>
      <x:c r="J2597" t="str">
        <x:v>https://dl.smwcentral.net/25564/Twisted%20Plains.zip</x:v>
      </x:c>
    </x:row>
    <x:row r="2598">
      <x:c r="A2598" t="str">
        <x:v>U N O R I G I N A L (C3 2020 Demo)</x:v>
      </x:c>
      <x:c r="B2598" t="str">
        <x:v>U N O R I G I N A L (C3 2020 Demo)</x:v>
      </x:c>
      <x:c r="C2598" t="str">
        <x:v>92</x:v>
      </x:c>
      <x:c r="D2598" t="n">
        <x:v>4</x:v>
      </x:c>
      <x:c r="E2598" t="str">
        <x:v>Casual</x:v>
      </x:c>
      <x:c r="F2598" t="str">
        <x:v>Standard</x:v>
      </x:c>
      <x:c r="G2598" t="n">
        <x:v>44021</x:v>
      </x:c>
      <x:c r="H2598" t="str">
        <x:v>23741</x:v>
      </x:c>
      <x:c r="I2598" t="str">
        <x:v>https://www.smwcentral.net/?a=details&amp;id=23741&amp;p=section</x:v>
      </x:c>
      <x:c r="J2598" t="str">
        <x:v>https://dl.smwcentral.net/23741/UNORIGINAL_C3_2020_v1.1.zip</x:v>
      </x:c>
    </x:row>
    <x:row r="2599">
      <x:c r="A2599" t="str">
        <x:v>Ukraine, Detroit</x:v>
      </x:c>
      <x:c r="B2599" t="str">
        <x:v>Ukraine, Detroit</x:v>
      </x:c>
      <x:c r="C2599" t="str">
        <x:v>tamano</x:v>
      </x:c>
      <x:c r="D2599" t="n">
        <x:v>11</x:v>
      </x:c>
      <x:c r="E2599" t="str">
        <x:v>Advanced</x:v>
      </x:c>
      <x:c r="F2599" t="str">
        <x:v>Kaizo</x:v>
      </x:c>
      <x:c r="G2599" t="n">
        <x:v>44595</x:v>
      </x:c>
      <x:c r="H2599" t="str">
        <x:v>29669</x:v>
      </x:c>
      <x:c r="I2599" t="str">
        <x:v>https://www.smwcentral.net/?a=details&amp;id=29669&amp;p=section</x:v>
      </x:c>
      <x:c r="J2599" t="str">
        <x:v>https://dl.smwcentral.net/29669/ukraine%20detroit.zip</x:v>
      </x:c>
    </x:row>
    <x:row r="2600">
      <x:c r="A2600" t="str">
        <x:v>Ultima Kiwi Winter Demo</x:v>
      </x:c>
      <x:c r="B2600" t="str">
        <x:v>Ultima Kiwi Winter Demo</x:v>
      </x:c>
      <x:c r="C2600" t="str">
        <x:v>ModernKiwi</x:v>
      </x:c>
      <x:c r="D2600" t="n">
        <x:v>31</x:v>
      </x:c>
      <x:c r="E2600" t="str">
        <x:v>Casual</x:v>
      </x:c>
      <x:c r="F2600" t="str">
        <x:v>Standard</x:v>
      </x:c>
      <x:c r="G2600" t="n">
        <x:v>45370</x:v>
      </x:c>
      <x:c r="H2600" t="str">
        <x:v>35863</x:v>
      </x:c>
      <x:c r="I2600" t="str">
        <x:v>https://www.smwcentral.net/?a=details&amp;id=35863&amp;p=section</x:v>
      </x:c>
      <x:c r="J2600" t="str">
        <x:v>https://dl.smwcentral.net/35863/Ultima%20Kiwi%20Winter%20Demo.zip</x:v>
      </x:c>
    </x:row>
    <x:row r="2601">
      <x:c r="A2601" t="str">
        <x:v>Ultimate Carl Heaven</x:v>
      </x:c>
      <x:c r="B2601" t="str">
        <x:v>Ultimate Carl Heaven</x:v>
      </x:c>
      <x:c r="C2601" t="str">
        <x:v>Anonymous</x:v>
      </x:c>
      <x:c r="D2601" t="n">
        <x:v>12</x:v>
      </x:c>
      <x:c r="E2601" t="str">
        <x:v>Advanced</x:v>
      </x:c>
      <x:c r="F2601" t="str">
        <x:v>Kaizo</x:v>
      </x:c>
      <x:c r="G2601" t="n">
        <x:v>45680</x:v>
      </x:c>
      <x:c r="H2601" t="str">
        <x:v>39095</x:v>
      </x:c>
      <x:c r="I2601" t="str">
        <x:v>https://www.smwcentral.net/?a=details&amp;id=39095&amp;p=section</x:v>
      </x:c>
      <x:c r="J2601" t="str">
        <x:v>https://dl.smwcentral.net/39095/Ultimate_Carl_Heaven.zip</x:v>
      </x:c>
    </x:row>
    <x:row r="2602">
      <x:c r="A2602" t="str">
        <x:v>Ultimate Kaizo Tutorial Hack</x:v>
      </x:c>
      <x:c r="B2602" t="str">
        <x:v>Ultimate Kaizo Tutorial Hack</x:v>
      </x:c>
      <x:c r="C2602" t="str">
        <x:v>ageVerrly</x:v>
      </x:c>
      <x:c r="D2602" t="n">
        <x:v>34</x:v>
      </x:c>
      <x:c r="E2602" t="str">
        <x:v>Master</x:v>
      </x:c>
      <x:c r="F2602" t="str">
        <x:v>Kaizo</x:v>
      </x:c>
      <x:c r="G2602" t="n">
        <x:v>45665</x:v>
      </x:c>
      <x:c r="H2602" t="str">
        <x:v>38769</x:v>
      </x:c>
      <x:c r="I2602" t="str">
        <x:v>https://www.smwcentral.net/?a=details&amp;id=38769&amp;p=section</x:v>
      </x:c>
      <x:c r="J2602" t="str">
        <x:v>https://dl.smwcentral.net/38769/zip.zip</x:v>
      </x:c>
    </x:row>
    <x:row r="2603">
      <x:c r="A2603" t="str">
        <x:v>Ultimate Mario World</x:v>
      </x:c>
      <x:c r="B2603" t="str">
        <x:v>Ultimate Mario World</x:v>
      </x:c>
      <x:c r="C2603" t="str">
        <x:v>Master_Owens</x:v>
      </x:c>
      <x:c r="D2603" t="n">
        <x:v>4</x:v>
      </x:c>
      <x:c r="E2603" t="str">
        <x:v>Casual</x:v>
      </x:c>
      <x:c r="F2603" t="str">
        <x:v>Standard</x:v>
      </x:c>
      <x:c r="G2603" t="n">
        <x:v>42211</x:v>
      </x:c>
      <x:c r="H2603" t="str">
        <x:v>9826</x:v>
      </x:c>
      <x:c r="I2603" t="str">
        <x:v>https://www.smwcentral.net/?a=details&amp;id=9826&amp;p=section</x:v>
      </x:c>
      <x:c r="J2603" t="str">
        <x:v>https://dl.smwcentral.net/9826/Ultimate%20Mario%20World.zip</x:v>
      </x:c>
    </x:row>
    <x:row r="2604">
      <x:c r="A2604" t="str">
        <x:v>Ultra Kaizo World</x:v>
      </x:c>
      <x:c r="B2604" t="str">
        <x:v>Ultra Kaizo World</x:v>
      </x:c>
      <x:c r="C2604" t="str">
        <x:v>Arobam</x:v>
      </x:c>
      <x:c r="D2604" t="n">
        <x:v>25</x:v>
      </x:c>
      <x:c r="E2604" t="str">
        <x:v>Master</x:v>
      </x:c>
      <x:c r="F2604" t="str">
        <x:v>Kaizo</x:v>
      </x:c>
      <x:c r="G2604" t="n">
        <x:v>43449</x:v>
      </x:c>
      <x:c r="H2604" t="str">
        <x:v>18664</x:v>
      </x:c>
      <x:c r="I2604" t="str">
        <x:v>https://www.smwcentral.net/?a=details&amp;id=18664&amp;p=section</x:v>
      </x:c>
      <x:c r="J2604" t="str">
        <x:v>https://dl.smwcentral.net/18664/Ultra%20Kaizo%20World1.1.zip</x:v>
      </x:c>
    </x:row>
    <x:row r="2605">
      <x:c r="A2605" t="str">
        <x:v>Ultra Kaizo World 2</x:v>
      </x:c>
      <x:c r="B2605" t="str">
        <x:v>Ultra Kaizo World 2</x:v>
      </x:c>
      <x:c r="C2605" t="str">
        <x:v>Arobam</x:v>
      </x:c>
      <x:c r="D2605" t="n">
        <x:v>20</x:v>
      </x:c>
      <x:c r="E2605" t="str">
        <x:v>Master</x:v>
      </x:c>
      <x:c r="F2605" t="str">
        <x:v>Kaizo</x:v>
      </x:c>
      <x:c r="G2605" t="n">
        <x:v>43962</x:v>
      </x:c>
      <x:c r="H2605" t="str">
        <x:v>22676</x:v>
      </x:c>
      <x:c r="I2605" t="str">
        <x:v>https://www.smwcentral.net/?a=details&amp;id=22676&amp;p=section</x:v>
      </x:c>
      <x:c r="J2605" t="str">
        <x:v>https://dl.smwcentral.net/22676/UKW2%20Version%201.2.zip</x:v>
      </x:c>
    </x:row>
    <x:row r="2606">
      <x:c r="A2606" t="str">
        <x:v>Ultra Luigi World: Luigi in... Destiny</x:v>
      </x:c>
      <x:c r="B2606" t="str">
        <x:v>Ultra Luigi World: Luigi in... Destiny</x:v>
      </x:c>
      <x:c r="C2606" t="str">
        <x:v>Uncle_Bones</x:v>
      </x:c>
      <x:c r="D2606" t="n">
        <x:v>2</x:v>
      </x:c>
      <x:c r="E2606" t="str">
        <x:v>Casual</x:v>
      </x:c>
      <x:c r="F2606" t="str">
        <x:v>Standard</x:v>
      </x:c>
      <x:c r="G2606" t="n">
        <x:v>42108</x:v>
      </x:c>
      <x:c r="H2606" t="str">
        <x:v>9732</x:v>
      </x:c>
      <x:c r="I2606" t="str">
        <x:v>https://www.smwcentral.net/?a=details&amp;id=9732&amp;p=section</x:v>
      </x:c>
      <x:c r="J2606" t="str">
        <x:v>https://dl.smwcentral.net/9732/ULWD1.zip</x:v>
      </x:c>
    </x:row>
    <x:row r="2607">
      <x:c r="A2607" t="str">
        <x:v>Ultraviolet</x:v>
      </x:c>
      <x:c r="B2607" t="str">
        <x:v>Ultraviolet</x:v>
      </x:c>
      <x:c r="C2607" t="str">
        <x:v>MDBattleFrog</x:v>
      </x:c>
      <x:c r="D2607" t="n">
        <x:v>11</x:v>
      </x:c>
      <x:c r="E2607" t="str">
        <x:v>Master</x:v>
      </x:c>
      <x:c r="F2607" t="str">
        <x:v>Kaizo</x:v>
      </x:c>
      <x:c r="G2607" t="n">
        <x:v>44063</x:v>
      </x:c>
      <x:c r="H2607" t="str">
        <x:v>24272</x:v>
      </x:c>
      <x:c r="I2607" t="str">
        <x:v>https://www.smwcentral.net/?a=details&amp;id=24272&amp;p=section</x:v>
      </x:c>
      <x:c r="J2607" t="str">
        <x:v>https://dl.smwcentral.net/24272/UV2.0.zip</x:v>
      </x:c>
    </x:row>
    <x:row r="2608">
      <x:c r="A2608" t="str">
        <x:v>Uma Aventura Xalabaias</x:v>
      </x:c>
      <x:c r="B2608" t="str">
        <x:v>Uma Aventura Xalabaias</x:v>
      </x:c>
      <x:c r="C2608" t="str">
        <x:v>MaxwelHacks</x:v>
      </x:c>
      <x:c r="D2608" t="n">
        <x:v>38</x:v>
      </x:c>
      <x:c r="E2608" t="str">
        <x:v>Intermediate</x:v>
      </x:c>
      <x:c r="F2608" t="str">
        <x:v>Standard</x:v>
      </x:c>
      <x:c r="G2608" t="n">
        <x:v>43723</x:v>
      </x:c>
      <x:c r="H2608" t="str">
        <x:v>21058</x:v>
      </x:c>
      <x:c r="I2608" t="str">
        <x:v>https://www.smwcentral.net/?a=details&amp;id=21058&amp;p=section</x:v>
      </x:c>
      <x:c r="J2608" t="str">
        <x:v>https://dl.smwcentral.net/21058/Aventura%20Xalabaias.zip</x:v>
      </x:c>
    </x:row>
    <x:row r="2609">
      <x:c r="A2609" t="str">
        <x:v>Uncharted World</x:v>
      </x:c>
      <x:c r="B2609" t="str">
        <x:v>Uncharted World</x:v>
      </x:c>
      <x:c r="C2609" t="str">
        <x:v>will___</x:v>
      </x:c>
      <x:c r="D2609" t="n">
        <x:v>63</x:v>
      </x:c>
      <x:c r="E2609" t="str">
        <x:v>Advanced</x:v>
      </x:c>
      <x:c r="F2609" t="str">
        <x:v>Standard, Kaizo</x:v>
      </x:c>
      <x:c r="G2609" t="n">
        <x:v>46026</x:v>
      </x:c>
      <x:c r="H2609" t="str">
        <x:v>41359</x:v>
      </x:c>
      <x:c r="I2609" t="str">
        <x:v>https://www.smwcentral.net/?a=details&amp;id=41359&amp;p=section</x:v>
      </x:c>
      <x:c r="J2609" t="str">
        <x:v>https://dl.smwcentral.net/41359/UnchartedWorld.zip</x:v>
      </x:c>
    </x:row>
    <x:row r="2610">
      <x:c r="A2610" t="str">
        <x:v>Under Control</x:v>
      </x:c>
      <x:c r="B2610" t="str">
        <x:v>Under Control</x:v>
      </x:c>
      <x:c r="C2610" t="str">
        <x:v>WoxicTaste</x:v>
      </x:c>
      <x:c r="D2610" t="n">
        <x:v>11</x:v>
      </x:c>
      <x:c r="E2610" t="str">
        <x:v>Grandmaster</x:v>
      </x:c>
      <x:c r="F2610" t="str">
        <x:v>Kaizo</x:v>
      </x:c>
      <x:c r="G2610" t="n">
        <x:v>45867</x:v>
      </x:c>
      <x:c r="H2610" t="str">
        <x:v>40070</x:v>
      </x:c>
      <x:c r="I2610" t="str">
        <x:v>https://www.smwcentral.net/?a=details&amp;id=40070&amp;p=section</x:v>
      </x:c>
      <x:c r="J2610" t="str">
        <x:v>https://dl.smwcentral.net/40070/uc_1.1_final.zip</x:v>
      </x:c>
    </x:row>
    <x:row r="2611">
      <x:c r="A2611" t="str">
        <x:v>Under the Rose</x:v>
      </x:c>
      <x:c r="B2611" t="str">
        <x:v>Under the Rose</x:v>
      </x:c>
      <x:c r="C2611" t="str">
        <x:v>Cianureto</x:v>
      </x:c>
      <x:c r="D2611" t="n">
        <x:v>8</x:v>
      </x:c>
      <x:c r="E2611" t="str">
        <x:v>Newcomer</x:v>
      </x:c>
      <x:c r="F2611" t="str">
        <x:v>Standard</x:v>
      </x:c>
      <x:c r="G2611" t="n">
        <x:v>43721</x:v>
      </x:c>
      <x:c r="H2611" t="str">
        <x:v>21138</x:v>
      </x:c>
      <x:c r="I2611" t="str">
        <x:v>https://www.smwcentral.net/?a=details&amp;id=21138&amp;p=section</x:v>
      </x:c>
      <x:c r="J2611" t="str">
        <x:v>https://dl.smwcentral.net/21138/Under%20the%20Rose.zip</x:v>
      </x:c>
    </x:row>
    <x:row r="2612">
      <x:c r="A2612" t="str">
        <x:v>Underworld</x:v>
      </x:c>
      <x:c r="B2612" t="str">
        <x:v>Underworld</x:v>
      </x:c>
      <x:c r="C2612" t="str">
        <x:v>cyphermur9t</x:v>
      </x:c>
      <x:c r="D2612" t="n">
        <x:v>2</x:v>
      </x:c>
      <x:c r="E2612" t="str">
        <x:v>Casual</x:v>
      </x:c>
      <x:c r="F2612" t="str">
        <x:v>Standard</x:v>
      </x:c>
      <x:c r="G2612" t="n">
        <x:v>42744</x:v>
      </x:c>
      <x:c r="H2612" t="str">
        <x:v>14932</x:v>
      </x:c>
      <x:c r="I2612" t="str">
        <x:v>https://www.smwcentral.net/?a=details&amp;id=14932&amp;p=section</x:v>
      </x:c>
      <x:c r="J2612" t="str">
        <x:v>https://dl.smwcentral.net/14932/Underworld.zip</x:v>
      </x:c>
    </x:row>
    <x:row r="2613">
      <x:c r="A2613" t="str">
        <x:v>Unforgiving Tower</x:v>
      </x:c>
      <x:c r="B2613" t="str">
        <x:v>Unforgiving Tower</x:v>
      </x:c>
      <x:c r="C2613" t="str">
        <x:v>Easy Difficulty</x:v>
      </x:c>
      <x:c r="D2613" t="n">
        <x:v>39</x:v>
      </x:c>
      <x:c r="E2613" t="str">
        <x:v>Master</x:v>
      </x:c>
      <x:c r="F2613" t="str">
        <x:v>Standard, Kaizo</x:v>
      </x:c>
      <x:c r="G2613" t="n">
        <x:v>44571</x:v>
      </x:c>
      <x:c r="H2613" t="str">
        <x:v>28912</x:v>
      </x:c>
      <x:c r="I2613" t="str">
        <x:v>https://www.smwcentral.net/?a=details&amp;id=28912&amp;p=section</x:v>
      </x:c>
      <x:c r="J2613" t="str">
        <x:v>https://dl.smwcentral.net/28912/Unforgiving%20Tower.zip</x:v>
      </x:c>
    </x:row>
    <x:row r="2614">
      <x:c r="A2614" t="str">
        <x:v>Unforgiving Tower 2</x:v>
      </x:c>
      <x:c r="B2614" t="str">
        <x:v>Unforgiving Tower 2</x:v>
      </x:c>
      <x:c r="C2614" t="str">
        <x:v>Easy Difficulty</x:v>
      </x:c>
      <x:c r="D2614" t="n">
        <x:v>27</x:v>
      </x:c>
      <x:c r="E2614" t="str">
        <x:v>Intermediate</x:v>
      </x:c>
      <x:c r="F2614" t="str">
        <x:v>Standard</x:v>
      </x:c>
      <x:c r="G2614" t="n">
        <x:v>44888</x:v>
      </x:c>
      <x:c r="H2614" t="str">
        <x:v>32546</x:v>
      </x:c>
      <x:c r="I2614" t="str">
        <x:v>https://www.smwcentral.net/?a=details&amp;id=32546&amp;p=section</x:v>
      </x:c>
      <x:c r="J2614" t="str">
        <x:v>https://dl.smwcentral.net/32546/Unforgiving%20Tower%202.zip</x:v>
      </x:c>
    </x:row>
    <x:row r="2615">
      <x:c r="A2615" t="str">
        <x:v>Unforgiving Tower 3</x:v>
      </x:c>
      <x:c r="B2615" t="str">
        <x:v>Unforgiving Tower 3</x:v>
      </x:c>
      <x:c r="C2615" t="str">
        <x:v>Easy Difficulty</x:v>
      </x:c>
      <x:c r="D2615" t="n">
        <x:v>25</x:v>
      </x:c>
      <x:c r="E2615" t="str">
        <x:v>Intermediate</x:v>
      </x:c>
      <x:c r="F2615" t="str">
        <x:v>Standard</x:v>
      </x:c>
      <x:c r="G2615" t="n">
        <x:v>45189</x:v>
      </x:c>
      <x:c r="H2615" t="str">
        <x:v>35081</x:v>
      </x:c>
      <x:c r="I2615" t="str">
        <x:v>https://www.smwcentral.net/?a=details&amp;id=35081&amp;p=section</x:v>
      </x:c>
      <x:c r="J2615" t="str">
        <x:v>https://dl.smwcentral.net/35081/Unforgiving%20Tower%203.zip</x:v>
      </x:c>
    </x:row>
    <x:row r="2616">
      <x:c r="A2616" t="str">
        <x:v>Unforgiving Tower 4</x:v>
      </x:c>
      <x:c r="B2616" t="str">
        <x:v>Unforgiving Tower 4</x:v>
      </x:c>
      <x:c r="C2616" t="str">
        <x:v>Easy Difficulty</x:v>
      </x:c>
      <x:c r="D2616" t="n">
        <x:v>37</x:v>
      </x:c>
      <x:c r="E2616" t="str">
        <x:v>Advanced</x:v>
      </x:c>
      <x:c r="F2616" t="str">
        <x:v>Standard</x:v>
      </x:c>
      <x:c r="G2616" t="n">
        <x:v>45443</x:v>
      </x:c>
      <x:c r="H2616" t="str">
        <x:v>37636</x:v>
      </x:c>
      <x:c r="I2616" t="str">
        <x:v>https://www.smwcentral.net/?a=details&amp;id=37636&amp;p=section</x:v>
      </x:c>
      <x:c r="J2616" t="str">
        <x:v>https://dl.smwcentral.net/37636/Unforgiving%20Tower%204.zip</x:v>
      </x:c>
    </x:row>
    <x:row r="2617">
      <x:c r="A2617" t="str">
        <x:v>Unfriendly Afterlives Demo</x:v>
      </x:c>
      <x:c r="B2617" t="str">
        <x:v>Unfriendly Afterlives Demo</x:v>
      </x:c>
      <x:c r="C2617" t="str">
        <x:v>AntonioAntonio</x:v>
      </x:c>
      <x:c r="D2617" t="n">
        <x:v>1</x:v>
      </x:c>
      <x:c r="E2617" t="str">
        <x:v>Expert</x:v>
      </x:c>
      <x:c r="F2617" t="str">
        <x:v>Kaizo</x:v>
      </x:c>
      <x:c r="G2617" t="n">
        <x:v>44789</x:v>
      </x:c>
      <x:c r="H2617" t="str">
        <x:v>31800</x:v>
      </x:c>
      <x:c r="I2617" t="str">
        <x:v>https://www.smwcentral.net/?a=details&amp;id=31800&amp;p=section</x:v>
      </x:c>
      <x:c r="J2617" t="str">
        <x:v>https://dl.smwcentral.net/31800/Unfriendly%20Demos.zip</x:v>
      </x:c>
    </x:row>
    <x:row r="2618">
      <x:c r="A2618" t="str">
        <x:v>Unintended Behavior</x:v>
      </x:c>
      <x:c r="B2618" t="str">
        <x:v>Unintended Behavior</x:v>
      </x:c>
      <x:c r="C2618" t="str">
        <x:v>GbreezeSunset</x:v>
      </x:c>
      <x:c r="D2618" t="n">
        <x:v>11</x:v>
      </x:c>
      <x:c r="E2618" t="str">
        <x:v>Expert</x:v>
      </x:c>
      <x:c r="F2618" t="str">
        <x:v>Kaizo</x:v>
      </x:c>
      <x:c r="G2618" t="n">
        <x:v>44172</x:v>
      </x:c>
      <x:c r="H2618" t="str">
        <x:v>25406</x:v>
      </x:c>
      <x:c r="I2618" t="str">
        <x:v>https://www.smwcentral.net/?a=details&amp;id=25406&amp;p=section</x:v>
      </x:c>
      <x:c r="J2618" t="str">
        <x:v>https://dl.smwcentral.net/25406/UnintendedBehavior.zip</x:v>
      </x:c>
    </x:row>
    <x:row r="2619">
      <x:c r="A2619" t="str">
        <x:v>Unintended Behavior 2</x:v>
      </x:c>
      <x:c r="B2619" t="str">
        <x:v>Unintended Behavior 2</x:v>
      </x:c>
      <x:c r="C2619" t="str">
        <x:v>GbreezeSunset</x:v>
      </x:c>
      <x:c r="D2619" t="n">
        <x:v>10</x:v>
      </x:c>
      <x:c r="E2619" t="str">
        <x:v>Expert</x:v>
      </x:c>
      <x:c r="F2619" t="str">
        <x:v>Kaizo</x:v>
      </x:c>
      <x:c r="G2619" t="n">
        <x:v>44369</x:v>
      </x:c>
      <x:c r="H2619" t="str">
        <x:v>27338</x:v>
      </x:c>
      <x:c r="I2619" t="str">
        <x:v>https://www.smwcentral.net/?a=details&amp;id=27338&amp;p=section</x:v>
      </x:c>
      <x:c r="J2619" t="str">
        <x:v>https://dl.smwcentral.net/27338/Unintended_Behavior_2.zip</x:v>
      </x:c>
    </x:row>
    <x:row r="2620">
      <x:c r="A2620" t="str">
        <x:v>Unintended Behavior 3</x:v>
      </x:c>
      <x:c r="B2620" t="str">
        <x:v>Unintended Behavior 3</x:v>
      </x:c>
      <x:c r="C2620" t="str">
        <x:v>GbreezeSunset</x:v>
      </x:c>
      <x:c r="D2620" t="n">
        <x:v>9</x:v>
      </x:c>
      <x:c r="E2620" t="str">
        <x:v>Expert</x:v>
      </x:c>
      <x:c r="F2620" t="str">
        <x:v>Kaizo</x:v>
      </x:c>
      <x:c r="G2620" t="n">
        <x:v>44833</x:v>
      </x:c>
      <x:c r="H2620" t="str">
        <x:v>32166</x:v>
      </x:c>
      <x:c r="I2620" t="str">
        <x:v>https://www.smwcentral.net/?a=details&amp;id=32166&amp;p=section</x:v>
      </x:c>
      <x:c r="J2620" t="str">
        <x:v>https://dl.smwcentral.net/32166/Unintended%20Behavior%203%20v1.1.zip</x:v>
      </x:c>
    </x:row>
    <x:row r="2621">
      <x:c r="A2621" t="str">
        <x:v>Unknown Islandz</x:v>
      </x:c>
      <x:c r="B2621" t="str">
        <x:v>Unknown Islandz</x:v>
      </x:c>
      <x:c r="C2621" t="str">
        <x:v>xIque</x:v>
      </x:c>
      <x:c r="D2621" t="n">
        <x:v>31</x:v>
      </x:c>
      <x:c r="E2621" t="str">
        <x:v>Expert</x:v>
      </x:c>
      <x:c r="F2621" t="str">
        <x:v>Standard</x:v>
      </x:c>
      <x:c r="G2621" t="n">
        <x:v>44167</x:v>
      </x:c>
      <x:c r="H2621" t="str">
        <x:v>25234</x:v>
      </x:c>
      <x:c r="I2621" t="str">
        <x:v>https://www.smwcentral.net/?a=details&amp;id=25234&amp;p=section</x:v>
      </x:c>
      <x:c r="J2621" t="str">
        <x:v>https://dl.smwcentral.net/25234/UnknownIslandz.zip</x:v>
      </x:c>
    </x:row>
    <x:row r="2622">
      <x:c r="A2622" t="str">
        <x:v>Unlit Candles</x:v>
      </x:c>
      <x:c r="B2622" t="str">
        <x:v>Unlit Candles</x:v>
      </x:c>
      <x:c r="C2622" t="str">
        <x:v>NaroGugul</x:v>
      </x:c>
      <x:c r="D2622" t="n">
        <x:v>6</x:v>
      </x:c>
      <x:c r="E2622" t="str">
        <x:v>Master</x:v>
      </x:c>
      <x:c r="F2622" t="str">
        <x:v>Kaizo</x:v>
      </x:c>
      <x:c r="G2622" t="n">
        <x:v>44161</x:v>
      </x:c>
      <x:c r="H2622" t="str">
        <x:v>25250</x:v>
      </x:c>
      <x:c r="I2622" t="str">
        <x:v>https://www.smwcentral.net/?a=details&amp;id=25250&amp;p=section</x:v>
      </x:c>
      <x:c r="J2622" t="str">
        <x:v>https://dl.smwcentral.net/25250/Unlit%20Candles%201.2.zip</x:v>
      </x:c>
    </x:row>
    <x:row r="2623">
      <x:c r="A2623" t="str">
        <x:v>Unnamed 2D Mario Game</x:v>
      </x:c>
      <x:c r="B2623" t="str">
        <x:v>Unnamed 2D Mario Game</x:v>
      </x:c>
      <x:c r="C2623" t="str">
        <x:v>Dominicentek</x:v>
      </x:c>
      <x:c r="D2623" t="n">
        <x:v>12</x:v>
      </x:c>
      <x:c r="E2623" t="str">
        <x:v>Intermediate</x:v>
      </x:c>
      <x:c r="F2623" t="str">
        <x:v>Standard</x:v>
      </x:c>
      <x:c r="G2623" t="n">
        <x:v>43944</x:v>
      </x:c>
      <x:c r="H2623" t="str">
        <x:v>22495</x:v>
      </x:c>
      <x:c r="I2623" t="str">
        <x:v>https://www.smwcentral.net/?a=details&amp;id=22495&amp;p=section</x:v>
      </x:c>
      <x:c r="J2623" t="str">
        <x:v>https://dl.smwcentral.net/22495/Unnamed%202D%20Mario%20Game%20Beta%202.2.zip</x:v>
      </x:c>
    </x:row>
    <x:row r="2624">
      <x:c r="A2624" t="str">
        <x:v>Unnamed Pit</x:v>
      </x:c>
      <x:c r="B2624" t="str">
        <x:v>Unnamed Pit</x:v>
      </x:c>
      <x:c r="C2624" t="str">
        <x:v>IgorOliveira666</x:v>
      </x:c>
      <x:c r="D2624" t="n">
        <x:v>1</x:v>
      </x:c>
      <x:c r="E2624" t="str">
        <x:v>Master</x:v>
      </x:c>
      <x:c r="F2624" t="str">
        <x:v>Tool-Assisted, Pit</x:v>
      </x:c>
      <x:c r="G2624" t="n">
        <x:v>43228</x:v>
      </x:c>
      <x:c r="H2624" t="str">
        <x:v>17473</x:v>
      </x:c>
      <x:c r="I2624" t="str">
        <x:v>https://www.smwcentral.net/?a=details&amp;id=17473&amp;p=section</x:v>
      </x:c>
      <x:c r="J2624" t="str">
        <x:v>https://dl.smwcentral.net/17473/Unnamed%20Pit.zip</x:v>
      </x:c>
    </x:row>
    <x:row r="2625">
      <x:c r="A2625" t="str">
        <x:v>Unnamed Precision</x:v>
      </x:c>
      <x:c r="B2625" t="str">
        <x:v>Unnamed Precision</x:v>
      </x:c>
      <x:c r="C2625" t="str">
        <x:v>Zoreo</x:v>
      </x:c>
      <x:c r="D2625" t="n">
        <x:v>2</x:v>
      </x:c>
      <x:c r="E2625" t="str">
        <x:v>Advanced</x:v>
      </x:c>
      <x:c r="F2625" t="str">
        <x:v>Kaizo</x:v>
      </x:c>
      <x:c r="G2625" t="n">
        <x:v>44593</x:v>
      </x:c>
      <x:c r="H2625" t="str">
        <x:v>29660</x:v>
      </x:c>
      <x:c r="I2625" t="str">
        <x:v>https://www.smwcentral.net/?a=details&amp;id=29660&amp;p=section</x:v>
      </x:c>
      <x:c r="J2625" t="str">
        <x:v>https://dl.smwcentral.net/29660/UnnamedPrecision.zip</x:v>
      </x:c>
    </x:row>
    <x:row r="2626">
      <x:c r="A2626" t="str">
        <x:v>Unnormal</x:v>
      </x:c>
      <x:c r="B2626" t="str">
        <x:v>Unnormal</x:v>
      </x:c>
      <x:c r="C2626" t="str">
        <x:v>ageVerrly</x:v>
      </x:c>
      <x:c r="D2626" t="n">
        <x:v>10</x:v>
      </x:c>
      <x:c r="E2626" t="str">
        <x:v>Grandmaster</x:v>
      </x:c>
      <x:c r="F2626" t="str">
        <x:v>Kaizo</x:v>
      </x:c>
      <x:c r="G2626" t="n">
        <x:v>44893</x:v>
      </x:c>
      <x:c r="H2626" t="str">
        <x:v>32500</x:v>
      </x:c>
      <x:c r="I2626" t="str">
        <x:v>https://www.smwcentral.net/?a=details&amp;id=32500&amp;p=section</x:v>
      </x:c>
      <x:c r="J2626" t="str">
        <x:v>https://dl.smwcentral.net/32500/keyB.zip</x:v>
      </x:c>
    </x:row>
    <x:row r="2627">
      <x:c r="A2627" t="str">
        <x:v>Untamed</x:v>
      </x:c>
      <x:c r="B2627" t="str">
        <x:v>Untamed</x:v>
      </x:c>
      <x:c r="C2627" t="str">
        <x:v>goosedajuice</x:v>
      </x:c>
      <x:c r="D2627" t="n">
        <x:v>15</x:v>
      </x:c>
      <x:c r="E2627" t="str">
        <x:v>Advanced</x:v>
      </x:c>
      <x:c r="F2627" t="str">
        <x:v>Kaizo</x:v>
      </x:c>
      <x:c r="G2627" t="n">
        <x:v>44882</x:v>
      </x:c>
      <x:c r="H2627" t="str">
        <x:v>32577</x:v>
      </x:c>
      <x:c r="I2627" t="str">
        <x:v>https://www.smwcentral.net/?a=details&amp;id=32577&amp;p=section</x:v>
      </x:c>
      <x:c r="J2627" t="str">
        <x:v>https://dl.smwcentral.net/32577/Untamed_v2.zip</x:v>
      </x:c>
    </x:row>
    <x:row r="2628">
      <x:c r="A2628" t="str">
        <x:v>UNTITLED DOOM</x:v>
      </x:c>
      <x:c r="B2628" t="str">
        <x:v>UNTITLED DOOM</x:v>
      </x:c>
      <x:c r="C2628" t="str">
        <x:v>MercuryPenny</x:v>
      </x:c>
      <x:c r="D2628" t="n">
        <x:v>6</x:v>
      </x:c>
      <x:c r="E2628" t="str">
        <x:v>Expert</x:v>
      </x:c>
      <x:c r="F2628" t="str">
        <x:v>Kaizo</x:v>
      </x:c>
      <x:c r="G2628" t="n">
        <x:v>41780</x:v>
      </x:c>
      <x:c r="H2628" t="str">
        <x:v>6386</x:v>
      </x:c>
      <x:c r="I2628" t="str">
        <x:v>https://www.smwcentral.net/?a=details&amp;id=6386&amp;p=section</x:v>
      </x:c>
      <x:c r="J2628" t="str">
        <x:v>https://dl.smwcentral.net/6386/UNTITLED%20DOOM%20demo%201.zip</x:v>
      </x:c>
    </x:row>
    <x:row r="2629">
      <x:c r="A2629" t="str">
        <x:v>Untitled Hack</x:v>
      </x:c>
      <x:c r="B2629" t="str">
        <x:v>Untitled Hack</x:v>
      </x:c>
      <x:c r="C2629" t="str">
        <x:v>PinkSatan</x:v>
      </x:c>
      <x:c r="D2629" t="n">
        <x:v>8</x:v>
      </x:c>
      <x:c r="E2629" t="str">
        <x:v>Expert</x:v>
      </x:c>
      <x:c r="F2629" t="str">
        <x:v>Kaizo</x:v>
      </x:c>
      <x:c r="G2629" t="n">
        <x:v>43964</x:v>
      </x:c>
      <x:c r="H2629" t="str">
        <x:v>22946</x:v>
      </x:c>
      <x:c r="I2629" t="str">
        <x:v>https://www.smwcentral.net/?a=details&amp;id=22946&amp;p=section</x:v>
      </x:c>
      <x:c r="J2629" t="str">
        <x:v>https://dl.smwcentral.net/22946/Untitled%20Hack.zip</x:v>
      </x:c>
    </x:row>
    <x:row r="2630">
      <x:c r="A2630" t="str">
        <x:v>Untitled ROM Hack</x:v>
      </x:c>
      <x:c r="B2630" t="str">
        <x:v>Untitled ROM Hack</x:v>
      </x:c>
      <x:c r="C2630" t="str">
        <x:v>Caped Mario2</x:v>
      </x:c>
      <x:c r="D2630" t="n">
        <x:v>5</x:v>
      </x:c>
      <x:c r="E2630" t="str">
        <x:v>Advanced</x:v>
      </x:c>
      <x:c r="F2630" t="str">
        <x:v>Kaizo</x:v>
      </x:c>
      <x:c r="G2630" t="n">
        <x:v>42093</x:v>
      </x:c>
      <x:c r="H2630" t="str">
        <x:v>9783</x:v>
      </x:c>
      <x:c r="I2630" t="str">
        <x:v>https://www.smwcentral.net/?a=details&amp;id=9783&amp;p=section</x:v>
      </x:c>
      <x:c r="J2630" t="str">
        <x:v>https://dl.smwcentral.net/9783/Hack.zip</x:v>
      </x:c>
    </x:row>
    <x:row r="2631">
      <x:c r="A2631" t="str">
        <x:v>UP ᵀʰᵉ ᴿᵒᵐʰᵃᶜᵏ</x:v>
      </x:c>
      <x:c r="B2631" t="str">
        <x:v>UP ᵀʰᵉ ᴿᵒᵐʰᵃᶜᵏ</x:v>
      </x:c>
      <x:c r="C2631" t="str">
        <x:v>Sweetdude</x:v>
      </x:c>
      <x:c r="D2631" t="n">
        <x:v>8</x:v>
      </x:c>
      <x:c r="E2631" t="str">
        <x:v>Expert</x:v>
      </x:c>
      <x:c r="F2631" t="str">
        <x:v>Kaizo</x:v>
      </x:c>
      <x:c r="G2631" t="n">
        <x:v>45404</x:v>
      </x:c>
      <x:c r="H2631" t="str">
        <x:v>37640</x:v>
      </x:c>
      <x:c r="I2631" t="str">
        <x:v>https://www.smwcentral.net/?a=details&amp;id=37640&amp;p=section</x:v>
      </x:c>
      <x:c r="J2631" t="str">
        <x:v>https://dl.smwcentral.net/37640/What%27sUpDog.zip</x:v>
      </x:c>
    </x:row>
    <x:row r="2632">
      <x:c r="A2632" t="str">
        <x:v>Vah Knee Yah</x:v>
      </x:c>
      <x:c r="B2632" t="str">
        <x:v>Vah Knee Yah</x:v>
      </x:c>
      <x:c r="C2632" t="str">
        <x:v>Scags</x:v>
      </x:c>
      <x:c r="D2632" t="n">
        <x:v>8</x:v>
      </x:c>
      <x:c r="E2632" t="str">
        <x:v>Expert</x:v>
      </x:c>
      <x:c r="F2632" t="str">
        <x:v>Kaizo</x:v>
      </x:c>
      <x:c r="G2632" t="n">
        <x:v>45254</x:v>
      </x:c>
      <x:c r="H2632" t="str">
        <x:v>35565</x:v>
      </x:c>
      <x:c r="I2632" t="str">
        <x:v>https://www.smwcentral.net/?a=details&amp;id=35565&amp;p=section</x:v>
      </x:c>
      <x:c r="J2632" t="str">
        <x:v>https://dl.smwcentral.net/35565/Vah%20Knee%20Yah.zip</x:v>
      </x:c>
    </x:row>
    <x:row r="2633">
      <x:c r="A2633" t="str">
        <x:v>Valuable and Beautiful</x:v>
      </x:c>
      <x:c r="B2633" t="str">
        <x:v>Valuable and Beautiful</x:v>
      </x:c>
      <x:c r="C2633" t="str">
        <x:v>CarlSagan42</x:v>
      </x:c>
      <x:c r="D2633" t="n">
        <x:v>11</x:v>
      </x:c>
      <x:c r="E2633" t="str">
        <x:v>Master</x:v>
      </x:c>
      <x:c r="F2633" t="str">
        <x:v>Kaizo</x:v>
      </x:c>
      <x:c r="G2633" t="n">
        <x:v>46080</x:v>
      </x:c>
      <x:c r="H2633" t="str">
        <x:v>41548</x:v>
      </x:c>
      <x:c r="I2633" t="str">
        <x:v>https://www.smwcentral.net/?a=details&amp;id=41548&amp;p=section</x:v>
      </x:c>
      <x:c r="J2633" t="str">
        <x:v>https://dl.smwcentral.net/41548/ValuableAndBeautiful.zip</x:v>
      </x:c>
    </x:row>
    <x:row r="2634">
      <x:c r="A2634" t="str">
        <x:v>Vampire Hunter Savior Of The Kingdom</x:v>
      </x:c>
      <x:c r="B2634" t="str">
        <x:v>Vampire Hunter Savior Of The Kingdom</x:v>
      </x:c>
      <x:c r="C2634" t="str">
        <x:v>AjaTheVampire</x:v>
      </x:c>
      <x:c r="D2634" t="n">
        <x:v>39</x:v>
      </x:c>
      <x:c r="E2634" t="str">
        <x:v>Intermediate</x:v>
      </x:c>
      <x:c r="F2634" t="str">
        <x:v>Standard</x:v>
      </x:c>
      <x:c r="G2634" t="n">
        <x:v>45042</x:v>
      </x:c>
      <x:c r="H2634" t="str">
        <x:v>33795</x:v>
      </x:c>
      <x:c r="I2634" t="str">
        <x:v>https://www.smwcentral.net/?a=details&amp;id=33795&amp;p=section</x:v>
      </x:c>
      <x:c r="J2634" t="str">
        <x:v>https://dl.smwcentral.net/33795/Vampire%20Hunter%20Savior%20Of%20The%20Kingdom.zip</x:v>
      </x:c>
    </x:row>
    <x:row r="2635">
      <x:c r="A2635" t="str">
        <x:v>Vanilla Failure: Blind Devil's Final Stand</x:v>
      </x:c>
      <x:c r="B2635" t="str">
        <x:v>Vanilla Failure: Blind Devil's Final Stand</x:v>
      </x:c>
      <x:c r="C2635" t="str">
        <x:v>Blind Devil</x:v>
      </x:c>
      <x:c r="D2635" t="n">
        <x:v>7</x:v>
      </x:c>
      <x:c r="E2635" t="str">
        <x:v>Newcomer</x:v>
      </x:c>
      <x:c r="F2635" t="str">
        <x:v>Standard</x:v>
      </x:c>
      <x:c r="G2635" t="n">
        <x:v>41445</x:v>
      </x:c>
      <x:c r="H2635" t="str">
        <x:v>5493</x:v>
      </x:c>
      <x:c r="I2635" t="str">
        <x:v>https://www.smwcentral.net/?a=details&amp;id=5493&amp;p=section</x:v>
      </x:c>
      <x:c r="J2635" t="str">
        <x:v>https://dl.smwcentral.net/5493/Vanilla%20Failure%20C3%20Demo%20v1.1.zip</x:v>
      </x:c>
    </x:row>
    <x:row r="2636">
      <x:c r="A2636" t="str">
        <x:v>Vanilla Flavour</x:v>
      </x:c>
      <x:c r="B2636" t="str">
        <x:v>Vanilla Flavour</x:v>
      </x:c>
      <x:c r="C2636" t="str">
        <x:v>niko</x:v>
      </x:c>
      <x:c r="D2636" t="n">
        <x:v>74</x:v>
      </x:c>
      <x:c r="E2636" t="str">
        <x:v>Intermediate</x:v>
      </x:c>
      <x:c r="F2636" t="str">
        <x:v>Standard</x:v>
      </x:c>
      <x:c r="G2636" t="n">
        <x:v>45753</x:v>
      </x:c>
      <x:c r="H2636" t="str">
        <x:v>39643</x:v>
      </x:c>
      <x:c r="I2636" t="str">
        <x:v>https://www.smwcentral.net/?a=details&amp;id=39643&amp;p=section</x:v>
      </x:c>
      <x:c r="J2636" t="str">
        <x:v>https://dl.smwcentral.net/39643/Vanilla%20Flavour%20V.%201.30.zip</x:v>
      </x:c>
    </x:row>
    <x:row r="2637">
      <x:c r="A2637" t="str">
        <x:v>Vanilla Hour - a collection of one-hour levels</x:v>
      </x:c>
      <x:c r="B2637" t="str">
        <x:v>Vanilla Hour - a collection of one-hour levels</x:v>
      </x:c>
      <x:c r="C2637" t="str">
        <x:v>Nitrogen</x:v>
      </x:c>
      <x:c r="D2637" t="n">
        <x:v>12</x:v>
      </x:c>
      <x:c r="E2637" t="str">
        <x:v>Advanced</x:v>
      </x:c>
      <x:c r="F2637" t="str">
        <x:v>Standard</x:v>
      </x:c>
      <x:c r="G2637" t="n">
        <x:v>46079</x:v>
      </x:c>
      <x:c r="H2637" t="str">
        <x:v>41740</x:v>
      </x:c>
      <x:c r="I2637" t="str">
        <x:v>https://www.smwcentral.net/?a=details&amp;id=41740&amp;p=section</x:v>
      </x:c>
      <x:c r="J2637" t="str">
        <x:v>https://dl.smwcentral.net/41740/Vanilla%20Hour%20-%20a%20collection%20of%20one-hour%20levels.zip</x:v>
      </x:c>
    </x:row>
    <x:row r="2638">
      <x:c r="A2638" t="str">
        <x:v>Vanilla Kaizo World</x:v>
      </x:c>
      <x:c r="B2638" t="str">
        <x:v>Vanilla Kaizo World</x:v>
      </x:c>
      <x:c r="C2638" t="str">
        <x:v>MassPunishment</x:v>
      </x:c>
      <x:c r="D2638" t="n">
        <x:v>27</x:v>
      </x:c>
      <x:c r="E2638" t="str">
        <x:v>Expert</x:v>
      </x:c>
      <x:c r="F2638" t="str">
        <x:v>Kaizo</x:v>
      </x:c>
      <x:c r="G2638" t="n">
        <x:v>44151</x:v>
      </x:c>
      <x:c r="H2638" t="str">
        <x:v>24833</x:v>
      </x:c>
      <x:c r="I2638" t="str">
        <x:v>https://www.smwcentral.net/?a=details&amp;id=24833&amp;p=section</x:v>
      </x:c>
      <x:c r="J2638" t="str">
        <x:v>https://dl.smwcentral.net/24833/VKW1.1.zip</x:v>
      </x:c>
    </x:row>
    <x:row r="2639">
      <x:c r="A2639" t="str">
        <x:v>Vanilla Mario World</x:v>
      </x:c>
      <x:c r="B2639" t="str">
        <x:v>Vanilla Mario World</x:v>
      </x:c>
      <x:c r="C2639" t="str">
        <x:v>monkey03297</x:v>
      </x:c>
      <x:c r="D2639" t="n">
        <x:v>17</x:v>
      </x:c>
      <x:c r="E2639" t="str">
        <x:v>Casual</x:v>
      </x:c>
      <x:c r="F2639" t="str">
        <x:v>Standard</x:v>
      </x:c>
      <x:c r="G2639" t="n">
        <x:v>44101</x:v>
      </x:c>
      <x:c r="H2639" t="str">
        <x:v>24708</x:v>
      </x:c>
      <x:c r="I2639" t="str">
        <x:v>https://www.smwcentral.net/?a=details&amp;id=24708&amp;p=section</x:v>
      </x:c>
      <x:c r="J2639" t="str">
        <x:v>https://dl.smwcentral.net/24708/VMW%20v0.01.zip</x:v>
      </x:c>
    </x:row>
    <x:row r="2640">
      <x:c r="A2640" t="str">
        <x:v>Vanilla Shakedown</x:v>
      </x:c>
      <x:c r="B2640" t="str">
        <x:v>Vanilla Shakedown</x:v>
      </x:c>
      <x:c r="C2640" t="str">
        <x:v>DoktorGroove</x:v>
      </x:c>
      <x:c r="D2640" t="n">
        <x:v>31</x:v>
      </x:c>
      <x:c r="E2640" t="str">
        <x:v>Expert</x:v>
      </x:c>
      <x:c r="F2640" t="str">
        <x:v>Kaizo</x:v>
      </x:c>
      <x:c r="G2640" t="n">
        <x:v>44691</x:v>
      </x:c>
      <x:c r="H2640" t="str">
        <x:v>30669</x:v>
      </x:c>
      <x:c r="I2640" t="str">
        <x:v>https://www.smwcentral.net/?a=details&amp;id=30669&amp;p=section</x:v>
      </x:c>
      <x:c r="J2640" t="str">
        <x:v>https://dl.smwcentral.net/30669/VanillaShakedown.zip</x:v>
      </x:c>
    </x:row>
    <x:row r="2641">
      <x:c r="A2641" t="str">
        <x:v>Vanilla Twist!</x:v>
      </x:c>
      <x:c r="B2641" t="str">
        <x:v>Vanilla Twist!</x:v>
      </x:c>
      <x:c r="C2641" t="str">
        <x:v>Anonymous</x:v>
      </x:c>
      <x:c r="D2641" t="n">
        <x:v>23</x:v>
      </x:c>
      <x:c r="E2641" t="str">
        <x:v>Casual</x:v>
      </x:c>
      <x:c r="F2641" t="str">
        <x:v>Standard</x:v>
      </x:c>
      <x:c r="G2641" t="n">
        <x:v>41811</x:v>
      </x:c>
      <x:c r="H2641" t="str">
        <x:v>6692</x:v>
      </x:c>
      <x:c r="I2641" t="str">
        <x:v>https://www.smwcentral.net/?a=details&amp;id=6692&amp;p=section</x:v>
      </x:c>
      <x:c r="J2641" t="str">
        <x:v>https://dl.smwcentral.net/6692/VTv3.1.zip</x:v>
      </x:c>
    </x:row>
    <x:row r="2642">
      <x:c r="A2642" t="str">
        <x:v>Vanilla: Made to Order</x:v>
      </x:c>
      <x:c r="B2642" t="str">
        <x:v>Vanilla: Made to Order</x:v>
      </x:c>
      <x:c r="C2642" t="str">
        <x:v>Gamma V</x:v>
      </x:c>
      <x:c r="D2642" t="n">
        <x:v>14</x:v>
      </x:c>
      <x:c r="E2642" t="str">
        <x:v>Casual</x:v>
      </x:c>
      <x:c r="F2642" t="str">
        <x:v>Standard</x:v>
      </x:c>
      <x:c r="G2642" t="n">
        <x:v>43501</x:v>
      </x:c>
      <x:c r="H2642" t="str">
        <x:v>19028</x:v>
      </x:c>
      <x:c r="I2642" t="str">
        <x:v>https://www.smwcentral.net/?a=details&amp;id=19028&amp;p=section</x:v>
      </x:c>
      <x:c r="J2642" t="str">
        <x:v>https://dl.smwcentral.net/19028/Vanilla%20Made%20to%20Order.zip</x:v>
      </x:c>
    </x:row>
    <x:row r="2643">
      <x:c r="A2643" t="str">
        <x:v>VanillaCraft</x:v>
      </x:c>
      <x:c r="B2643" t="str">
        <x:v>VanillaCraft</x:v>
      </x:c>
      <x:c r="C2643" t="str">
        <x:v>oneframejames</x:v>
      </x:c>
      <x:c r="D2643" t="n">
        <x:v>9</x:v>
      </x:c>
      <x:c r="E2643" t="str">
        <x:v>Master</x:v>
      </x:c>
      <x:c r="F2643" t="str">
        <x:v>Kaizo</x:v>
      </x:c>
      <x:c r="G2643" t="n">
        <x:v>44453</x:v>
      </x:c>
      <x:c r="H2643" t="str">
        <x:v>28289</x:v>
      </x:c>
      <x:c r="I2643" t="str">
        <x:v>https://www.smwcentral.net/?a=details&amp;id=28289&amp;p=section</x:v>
      </x:c>
      <x:c r="J2643" t="str">
        <x:v>https://dl.smwcentral.net/28289/VanillaCraft.zip</x:v>
      </x:c>
    </x:row>
    <x:row r="2644">
      <x:c r="A2644" t="str">
        <x:v>Varndts Castle</x:v>
      </x:c>
      <x:c r="B2644" t="str">
        <x:v>Varndts Castle</x:v>
      </x:c>
      <x:c r="C2644" t="str">
        <x:v>Hellbourne</x:v>
      </x:c>
      <x:c r="D2644" t="n">
        <x:v>7</x:v>
      </x:c>
      <x:c r="E2644" t="str">
        <x:v>Newcomer</x:v>
      </x:c>
      <x:c r="F2644" t="str">
        <x:v>Standard</x:v>
      </x:c>
      <x:c r="G2644" t="n">
        <x:v>42265</x:v>
      </x:c>
      <x:c r="H2644" t="str">
        <x:v>10019</x:v>
      </x:c>
      <x:c r="I2644" t="str">
        <x:v>https://www.smwcentral.net/?a=details&amp;id=10019&amp;p=section</x:v>
      </x:c>
      <x:c r="J2644" t="str">
        <x:v>https://dl.smwcentral.net/10019/Varndts%20Castle.zip</x:v>
      </x:c>
    </x:row>
    <x:row r="2645">
      <x:c r="A2645" t="str">
        <x:v>Vast Minutiae</x:v>
      </x:c>
      <x:c r="B2645" t="str">
        <x:v>Vast Minutiae</x:v>
      </x:c>
      <x:c r="C2645" t="str">
        <x:v>GlitchCat7</x:v>
      </x:c>
      <x:c r="D2645" t="n">
        <x:v>8</x:v>
      </x:c>
      <x:c r="E2645" t="str">
        <x:v>Grandmaster</x:v>
      </x:c>
      <x:c r="F2645" t="str">
        <x:v>Kaizo</x:v>
      </x:c>
      <x:c r="G2645" t="n">
        <x:v>45384</x:v>
      </x:c>
      <x:c r="H2645" t="str">
        <x:v>36796</x:v>
      </x:c>
      <x:c r="I2645" t="str">
        <x:v>https://www.smwcentral.net/?a=details&amp;id=36796&amp;p=section</x:v>
      </x:c>
      <x:c r="J2645" t="str">
        <x:v>https://dl.smwcentral.net/36796/Vast%20Minutiae%201.2%20by%20GlitchCat7.zip</x:v>
      </x:c>
    </x:row>
    <x:row r="2646">
      <x:c r="A2646" t="str">
        <x:v>Vengeful Mario</x:v>
      </x:c>
      <x:c r="B2646" t="str">
        <x:v>Vengeful Mario</x:v>
      </x:c>
      <x:c r="C2646" t="str">
        <x:v>Easy Difficulty</x:v>
      </x:c>
      <x:c r="D2646" t="n">
        <x:v>72</x:v>
      </x:c>
      <x:c r="E2646" t="str">
        <x:v>Master</x:v>
      </x:c>
      <x:c r="F2646" t="str">
        <x:v>Standard, Kaizo</x:v>
      </x:c>
      <x:c r="G2646" t="n">
        <x:v>45724</x:v>
      </x:c>
      <x:c r="H2646" t="str">
        <x:v>38882</x:v>
      </x:c>
      <x:c r="I2646" t="str">
        <x:v>https://www.smwcentral.net/?a=details&amp;id=38882&amp;p=section</x:v>
      </x:c>
      <x:c r="J2646" t="str">
        <x:v>https://dl.smwcentral.net/38882/reasonably%20long%20kaizo%20game%20but%20it%27s%20version%201.1.1%20now.zip</x:v>
      </x:c>
    </x:row>
    <x:row r="2647">
      <x:c r="A2647" t="str">
        <x:v>Venture</x:v>
      </x:c>
      <x:c r="B2647" t="str">
        <x:v>Venture</x:v>
      </x:c>
      <x:c r="C2647" t="str">
        <x:v>jirok1</x:v>
      </x:c>
      <x:c r="D2647" t="n">
        <x:v>10</x:v>
      </x:c>
      <x:c r="E2647" t="str">
        <x:v>Expert</x:v>
      </x:c>
      <x:c r="F2647" t="str">
        <x:v>Kaizo</x:v>
      </x:c>
      <x:c r="G2647" t="n">
        <x:v>45419</x:v>
      </x:c>
      <x:c r="H2647" t="str">
        <x:v>37735</x:v>
      </x:c>
      <x:c r="I2647" t="str">
        <x:v>https://www.smwcentral.net/?a=details&amp;id=37735&amp;p=section</x:v>
      </x:c>
      <x:c r="J2647" t="str">
        <x:v>https://dl.smwcentral.net/37735/Venture1_2.zip</x:v>
      </x:c>
    </x:row>
    <x:row r="2648">
      <x:c r="A2648" t="str">
        <x:v>Very Fun World</x:v>
      </x:c>
      <x:c r="B2648" t="str">
        <x:v>Very Fun World</x:v>
      </x:c>
      <x:c r="C2648" t="str">
        <x:v>tomato jonson</x:v>
      </x:c>
      <x:c r="D2648" t="n">
        <x:v>6</x:v>
      </x:c>
      <x:c r="E2648" t="str">
        <x:v>Casual</x:v>
      </x:c>
      <x:c r="F2648" t="str">
        <x:v>Standard</x:v>
      </x:c>
      <x:c r="G2648" t="n">
        <x:v>43731</x:v>
      </x:c>
      <x:c r="H2648" t="str">
        <x:v>21080</x:v>
      </x:c>
      <x:c r="I2648" t="str">
        <x:v>https://www.smwcentral.net/?a=details&amp;id=21080&amp;p=section</x:v>
      </x:c>
      <x:c r="J2648" t="str">
        <x:v>https://dl.smwcentral.net/21080/Very%20Fun%20World.zip</x:v>
      </x:c>
    </x:row>
    <x:row r="2649">
      <x:c r="A2649" t="str">
        <x:v>Very Hard Mario</x:v>
      </x:c>
      <x:c r="B2649" t="str">
        <x:v>Very Hard Mario</x:v>
      </x:c>
      <x:c r="C2649" t="str">
        <x:v>lolyoshi</x:v>
      </x:c>
      <x:c r="D2649" t="n">
        <x:v>13</x:v>
      </x:c>
      <x:c r="E2649" t="str">
        <x:v>Master</x:v>
      </x:c>
      <x:c r="F2649" t="str">
        <x:v>Kaizo</x:v>
      </x:c>
      <x:c r="G2649" t="n">
        <x:v>45853</x:v>
      </x:c>
      <x:c r="H2649" t="str">
        <x:v>40105</x:v>
      </x:c>
      <x:c r="I2649" t="str">
        <x:v>https://www.smwcentral.net/?a=details&amp;id=40105&amp;p=section</x:v>
      </x:c>
      <x:c r="J2649" t="str">
        <x:v>https://dl.smwcentral.net/40105/veryhard.zip</x:v>
      </x:c>
    </x:row>
    <x:row r="2650">
      <x:c r="A2650" t="str">
        <x:v>Vincere</x:v>
      </x:c>
      <x:c r="B2650" t="str">
        <x:v>Vincere</x:v>
      </x:c>
      <x:c r="C2650" t="str">
        <x:v>Wolfguy423</x:v>
      </x:c>
      <x:c r="D2650" t="n">
        <x:v>14</x:v>
      </x:c>
      <x:c r="E2650" t="str">
        <x:v>Expert</x:v>
      </x:c>
      <x:c r="F2650" t="str">
        <x:v>Kaizo</x:v>
      </x:c>
      <x:c r="G2650" t="n">
        <x:v>44741</x:v>
      </x:c>
      <x:c r="H2650" t="str">
        <x:v>31246</x:v>
      </x:c>
      <x:c r="I2650" t="str">
        <x:v>https://www.smwcentral.net/?a=details&amp;id=31246&amp;p=section</x:v>
      </x:c>
      <x:c r="J2650" t="str">
        <x:v>https://dl.smwcentral.net/31246/Vincere.zip</x:v>
      </x:c>
    </x:row>
    <x:row r="2651">
      <x:c r="A2651" t="str">
        <x:v>VIP and Wall Mix 1</x:v>
      </x:c>
      <x:c r="B2651" t="str">
        <x:v>VIP and Wall Mix 1</x:v>
      </x:c>
      <x:c r="C2651" t="str">
        <x:v>Vipper</x:v>
      </x:c>
      <x:c r="D2651" t="n">
        <x:v>78</x:v>
      </x:c>
      <x:c r="E2651" t="str">
        <x:v>Expert</x:v>
      </x:c>
      <x:c r="F2651" t="str">
        <x:v>Standard</x:v>
      </x:c>
      <x:c r="G2651" t="n">
        <x:v>42234</x:v>
      </x:c>
      <x:c r="H2651" t="str">
        <x:v>9706</x:v>
      </x:c>
      <x:c r="I2651" t="str">
        <x:v>https://www.smwcentral.net/?a=details&amp;id=9706&amp;p=section</x:v>
      </x:c>
      <x:c r="J2651" t="str">
        <x:v>https://dl.smwcentral.net/9706/VIP1.zip</x:v>
      </x:c>
    </x:row>
    <x:row r="2652">
      <x:c r="A2652" t="str">
        <x:v>VIP and Wall Mix 1: Mario Edition</x:v>
      </x:c>
      <x:c r="B2652" t="str">
        <x:v>VIP and Wall Mix 1: Mario Edition</x:v>
      </x:c>
      <x:c r="C2652" t="str">
        <x:v>Vipper</x:v>
      </x:c>
      <x:c r="D2652" t="n">
        <x:v>78</x:v>
      </x:c>
      <x:c r="E2652" t="str">
        <x:v>Expert</x:v>
      </x:c>
      <x:c r="F2652" t="str">
        <x:v>Standard</x:v>
      </x:c>
      <x:c r="G2652" t="n">
        <x:v>42234</x:v>
      </x:c>
      <x:c r="H2652" t="str">
        <x:v>10005</x:v>
      </x:c>
      <x:c r="I2652" t="str">
        <x:v>https://www.smwcentral.net/?a=details&amp;id=10005&amp;p=section</x:v>
      </x:c>
      <x:c r="J2652" t="str">
        <x:v>https://dl.smwcentral.net/10005/Vip%20mario%20-%20mario%20edition.zip</x:v>
      </x:c>
    </x:row>
    <x:row r="2653">
      <x:c r="A2653" t="str">
        <x:v>VIP and Wall Mix 2</x:v>
      </x:c>
      <x:c r="B2653" t="str">
        <x:v>VIP and Wall Mix 2</x:v>
      </x:c>
      <x:c r="C2653" t="str">
        <x:v>Vipper</x:v>
      </x:c>
      <x:c r="D2653" t="n">
        <x:v>103</x:v>
      </x:c>
      <x:c r="E2653" t="str">
        <x:v>Expert</x:v>
      </x:c>
      <x:c r="F2653" t="str">
        <x:v>Standard</x:v>
      </x:c>
      <x:c r="G2653" t="n">
        <x:v>42280</x:v>
      </x:c>
      <x:c r="H2653" t="str">
        <x:v>9821</x:v>
      </x:c>
      <x:c r="I2653" t="str">
        <x:v>https://www.smwcentral.net/?a=details&amp;id=9821&amp;p=section</x:v>
      </x:c>
      <x:c r="J2653" t="str">
        <x:v>https://dl.smwcentral.net/9821/SMW2-By%20Vipper.zip</x:v>
      </x:c>
    </x:row>
    <x:row r="2654">
      <x:c r="A2654" t="str">
        <x:v>VIP and Wall Mix 2: Mario Edition</x:v>
      </x:c>
      <x:c r="B2654" t="str">
        <x:v>VIP and Wall Mix 2: Mario Edition</x:v>
      </x:c>
      <x:c r="C2654" t="str">
        <x:v>Vipper</x:v>
      </x:c>
      <x:c r="D2654" t="n">
        <x:v>103</x:v>
      </x:c>
      <x:c r="E2654" t="str">
        <x:v>Expert</x:v>
      </x:c>
      <x:c r="F2654" t="str">
        <x:v>Standard</x:v>
      </x:c>
      <x:c r="G2654" t="n">
        <x:v>42280</x:v>
      </x:c>
      <x:c r="H2654" t="str">
        <x:v>10123</x:v>
      </x:c>
      <x:c r="I2654" t="str">
        <x:v>https://www.smwcentral.net/?a=details&amp;id=10123&amp;p=section</x:v>
      </x:c>
      <x:c r="J2654" t="str">
        <x:v>https://dl.smwcentral.net/10123/vip%20mario%202%20-%20mario%20edition.zip</x:v>
      </x:c>
    </x:row>
    <x:row r="2655">
      <x:c r="A2655" t="str">
        <x:v>VIP and Wall Mix 3</x:v>
      </x:c>
      <x:c r="B2655" t="str">
        <x:v>VIP and Wall Mix 3</x:v>
      </x:c>
      <x:c r="C2655" t="str">
        <x:v>Vipper</x:v>
      </x:c>
      <x:c r="D2655" t="n">
        <x:v>100</x:v>
      </x:c>
      <x:c r="E2655" t="str">
        <x:v>Advanced</x:v>
      </x:c>
      <x:c r="F2655" t="str">
        <x:v>Standard</x:v>
      </x:c>
      <x:c r="G2655" t="n">
        <x:v>42325</x:v>
      </x:c>
      <x:c r="H2655" t="str">
        <x:v>10027</x:v>
      </x:c>
      <x:c r="I2655" t="str">
        <x:v>https://www.smwcentral.net/?a=details&amp;id=10027&amp;p=section</x:v>
      </x:c>
      <x:c r="J2655" t="str">
        <x:v>https://dl.smwcentral.net/10027/VIP%26%2312510%3B%26%2312522%3B%26%2312458%3B3AAE%20ver.1.48.zip</x:v>
      </x:c>
    </x:row>
    <x:row r="2656">
      <x:c r="A2656" t="str">
        <x:v>VIP and Wall Mix 3: Mario Edition</x:v>
      </x:c>
      <x:c r="B2656" t="str">
        <x:v>VIP and Wall Mix 3: Mario Edition</x:v>
      </x:c>
      <x:c r="C2656" t="str">
        <x:v>Vipper</x:v>
      </x:c>
      <x:c r="D2656" t="n">
        <x:v>99</x:v>
      </x:c>
      <x:c r="E2656" t="str">
        <x:v>Advanced</x:v>
      </x:c>
      <x:c r="F2656" t="str">
        <x:v>Standard</x:v>
      </x:c>
      <x:c r="G2656" t="n">
        <x:v>42325</x:v>
      </x:c>
      <x:c r="H2656" t="str">
        <x:v>9812</x:v>
      </x:c>
      <x:c r="I2656" t="str">
        <x:v>https://www.smwcentral.net/?a=details&amp;id=9812&amp;p=section</x:v>
      </x:c>
      <x:c r="J2656" t="str">
        <x:v>https://dl.smwcentral.net/9812/SMW3-%20By%20Vipper.zip</x:v>
      </x:c>
    </x:row>
    <x:row r="2657">
      <x:c r="A2657" t="str">
        <x:v>VIP and Wall Mix 4</x:v>
      </x:c>
      <x:c r="B2657" t="str">
        <x:v>VIP and Wall Mix 4</x:v>
      </x:c>
      <x:c r="C2657" t="str">
        <x:v>Vipper</x:v>
      </x:c>
      <x:c r="D2657" t="n">
        <x:v>115</x:v>
      </x:c>
      <x:c r="E2657" t="str">
        <x:v>Advanced</x:v>
      </x:c>
      <x:c r="F2657" t="str">
        <x:v>Standard</x:v>
      </x:c>
      <x:c r="G2657" t="n">
        <x:v>42337</x:v>
      </x:c>
      <x:c r="H2657" t="str">
        <x:v>9799</x:v>
      </x:c>
      <x:c r="I2657" t="str">
        <x:v>https://www.smwcentral.net/?a=details&amp;id=9799&amp;p=section</x:v>
      </x:c>
      <x:c r="J2657" t="str">
        <x:v>https://dl.smwcentral.net/9799/MIX4AAE.zip</x:v>
      </x:c>
    </x:row>
    <x:row r="2658">
      <x:c r="A2658" t="str">
        <x:v>VIP and Wall Mix 4: Mario Edition</x:v>
      </x:c>
      <x:c r="B2658" t="str">
        <x:v>VIP and Wall Mix 4: Mario Edition</x:v>
      </x:c>
      <x:c r="C2658" t="str">
        <x:v>Vipper</x:v>
      </x:c>
      <x:c r="D2658" t="n">
        <x:v>115</x:v>
      </x:c>
      <x:c r="E2658" t="str">
        <x:v>Advanced</x:v>
      </x:c>
      <x:c r="F2658" t="str">
        <x:v>Standard</x:v>
      </x:c>
      <x:c r="G2658" t="n">
        <x:v>42337</x:v>
      </x:c>
      <x:c r="H2658" t="str">
        <x:v>9778</x:v>
      </x:c>
      <x:c r="I2658" t="str">
        <x:v>https://www.smwcentral.net/?a=details&amp;id=9778&amp;p=section</x:v>
      </x:c>
      <x:c r="J2658" t="str">
        <x:v>https://dl.smwcentral.net/9778/vip%20mario%204%20-%20mario%20edition.zip</x:v>
      </x:c>
    </x:row>
    <x:row r="2659">
      <x:c r="A2659" t="str">
        <x:v>VOQBON.smc</x:v>
      </x:c>
      <x:c r="B2659" t="str">
        <x:v>VOQBON.smc</x:v>
      </x:c>
      <x:c r="C2659" t="str">
        <x:v>Phyll</x:v>
      </x:c>
      <x:c r="D2659" t="n">
        <x:v>13</x:v>
      </x:c>
      <x:c r="E2659" t="str">
        <x:v>Master</x:v>
      </x:c>
      <x:c r="F2659" t="str">
        <x:v>Kaizo</x:v>
      </x:c>
      <x:c r="G2659" t="n">
        <x:v>45316</x:v>
      </x:c>
      <x:c r="H2659" t="str">
        <x:v>36682</x:v>
      </x:c>
      <x:c r="I2659" t="str">
        <x:v>https://www.smwcentral.net/?a=details&amp;id=36682&amp;p=section</x:v>
      </x:c>
      <x:c r="J2659" t="str">
        <x:v>https://dl.smwcentral.net/36682/VOQBON.zip</x:v>
      </x:c>
    </x:row>
    <x:row r="2660">
      <x:c r="A2660" t="str">
        <x:v>Voyager</x:v>
      </x:c>
      <x:c r="B2660" t="str">
        <x:v>Voyager</x:v>
      </x:c>
      <x:c r="C2660" t="str">
        <x:v>Parahax</x:v>
      </x:c>
      <x:c r="D2660" t="n">
        <x:v>24</x:v>
      </x:c>
      <x:c r="E2660" t="str">
        <x:v>Expert</x:v>
      </x:c>
      <x:c r="F2660" t="str">
        <x:v>Kaizo</x:v>
      </x:c>
      <x:c r="G2660" t="n">
        <x:v>44505</x:v>
      </x:c>
      <x:c r="H2660" t="str">
        <x:v>28513</x:v>
      </x:c>
      <x:c r="I2660" t="str">
        <x:v>https://www.smwcentral.net/?a=details&amp;id=28513&amp;p=section</x:v>
      </x:c>
      <x:c r="J2660" t="str">
        <x:v>https://dl.smwcentral.net/28513/Voyager%20v1.27.zip</x:v>
      </x:c>
    </x:row>
    <x:row r="2661">
      <x:c r="A2661" t="str">
        <x:v>VP</x:v>
      </x:c>
      <x:c r="B2661" t="str">
        <x:v>VP</x:v>
      </x:c>
      <x:c r="C2661" t="str">
        <x:v>gameboyjeremy</x:v>
      </x:c>
      <x:c r="D2661" t="n">
        <x:v>22</x:v>
      </x:c>
      <x:c r="E2661" t="str">
        <x:v>Expert</x:v>
      </x:c>
      <x:c r="F2661" t="str">
        <x:v>Kaizo, Puzzle</x:v>
      </x:c>
      <x:c r="G2661" t="n">
        <x:v>42473</x:v>
      </x:c>
      <x:c r="H2661" t="str">
        <x:v>13214</x:v>
      </x:c>
      <x:c r="I2661" t="str">
        <x:v>https://www.smwcentral.net/?a=details&amp;id=13214&amp;p=section</x:v>
      </x:c>
      <x:c r="J2661" t="str">
        <x:v>https://dl.smwcentral.net/13214/VP.zip</x:v>
      </x:c>
    </x:row>
    <x:row r="2662">
      <x:c r="A2662" t="str">
        <x:v>Vuit Grups</x:v>
      </x:c>
      <x:c r="B2662" t="str">
        <x:v>Vuit Grups</x:v>
      </x:c>
      <x:c r="C2662" t="str">
        <x:v>Nirv</x:v>
      </x:c>
      <x:c r="D2662" t="n">
        <x:v>8</x:v>
      </x:c>
      <x:c r="E2662" t="str">
        <x:v>Expert</x:v>
      </x:c>
      <x:c r="F2662" t="str">
        <x:v>Kaizo</x:v>
      </x:c>
      <x:c r="G2662" t="n">
        <x:v>45929</x:v>
      </x:c>
      <x:c r="H2662" t="str">
        <x:v>40549</x:v>
      </x:c>
      <x:c r="I2662" t="str">
        <x:v>https://www.smwcentral.net/?a=details&amp;id=40549&amp;p=section</x:v>
      </x:c>
      <x:c r="J2662" t="str">
        <x:v>https://dl.smwcentral.net/40549/VuitGrups.zip</x:v>
      </x:c>
    </x:row>
    <x:row r="2663">
      <x:c r="A2663" t="str">
        <x:v>Wake Up Call</x:v>
      </x:c>
      <x:c r="B2663" t="str">
        <x:v>Wake Up Call</x:v>
      </x:c>
      <x:c r="C2663" t="str">
        <x:v>lustreflux</x:v>
      </x:c>
      <x:c r="D2663" t="n">
        <x:v>28</x:v>
      </x:c>
      <x:c r="E2663" t="str">
        <x:v>Advanced</x:v>
      </x:c>
      <x:c r="F2663" t="str">
        <x:v>Standard, Kaizo</x:v>
      </x:c>
      <x:c r="G2663" t="n">
        <x:v>45216</x:v>
      </x:c>
      <x:c r="H2663" t="str">
        <x:v>35030</x:v>
      </x:c>
      <x:c r="I2663" t="str">
        <x:v>https://www.smwcentral.net/?a=details&amp;id=35030&amp;p=section</x:v>
      </x:c>
      <x:c r="J2663" t="str">
        <x:v>https://dl.smwcentral.net/35030/WakeUpCall.zip</x:v>
      </x:c>
    </x:row>
    <x:row r="2664">
      <x:c r="A2664" t="str">
        <x:v>Wake Up Call Re-Mix</x:v>
      </x:c>
      <x:c r="B2664" t="str">
        <x:v>Wake Up Call Re-Mix</x:v>
      </x:c>
      <x:c r="C2664" t="str">
        <x:v>lustreflux</x:v>
      </x:c>
      <x:c r="D2664" t="n">
        <x:v>15</x:v>
      </x:c>
      <x:c r="E2664" t="str">
        <x:v>Advanced</x:v>
      </x:c>
      <x:c r="F2664" t="str">
        <x:v>Standard, Kaizo</x:v>
      </x:c>
      <x:c r="G2664" t="n">
        <x:v>45327</x:v>
      </x:c>
      <x:c r="H2664" t="str">
        <x:v>35849</x:v>
      </x:c>
      <x:c r="I2664" t="str">
        <x:v>https://www.smwcentral.net/?a=details&amp;id=35849&amp;p=section</x:v>
      </x:c>
      <x:c r="J2664" t="str">
        <x:v>https://dl.smwcentral.net/35849/wakeupcallREMIX1.2.zip</x:v>
      </x:c>
    </x:row>
    <x:row r="2665">
      <x:c r="A2665" t="str">
        <x:v>Walkabout</x:v>
      </x:c>
      <x:c r="B2665" t="str">
        <x:v>Walkabout</x:v>
      </x:c>
      <x:c r="C2665" t="str">
        <x:v>SgN4T4N</x:v>
      </x:c>
      <x:c r="D2665" t="n">
        <x:v>33</x:v>
      </x:c>
      <x:c r="E2665" t="str">
        <x:v>Casual</x:v>
      </x:c>
      <x:c r="F2665" t="str">
        <x:v>Standard</x:v>
      </x:c>
      <x:c r="G2665" t="n">
        <x:v>46094</x:v>
      </x:c>
      <x:c r="H2665" t="str">
        <x:v>41906</x:v>
      </x:c>
      <x:c r="I2665" t="str">
        <x:v>https://www.smwcentral.net/?a=details&amp;id=41906&amp;p=section</x:v>
      </x:c>
      <x:c r="J2665" t="str">
        <x:v>https://dl.smwcentral.net/41906/Walkabout.zip</x:v>
      </x:c>
    </x:row>
    <x:row r="2666">
      <x:c r="A2666" t="str">
        <x:v>Wall Mario 1</x:v>
      </x:c>
      <x:c r="B2666" t="str">
        <x:v>Wall Mario 1</x:v>
      </x:c>
      <x:c r="C2666" t="str">
        <x:v>TanookiMan</x:v>
      </x:c>
      <x:c r="D2666" t="n">
        <x:v>10</x:v>
      </x:c>
      <x:c r="E2666" t="str">
        <x:v>Casual</x:v>
      </x:c>
      <x:c r="F2666" t="str">
        <x:v>Standard</x:v>
      </x:c>
      <x:c r="G2666" t="n">
        <x:v>42315</x:v>
      </x:c>
      <x:c r="H2666" t="str">
        <x:v>10259</x:v>
      </x:c>
      <x:c r="I2666" t="str">
        <x:v>https://www.smwcentral.net/?a=details&amp;id=10259&amp;p=section</x:v>
      </x:c>
      <x:c r="J2666" t="str">
        <x:v>https://dl.smwcentral.net/10259/Wall%20Mario%201%20%28Demo%201%29.zip</x:v>
      </x:c>
    </x:row>
    <x:row r="2667">
      <x:c r="A2667" t="str">
        <x:v>Waluigi's Quest to Become Known</x:v>
      </x:c>
      <x:c r="B2667" t="str">
        <x:v>Waluigi's Quest to Become Known</x:v>
      </x:c>
      <x:c r="C2667" t="str">
        <x:v>NAM</x:v>
      </x:c>
      <x:c r="D2667" t="n">
        <x:v>16</x:v>
      </x:c>
      <x:c r="E2667" t="str">
        <x:v>Casual</x:v>
      </x:c>
      <x:c r="F2667" t="str">
        <x:v>Standard</x:v>
      </x:c>
      <x:c r="G2667" t="n">
        <x:v>42292</x:v>
      </x:c>
      <x:c r="H2667" t="str">
        <x:v>9751</x:v>
      </x:c>
      <x:c r="I2667" t="str">
        <x:v>https://www.smwcentral.net/?a=details&amp;id=9751&amp;p=section</x:v>
      </x:c>
      <x:c r="J2667" t="str">
        <x:v>https://dl.smwcentral.net/9751/WQtBK-Demo1.zip</x:v>
      </x:c>
    </x:row>
    <x:row r="2668">
      <x:c r="A2668" t="str">
        <x:v>Waluigi's Road to Glory 2 - Azathomura</x:v>
      </x:c>
      <x:c r="B2668" t="str">
        <x:v>Waluigi's Road to Glory 2 - Azathomura</x:v>
      </x:c>
      <x:c r="C2668" t="str">
        <x:v>Roberto zampari</x:v>
      </x:c>
      <x:c r="D2668" t="n">
        <x:v>104</x:v>
      </x:c>
      <x:c r="E2668" t="str">
        <x:v>Intermediate</x:v>
      </x:c>
      <x:c r="F2668" t="str">
        <x:v>Standard</x:v>
      </x:c>
      <x:c r="G2668" t="n">
        <x:v>45968</x:v>
      </x:c>
      <x:c r="H2668" t="str">
        <x:v>40960</x:v>
      </x:c>
      <x:c r="I2668" t="str">
        <x:v>https://www.smwcentral.net/?a=details&amp;id=40960&amp;p=section</x:v>
      </x:c>
      <x:c r="J2668" t="str">
        <x:v>https://dl.smwcentral.net/40960/waluigi02-f02b.zip</x:v>
      </x:c>
    </x:row>
    <x:row r="2669">
      <x:c r="A2669" t="str">
        <x:v>Waluigi's road to glory: Horlogic will go on</x:v>
      </x:c>
      <x:c r="B2669" t="str">
        <x:v>Waluigi's road to glory: Horlogic will go on</x:v>
      </x:c>
      <x:c r="C2669" t="str">
        <x:v>Roberto zampari</x:v>
      </x:c>
      <x:c r="D2669" t="n">
        <x:v>112</x:v>
      </x:c>
      <x:c r="E2669" t="str">
        <x:v>Intermediate</x:v>
      </x:c>
      <x:c r="F2669" t="str">
        <x:v>Standard</x:v>
      </x:c>
      <x:c r="G2669" t="n">
        <x:v>44439</x:v>
      </x:c>
      <x:c r="H2669" t="str">
        <x:v>27018</x:v>
      </x:c>
      <x:c r="I2669" t="str">
        <x:v>https://www.smwcentral.net/?a=details&amp;id=27018&amp;p=section</x:v>
      </x:c>
      <x:c r="J2669" t="str">
        <x:v>https://dl.smwcentral.net/27018/WaluigiRoad01.zip</x:v>
      </x:c>
    </x:row>
    <x:row r="2670">
      <x:c r="A2670" t="str">
        <x:v>Waluigi's Wadventure</x:v>
      </x:c>
      <x:c r="B2670" t="str">
        <x:v>Waluigi's Wadventure</x:v>
      </x:c>
      <x:c r="C2670" t="str">
        <x:v>Galactic Spear</x:v>
      </x:c>
      <x:c r="D2670" t="n">
        <x:v>11</x:v>
      </x:c>
      <x:c r="E2670" t="str">
        <x:v>Casual</x:v>
      </x:c>
      <x:c r="F2670" t="str">
        <x:v>Standard</x:v>
      </x:c>
      <x:c r="G2670" t="n">
        <x:v>43293</x:v>
      </x:c>
      <x:c r="H2670" t="str">
        <x:v>17837</x:v>
      </x:c>
      <x:c r="I2670" t="str">
        <x:v>https://www.smwcentral.net/?a=details&amp;id=17837&amp;p=section</x:v>
      </x:c>
      <x:c r="J2670" t="str">
        <x:v>https://dl.smwcentral.net/17837/Waluigi%27s%20Wadventure%20-%20Demo%202.1.zip</x:v>
      </x:c>
    </x:row>
    <x:row r="2671">
      <x:c r="A2671" t="str">
        <x:v>Wario Land 5</x:v>
      </x:c>
      <x:c r="B2671" t="str">
        <x:v>Wario Land 5</x:v>
      </x:c>
      <x:c r="C2671" t="str">
        <x:v>Dylan Yoshi</x:v>
      </x:c>
      <x:c r="D2671" t="n">
        <x:v>6</x:v>
      </x:c>
      <x:c r="E2671" t="str">
        <x:v>Casual</x:v>
      </x:c>
      <x:c r="F2671" t="str">
        <x:v>Standard</x:v>
      </x:c>
      <x:c r="G2671" t="n">
        <x:v>42108</x:v>
      </x:c>
      <x:c r="H2671" t="str">
        <x:v>9650</x:v>
      </x:c>
      <x:c r="I2671" t="str">
        <x:v>https://www.smwcentral.net/?a=details&amp;id=9650&amp;p=section</x:v>
      </x:c>
      <x:c r="J2671" t="str">
        <x:v>https://dl.smwcentral.net/9650/Wario%20Land%205.zip</x:v>
      </x:c>
    </x:row>
    <x:row r="2672">
      <x:c r="A2672" t="str">
        <x:v>Wario Land 6</x:v>
      </x:c>
      <x:c r="B2672" t="str">
        <x:v>Wario Land 6</x:v>
      </x:c>
      <x:c r="C2672" t="str">
        <x:v>mariomaster13</x:v>
      </x:c>
      <x:c r="D2672" t="n">
        <x:v>5</x:v>
      </x:c>
      <x:c r="E2672" t="str">
        <x:v>Newcomer</x:v>
      </x:c>
      <x:c r="F2672" t="str">
        <x:v>Standard</x:v>
      </x:c>
      <x:c r="G2672" t="n">
        <x:v>42220</x:v>
      </x:c>
      <x:c r="H2672" t="str">
        <x:v>10112</x:v>
      </x:c>
      <x:c r="I2672" t="str">
        <x:v>https://www.smwcentral.net/?a=details&amp;id=10112&amp;p=section</x:v>
      </x:c>
      <x:c r="J2672" t="str">
        <x:v>https://dl.smwcentral.net/10112/wario%20land.zip</x:v>
      </x:c>
    </x:row>
    <x:row r="2673">
      <x:c r="A2673" t="str">
        <x:v>Wario World: Between The Dimensions</x:v>
      </x:c>
      <x:c r="B2673" t="str">
        <x:v>Wario World: Between The Dimensions</x:v>
      </x:c>
      <x:c r="C2673" t="str">
        <x:v>SLBros.</x:v>
      </x:c>
      <x:c r="D2673" t="n">
        <x:v>7</x:v>
      </x:c>
      <x:c r="E2673" t="str">
        <x:v>Newcomer</x:v>
      </x:c>
      <x:c r="F2673" t="str">
        <x:v>Standard</x:v>
      </x:c>
      <x:c r="G2673" t="n">
        <x:v>41445</x:v>
      </x:c>
      <x:c r="H2673" t="str">
        <x:v>5500</x:v>
      </x:c>
      <x:c r="I2673" t="str">
        <x:v>https://www.smwcentral.net/?a=details&amp;id=5500&amp;p=section</x:v>
      </x:c>
      <x:c r="J2673" t="str">
        <x:v>https://dl.smwcentral.net/5500/Wario%20World%20-%20Between%20The%20Dimensions%20%28Ver1.5b%29.zip</x:v>
      </x:c>
    </x:row>
    <x:row r="2674">
      <x:c r="A2674" t="str">
        <x:v>Wario's Adventure</x:v>
      </x:c>
      <x:c r="B2674" t="str">
        <x:v>Wario's Adventure</x:v>
      </x:c>
      <x:c r="C2674" t="str">
        <x:v>Retrodeath</x:v>
      </x:c>
      <x:c r="D2674" t="n">
        <x:v>77</x:v>
      </x:c>
      <x:c r="E2674" t="str">
        <x:v>Expert</x:v>
      </x:c>
      <x:c r="F2674" t="str">
        <x:v>Standard</x:v>
      </x:c>
      <x:c r="G2674" t="n">
        <x:v>42098</x:v>
      </x:c>
      <x:c r="H2674" t="str">
        <x:v>11026</x:v>
      </x:c>
      <x:c r="I2674" t="str">
        <x:v>https://www.smwcentral.net/?a=details&amp;id=11026&amp;p=section</x:v>
      </x:c>
      <x:c r="J2674" t="str">
        <x:v>https://dl.smwcentral.net/11026/Wario%27s%20Adventure%201.4.zip</x:v>
      </x:c>
    </x:row>
    <x:row r="2675">
      <x:c r="A2675" t="str">
        <x:v>Wario's Return</x:v>
      </x:c>
      <x:c r="B2675" t="str">
        <x:v>Wario's Return</x:v>
      </x:c>
      <x:c r="C2675" t="str">
        <x:v>Retired Man</x:v>
      </x:c>
      <x:c r="D2675" t="n">
        <x:v>7</x:v>
      </x:c>
      <x:c r="E2675" t="str">
        <x:v>Casual</x:v>
      </x:c>
      <x:c r="F2675" t="str">
        <x:v>Standard</x:v>
      </x:c>
      <x:c r="G2675" t="n">
        <x:v>41445</x:v>
      </x:c>
      <x:c r="H2675" t="str">
        <x:v>5372</x:v>
      </x:c>
      <x:c r="I2675" t="str">
        <x:v>https://www.smwcentral.net/?a=details&amp;id=5372&amp;p=section</x:v>
      </x:c>
      <x:c r="J2675" t="str">
        <x:v>https://dl.smwcentral.net/5372/Wario%C2%B4s%20Return.zip</x:v>
      </x:c>
    </x:row>
    <x:row r="2676">
      <x:c r="A2676" t="str">
        <x:v>Warios Wonderful Walk</x:v>
      </x:c>
      <x:c r="B2676" t="str">
        <x:v>Warios Wonderful Walk</x:v>
      </x:c>
      <x:c r="C2676" t="str">
        <x:v>Captain Domas</x:v>
      </x:c>
      <x:c r="D2676" t="n">
        <x:v>10</x:v>
      </x:c>
      <x:c r="E2676" t="str">
        <x:v>Advanced</x:v>
      </x:c>
      <x:c r="F2676" t="str">
        <x:v>Kaizo</x:v>
      </x:c>
      <x:c r="G2676" t="n">
        <x:v>44664</x:v>
      </x:c>
      <x:c r="H2676" t="str">
        <x:v>30365</x:v>
      </x:c>
      <x:c r="I2676" t="str">
        <x:v>https://www.smwcentral.net/?a=details&amp;id=30365&amp;p=section</x:v>
      </x:c>
      <x:c r="J2676" t="str">
        <x:v>https://dl.smwcentral.net/30365/WWW.zip</x:v>
      </x:c>
    </x:row>
    <x:row r="2677">
      <x:c r="A2677" t="str">
        <x:v>Watch Mario</x:v>
      </x:c>
      <x:c r="B2677" t="str">
        <x:v>Watch Mario</x:v>
      </x:c>
      <x:c r="C2677" t="str">
        <x:v>ANDCo., BabyCan</x:v>
      </x:c>
      <x:c r="D2677" t="n">
        <x:v>77</x:v>
      </x:c>
      <x:c r="E2677" t="str">
        <x:v>Casual</x:v>
      </x:c>
      <x:c r="F2677" t="str">
        <x:v>Standard</x:v>
      </x:c>
      <x:c r="G2677" t="n">
        <x:v>43300</x:v>
      </x:c>
      <x:c r="H2677" t="str">
        <x:v>17731</x:v>
      </x:c>
      <x:c r="I2677" t="str">
        <x:v>https://www.smwcentral.net/?a=details&amp;id=17731&amp;p=section</x:v>
      </x:c>
      <x:c r="J2677" t="str">
        <x:v>https://dl.smwcentral.net/17731/Watch%20Mario%20Bundle.zip</x:v>
      </x:c>
    </x:row>
    <x:row r="2678">
      <x:c r="A2678" t="str">
        <x:v>Watermelon World</x:v>
      </x:c>
      <x:c r="B2678" t="str">
        <x:v>Watermelon World</x:v>
      </x:c>
      <x:c r="C2678" t="str">
        <x:v>MIRANHA</x:v>
      </x:c>
      <x:c r="D2678" t="n">
        <x:v>21</x:v>
      </x:c>
      <x:c r="E2678" t="str">
        <x:v>Intermediate</x:v>
      </x:c>
      <x:c r="F2678" t="str">
        <x:v>Kaizo</x:v>
      </x:c>
      <x:c r="G2678" t="n">
        <x:v>43549</x:v>
      </x:c>
      <x:c r="H2678" t="str">
        <x:v>19397</x:v>
      </x:c>
      <x:c r="I2678" t="str">
        <x:v>https://www.smwcentral.net/?a=details&amp;id=19397&amp;p=section</x:v>
      </x:c>
      <x:c r="J2678" t="str">
        <x:v>https://dl.smwcentral.net/19397/Watermelon%20World.zip</x:v>
      </x:c>
    </x:row>
    <x:row r="2679">
      <x:c r="A2679" t="str">
        <x:v>Waterworld</x:v>
      </x:c>
      <x:c r="B2679" t="str">
        <x:v>Waterworld</x:v>
      </x:c>
      <x:c r="C2679" t="str">
        <x:v>BabaYegha</x:v>
      </x:c>
      <x:c r="D2679" t="n">
        <x:v>14</x:v>
      </x:c>
      <x:c r="E2679" t="str">
        <x:v>Master</x:v>
      </x:c>
      <x:c r="F2679" t="str">
        <x:v>Kaizo</x:v>
      </x:c>
      <x:c r="G2679" t="n">
        <x:v>44336</x:v>
      </x:c>
      <x:c r="H2679" t="str">
        <x:v>27024</x:v>
      </x:c>
      <x:c r="I2679" t="str">
        <x:v>https://www.smwcentral.net/?a=details&amp;id=27024&amp;p=section</x:v>
      </x:c>
      <x:c r="J2679" t="str">
        <x:v>https://dl.smwcentral.net/27024/Waterworld.zip</x:v>
      </x:c>
    </x:row>
    <x:row r="2680">
      <x:c r="A2680" t="str">
        <x:v>Way of the Tempest</x:v>
      </x:c>
      <x:c r="B2680" t="str">
        <x:v>Way of the Tempest</x:v>
      </x:c>
      <x:c r="C2680" t="str">
        <x:v>gui</x:v>
      </x:c>
      <x:c r="D2680" t="n">
        <x:v>5</x:v>
      </x:c>
      <x:c r="E2680" t="str">
        <x:v>Master</x:v>
      </x:c>
      <x:c r="F2680" t="str">
        <x:v>Kaizo</x:v>
      </x:c>
      <x:c r="G2680" t="n">
        <x:v>45175</x:v>
      </x:c>
      <x:c r="H2680" t="str">
        <x:v>34920</x:v>
      </x:c>
      <x:c r="I2680" t="str">
        <x:v>https://www.smwcentral.net/?a=details&amp;id=34920&amp;p=section</x:v>
      </x:c>
      <x:c r="J2680" t="str">
        <x:v>https://dl.smwcentral.net/34920/tempest1.2.zip</x:v>
      </x:c>
    </x:row>
    <x:row r="2681">
      <x:c r="A2681" t="str">
        <x:v>We all end up here</x:v>
      </x:c>
      <x:c r="B2681" t="str">
        <x:v>We all end up here</x:v>
      </x:c>
      <x:c r="C2681" t="str">
        <x:v>dotCoockie</x:v>
      </x:c>
      <x:c r="D2681" t="n">
        <x:v>21</x:v>
      </x:c>
      <x:c r="E2681" t="str">
        <x:v>Grandmaster</x:v>
      </x:c>
      <x:c r="F2681" t="str">
        <x:v>Kaizo</x:v>
      </x:c>
      <x:c r="G2681" t="n">
        <x:v>45572</x:v>
      </x:c>
      <x:c r="H2681" t="str">
        <x:v>38468</x:v>
      </x:c>
      <x:c r="I2681" t="str">
        <x:v>https://www.smwcentral.net/?a=details&amp;id=38468&amp;p=section</x:v>
      </x:c>
      <x:c r="J2681" t="str">
        <x:v>https://dl.smwcentral.net/38468/kuso.zip</x:v>
      </x:c>
    </x:row>
    <x:row r="2682">
      <x:c r="A2682" t="str">
        <x:v>We Like It Here</x:v>
      </x:c>
      <x:c r="B2682" t="str">
        <x:v>We Like It Here</x:v>
      </x:c>
      <x:c r="C2682" t="str">
        <x:v>Brakkie, Buflen, Donkeymint, JeepySol, NewPointless, Scags, mmmdoggy, revolug</x:v>
      </x:c>
      <x:c r="D2682" t="n">
        <x:v>43</x:v>
      </x:c>
      <x:c r="E2682" t="str">
        <x:v>Expert</x:v>
      </x:c>
      <x:c r="F2682" t="str">
        <x:v>Kaizo</x:v>
      </x:c>
      <x:c r="G2682" t="n">
        <x:v>45449</x:v>
      </x:c>
      <x:c r="H2682" t="str">
        <x:v>37880</x:v>
      </x:c>
      <x:c r="I2682" t="str">
        <x:v>https://www.smwcentral.net/?a=details&amp;id=37880&amp;p=section</x:v>
      </x:c>
      <x:c r="J2682" t="str">
        <x:v>https://dl.smwcentral.net/37880/WeLikeItHere1_1.zip</x:v>
      </x:c>
    </x:row>
    <x:row r="2683">
      <x:c r="A2683" t="str">
        <x:v>We Must Go Steeper</x:v>
      </x:c>
      <x:c r="B2683" t="str">
        <x:v>We Must Go Steeper</x:v>
      </x:c>
      <x:c r="C2683" t="str">
        <x:v>tOaO</x:v>
      </x:c>
      <x:c r="D2683" t="n">
        <x:v>6</x:v>
      </x:c>
      <x:c r="E2683" t="str">
        <x:v>Expert</x:v>
      </x:c>
      <x:c r="F2683" t="str">
        <x:v>Kaizo</x:v>
      </x:c>
      <x:c r="G2683" t="n">
        <x:v>45807</x:v>
      </x:c>
      <x:c r="H2683" t="str">
        <x:v>39891</x:v>
      </x:c>
      <x:c r="I2683" t="str">
        <x:v>https://www.smwcentral.net/?a=details&amp;id=39891&amp;p=section</x:v>
      </x:c>
      <x:c r="J2683" t="str">
        <x:v>https://dl.smwcentral.net/39891/We_Must_Go_Steeper_1.0.zip</x:v>
      </x:c>
    </x:row>
    <x:row r="2684">
      <x:c r="A2684" t="str">
        <x:v>Weather Report</x:v>
      </x:c>
      <x:c r="B2684" t="str">
        <x:v>Weather Report</x:v>
      </x:c>
      <x:c r="C2684" t="str">
        <x:v>gui</x:v>
      </x:c>
      <x:c r="D2684" t="n">
        <x:v>6</x:v>
      </x:c>
      <x:c r="E2684" t="str">
        <x:v>Master</x:v>
      </x:c>
      <x:c r="F2684" t="str">
        <x:v>Kaizo</x:v>
      </x:c>
      <x:c r="G2684" t="n">
        <x:v>45516</x:v>
      </x:c>
      <x:c r="H2684" t="str">
        <x:v>38150</x:v>
      </x:c>
      <x:c r="I2684" t="str">
        <x:v>https://www.smwcentral.net/?a=details&amp;id=38150&amp;p=section</x:v>
      </x:c>
      <x:c r="J2684" t="str">
        <x:v>https://dl.smwcentral.net/38150/WeatherReport.zip</x:v>
      </x:c>
    </x:row>
    <x:row r="2685">
      <x:c r="A2685" t="str">
        <x:v>Weekend</x:v>
      </x:c>
      <x:c r="B2685" t="str">
        <x:v>Weekend</x:v>
      </x:c>
      <x:c r="C2685" t="str">
        <x:v>Overcrow03</x:v>
      </x:c>
      <x:c r="D2685" t="n">
        <x:v>6</x:v>
      </x:c>
      <x:c r="E2685" t="str">
        <x:v>Expert</x:v>
      </x:c>
      <x:c r="F2685" t="str">
        <x:v>Kaizo</x:v>
      </x:c>
      <x:c r="G2685" t="n">
        <x:v>45733</x:v>
      </x:c>
      <x:c r="H2685" t="str">
        <x:v>39553</x:v>
      </x:c>
      <x:c r="I2685" t="str">
        <x:v>https://www.smwcentral.net/?a=details&amp;id=39553&amp;p=section</x:v>
      </x:c>
      <x:c r="J2685" t="str">
        <x:v>https://dl.smwcentral.net/39553/Weekend.zip</x:v>
      </x:c>
    </x:row>
    <x:row r="2686">
      <x:c r="A2686" t="str">
        <x:v>Weekend at Luigi's</x:v>
      </x:c>
      <x:c r="B2686" t="str">
        <x:v>Weekend at Luigi's</x:v>
      </x:c>
      <x:c r="C2686" t="str">
        <x:v>AmazingChest, PinkDad</x:v>
      </x:c>
      <x:c r="D2686" t="n">
        <x:v>26</x:v>
      </x:c>
      <x:c r="E2686" t="str">
        <x:v>Expert</x:v>
      </x:c>
      <x:c r="F2686" t="str">
        <x:v>Kaizo</x:v>
      </x:c>
      <x:c r="G2686" t="n">
        <x:v>44418</x:v>
      </x:c>
      <x:c r="H2686" t="str">
        <x:v>27869</x:v>
      </x:c>
      <x:c r="I2686" t="str">
        <x:v>https://www.smwcentral.net/?a=details&amp;id=27869&amp;p=section</x:v>
      </x:c>
      <x:c r="J2686" t="str">
        <x:v>https://dl.smwcentral.net/27869/weekend-at-luigis-v111%20%281%29.zip</x:v>
      </x:c>
    </x:row>
    <x:row r="2687">
      <x:c r="A2687" t="str">
        <x:v>Wendy's Ten Fights</x:v>
      </x:c>
      <x:c r="B2687" t="str">
        <x:v>Wendy's Ten Fights</x:v>
      </x:c>
      <x:c r="C2687" t="str">
        <x:v>Shuttles</x:v>
      </x:c>
      <x:c r="D2687" t="n">
        <x:v>10</x:v>
      </x:c>
      <x:c r="E2687" t="str">
        <x:v>Intermediate</x:v>
      </x:c>
      <x:c r="F2687" t="str">
        <x:v>Standard</x:v>
      </x:c>
      <x:c r="G2687" t="n">
        <x:v>44252</x:v>
      </x:c>
      <x:c r="H2687" t="str">
        <x:v>26183</x:v>
      </x:c>
      <x:c r="I2687" t="str">
        <x:v>https://www.smwcentral.net/?a=details&amp;id=26183&amp;p=section</x:v>
      </x:c>
      <x:c r="J2687" t="str">
        <x:v>https://dl.smwcentral.net/26183/WTF.zip</x:v>
      </x:c>
    </x:row>
    <x:row r="2688">
      <x:c r="A2688" t="str">
        <x:v>What did Mario do?</x:v>
      </x:c>
      <x:c r="B2688" t="str">
        <x:v>What did Mario do?</x:v>
      </x:c>
      <x:c r="C2688" t="str">
        <x:v>eltiolavara9, woop</x:v>
      </x:c>
      <x:c r="D2688" t="n">
        <x:v>69</x:v>
      </x:c>
      <x:c r="E2688" t="str">
        <x:v>Intermediate</x:v>
      </x:c>
      <x:c r="F2688" t="str">
        <x:v>Standard, Kaizo</x:v>
      </x:c>
      <x:c r="G2688" t="n">
        <x:v>45558</x:v>
      </x:c>
      <x:c r="H2688" t="str">
        <x:v>38285</x:v>
      </x:c>
      <x:c r="I2688" t="str">
        <x:v>https://www.smwcentral.net/?a=details&amp;id=38285&amp;p=section</x:v>
      </x:c>
      <x:c r="J2688" t="str">
        <x:v>https://dl.smwcentral.net/38285/WDMD.zip</x:v>
      </x:c>
    </x:row>
    <x:row r="2689">
      <x:c r="A2689" t="str">
        <x:v>What The Heck 2</x:v>
      </x:c>
      <x:c r="B2689" t="str">
        <x:v>What The Heck 2</x:v>
      </x:c>
      <x:c r="C2689" t="str">
        <x:v>lolyoshi</x:v>
      </x:c>
      <x:c r="D2689" t="n">
        <x:v>9</x:v>
      </x:c>
      <x:c r="E2689" t="str">
        <x:v>Intermediate</x:v>
      </x:c>
      <x:c r="F2689" t="str">
        <x:v>Standard</x:v>
      </x:c>
      <x:c r="G2689" t="n">
        <x:v>41729</x:v>
      </x:c>
      <x:c r="H2689" t="str">
        <x:v>6421</x:v>
      </x:c>
      <x:c r="I2689" t="str">
        <x:v>https://www.smwcentral.net/?a=details&amp;id=6421&amp;p=section</x:v>
      </x:c>
      <x:c r="J2689" t="str">
        <x:v>https://dl.smwcentral.net/6421/WTH2.zip</x:v>
      </x:c>
    </x:row>
    <x:row r="2690">
      <x:c r="A2690" t="str">
        <x:v>What The Shell!</x:v>
      </x:c>
      <x:c r="B2690" t="str">
        <x:v>What The Shell!</x:v>
      </x:c>
      <x:c r="C2690" t="str">
        <x:v>GrenudoGames</x:v>
      </x:c>
      <x:c r="D2690" t="n">
        <x:v>15</x:v>
      </x:c>
      <x:c r="E2690" t="str">
        <x:v>Expert</x:v>
      </x:c>
      <x:c r="F2690" t="str">
        <x:v>Kaizo</x:v>
      </x:c>
      <x:c r="G2690" t="n">
        <x:v>44363</x:v>
      </x:c>
      <x:c r="H2690" t="str">
        <x:v>27263</x:v>
      </x:c>
      <x:c r="I2690" t="str">
        <x:v>https://www.smwcentral.net/?a=details&amp;id=27263&amp;p=section</x:v>
      </x:c>
      <x:c r="J2690" t="str">
        <x:v>https://dl.smwcentral.net/27263/What%20The%20Shell%21.zip</x:v>
      </x:c>
    </x:row>
    <x:row r="2691">
      <x:c r="A2691" t="str">
        <x:v>What the... Hack?</x:v>
      </x:c>
      <x:c r="B2691" t="str">
        <x:v>What the... Hack?</x:v>
      </x:c>
      <x:c r="C2691" t="str">
        <x:v>Hellbourne</x:v>
      </x:c>
      <x:c r="D2691" t="n">
        <x:v>8</x:v>
      </x:c>
      <x:c r="E2691" t="str">
        <x:v>Casual</x:v>
      </x:c>
      <x:c r="F2691" t="str">
        <x:v>Standard</x:v>
      </x:c>
      <x:c r="G2691" t="n">
        <x:v>42266</x:v>
      </x:c>
      <x:c r="H2691" t="str">
        <x:v>10021</x:v>
      </x:c>
      <x:c r="I2691" t="str">
        <x:v>https://www.smwcentral.net/?a=details&amp;id=10021&amp;p=section</x:v>
      </x:c>
      <x:c r="J2691" t="str">
        <x:v>https://dl.smwcentral.net/10021/What%20the...%20Hack.zip</x:v>
      </x:c>
    </x:row>
    <x:row r="2692">
      <x:c r="A2692" t="str">
        <x:v>What's Thanksgiving Without Turkey?</x:v>
      </x:c>
      <x:c r="B2692" t="str">
        <x:v>What's Thanksgiving Without Turkey?</x:v>
      </x:c>
      <x:c r="C2692" t="str">
        <x:v>OmegaLuigi</x:v>
      </x:c>
      <x:c r="D2692" t="n">
        <x:v>2</x:v>
      </x:c>
      <x:c r="E2692" t="str">
        <x:v>Newcomer</x:v>
      </x:c>
      <x:c r="F2692" t="str">
        <x:v>Standard</x:v>
      </x:c>
      <x:c r="G2692" t="n">
        <x:v>43871</x:v>
      </x:c>
      <x:c r="H2692" t="str">
        <x:v>22073</x:v>
      </x:c>
      <x:c r="I2692" t="str">
        <x:v>https://www.smwcentral.net/?a=details&amp;id=22073&amp;p=section</x:v>
      </x:c>
      <x:c r="J2692" t="str">
        <x:v>https://dl.smwcentral.net/22073/Whats%20Thanksgiving%20Without%20Turkey%20%28Music%20Fixed%29.zip</x:v>
      </x:c>
    </x:row>
    <x:row r="2693">
      <x:c r="A2693" t="str">
        <x:v>What's The Name of This Hack?</x:v>
      </x:c>
      <x:c r="B2693" t="str">
        <x:v>What's The Name of This Hack?</x:v>
      </x:c>
      <x:c r="C2693" t="str">
        <x:v>dtothefourth</x:v>
      </x:c>
      <x:c r="D2693" t="n">
        <x:v>1</x:v>
      </x:c>
      <x:c r="E2693" t="str">
        <x:v>Intermediate</x:v>
      </x:c>
      <x:c r="F2693" t="str">
        <x:v>Standard, Kaizo</x:v>
      </x:c>
      <x:c r="G2693" t="n">
        <x:v>43688</x:v>
      </x:c>
      <x:c r="H2693" t="str">
        <x:v>20891</x:v>
      </x:c>
      <x:c r="I2693" t="str">
        <x:v>https://www.smwcentral.net/?a=details&amp;id=20891&amp;p=section</x:v>
      </x:c>
      <x:c r="J2693" t="str">
        <x:v>https://dl.smwcentral.net/20891/Whats_The_Name_Of_This_Hack_v1_7.zip</x:v>
      </x:c>
    </x:row>
    <x:row r="2694">
      <x:c r="A2694" t="str">
        <x:v>Where the universe breaks</x:v>
      </x:c>
      <x:c r="B2694" t="str">
        <x:v>Where the universe breaks</x:v>
      </x:c>
      <x:c r="C2694" t="str">
        <x:v>dotCoockie</x:v>
      </x:c>
      <x:c r="D2694" t="n">
        <x:v>6</x:v>
      </x:c>
      <x:c r="E2694" t="str">
        <x:v>Grandmaster</x:v>
      </x:c>
      <x:c r="F2694" t="str">
        <x:v>Kaizo</x:v>
      </x:c>
      <x:c r="G2694" t="n">
        <x:v>45394</x:v>
      </x:c>
      <x:c r="H2694" t="str">
        <x:v>37046</x:v>
      </x:c>
      <x:c r="I2694" t="str">
        <x:v>https://www.smwcentral.net/?a=details&amp;id=37046&amp;p=section</x:v>
      </x:c>
      <x:c r="J2694" t="str">
        <x:v>https://dl.smwcentral.net/37046/Edge.zip</x:v>
      </x:c>
    </x:row>
    <x:row r="2695">
      <x:c r="A2695" t="str">
        <x:v>White Men Can´t Toss</x:v>
      </x:c>
      <x:c r="B2695" t="str">
        <x:v>White Men Can´t Toss</x:v>
      </x:c>
      <x:c r="C2695" t="str">
        <x:v>uriel2k3</x:v>
      </x:c>
      <x:c r="D2695" t="n">
        <x:v>9</x:v>
      </x:c>
      <x:c r="E2695" t="str">
        <x:v>Grandmaster</x:v>
      </x:c>
      <x:c r="F2695" t="str">
        <x:v>Kaizo</x:v>
      </x:c>
      <x:c r="G2695" t="n">
        <x:v>46207</x:v>
      </x:c>
      <x:c r="H2695" t="str">
        <x:v>42624</x:v>
      </x:c>
      <x:c r="I2695" t="str">
        <x:v>https://www.smwcentral.net/?a=details&amp;id=42624&amp;p=section</x:v>
      </x:c>
      <x:c r="J2695" t="str">
        <x:v>https://dl.smwcentral.net/42624/WhiteMenCantToss.zip</x:v>
      </x:c>
    </x:row>
    <x:row r="2696">
      <x:c r="A2696" t="str">
        <x:v>Why Do Coins Float?</x:v>
      </x:c>
      <x:c r="B2696" t="str">
        <x:v>Why Do Coins Float?</x:v>
      </x:c>
      <x:c r="C2696" t="str">
        <x:v>FalseCircus</x:v>
      </x:c>
      <x:c r="D2696" t="n">
        <x:v>12</x:v>
      </x:c>
      <x:c r="E2696" t="str">
        <x:v>Master</x:v>
      </x:c>
      <x:c r="F2696" t="str">
        <x:v>Kaizo</x:v>
      </x:c>
      <x:c r="G2696" t="n">
        <x:v>44609</x:v>
      </x:c>
      <x:c r="H2696" t="str">
        <x:v>28807</x:v>
      </x:c>
      <x:c r="I2696" t="str">
        <x:v>https://www.smwcentral.net/?a=details&amp;id=28807&amp;p=section</x:v>
      </x:c>
      <x:c r="J2696" t="str">
        <x:v>https://dl.smwcentral.net/28807/Why%20Do%20Coins%20Float.zip</x:v>
      </x:c>
    </x:row>
    <x:row r="2697">
      <x:c r="A2697" t="str">
        <x:v>Windows Mario World</x:v>
      </x:c>
      <x:c r="B2697" t="str">
        <x:v>Windows Mario World</x:v>
      </x:c>
      <x:c r="C2697" t="str">
        <x:v>BetaMaster64</x:v>
      </x:c>
      <x:c r="D2697" t="n">
        <x:v>13</x:v>
      </x:c>
      <x:c r="E2697" t="str">
        <x:v>Casual</x:v>
      </x:c>
      <x:c r="F2697" t="str">
        <x:v>Standard</x:v>
      </x:c>
      <x:c r="G2697" t="n">
        <x:v>42013</x:v>
      </x:c>
      <x:c r="H2697" t="str">
        <x:v>10412</x:v>
      </x:c>
      <x:c r="I2697" t="str">
        <x:v>https://www.smwcentral.net/?a=details&amp;id=10412&amp;p=section</x:v>
      </x:c>
      <x:c r="J2697" t="str">
        <x:v>https://dl.smwcentral.net/10412/WMW.zip</x:v>
      </x:c>
    </x:row>
    <x:row r="2698">
      <x:c r="A2698" t="str">
        <x:v>Winter Season</x:v>
      </x:c>
      <x:c r="B2698" t="str">
        <x:v>Winter Season</x:v>
      </x:c>
      <x:c r="C2698" t="str">
        <x:v>RussianMan</x:v>
      </x:c>
      <x:c r="D2698" t="n">
        <x:v>11</x:v>
      </x:c>
      <x:c r="E2698" t="str">
        <x:v>Intermediate</x:v>
      </x:c>
      <x:c r="F2698" t="str">
        <x:v>Standard</x:v>
      </x:c>
      <x:c r="G2698" t="n">
        <x:v>42799</x:v>
      </x:c>
      <x:c r="H2698" t="str">
        <x:v>15265</x:v>
      </x:c>
      <x:c r="I2698" t="str">
        <x:v>https://www.smwcentral.net/?a=details&amp;id=15265&amp;p=section</x:v>
      </x:c>
      <x:c r="J2698" t="str">
        <x:v>https://dl.smwcentral.net/15265/Winter%20season.zip</x:v>
      </x:c>
    </x:row>
    <x:row r="2699">
      <x:c r="A2699" t="str">
        <x:v>Winter Season 2</x:v>
      </x:c>
      <x:c r="B2699" t="str">
        <x:v>Winter Season 2</x:v>
      </x:c>
      <x:c r="C2699" t="str">
        <x:v>RussianMan</x:v>
      </x:c>
      <x:c r="D2699" t="n">
        <x:v>6</x:v>
      </x:c>
      <x:c r="E2699" t="str">
        <x:v>Advanced</x:v>
      </x:c>
      <x:c r="F2699" t="str">
        <x:v>Standard</x:v>
      </x:c>
      <x:c r="G2699" t="n">
        <x:v>44990</x:v>
      </x:c>
      <x:c r="H2699" t="str">
        <x:v>33326</x:v>
      </x:c>
      <x:c r="I2699" t="str">
        <x:v>https://www.smwcentral.net/?a=details&amp;id=33326&amp;p=section</x:v>
      </x:c>
      <x:c r="J2699" t="str">
        <x:v>https://dl.smwcentral.net/33326/WinterSeason2.zip</x:v>
      </x:c>
    </x:row>
    <x:row r="2700">
      <x:c r="A2700" t="str">
        <x:v>Woji World</x:v>
      </x:c>
      <x:c r="B2700" t="str">
        <x:v>Woji World</x:v>
      </x:c>
      <x:c r="C2700" t="str">
        <x:v>MarkAlarm</x:v>
      </x:c>
      <x:c r="D2700" t="n">
        <x:v>20</x:v>
      </x:c>
      <x:c r="E2700" t="str">
        <x:v>Advanced</x:v>
      </x:c>
      <x:c r="F2700" t="str">
        <x:v>Kaizo</x:v>
      </x:c>
      <x:c r="G2700" t="n">
        <x:v>43140</x:v>
      </x:c>
      <x:c r="H2700" t="str">
        <x:v>16890</x:v>
      </x:c>
      <x:c r="I2700" t="str">
        <x:v>https://www.smwcentral.net/?a=details&amp;id=16890&amp;p=section</x:v>
      </x:c>
      <x:c r="J2700" t="str">
        <x:v>https://dl.smwcentral.net/16890/Woji%20World%20v1.3.zip</x:v>
      </x:c>
    </x:row>
    <x:row r="2701">
      <x:c r="A2701" t="str">
        <x:v>Wonders of Kaizo!</x:v>
      </x:c>
      <x:c r="B2701" t="str">
        <x:v>Wonders of Kaizo!</x:v>
      </x:c>
      <x:c r="C2701" t="str">
        <x:v>Vanessa</x:v>
      </x:c>
      <x:c r="D2701" t="n">
        <x:v>18</x:v>
      </x:c>
      <x:c r="E2701" t="str">
        <x:v>Expert</x:v>
      </x:c>
      <x:c r="F2701" t="str">
        <x:v>Kaizo, Tool-Assisted</x:v>
      </x:c>
      <x:c r="G2701" t="n">
        <x:v>44545</x:v>
      </x:c>
      <x:c r="H2701" t="str">
        <x:v>28323</x:v>
      </x:c>
      <x:c r="I2701" t="str">
        <x:v>https://www.smwcentral.net/?a=details&amp;id=28323&amp;p=section</x:v>
      </x:c>
      <x:c r="J2701" t="str">
        <x:v>https://dl.smwcentral.net/28323/Wonders%20of%20Kaizo%21%21.zip</x:v>
      </x:c>
    </x:row>
    <x:row r="2702">
      <x:c r="A2702" t="str">
        <x:v>Worl's World</x:v>
      </x:c>
      <x:c r="B2702" t="str">
        <x:v>Worl's World</x:v>
      </x:c>
      <x:c r="C2702" t="str">
        <x:v>Worl</x:v>
      </x:c>
      <x:c r="D2702" t="n">
        <x:v>10</x:v>
      </x:c>
      <x:c r="E2702" t="str">
        <x:v>Expert</x:v>
      </x:c>
      <x:c r="F2702" t="str">
        <x:v>Kaizo</x:v>
      </x:c>
      <x:c r="G2702" t="n">
        <x:v>44070</x:v>
      </x:c>
      <x:c r="H2702" t="str">
        <x:v>24118</x:v>
      </x:c>
      <x:c r="I2702" t="str">
        <x:v>https://www.smwcentral.net/?a=details&amp;id=24118&amp;p=section</x:v>
      </x:c>
      <x:c r="J2702" t="str">
        <x:v>https://dl.smwcentral.net/24118/Worls%20World%201.3.zip</x:v>
      </x:c>
    </x:row>
    <x:row r="2703">
      <x:c r="A2703" t="str">
        <x:v>Worl's World 2: The Rebellion</x:v>
      </x:c>
      <x:c r="B2703" t="str">
        <x:v>Worl's World 2: The Rebellion</x:v>
      </x:c>
      <x:c r="C2703" t="str">
        <x:v>Worl</x:v>
      </x:c>
      <x:c r="D2703" t="n">
        <x:v>24</x:v>
      </x:c>
      <x:c r="E2703" t="str">
        <x:v>Advanced</x:v>
      </x:c>
      <x:c r="F2703" t="str">
        <x:v>Kaizo</x:v>
      </x:c>
      <x:c r="G2703" t="n">
        <x:v>44275</x:v>
      </x:c>
      <x:c r="H2703" t="str">
        <x:v>26447</x:v>
      </x:c>
      <x:c r="I2703" t="str">
        <x:v>https://www.smwcentral.net/?a=details&amp;id=26447&amp;p=section</x:v>
      </x:c>
      <x:c r="J2703" t="str">
        <x:v>https://dl.smwcentral.net/26447/Worls%20World%202%20v1.1.zip</x:v>
      </x:c>
    </x:row>
    <x:row r="2704">
      <x:c r="A2704" t="str">
        <x:v>World Of Illusion</x:v>
      </x:c>
      <x:c r="B2704" t="str">
        <x:v>World Of Illusion</x:v>
      </x:c>
      <x:c r="C2704" t="str">
        <x:v>Azure</x:v>
      </x:c>
      <x:c r="D2704" t="n">
        <x:v>34</x:v>
      </x:c>
      <x:c r="E2704" t="str">
        <x:v>Advanced</x:v>
      </x:c>
      <x:c r="F2704" t="str">
        <x:v>Standard</x:v>
      </x:c>
      <x:c r="G2704" t="n">
        <x:v>41445</x:v>
      </x:c>
      <x:c r="H2704" t="str">
        <x:v>4980</x:v>
      </x:c>
      <x:c r="I2704" t="str">
        <x:v>https://www.smwcentral.net/?a=details&amp;id=4980&amp;p=section</x:v>
      </x:c>
      <x:c r="J2704" t="str">
        <x:v>https://dl.smwcentral.net/4980/World%20of%20Illusion.zip</x:v>
      </x:c>
    </x:row>
    <x:row r="2705">
      <x:c r="A2705" t="str">
        <x:v>World of Jumps</x:v>
      </x:c>
      <x:c r="B2705" t="str">
        <x:v>World of Jumps</x:v>
      </x:c>
      <x:c r="C2705" t="str">
        <x:v>Maltz</x:v>
      </x:c>
      <x:c r="D2705" t="n">
        <x:v>29</x:v>
      </x:c>
      <x:c r="E2705" t="str">
        <x:v>Expert</x:v>
      </x:c>
      <x:c r="F2705" t="str">
        <x:v>Kaizo</x:v>
      </x:c>
      <x:c r="G2705" t="n">
        <x:v>46030</x:v>
      </x:c>
      <x:c r="H2705" t="str">
        <x:v>41374</x:v>
      </x:c>
      <x:c r="I2705" t="str">
        <x:v>https://www.smwcentral.net/?a=details&amp;id=41374&amp;p=section</x:v>
      </x:c>
      <x:c r="J2705" t="str">
        <x:v>https://dl.smwcentral.net/41374/WorldOfJumps.zip</x:v>
      </x:c>
    </x:row>
    <x:row r="2706">
      <x:c r="A2706" t="str">
        <x:v>World of Shells</x:v>
      </x:c>
      <x:c r="B2706" t="str">
        <x:v>World of Shells</x:v>
      </x:c>
      <x:c r="C2706" t="str">
        <x:v>Riu_69</x:v>
      </x:c>
      <x:c r="D2706" t="n">
        <x:v>11</x:v>
      </x:c>
      <x:c r="E2706" t="str">
        <x:v>Master</x:v>
      </x:c>
      <x:c r="F2706" t="str">
        <x:v>Kaizo</x:v>
      </x:c>
      <x:c r="G2706" t="n">
        <x:v>44929</x:v>
      </x:c>
      <x:c r="H2706" t="str">
        <x:v>32844</x:v>
      </x:c>
      <x:c r="I2706" t="str">
        <x:v>https://www.smwcentral.net/?a=details&amp;id=32844&amp;p=section</x:v>
      </x:c>
      <x:c r="J2706" t="str">
        <x:v>https://dl.smwcentral.net/32844/World%20of%20Shells%20V%201.4.zip</x:v>
      </x:c>
    </x:row>
    <x:row r="2707">
      <x:c r="A2707" t="str">
        <x:v>World's Hardest Hack</x:v>
      </x:c>
      <x:c r="B2707" t="str">
        <x:v>World's Hardest Hack</x:v>
      </x:c>
      <x:c r="C2707" t="str">
        <x:v>Sweetdude</x:v>
      </x:c>
      <x:c r="D2707" t="n">
        <x:v>0</x:v>
      </x:c>
      <x:c r="E2707" t="str">
        <x:v>Advanced</x:v>
      </x:c>
      <x:c r="F2707" t="str">
        <x:v>Kaizo</x:v>
      </x:c>
      <x:c r="G2707" t="n">
        <x:v>44943</x:v>
      </x:c>
      <x:c r="H2707" t="str">
        <x:v>32940</x:v>
      </x:c>
      <x:c r="I2707" t="str">
        <x:v>https://www.smwcentral.net/?a=details&amp;id=32940&amp;p=section</x:v>
      </x:c>
      <x:c r="J2707" t="str">
        <x:v>https://dl.smwcentral.net/32940/CoolMathHacks.zip</x:v>
      </x:c>
    </x:row>
    <x:row r="2708">
      <x:c r="A2708" t="str">
        <x:v>worm</x:v>
      </x:c>
      <x:c r="B2708" t="str">
        <x:v>worm</x:v>
      </x:c>
      <x:c r="C2708" t="str">
        <x:v>PopCorn181</x:v>
      </x:c>
      <x:c r="D2708" t="n">
        <x:v>4</x:v>
      </x:c>
      <x:c r="E2708" t="str">
        <x:v>Intermediate</x:v>
      </x:c>
      <x:c r="F2708" t="str">
        <x:v>Kaizo</x:v>
      </x:c>
      <x:c r="G2708" t="n">
        <x:v>45802</x:v>
      </x:c>
      <x:c r="H2708" t="str">
        <x:v>39888</x:v>
      </x:c>
      <x:c r="I2708" t="str">
        <x:v>https://www.smwcentral.net/?a=details&amp;id=39888&amp;p=section</x:v>
      </x:c>
      <x:c r="J2708" t="str">
        <x:v>https://dl.smwcentral.net/39888/worm.zip</x:v>
      </x:c>
    </x:row>
    <x:row r="2709">
      <x:c r="A2709" t="str">
        <x:v>Wrath of Bowser</x:v>
      </x:c>
      <x:c r="B2709" t="str">
        <x:v>Wrath of Bowser</x:v>
      </x:c>
      <x:c r="C2709" t="str">
        <x:v>Tubbaluvin</x:v>
      </x:c>
      <x:c r="D2709" t="n">
        <x:v>10</x:v>
      </x:c>
      <x:c r="E2709" t="str">
        <x:v>Master</x:v>
      </x:c>
      <x:c r="F2709" t="str">
        <x:v>Kaizo</x:v>
      </x:c>
      <x:c r="G2709" t="n">
        <x:v>43860</x:v>
      </x:c>
      <x:c r="H2709" t="str">
        <x:v>22025</x:v>
      </x:c>
      <x:c r="I2709" t="str">
        <x:v>https://www.smwcentral.net/?a=details&amp;id=22025&amp;p=section</x:v>
      </x:c>
      <x:c r="J2709" t="str">
        <x:v>https://dl.smwcentral.net/22025/WrathOfBowserV1_1.zip</x:v>
      </x:c>
    </x:row>
    <x:row r="2710">
      <x:c r="A2710" t="str">
        <x:v>Wrecking Crew '98</x:v>
      </x:c>
      <x:c r="B2710" t="str">
        <x:v>Wrecking Crew '98</x:v>
      </x:c>
      <x:c r="C2710" t="str">
        <x:v>Big Brawler</x:v>
      </x:c>
      <x:c r="D2710" t="n">
        <x:v>18</x:v>
      </x:c>
      <x:c r="E2710" t="str">
        <x:v>Intermediate</x:v>
      </x:c>
      <x:c r="F2710" t="str">
        <x:v>Standard</x:v>
      </x:c>
      <x:c r="G2710" t="n">
        <x:v>42523</x:v>
      </x:c>
      <x:c r="H2710" t="str">
        <x:v>13765</x:v>
      </x:c>
      <x:c r="I2710" t="str">
        <x:v>https://www.smwcentral.net/?a=details&amp;id=13765&amp;p=section</x:v>
      </x:c>
      <x:c r="J2710" t="str">
        <x:v>https://dl.smwcentral.net/13765/Wrecking%20Crew%20%2798%20v1.3.zip</x:v>
      </x:c>
    </x:row>
    <x:row r="2711">
      <x:c r="A2711" t="str">
        <x:v>X-Drive</x:v>
      </x:c>
      <x:c r="B2711" t="str">
        <x:v>X-Drive</x:v>
      </x:c>
      <x:c r="C2711" t="str">
        <x:v>Aurel509, Kourauh, MrJ'lien</x:v>
      </x:c>
      <x:c r="D2711" t="n">
        <x:v>67</x:v>
      </x:c>
      <x:c r="E2711" t="str">
        <x:v>Advanced</x:v>
      </x:c>
      <x:c r="F2711" t="str">
        <x:v>Standard</x:v>
      </x:c>
      <x:c r="G2711" t="n">
        <x:v>45039</x:v>
      </x:c>
      <x:c r="H2711" t="str">
        <x:v>33559</x:v>
      </x:c>
      <x:c r="I2711" t="str">
        <x:v>https://www.smwcentral.net/?a=details&amp;id=33559&amp;p=section</x:v>
      </x:c>
      <x:c r="J2711" t="str">
        <x:v>https://dl.smwcentral.net/33559/XDrive%20-%20v1.0.2.zip</x:v>
      </x:c>
    </x:row>
    <x:row r="2712">
      <x:c r="A2712" t="str">
        <x:v>Xka Shack</x:v>
      </x:c>
      <x:c r="B2712" t="str">
        <x:v>Xka Shack</x:v>
      </x:c>
      <x:c r="C2712" t="str">
        <x:v>Smallhacker, smkdan</x:v>
      </x:c>
      <x:c r="D2712" t="n">
        <x:v>4</x:v>
      </x:c>
      <x:c r="E2712" t="str">
        <x:v>Casual</x:v>
      </x:c>
      <x:c r="F2712" t="str">
        <x:v>Standard</x:v>
      </x:c>
      <x:c r="G2712" t="n">
        <x:v>43221</x:v>
      </x:c>
      <x:c r="H2712" t="str">
        <x:v>17482</x:v>
      </x:c>
      <x:c r="I2712" t="str">
        <x:v>https://www.smwcentral.net/?a=details&amp;id=17482&amp;p=section</x:v>
      </x:c>
      <x:c r="J2712" t="str">
        <x:v>https://dl.smwcentral.net/17482/xka_shack.zip</x:v>
      </x:c>
    </x:row>
    <x:row r="2713">
      <x:c r="A2713" t="str">
        <x:v>Xulaph Kaizo World</x:v>
      </x:c>
      <x:c r="B2713" t="str">
        <x:v>Xulaph Kaizo World</x:v>
      </x:c>
      <x:c r="C2713" t="str">
        <x:v>TheMURAmatsu</x:v>
      </x:c>
      <x:c r="D2713" t="n">
        <x:v>14</x:v>
      </x:c>
      <x:c r="E2713" t="str">
        <x:v>Expert</x:v>
      </x:c>
      <x:c r="F2713" t="str">
        <x:v>Kaizo</x:v>
      </x:c>
      <x:c r="G2713" t="n">
        <x:v>43922</x:v>
      </x:c>
      <x:c r="H2713" t="str">
        <x:v>22346</x:v>
      </x:c>
      <x:c r="I2713" t="str">
        <x:v>https://www.smwcentral.net/?a=details&amp;id=22346&amp;p=section</x:v>
      </x:c>
      <x:c r="J2713" t="str">
        <x:v>https://dl.smwcentral.net/22346/Xulaph_Kaizo_World.zip</x:v>
      </x:c>
    </x:row>
    <x:row r="2714">
      <x:c r="A2714" t="str">
        <x:v>Yahoo!!</x:v>
      </x:c>
      <x:c r="B2714" t="str">
        <x:v>Yahoo!!</x:v>
      </x:c>
      <x:c r="C2714" t="str">
        <x:v>Mousejuggler</x:v>
      </x:c>
      <x:c r="D2714" t="n">
        <x:v>2</x:v>
      </x:c>
      <x:c r="E2714" t="str">
        <x:v>Advanced</x:v>
      </x:c>
      <x:c r="F2714" t="str">
        <x:v>Standard, Kaizo</x:v>
      </x:c>
      <x:c r="G2714" t="n">
        <x:v>45765</x:v>
      </x:c>
      <x:c r="H2714" t="str">
        <x:v>39510</x:v>
      </x:c>
      <x:c r="I2714" t="str">
        <x:v>https://www.smwcentral.net/?a=details&amp;id=39510&amp;p=section</x:v>
      </x:c>
      <x:c r="J2714" t="str">
        <x:v>https://dl.smwcentral.net/39510/Yahoo%21%21.zip</x:v>
      </x:c>
    </x:row>
    <x:row r="2715">
      <x:c r="A2715" t="str">
        <x:v>Yank 2</x:v>
      </x:c>
      <x:c r="B2715" t="str">
        <x:v>Yank 2</x:v>
      </x:c>
      <x:c r="C2715" t="str">
        <x:v>placeholdertest</x:v>
      </x:c>
      <x:c r="D2715" t="n">
        <x:v>12</x:v>
      </x:c>
      <x:c r="E2715" t="str">
        <x:v>Advanced</x:v>
      </x:c>
      <x:c r="F2715" t="str">
        <x:v>Kaizo</x:v>
      </x:c>
      <x:c r="G2715" t="n">
        <x:v>44318</x:v>
      </x:c>
      <x:c r="H2715" t="str">
        <x:v>26899</x:v>
      </x:c>
      <x:c r="I2715" t="str">
        <x:v>https://www.smwcentral.net/?a=details&amp;id=26899&amp;p=section</x:v>
      </x:c>
      <x:c r="J2715" t="str">
        <x:v>https://dl.smwcentral.net/26899/Yank%202.zip</x:v>
      </x:c>
    </x:row>
    <x:row r="2716">
      <x:c r="A2716" t="str">
        <x:v>Yet Another SMW Hack</x:v>
      </x:c>
      <x:c r="B2716" t="str">
        <x:v>Yet Another SMW Hack</x:v>
      </x:c>
      <x:c r="C2716" t="str">
        <x:v>JP32</x:v>
      </x:c>
      <x:c r="D2716" t="n">
        <x:v>33</x:v>
      </x:c>
      <x:c r="E2716" t="str">
        <x:v>Intermediate</x:v>
      </x:c>
      <x:c r="F2716" t="str">
        <x:v>Standard</x:v>
      </x:c>
      <x:c r="G2716" t="n">
        <x:v>42946</x:v>
      </x:c>
      <x:c r="H2716" t="str">
        <x:v>15893</x:v>
      </x:c>
      <x:c r="I2716" t="str">
        <x:v>https://www.smwcentral.net/?a=details&amp;id=15893&amp;p=section</x:v>
      </x:c>
      <x:c r="J2716" t="str">
        <x:v>https://dl.smwcentral.net/15893/YASH%20F1.0.zip</x:v>
      </x:c>
    </x:row>
    <x:row r="2717">
      <x:c r="A2717" t="str">
        <x:v>Yet Another Super Mario Adventure</x:v>
      </x:c>
      <x:c r="B2717" t="str">
        <x:v>Yet Another Super Mario Adventure</x:v>
      </x:c>
      <x:c r="C2717" t="str">
        <x:v>Anonymous</x:v>
      </x:c>
      <x:c r="D2717" t="n">
        <x:v>10</x:v>
      </x:c>
      <x:c r="E2717" t="str">
        <x:v>Intermediate</x:v>
      </x:c>
      <x:c r="F2717" t="str">
        <x:v>Standard</x:v>
      </x:c>
      <x:c r="G2717" t="n">
        <x:v>44153</x:v>
      </x:c>
      <x:c r="H2717" t="str">
        <x:v>25198</x:v>
      </x:c>
      <x:c r="I2717" t="str">
        <x:v>https://www.smwcentral.net/?a=details&amp;id=25198&amp;p=section</x:v>
      </x:c>
      <x:c r="J2717" t="str">
        <x:v>https://dl.smwcentral.net/25198/Yet%20Another%20Super%20Mario%20Adventure%20Demo.zip</x:v>
      </x:c>
    </x:row>
    <x:row r="2718">
      <x:c r="A2718" t="str">
        <x:v>YF10CBTTHNTDWTL</x:v>
      </x:c>
      <x:c r="B2718" t="str">
        <x:v>YF10CBTTHNTDWTL</x:v>
      </x:c>
      <x:c r="C2718" t="str">
        <x:v>Shizufuzu</x:v>
      </x:c>
      <x:c r="D2718" t="n">
        <x:v>1</x:v>
      </x:c>
      <x:c r="E2718" t="str">
        <x:v>Intermediate</x:v>
      </x:c>
      <x:c r="F2718" t="str">
        <x:v>Standard</x:v>
      </x:c>
      <x:c r="G2718" t="n">
        <x:v>42209</x:v>
      </x:c>
      <x:c r="H2718" t="str">
        <x:v>11769</x:v>
      </x:c>
      <x:c r="I2718" t="str">
        <x:v>https://www.smwcentral.net/?a=details&amp;id=11769&amp;p=section</x:v>
      </x:c>
      <x:c r="J2718" t="str">
        <x:v>https://dl.smwcentral.net/11769/YF10CBTTHNTDWTL.zip</x:v>
      </x:c>
    </x:row>
    <x:row r="2719">
      <x:c r="A2719" t="str">
        <x:v>Yikes Kaizo World</x:v>
      </x:c>
      <x:c r="B2719" t="str">
        <x:v>Yikes Kaizo World</x:v>
      </x:c>
      <x:c r="C2719" t="str">
        <x:v>jquery861</x:v>
      </x:c>
      <x:c r="D2719" t="n">
        <x:v>15</x:v>
      </x:c>
      <x:c r="E2719" t="str">
        <x:v>Expert</x:v>
      </x:c>
      <x:c r="F2719" t="str">
        <x:v>Kaizo</x:v>
      </x:c>
      <x:c r="G2719" t="n">
        <x:v>44504</x:v>
      </x:c>
      <x:c r="H2719" t="str">
        <x:v>28710</x:v>
      </x:c>
      <x:c r="I2719" t="str">
        <x:v>https://www.smwcentral.net/?a=details&amp;id=28710&amp;p=section</x:v>
      </x:c>
      <x:c r="J2719" t="str">
        <x:v>https://dl.smwcentral.net/28710/YikesKaizoWorld_v1.0.zip</x:v>
      </x:c>
    </x:row>
    <x:row r="2720">
      <x:c r="A2720" t="str">
        <x:v>YNT MARIO</x:v>
      </x:c>
      <x:c r="B2720" t="str">
        <x:v>YNT MARIO</x:v>
      </x:c>
      <x:c r="C2720" t="str">
        <x:v>YNT, astm</x:v>
      </x:c>
      <x:c r="D2720" t="n">
        <x:v>113</x:v>
      </x:c>
      <x:c r="E2720" t="str">
        <x:v>Expert</x:v>
      </x:c>
      <x:c r="F2720" t="str">
        <x:v>Standard</x:v>
      </x:c>
      <x:c r="G2720" t="n">
        <x:v>46201</x:v>
      </x:c>
      <x:c r="H2720" t="str">
        <x:v>42427</x:v>
      </x:c>
      <x:c r="I2720" t="str">
        <x:v>https://www.smwcentral.net/?a=details&amp;id=42427&amp;p=section</x:v>
      </x:c>
      <x:c r="J2720" t="str">
        <x:v>https://dl.smwcentral.net/42427/ynt_mario_en_v1.0.6.zip</x:v>
      </x:c>
    </x:row>
    <x:row r="2721">
      <x:c r="A2721" t="str">
        <x:v>Yo mama is fat</x:v>
      </x:c>
      <x:c r="B2721" t="str">
        <x:v>Yo mama is fat</x:v>
      </x:c>
      <x:c r="C2721" t="str">
        <x:v>Aguni_</x:v>
      </x:c>
      <x:c r="D2721" t="n">
        <x:v>11</x:v>
      </x:c>
      <x:c r="E2721" t="str">
        <x:v>Intermediate</x:v>
      </x:c>
      <x:c r="F2721" t="str">
        <x:v>Standard</x:v>
      </x:c>
      <x:c r="G2721" t="n">
        <x:v>43272</x:v>
      </x:c>
      <x:c r="H2721" t="str">
        <x:v>17614</x:v>
      </x:c>
      <x:c r="I2721" t="str">
        <x:v>https://www.smwcentral.net/?a=details&amp;id=17614&amp;p=section</x:v>
      </x:c>
      <x:c r="J2721" t="str">
        <x:v>https://dl.smwcentral.net/17614/Yo%20mama%20is%20fat.zip</x:v>
      </x:c>
    </x:row>
    <x:row r="2722">
      <x:c r="A2722" t="str">
        <x:v>YoHo</x:v>
      </x:c>
      <x:c r="B2722" t="str">
        <x:v>YoHo</x:v>
      </x:c>
      <x:c r="C2722" t="str">
        <x:v>neidoodle</x:v>
      </x:c>
      <x:c r="D2722" t="n">
        <x:v>4</x:v>
      </x:c>
      <x:c r="E2722" t="str">
        <x:v>Master</x:v>
      </x:c>
      <x:c r="F2722" t="str">
        <x:v>Kaizo</x:v>
      </x:c>
      <x:c r="G2722" t="n">
        <x:v>44284</x:v>
      </x:c>
      <x:c r="H2722" t="str">
        <x:v>26473</x:v>
      </x:c>
      <x:c r="I2722" t="str">
        <x:v>https://www.smwcentral.net/?a=details&amp;id=26473&amp;p=section</x:v>
      </x:c>
      <x:c r="J2722" t="str">
        <x:v>https://dl.smwcentral.net/26473/YoHo1.4.zip</x:v>
      </x:c>
    </x:row>
    <x:row r="2723">
      <x:c r="A2723" t="str">
        <x:v>YoHo Adventure</x:v>
      </x:c>
      <x:c r="B2723" t="str">
        <x:v>YoHo Adventure</x:v>
      </x:c>
      <x:c r="C2723" t="str">
        <x:v>neidoodle</x:v>
      </x:c>
      <x:c r="D2723" t="n">
        <x:v>7</x:v>
      </x:c>
      <x:c r="E2723" t="str">
        <x:v>Casual</x:v>
      </x:c>
      <x:c r="F2723" t="str">
        <x:v>Standard</x:v>
      </x:c>
      <x:c r="G2723" t="n">
        <x:v>44314</x:v>
      </x:c>
      <x:c r="H2723" t="str">
        <x:v>26657</x:v>
      </x:c>
      <x:c r="I2723" t="str">
        <x:v>https://www.smwcentral.net/?a=details&amp;id=26657&amp;p=section</x:v>
      </x:c>
      <x:c r="J2723" t="str">
        <x:v>https://dl.smwcentral.net/26657/YoHo%20Adventure.zip</x:v>
      </x:c>
    </x:row>
    <x:row r="2724">
      <x:c r="A2724" t="str">
        <x:v>Yoshi Is Missing!</x:v>
      </x:c>
      <x:c r="B2724" t="str">
        <x:v>Yoshi Is Missing!</x:v>
      </x:c>
      <x:c r="C2724" t="str">
        <x:v>S.L</x:v>
      </x:c>
      <x:c r="D2724" t="n">
        <x:v>14</x:v>
      </x:c>
      <x:c r="E2724" t="str">
        <x:v>Newcomer</x:v>
      </x:c>
      <x:c r="F2724" t="str">
        <x:v>Standard</x:v>
      </x:c>
      <x:c r="G2724" t="n">
        <x:v>42210</x:v>
      </x:c>
      <x:c r="H2724" t="str">
        <x:v>9770</x:v>
      </x:c>
      <x:c r="I2724" t="str">
        <x:v>https://www.smwcentral.net/?a=details&amp;id=9770&amp;p=section</x:v>
      </x:c>
      <x:c r="J2724" t="str">
        <x:v>https://dl.smwcentral.net/9770/Yoshi%20is%20missing%20%21.zip</x:v>
      </x:c>
    </x:row>
    <x:row r="2725">
      <x:c r="A2725" t="str">
        <x:v>Yoshi Saves Summer Vacation</x:v>
      </x:c>
      <x:c r="B2725" t="str">
        <x:v>Yoshi Saves Summer Vacation</x:v>
      </x:c>
      <x:c r="C2725" t="str">
        <x:v>El Cuh Fermin</x:v>
      </x:c>
      <x:c r="D2725" t="n">
        <x:v>11</x:v>
      </x:c>
      <x:c r="E2725" t="str">
        <x:v>Casual</x:v>
      </x:c>
      <x:c r="F2725" t="str">
        <x:v>Standard</x:v>
      </x:c>
      <x:c r="G2725" t="n">
        <x:v>45093</x:v>
      </x:c>
      <x:c r="H2725" t="str">
        <x:v>34071</x:v>
      </x:c>
      <x:c r="I2725" t="str">
        <x:v>https://www.smwcentral.net/?a=details&amp;id=34071&amp;p=section</x:v>
      </x:c>
      <x:c r="J2725" t="str">
        <x:v>https://dl.smwcentral.net/34071/Yoshi%20Saves%20Summer%20Vacation.zip</x:v>
      </x:c>
    </x:row>
    <x:row r="2726">
      <x:c r="A2726" t="str">
        <x:v>Yoshi Surfer 5000</x:v>
      </x:c>
      <x:c r="B2726" t="str">
        <x:v>Yoshi Surfer 5000</x:v>
      </x:c>
      <x:c r="C2726" t="str">
        <x:v>VLSkoot</x:v>
      </x:c>
      <x:c r="D2726" t="n">
        <x:v>5</x:v>
      </x:c>
      <x:c r="E2726" t="str">
        <x:v>Expert</x:v>
      </x:c>
      <x:c r="F2726" t="str">
        <x:v>Kaizo</x:v>
      </x:c>
      <x:c r="G2726" t="n">
        <x:v>43588</x:v>
      </x:c>
      <x:c r="H2726" t="str">
        <x:v>19699</x:v>
      </x:c>
      <x:c r="I2726" t="str">
        <x:v>https://www.smwcentral.net/?a=details&amp;id=19699&amp;p=section</x:v>
      </x:c>
      <x:c r="J2726" t="str">
        <x:v>https://dl.smwcentral.net/19699/Yoshi%20Surfer%205000.zip</x:v>
      </x:c>
    </x:row>
    <x:row r="2727">
      <x:c r="A2727" t="str">
        <x:v>Yoshi's Crack House</x:v>
      </x:c>
      <x:c r="B2727" t="str">
        <x:v>Yoshi's Crack House</x:v>
      </x:c>
      <x:c r="C2727" t="str">
        <x:v>MilkyMooer</x:v>
      </x:c>
      <x:c r="D2727" t="n">
        <x:v>12</x:v>
      </x:c>
      <x:c r="E2727" t="str">
        <x:v>Advanced</x:v>
      </x:c>
      <x:c r="F2727" t="str">
        <x:v>Standard</x:v>
      </x:c>
      <x:c r="G2727" t="n">
        <x:v>44586</x:v>
      </x:c>
      <x:c r="H2727" t="str">
        <x:v>29590</x:v>
      </x:c>
      <x:c r="I2727" t="str">
        <x:v>https://www.smwcentral.net/?a=details&amp;id=29590&amp;p=section</x:v>
      </x:c>
      <x:c r="J2727" t="str">
        <x:v>https://dl.smwcentral.net/29590/Yoshis_Crack_House.zip</x:v>
      </x:c>
    </x:row>
    <x:row r="2728">
      <x:c r="A2728" t="str">
        <x:v>Yoshi's Emergency</x:v>
      </x:c>
      <x:c r="B2728" t="str">
        <x:v>Yoshi's Emergency</x:v>
      </x:c>
      <x:c r="C2728" t="str">
        <x:v>Brad172</x:v>
      </x:c>
      <x:c r="D2728" t="n">
        <x:v>21</x:v>
      </x:c>
      <x:c r="E2728" t="str">
        <x:v>Newcomer</x:v>
      </x:c>
      <x:c r="F2728" t="str">
        <x:v>Standard</x:v>
      </x:c>
      <x:c r="G2728" t="n">
        <x:v>42277</x:v>
      </x:c>
      <x:c r="H2728" t="str">
        <x:v>10072</x:v>
      </x:c>
      <x:c r="I2728" t="str">
        <x:v>https://www.smwcentral.net/?a=details&amp;id=10072&amp;p=section</x:v>
      </x:c>
      <x:c r="J2728" t="str">
        <x:v>https://dl.smwcentral.net/10072/Yoshi%27s%20Emergency.zip</x:v>
      </x:c>
    </x:row>
    <x:row r="2729">
      <x:c r="A2729" t="str">
        <x:v>Yoshi's rescue run</x:v>
      </x:c>
      <x:c r="B2729" t="str">
        <x:v>Yoshi's rescue run</x:v>
      </x:c>
      <x:c r="C2729" t="str">
        <x:v>mikeeeeee83</x:v>
      </x:c>
      <x:c r="D2729" t="n">
        <x:v>13</x:v>
      </x:c>
      <x:c r="E2729" t="str">
        <x:v>Advanced</x:v>
      </x:c>
      <x:c r="F2729" t="str">
        <x:v>Kaizo</x:v>
      </x:c>
      <x:c r="G2729" t="n">
        <x:v>45324</x:v>
      </x:c>
      <x:c r="H2729" t="str">
        <x:v>36719</x:v>
      </x:c>
      <x:c r="I2729" t="str">
        <x:v>https://www.smwcentral.net/?a=details&amp;id=36719&amp;p=section</x:v>
      </x:c>
      <x:c r="J2729" t="str">
        <x:v>https://dl.smwcentral.net/36719/Yoshisrescuerun1.2%20%282%29.zip</x:v>
      </x:c>
    </x:row>
    <x:row r="2730">
      <x:c r="A2730" t="str">
        <x:v>Yoshi's Revenge</x:v>
      </x:c>
      <x:c r="B2730" t="str">
        <x:v>Yoshi's Revenge</x:v>
      </x:c>
      <x:c r="C2730" t="str">
        <x:v>Oskise</x:v>
      </x:c>
      <x:c r="D2730" t="n">
        <x:v>46</x:v>
      </x:c>
      <x:c r="E2730" t="str">
        <x:v>Master</x:v>
      </x:c>
      <x:c r="F2730" t="str">
        <x:v>Kaizo</x:v>
      </x:c>
      <x:c r="G2730" t="n">
        <x:v>46198</x:v>
      </x:c>
      <x:c r="H2730" t="str">
        <x:v>42385</x:v>
      </x:c>
      <x:c r="I2730" t="str">
        <x:v>https://www.smwcentral.net/?a=details&amp;id=42385&amp;p=section</x:v>
      </x:c>
      <x:c r="J2730" t="str">
        <x:v>https://dl.smwcentral.net/42385/Yoshi%27s%20Revenge%201.1.1.zip</x:v>
      </x:c>
    </x:row>
    <x:row r="2731">
      <x:c r="A2731" t="str">
        <x:v>Yoshi's Strange Quest</x:v>
      </x:c>
      <x:c r="B2731" t="str">
        <x:v>Yoshi's Strange Quest</x:v>
      </x:c>
      <x:c r="C2731" t="str">
        <x:v>yoshifanatic</x:v>
      </x:c>
      <x:c r="D2731" t="n">
        <x:v>100</x:v>
      </x:c>
      <x:c r="E2731" t="str">
        <x:v>Master</x:v>
      </x:c>
      <x:c r="F2731" t="str">
        <x:v>Standard</x:v>
      </x:c>
      <x:c r="G2731" t="n">
        <x:v>42069</x:v>
      </x:c>
      <x:c r="H2731" t="str">
        <x:v>10302</x:v>
      </x:c>
      <x:c r="I2731" t="str">
        <x:v>https://www.smwcentral.net/?a=details&amp;id=10302&amp;p=section</x:v>
      </x:c>
      <x:c r="J2731" t="str">
        <x:v>https://dl.smwcentral.net/10302/YSQ%20V1.3.zip</x:v>
      </x:c>
    </x:row>
    <x:row r="2732">
      <x:c r="A2732" t="str">
        <x:v>Yoshi: Super Dinosaur</x:v>
      </x:c>
      <x:c r="B2732" t="str">
        <x:v>Yoshi: Super Dinosaur</x:v>
      </x:c>
      <x:c r="C2732" t="str">
        <x:v>Kyouken</x:v>
      </x:c>
      <x:c r="D2732" t="n">
        <x:v>5</x:v>
      </x:c>
      <x:c r="E2732" t="str">
        <x:v>Intermediate</x:v>
      </x:c>
      <x:c r="F2732" t="str">
        <x:v>Standard</x:v>
      </x:c>
      <x:c r="G2732" t="n">
        <x:v>42264</x:v>
      </x:c>
      <x:c r="H2732" t="str">
        <x:v>10029</x:v>
      </x:c>
      <x:c r="I2732" t="str">
        <x:v>https://www.smwcentral.net/?a=details&amp;id=10029&amp;p=section</x:v>
      </x:c>
      <x:c r="J2732" t="str">
        <x:v>https://dl.smwcentral.net/10029/Yoshi%20-%20Super%20Dinosaur.zip</x:v>
      </x:c>
    </x:row>
    <x:row r="2733">
      <x:c r="A2733" t="str">
        <x:v>Yoshiro</x:v>
      </x:c>
      <x:c r="B2733" t="str">
        <x:v>Yoshiro</x:v>
      </x:c>
      <x:c r="C2733" t="str">
        <x:v>Yoshiro</x:v>
      </x:c>
      <x:c r="D2733" t="n">
        <x:v>30</x:v>
      </x:c>
      <x:c r="E2733" t="str">
        <x:v>Casual</x:v>
      </x:c>
      <x:c r="F2733" t="str">
        <x:v>Standard</x:v>
      </x:c>
      <x:c r="G2733" t="n">
        <x:v>42268</x:v>
      </x:c>
      <x:c r="H2733" t="str">
        <x:v>10024</x:v>
      </x:c>
      <x:c r="I2733" t="str">
        <x:v>https://www.smwcentral.net/?a=details&amp;id=10024&amp;p=section</x:v>
      </x:c>
      <x:c r="J2733" t="str">
        <x:v>https://dl.smwcentral.net/10024/Yoshirofullversion1.1.zip</x:v>
      </x:c>
    </x:row>
    <x:row r="2734">
      <x:c r="A2734" t="str">
        <x:v>You Are Just A Blue Switch</x:v>
      </x:c>
      <x:c r="B2734" t="str">
        <x:v>You Are Just A Blue Switch</x:v>
      </x:c>
      <x:c r="C2734" t="str">
        <x:v>Daizo Dee Von</x:v>
      </x:c>
      <x:c r="D2734" t="n">
        <x:v>0</x:v>
      </x:c>
      <x:c r="E2734" t="str">
        <x:v>Intermediate</x:v>
      </x:c>
      <x:c r="F2734" t="str">
        <x:v>Standard</x:v>
      </x:c>
      <x:c r="G2734" t="n">
        <x:v>45853</x:v>
      </x:c>
      <x:c r="H2734" t="str">
        <x:v>40107</x:v>
      </x:c>
      <x:c r="I2734" t="str">
        <x:v>https://www.smwcentral.net/?a=details&amp;id=40107&amp;p=section</x:v>
      </x:c>
      <x:c r="J2734" t="str">
        <x:v>https://dl.smwcentral.net/40107/%5BHack%5D%20You%20Are%20Just%20A%20Blue%20Switch%20v1.03.zip</x:v>
      </x:c>
    </x:row>
    <x:row r="2735">
      <x:c r="A2735" t="str">
        <x:v>You Have No Life</x:v>
      </x:c>
      <x:c r="B2735" t="str">
        <x:v>You Have No Life</x:v>
      </x:c>
      <x:c r="C2735" t="str">
        <x:v>Anonymous</x:v>
      </x:c>
      <x:c r="D2735" t="n">
        <x:v>5</x:v>
      </x:c>
      <x:c r="E2735" t="str">
        <x:v>Expert</x:v>
      </x:c>
      <x:c r="F2735" t="str">
        <x:v>Kaizo</x:v>
      </x:c>
      <x:c r="G2735" t="n">
        <x:v>45768</x:v>
      </x:c>
      <x:c r="H2735" t="str">
        <x:v>39741</x:v>
      </x:c>
      <x:c r="I2735" t="str">
        <x:v>https://www.smwcentral.net/?a=details&amp;id=39741&amp;p=section</x:v>
      </x:c>
      <x:c r="J2735" t="str">
        <x:v>https://dl.smwcentral.net/39741/You%20Have%20No%20Life%20-%20SMW.zip</x:v>
      </x:c>
    </x:row>
    <x:row r="2736">
      <x:c r="A2736" t="str">
        <x:v>You Shell Not Pass</x:v>
      </x:c>
      <x:c r="B2736" t="str">
        <x:v>You Shell Not Pass</x:v>
      </x:c>
      <x:c r="C2736" t="str">
        <x:v>Firstnamebutt, Inflagrandy, robbstermusic</x:v>
      </x:c>
      <x:c r="D2736" t="n">
        <x:v>15</x:v>
      </x:c>
      <x:c r="E2736" t="str">
        <x:v>Expert</x:v>
      </x:c>
      <x:c r="F2736" t="str">
        <x:v>Kaizo</x:v>
      </x:c>
      <x:c r="G2736" t="n">
        <x:v>45534</x:v>
      </x:c>
      <x:c r="H2736" t="str">
        <x:v>38263</x:v>
      </x:c>
      <x:c r="I2736" t="str">
        <x:v>https://www.smwcentral.net/?a=details&amp;id=38263&amp;p=section</x:v>
      </x:c>
      <x:c r="J2736" t="str">
        <x:v>https://dl.smwcentral.net/38263/You%20Shell%20Not%20Pass%201.2.zip</x:v>
      </x:c>
    </x:row>
    <x:row r="2737">
      <x:c r="A2737" t="str">
        <x:v>Yuki Mario</x:v>
      </x:c>
      <x:c r="B2737" t="str">
        <x:v>Yuki Mario</x:v>
      </x:c>
      <x:c r="C2737" t="str">
        <x:v>Rouge</x:v>
      </x:c>
      <x:c r="D2737" t="n">
        <x:v>5</x:v>
      </x:c>
      <x:c r="E2737" t="str">
        <x:v>Casual</x:v>
      </x:c>
      <x:c r="F2737" t="str">
        <x:v>Standard</x:v>
      </x:c>
      <x:c r="G2737" t="n">
        <x:v>44920</x:v>
      </x:c>
      <x:c r="H2737" t="str">
        <x:v>32596</x:v>
      </x:c>
      <x:c r="I2737" t="str">
        <x:v>https://www.smwcentral.net/?a=details&amp;id=32596&amp;p=section</x:v>
      </x:c>
      <x:c r="J2737" t="str">
        <x:v>https://dl.smwcentral.net/32596/Yuki%20Mario%20World%201.zip</x:v>
      </x:c>
    </x:row>
    <x:row r="2738">
      <x:c r="A2738" t="str">
        <x:v>YUMP</x:v>
      </x:c>
      <x:c r="B2738" t="str">
        <x:v>YUMP</x:v>
      </x:c>
      <x:c r="C2738" t="str">
        <x:v>Christina Hendricks, JUMP Team, Lazy</x:v>
      </x:c>
      <x:c r="D2738" t="n">
        <x:v>120</x:v>
      </x:c>
      <x:c r="E2738" t="str">
        <x:v>Expert</x:v>
      </x:c>
      <x:c r="F2738" t="str">
        <x:v>Standard, Kaizo</x:v>
      </x:c>
      <x:c r="G2738" t="n">
        <x:v>42933</x:v>
      </x:c>
      <x:c r="H2738" t="str">
        <x:v>15892</x:v>
      </x:c>
      <x:c r="I2738" t="str">
        <x:v>https://www.smwcentral.net/?a=details&amp;id=15892&amp;p=section</x:v>
      </x:c>
      <x:c r="J2738" t="str">
        <x:v>https://dl.smwcentral.net/15892/yumpy%20boy.zip</x:v>
      </x:c>
    </x:row>
    <x:row r="2739">
      <x:c r="A2739" t="str">
        <x:v>YUMP 2</x:v>
      </x:c>
      <x:c r="B2739" t="str">
        <x:v>YUMP 2</x:v>
      </x:c>
      <x:c r="C2739" t="str">
        <x:v>JUMP Team, Lazy</x:v>
      </x:c>
      <x:c r="D2739" t="n">
        <x:v>104</x:v>
      </x:c>
      <x:c r="E2739" t="str">
        <x:v>Expert</x:v>
      </x:c>
      <x:c r="F2739" t="str">
        <x:v>Standard, Kaizo</x:v>
      </x:c>
      <x:c r="G2739" t="n">
        <x:v>44030</x:v>
      </x:c>
      <x:c r="H2739" t="str">
        <x:v>23778</x:v>
      </x:c>
      <x:c r="I2739" t="str">
        <x:v>https://www.smwcentral.net/?a=details&amp;id=23778&amp;p=section</x:v>
      </x:c>
      <x:c r="J2739" t="str">
        <x:v>https://dl.smwcentral.net/23778/YUMP%202.zip</x:v>
      </x:c>
    </x:row>
    <x:row r="2740">
      <x:c r="A2740" t="str">
        <x:v>Zap &amp; Lena Adventures</x:v>
      </x:c>
      <x:c r="B2740" t="str">
        <x:v>Zap &amp; Lena Adventures</x:v>
      </x:c>
      <x:c r="C2740" t="str">
        <x:v>LucasMegaStriker</x:v>
      </x:c>
      <x:c r="D2740" t="n">
        <x:v>19</x:v>
      </x:c>
      <x:c r="E2740" t="str">
        <x:v>Intermediate</x:v>
      </x:c>
      <x:c r="F2740" t="str">
        <x:v>Standard</x:v>
      </x:c>
      <x:c r="G2740" t="n">
        <x:v>43971</x:v>
      </x:c>
      <x:c r="H2740" t="str">
        <x:v>23031</x:v>
      </x:c>
      <x:c r="I2740" t="str">
        <x:v>https://www.smwcentral.net/?a=details&amp;id=23031&amp;p=section</x:v>
      </x:c>
      <x:c r="J2740" t="str">
        <x:v>https://dl.smwcentral.net/23031/ZapLenaAdventures.zip</x:v>
      </x:c>
    </x:row>
    <x:row r="2741">
      <x:c r="A2741" t="str">
        <x:v>Zap Lena World</x:v>
      </x:c>
      <x:c r="B2741" t="str">
        <x:v>Zap Lena World</x:v>
      </x:c>
      <x:c r="C2741" t="str">
        <x:v>SKAW Adri</x:v>
      </x:c>
      <x:c r="D2741" t="n">
        <x:v>13</x:v>
      </x:c>
      <x:c r="E2741" t="str">
        <x:v>Advanced</x:v>
      </x:c>
      <x:c r="F2741" t="str">
        <x:v>Kaizo</x:v>
      </x:c>
      <x:c r="G2741" t="n">
        <x:v>44084</x:v>
      </x:c>
      <x:c r="H2741" t="str">
        <x:v>24421</x:v>
      </x:c>
      <x:c r="I2741" t="str">
        <x:v>https://www.smwcentral.net/?a=details&amp;id=24421&amp;p=section</x:v>
      </x:c>
      <x:c r="J2741" t="str">
        <x:v>https://dl.smwcentral.net/24421/Zap%20Lena%20World%20v1.2.zip</x:v>
      </x:c>
    </x:row>
    <x:row r="2742">
      <x:c r="A2742" t="str">
        <x:v>Zeldara's Glitch City v147</x:v>
      </x:c>
      <x:c r="B2742" t="str">
        <x:v>Zeldara's Glitch City v147</x:v>
      </x:c>
      <x:c r="C2742" t="str">
        <x:v>Karisa</x:v>
      </x:c>
      <x:c r="D2742" t="n">
        <x:v>64</x:v>
      </x:c>
      <x:c r="E2742" t="str">
        <x:v>Casual</x:v>
      </x:c>
      <x:c r="F2742" t="str">
        <x:v>Standard</x:v>
      </x:c>
      <x:c r="G2742" t="n">
        <x:v>42939</x:v>
      </x:c>
      <x:c r="H2742" t="str">
        <x:v>15935</x:v>
      </x:c>
      <x:c r="I2742" t="str">
        <x:v>https://www.smwcentral.net/?a=details&amp;id=15935&amp;p=section</x:v>
      </x:c>
      <x:c r="J2742" t="str">
        <x:v>https://dl.smwcentral.net/15935/zgc147.zip</x:v>
      </x:c>
    </x:row>
    <x:row r="2743">
      <x:c r="A2743" t="str">
        <x:v>~ Sure Shot ~ featuring Sonic the Hedgehog DELUXE EDITION</x:v>
      </x:c>
      <x:c r="B2743" t="str">
        <x:v>~ Sure Shot ~ featuring Sonic the Hedgehog DELUXE EDITION</x:v>
      </x:c>
      <x:c r="C2743" t="str">
        <x:v>YMM, margot</x:v>
      </x:c>
      <x:c r="D2743" t="n">
        <x:v>11</x:v>
      </x:c>
      <x:c r="E2743" t="str">
        <x:v>Advanced</x:v>
      </x:c>
      <x:c r="F2743" t="str">
        <x:v>Kaizo</x:v>
      </x:c>
      <x:c r="G2743" t="n">
        <x:v>44886</x:v>
      </x:c>
      <x:c r="H2743" t="str">
        <x:v>32587</x:v>
      </x:c>
      <x:c r="I2743" t="str">
        <x:v>https://www.smwcentral.net/?a=details&amp;id=32587&amp;p=section</x:v>
      </x:c>
      <x:c r="J2743" t="str">
        <x:v>https://dl.smwcentral.net/32587/Sure%20Shot.zip</x:v>
      </x:c>
    </x:row>
    <x:row r="2744">
      <x:c r="A2744" t="str">
        <x:v>~omh~</x:v>
      </x:c>
      <x:c r="B2744" t="str">
        <x:v>~omh~</x:v>
      </x:c>
      <x:c r="C2744" t="str">
        <x:v>Daizo Dee Von, Squirrelyman157, Team JANK</x:v>
      </x:c>
      <x:c r="D2744" t="n">
        <x:v>100</x:v>
      </x:c>
      <x:c r="E2744" t="str">
        <x:v>Expert</x:v>
      </x:c>
      <x:c r="F2744" t="str">
        <x:v>Standard</x:v>
      </x:c>
      <x:c r="G2744" t="n">
        <x:v>45452</x:v>
      </x:c>
      <x:c r="H2744" t="str">
        <x:v>35050</x:v>
      </x:c>
      <x:c r="I2744" t="str">
        <x:v>https://www.smwcentral.net/?a=details&amp;id=35050&amp;p=section</x:v>
      </x:c>
      <x:c r="J2744" t="str">
        <x:v>https://dl.smwcentral.net/35050/~omh~%20-%20original%20mario%20hack.zip</x:v>
      </x:c>
    </x:row>
    <x:row r="2745">
      <x:c r="A2745" t="str">
        <x:v>⏱︎ Slow Motion Mario</x:v>
      </x:c>
      <x:c r="B2745" t="str">
        <x:v>⏱︎ Slow Motion Mario</x:v>
      </x:c>
      <x:c r="C2745" t="str">
        <x:v>TheSpreee333</x:v>
      </x:c>
      <x:c r="D2745" t="n">
        <x:v>4</x:v>
      </x:c>
      <x:c r="E2745" t="str">
        <x:v>Expert</x:v>
      </x:c>
      <x:c r="F2745" t="str">
        <x:v>Kaizo</x:v>
      </x:c>
      <x:c r="G2745" t="n">
        <x:v>45716</x:v>
      </x:c>
      <x:c r="H2745" t="str">
        <x:v>39168</x:v>
      </x:c>
      <x:c r="I2745" t="str">
        <x:v>https://www.smwcentral.net/?a=details&amp;id=39168&amp;p=section</x:v>
      </x:c>
      <x:c r="J2745" t="str">
        <x:v>https://dl.smwcentral.net/39168/%E2%8F%B1%EF%B8%8E%20Slow%20Motion%20Mario.zip</x:v>
      </x:c>
    </x:row>
    <x:row r="2746">
      <x:c r="A2746" t="str">
        <x:v>🐭 So 2 Mice Walk Into a Bar... 🐭</x:v>
      </x:c>
      <x:c r="B2746" t="str">
        <x:v>🐭 So 2 Mice Walk Into a Bar... 🐭</x:v>
      </x:c>
      <x:c r="C2746" t="str">
        <x:v>Christina Hendricks, S.N.N.</x:v>
      </x:c>
      <x:c r="D2746" t="n">
        <x:v>18</x:v>
      </x:c>
      <x:c r="E2746" t="str">
        <x:v>Intermediate</x:v>
      </x:c>
      <x:c r="F2746" t="str">
        <x:v>Standard</x:v>
      </x:c>
      <x:c r="G2746" t="n">
        <x:v>43846</x:v>
      </x:c>
      <x:c r="H2746" t="str">
        <x:v>21950</x:v>
      </x:c>
      <x:c r="I2746" t="str">
        <x:v>https://www.smwcentral.net/?a=details&amp;id=21950&amp;p=section</x:v>
      </x:c>
      <x:c r="J2746" t="str">
        <x:v>https://dl.smwcentral.net/21950/so_2_mice_walk_into_a_bar_v1.1.zip</x:v>
      </x:c>
    </x:row>
    <x:row r="2747">
      <x:c r="A2747" t="str">
        <x:v>🐸🥣</x:v>
      </x:c>
      <x:c r="B2747" t="str">
        <x:v>🐸🥣</x:v>
      </x:c>
      <x:c r="C2747" t="str">
        <x:v>Squirrelyman157</x:v>
      </x:c>
      <x:c r="D2747" t="n">
        <x:v>13</x:v>
      </x:c>
      <x:c r="E2747" t="str">
        <x:v>Expert</x:v>
      </x:c>
      <x:c r="F2747" t="str">
        <x:v>Kaizo</x:v>
      </x:c>
      <x:c r="G2747" t="n">
        <x:v>44938</x:v>
      </x:c>
      <x:c r="H2747" t="str">
        <x:v>32897</x:v>
      </x:c>
      <x:c r="I2747" t="str">
        <x:v>https://www.smwcentral.net/?a=details&amp;id=32897&amp;p=section</x:v>
      </x:c>
      <x:c r="J2747" t="str">
        <x:v>https://dl.smwcentral.net/32897/meep.zip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2" hidden="0" customWidth="1"/>
    <x:col min="3" max="3" width="32" hidden="0" customWidth="1"/>
    <x:col min="4" max="4" width="9" hidden="0" customWidth="1"/>
    <x:col min="5" max="5" width="16" hidden="0" customWidth="1"/>
    <x:col min="6" max="6" width="22" hidden="0" customWidth="1"/>
    <x:col min="7" max="7" width="13" hidden="0" customWidth="1"/>
    <x:col min="8" max="8" width="12" hidden="0" customWidth="1"/>
    <x:col min="9" max="9" width="48" hidden="0" customWidth="1"/>
    <x:col min="10" max="10" width="48" hidden="0" customWidth="1"/>
  </x:cols>
  <x:sheetData>
    <x:row r="1">
      <x:c r="A1" s="13" t="str">
        <x:v>Dropdown Selection</x:v>
      </x:c>
      <x:c r="B1" s="14" t="str">
        <x:v>ROM Hack Title</x:v>
      </x:c>
      <x:c r="C1" s="14" t="str">
        <x:v>Created By</x:v>
      </x:c>
      <x:c r="D1" s="14" t="str">
        <x:v>Exits</x:v>
      </x:c>
      <x:c r="E1" s="14" t="str">
        <x:v>Difficulty</x:v>
      </x:c>
      <x:c r="F1" s="14" t="str">
        <x:v>Type</x:v>
      </x:c>
      <x:c r="G1" s="30" t="str">
        <x:v>Added Date</x:v>
      </x:c>
      <x:c r="H1" s="14" t="str">
        <x:v>SMWC ID</x:v>
      </x:c>
      <x:c r="I1" s="14" t="str">
        <x:v>SMWCentral Page URL</x:v>
      </x:c>
      <x:c r="J1" s="15" t="str">
        <x:v>Direct Download URL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2" hidden="0" customWidth="1"/>
    <x:col min="3" max="3" width="32" hidden="0" customWidth="1"/>
    <x:col min="4" max="4" width="9" hidden="0" customWidth="1"/>
    <x:col min="5" max="5" width="16" hidden="0" customWidth="1"/>
    <x:col min="6" max="6" width="22" hidden="0" customWidth="1"/>
    <x:col min="7" max="7" width="13" hidden="0" customWidth="1"/>
    <x:col min="8" max="8" width="12" hidden="0" customWidth="1"/>
    <x:col min="9" max="9" width="48" hidden="0" customWidth="1"/>
    <x:col min="10" max="10" width="48" hidden="0" customWidth="1"/>
  </x:cols>
  <x:sheetData>
    <x:row r="1">
      <x:c r="A1" s="13" t="str">
        <x:v>Dropdown Selection</x:v>
      </x:c>
      <x:c r="B1" s="14" t="str">
        <x:v>ROM Hack Title</x:v>
      </x:c>
      <x:c r="C1" s="14" t="str">
        <x:v>Created By</x:v>
      </x:c>
      <x:c r="D1" s="32" t="str">
        <x:v>Exits</x:v>
      </x:c>
      <x:c r="E1" s="14" t="str">
        <x:v>Difficulty</x:v>
      </x:c>
      <x:c r="F1" s="14" t="str">
        <x:v>Type</x:v>
      </x:c>
      <x:c r="G1" s="30" t="str">
        <x:v>Added Date</x:v>
      </x:c>
      <x:c r="H1" s="14" t="str">
        <x:v>SMWC ID</x:v>
      </x:c>
      <x:c r="I1" s="14" t="str">
        <x:v>SMWCentral Page URL</x:v>
      </x:c>
      <x:c r="J1" s="15" t="str">
        <x:v>Direct Download URL</x:v>
      </x:c>
    </x:row>
    <x:row r="2">
      <x:c r="A2" t="str">
        <x:v>!uppipe</x:v>
      </x:c>
      <x:c r="B2" t="str">
        <x:v>!uppipe</x:v>
      </x:c>
      <x:c r="C2" t="str">
        <x:v>Dan2point5</x:v>
      </x:c>
      <x:c r="D2" t="n">
        <x:v>8</x:v>
      </x:c>
      <x:c r="E2" t="str">
        <x:v>Advanced</x:v>
      </x:c>
      <x:c r="F2" t="str">
        <x:v>Kaizo</x:v>
      </x:c>
      <x:c r="G2" t="n">
        <x:v>45872</x:v>
      </x:c>
      <x:c r="H2" t="str">
        <x:v>40226</x:v>
      </x:c>
      <x:c r="I2" t="str">
        <x:v>https://www.smwcentral.net/?a=details&amp;id=40226&amp;p=section</x:v>
      </x:c>
      <x:c r="J2" t="str">
        <x:v>https://dl.smwcentral.net/40226/%21uppipe.zip</x:v>
      </x:c>
    </x:row>
    <x:row r="3">
      <x:c r="A3" t="str">
        <x:v>#0 IGGY'S CASTLE</x:v>
      </x:c>
      <x:c r="B3" t="str">
        <x:v>#0 IGGY'S CASTLE</x:v>
      </x:c>
      <x:c r="C3" t="str">
        <x:v>Wakana</x:v>
      </x:c>
      <x:c r="D3" t="n">
        <x:v>25</x:v>
      </x:c>
      <x:c r="E3" t="str">
        <x:v>Intermediate</x:v>
      </x:c>
      <x:c r="F3" t="str">
        <x:v>Standard</x:v>
      </x:c>
      <x:c r="G3" t="n">
        <x:v>46021</x:v>
      </x:c>
      <x:c r="H3" t="str">
        <x:v>41349</x:v>
      </x:c>
      <x:c r="I3" t="str">
        <x:v>https://www.smwcentral.net/?a=details&amp;id=41349&amp;p=section</x:v>
      </x:c>
      <x:c r="J3" t="str">
        <x:v>https://dl.smwcentral.net/41349/%230%20IGGY%27S%20CASTLE%20v3.0.0.zip</x:v>
      </x:c>
    </x:row>
    <x:row r="4">
      <x:c r="A4" t="str">
        <x:v>#thathack</x:v>
      </x:c>
      <x:c r="B4" t="str">
        <x:v>#thathack</x:v>
      </x:c>
      <x:c r="C4" t="str">
        <x:v>levelengine</x:v>
      </x:c>
      <x:c r="D4" t="n">
        <x:v>12</x:v>
      </x:c>
      <x:c r="E4" t="str">
        <x:v>Casual</x:v>
      </x:c>
      <x:c r="F4" t="str">
        <x:v>Standard</x:v>
      </x:c>
      <x:c r="G4" t="n">
        <x:v>41636</x:v>
      </x:c>
      <x:c r="H4" t="str">
        <x:v>6027</x:v>
      </x:c>
      <x:c r="I4" t="str">
        <x:v>https://www.smwcentral.net/?a=details&amp;id=6027&amp;p=section</x:v>
      </x:c>
      <x:c r="J4" t="str">
        <x:v>https://dl.smwcentral.net/6027/%23thathack.zip</x:v>
      </x:c>
    </x:row>
    <x:row r="5">
      <x:c r="A5" t="str">
        <x:v>'the</x:v>
      </x:c>
      <x:c r="B5" t="str">
        <x:v>'the</x:v>
      </x:c>
      <x:c r="C5" t="str">
        <x:v>Torchkas, underway</x:v>
      </x:c>
      <x:c r="D5" t="n">
        <x:v>1</x:v>
      </x:c>
      <x:c r="E5" t="str">
        <x:v>Casual</x:v>
      </x:c>
      <x:c r="F5" t="str">
        <x:v>Standard</x:v>
      </x:c>
      <x:c r="G5" t="n">
        <x:v>45906</x:v>
      </x:c>
      <x:c r="H5" t="str">
        <x:v>41112</x:v>
      </x:c>
      <x:c r="I5" t="str">
        <x:v>https://www.smwcentral.net/?a=details&amp;id=41112&amp;p=section</x:v>
      </x:c>
      <x:c r="J5" t="str">
        <x:v>https://dl.smwcentral.net/41112/%27the.zip</x:v>
      </x:c>
    </x:row>
    <x:row r="6">
      <x:c r="A6" t="str">
        <x:v>*SUPERSTAR* - an EP by margot</x:v>
      </x:c>
      <x:c r="B6" t="str">
        <x:v>*SUPERSTAR* - an EP by margot</x:v>
      </x:c>
      <x:c r="C6" t="str">
        <x:v>margot</x:v>
      </x:c>
      <x:c r="D6" t="n">
        <x:v>6</x:v>
      </x:c>
      <x:c r="E6" t="str">
        <x:v>Master</x:v>
      </x:c>
      <x:c r="F6" t="str">
        <x:v>Kaizo</x:v>
      </x:c>
      <x:c r="G6" t="n">
        <x:v>44868</x:v>
      </x:c>
      <x:c r="H6" t="str">
        <x:v>32479</x:v>
      </x:c>
      <x:c r="I6" t="str">
        <x:v>https://www.smwcentral.net/?a=details&amp;id=32479&amp;p=section</x:v>
      </x:c>
      <x:c r="J6" t="str">
        <x:v>https://dl.smwcentral.net/32479/SUPERSTAR.zip</x:v>
      </x:c>
    </x:row>
    <x:row r="7">
      <x:c r="A7" t="str">
        <x:v>1 Island Of Vanilla Feeling</x:v>
      </x:c>
      <x:c r="B7" t="str">
        <x:v>1 Island Of Vanilla Feeling</x:v>
      </x:c>
      <x:c r="C7" t="str">
        <x:v>neidoodle</x:v>
      </x:c>
      <x:c r="D7" t="n">
        <x:v>7</x:v>
      </x:c>
      <x:c r="E7" t="str">
        <x:v>Casual</x:v>
      </x:c>
      <x:c r="F7" t="str">
        <x:v>Standard</x:v>
      </x:c>
      <x:c r="G7" t="n">
        <x:v>41627</x:v>
      </x:c>
      <x:c r="H7" t="str">
        <x:v>5988</x:v>
      </x:c>
      <x:c r="I7" t="str">
        <x:v>https://www.smwcentral.net/?a=details&amp;id=5988&amp;p=section</x:v>
      </x:c>
      <x:c r="J7" t="str">
        <x:v>https://dl.smwcentral.net/5988/1island1.2.zip</x:v>
      </x:c>
    </x:row>
    <x:row r="8">
      <x:c r="A8" t="str">
        <x:v>1 Square Puzzle</x:v>
      </x:c>
      <x:c r="B8" t="str">
        <x:v>1 Square Puzzle</x:v>
      </x:c>
      <x:c r="C8" t="str">
        <x:v>HoorayForJay</x:v>
      </x:c>
      <x:c r="D8" t="n">
        <x:v>1</x:v>
      </x:c>
      <x:c r="E8" t="str">
        <x:v>Grandmaster</x:v>
      </x:c>
      <x:c r="F8" t="str">
        <x:v>Tool-Assisted, Pit</x:v>
      </x:c>
      <x:c r="G8" t="n">
        <x:v>42864</x:v>
      </x:c>
      <x:c r="H8" t="str">
        <x:v>15342</x:v>
      </x:c>
      <x:c r="I8" t="str">
        <x:v>https://www.smwcentral.net/?a=details&amp;id=15342&amp;p=section</x:v>
      </x:c>
      <x:c r="J8" t="str">
        <x:v>https://dl.smwcentral.net/15342/1SquarePuzzle.zip</x:v>
      </x:c>
    </x:row>
    <x:row r="9">
      <x:c r="A9" t="str">
        <x:v>100 Rooms of Enemies: 10th Anniversary Edition</x:v>
      </x:c>
      <x:c r="B9" t="str">
        <x:v>100 Rooms of Enemies: 10th Anniversary Edition</x:v>
      </x:c>
      <x:c r="C9" t="str">
        <x:v>Daizo Dee Von, Mellonpizza</x:v>
      </x:c>
      <x:c r="D9" t="n">
        <x:v>2</x:v>
      </x:c>
      <x:c r="E9" t="str">
        <x:v>Intermediate</x:v>
      </x:c>
      <x:c r="F9" t="str">
        <x:v>Standard</x:v>
      </x:c>
      <x:c r="G9" t="n">
        <x:v>45500</x:v>
      </x:c>
      <x:c r="H9" t="str">
        <x:v>38104</x:v>
      </x:c>
      <x:c r="I9" t="str">
        <x:v>https://www.smwcentral.net/?a=details&amp;id=38104&amp;p=section</x:v>
      </x:c>
      <x:c r="J9" t="str">
        <x:v>https://dl.smwcentral.net/38104/100%20Rooms%20of%20Enemies%20-%2010th%20Anniversary%20Edition.zip</x:v>
      </x:c>
    </x:row>
    <x:row r="10">
      <x:c r="A10" t="str">
        <x:v>100 Rooms Of Torment</x:v>
      </x:c>
      <x:c r="B10" t="str">
        <x:v>100 Rooms Of Torment</x:v>
      </x:c>
      <x:c r="C10" t="str">
        <x:v>Gasterus155</x:v>
      </x:c>
      <x:c r="D10" t="n">
        <x:v>0</x:v>
      </x:c>
      <x:c r="E10" t="str">
        <x:v>Grandmaster</x:v>
      </x:c>
      <x:c r="F10" t="str">
        <x:v>Kaizo</x:v>
      </x:c>
      <x:c r="G10" t="n">
        <x:v>46166</x:v>
      </x:c>
      <x:c r="H10" t="str">
        <x:v>42400</x:v>
      </x:c>
      <x:c r="I10" t="str">
        <x:v>https://www.smwcentral.net/?a=details&amp;id=42400&amp;p=section</x:v>
      </x:c>
      <x:c r="J10" t="str">
        <x:v>https://dl.smwcentral.net/42400/100%20Torment%20of%20Rooms.zip</x:v>
      </x:c>
    </x:row>
    <x:row r="11">
      <x:c r="A11" t="str">
        <x:v>100th Birthday Cake</x:v>
      </x:c>
      <x:c r="B11" t="str">
        <x:v>100th Birthday Cake</x:v>
      </x:c>
      <x:c r="C11" t="str">
        <x:v>Hwailaluta</x:v>
      </x:c>
      <x:c r="D11" t="n">
        <x:v>0</x:v>
      </x:c>
      <x:c r="E11" t="str">
        <x:v>Advanced</x:v>
      </x:c>
      <x:c r="F11" t="str">
        <x:v>Kaizo</x:v>
      </x:c>
      <x:c r="G11" t="n">
        <x:v>45237</x:v>
      </x:c>
      <x:c r="H11" t="str">
        <x:v>35444</x:v>
      </x:c>
      <x:c r="I11" t="str">
        <x:v>https://www.smwcentral.net/?a=details&amp;id=35444&amp;p=section</x:v>
      </x:c>
      <x:c r="J11" t="str">
        <x:v>https://dl.smwcentral.net/35444/100th%20Birthday%20Cake.zip</x:v>
      </x:c>
    </x:row>
    <x:row r="12">
      <x:c r="A12" t="str">
        <x:v>10yumps</x:v>
      </x:c>
      <x:c r="B12" t="str">
        <x:v>10yumps</x:v>
      </x:c>
      <x:c r="C12" t="str">
        <x:v>Fyre150</x:v>
      </x:c>
      <x:c r="D12" t="n">
        <x:v>56</x:v>
      </x:c>
      <x:c r="E12" t="str">
        <x:v>Master</x:v>
      </x:c>
      <x:c r="F12" t="str">
        <x:v>Kaizo</x:v>
      </x:c>
      <x:c r="G12" t="n">
        <x:v>46086</x:v>
      </x:c>
      <x:c r="H12" t="str">
        <x:v>41558</x:v>
      </x:c>
      <x:c r="I12" t="str">
        <x:v>https://www.smwcentral.net/?a=details&amp;id=41558&amp;p=section</x:v>
      </x:c>
      <x:c r="J12" t="str">
        <x:v>https://dl.smwcentral.net/41558/10yumps%28real%29.zip</x:v>
      </x:c>
    </x:row>
    <x:row r="13">
      <x:c r="A13" t="str">
        <x:v>12 DAY: An SMW Mixtape</x:v>
      </x:c>
      <x:c r="B13" t="str">
        <x:v>12 DAY: An SMW Mixtape</x:v>
      </x:c>
      <x:c r="C13" t="str">
        <x:v>Squirrelyman157</x:v>
      </x:c>
      <x:c r="D13" t="n">
        <x:v>11</x:v>
      </x:c>
      <x:c r="E13" t="str">
        <x:v>Advanced</x:v>
      </x:c>
      <x:c r="F13" t="str">
        <x:v>Standard, Kaizo</x:v>
      </x:c>
      <x:c r="G13" t="n">
        <x:v>44234</x:v>
      </x:c>
      <x:c r="H13" t="str">
        <x:v>25843</x:v>
      </x:c>
      <x:c r="I13" t="str">
        <x:v>https://www.smwcentral.net/?a=details&amp;id=25843&amp;p=section</x:v>
      </x:c>
      <x:c r="J13" t="str">
        <x:v>https://dl.smwcentral.net/25843/12DAY.zip</x:v>
      </x:c>
    </x:row>
    <x:row r="14">
      <x:c r="A14" t="str">
        <x:v>1st Kochobo Dourado Collab</x:v>
      </x:c>
      <x:c r="B14" t="str">
        <x:v>1st Kochobo Dourado Collab</x:v>
      </x:c>
      <x:c r="C14" t="str">
        <x:v>Mario Hacks Group, TheMorganah</x:v>
      </x:c>
      <x:c r="D14" t="n">
        <x:v>18</x:v>
      </x:c>
      <x:c r="E14" t="str">
        <x:v>Casual</x:v>
      </x:c>
      <x:c r="F14" t="str">
        <x:v>Standard</x:v>
      </x:c>
      <x:c r="G14" t="n">
        <x:v>45125</x:v>
      </x:c>
      <x:c r="H14" t="str">
        <x:v>34370</x:v>
      </x:c>
      <x:c r="I14" t="str">
        <x:v>https://www.smwcentral.net/?a=details&amp;id=34370&amp;p=section</x:v>
      </x:c>
      <x:c r="J14" t="str">
        <x:v>https://dl.smwcentral.net/34370/%5B2020%5D%201st%20Kochobo%20Dourado%20Collab%20V3.0%20%28U%29%20%5BPT-BR%5D.zip</x:v>
      </x:c>
    </x:row>
    <x:row r="15">
      <x:c r="A15" t="str">
        <x:v>2 Hour Hack</x:v>
      </x:c>
      <x:c r="B15" t="str">
        <x:v>2 Hour Hack</x:v>
      </x:c>
      <x:c r="C15" t="str">
        <x:v>Magmatic</x:v>
      </x:c>
      <x:c r="D15" t="n">
        <x:v>6</x:v>
      </x:c>
      <x:c r="E15" t="str">
        <x:v>Advanced</x:v>
      </x:c>
      <x:c r="F15" t="str">
        <x:v>Standard</x:v>
      </x:c>
      <x:c r="G15" t="n">
        <x:v>45944</x:v>
      </x:c>
      <x:c r="H15" t="str">
        <x:v>40799</x:v>
      </x:c>
      <x:c r="I15" t="str">
        <x:v>https://www.smwcentral.net/?a=details&amp;id=40799&amp;p=section</x:v>
      </x:c>
      <x:c r="J15" t="str">
        <x:v>https://dl.smwcentral.net/40799/2hourhack.zip</x:v>
      </x:c>
    </x:row>
    <x:row r="16">
      <x:c r="A16" t="str">
        <x:v>2 Player Co-op Quest 2</x:v>
      </x:c>
      <x:c r="B16" t="str">
        <x:v>2 Player Co-op Quest 2</x:v>
      </x:c>
      <x:c r="C16" t="str">
        <x:v>cyphermur9t</x:v>
      </x:c>
      <x:c r="D16" t="n">
        <x:v>13</x:v>
      </x:c>
      <x:c r="E16" t="str">
        <x:v>Casual</x:v>
      </x:c>
      <x:c r="F16" t="str">
        <x:v>Standard</x:v>
      </x:c>
      <x:c r="G16" t="n">
        <x:v>41808</x:v>
      </x:c>
      <x:c r="H16" t="str">
        <x:v>6593</x:v>
      </x:c>
      <x:c r="I16" t="str">
        <x:v>https://www.smwcentral.net/?a=details&amp;id=6593&amp;p=section</x:v>
      </x:c>
      <x:c r="J16" t="str">
        <x:v>https://dl.smwcentral.net/6593/2%20Player%20Co-op%20Quest%202.zip</x:v>
      </x:c>
    </x:row>
    <x:row r="17">
      <x:c r="A17" t="str">
        <x:v>2 Player Co-op Quest!</x:v>
      </x:c>
      <x:c r="B17" t="str">
        <x:v>2 Player Co-op Quest!</x:v>
      </x:c>
      <x:c r="C17" t="str">
        <x:v>cyphermur9t</x:v>
      </x:c>
      <x:c r="D17" t="n">
        <x:v>8</x:v>
      </x:c>
      <x:c r="E17" t="str">
        <x:v>Casual</x:v>
      </x:c>
      <x:c r="F17" t="str">
        <x:v>Standard</x:v>
      </x:c>
      <x:c r="G17" t="n">
        <x:v>41549</x:v>
      </x:c>
      <x:c r="H17" t="str">
        <x:v>5559</x:v>
      </x:c>
      <x:c r="I17" t="str">
        <x:v>https://www.smwcentral.net/?a=details&amp;id=5559&amp;p=section</x:v>
      </x:c>
      <x:c r="J17" t="str">
        <x:v>https://dl.smwcentral.net/5559/2%20Player%20Co-op%20Quest.zip</x:v>
      </x:c>
    </x:row>
    <x:row r="18">
      <x:c r="A18" t="str">
        <x:v>20 Challenges: Episode 1 - A feard enemy</x:v>
      </x:c>
      <x:c r="B18" t="str">
        <x:v>20 Challenges: Episode 1 - A feard enemy</x:v>
      </x:c>
      <x:c r="C18" t="str">
        <x:v>Drakel</x:v>
      </x:c>
      <x:c r="D18" t="n">
        <x:v>1</x:v>
      </x:c>
      <x:c r="E18" t="str">
        <x:v>Intermediate</x:v>
      </x:c>
      <x:c r="F18" t="str">
        <x:v>Standard</x:v>
      </x:c>
      <x:c r="G18" t="n">
        <x:v>45484</x:v>
      </x:c>
      <x:c r="H18" t="str">
        <x:v>38065</x:v>
      </x:c>
      <x:c r="I18" t="str">
        <x:v>https://www.smwcentral.net/?a=details&amp;id=38065&amp;p=section</x:v>
      </x:c>
      <x:c r="J18" t="str">
        <x:v>https://dl.smwcentral.net/38065/20ChallengesE1.zip</x:v>
      </x:c>
    </x:row>
    <x:row r="19">
      <x:c r="A19" t="str">
        <x:v>20 Challenges: Episode 2 - Witchcraft</x:v>
      </x:c>
      <x:c r="B19" t="str">
        <x:v>20 Challenges: Episode 2 - Witchcraft</x:v>
      </x:c>
      <x:c r="C19" t="str">
        <x:v>Drakel</x:v>
      </x:c>
      <x:c r="D19" t="n">
        <x:v>1</x:v>
      </x:c>
      <x:c r="E19" t="str">
        <x:v>Intermediate</x:v>
      </x:c>
      <x:c r="F19" t="str">
        <x:v>Standard</x:v>
      </x:c>
      <x:c r="G19" t="n">
        <x:v>45584</x:v>
      </x:c>
      <x:c r="H19" t="str">
        <x:v>38585</x:v>
      </x:c>
      <x:c r="I19" t="str">
        <x:v>https://www.smwcentral.net/?a=details&amp;id=38585&amp;p=section</x:v>
      </x:c>
      <x:c r="J19" t="str">
        <x:v>https://dl.smwcentral.net/38585/20ChallengesE2.zip</x:v>
      </x:c>
    </x:row>
    <x:row r="20">
      <x:c r="A20" t="str">
        <x:v>20 Challenges: Episode 3 - The tale from a bone</x:v>
      </x:c>
      <x:c r="B20" t="str">
        <x:v>20 Challenges: Episode 3 - The tale from a bone</x:v>
      </x:c>
      <x:c r="C20" t="str">
        <x:v>Drakel</x:v>
      </x:c>
      <x:c r="D20" t="n">
        <x:v>1</x:v>
      </x:c>
      <x:c r="E20" t="str">
        <x:v>Intermediate</x:v>
      </x:c>
      <x:c r="F20" t="str">
        <x:v>Standard</x:v>
      </x:c>
      <x:c r="G20" t="n">
        <x:v>45664</x:v>
      </x:c>
      <x:c r="H20" t="str">
        <x:v>39007</x:v>
      </x:c>
      <x:c r="I20" t="str">
        <x:v>https://www.smwcentral.net/?a=details&amp;id=39007&amp;p=section</x:v>
      </x:c>
      <x:c r="J20" t="str">
        <x:v>https://dl.smwcentral.net/39007/20ChallengesE3.zip</x:v>
      </x:c>
    </x:row>
    <x:row r="21">
      <x:c r="A21" t="str">
        <x:v>20 Challenges: Episode 4 - Temple of the elements</x:v>
      </x:c>
      <x:c r="B21" t="str">
        <x:v>20 Challenges: Episode 4 - Temple of the elements</x:v>
      </x:c>
      <x:c r="C21" t="str">
        <x:v>Drakel</x:v>
      </x:c>
      <x:c r="D21" t="n">
        <x:v>1</x:v>
      </x:c>
      <x:c r="E21" t="str">
        <x:v>Intermediate</x:v>
      </x:c>
      <x:c r="F21" t="str">
        <x:v>Standard</x:v>
      </x:c>
      <x:c r="G21" t="n">
        <x:v>45797</x:v>
      </x:c>
      <x:c r="H21" t="str">
        <x:v>39850</x:v>
      </x:c>
      <x:c r="I21" t="str">
        <x:v>https://www.smwcentral.net/?a=details&amp;id=39850&amp;p=section</x:v>
      </x:c>
      <x:c r="J21" t="str">
        <x:v>https://dl.smwcentral.net/39850/20ChallengesE4.zip</x:v>
      </x:c>
    </x:row>
    <x:row r="22">
      <x:c r="A22" t="str">
        <x:v>20 Challenges: Episode 5 - Community Vibe</x:v>
      </x:c>
      <x:c r="B22" t="str">
        <x:v>20 Challenges: Episode 5 - Community Vibe</x:v>
      </x:c>
      <x:c r="C22" t="str">
        <x:v>Drakel</x:v>
      </x:c>
      <x:c r="D22" t="n">
        <x:v>1</x:v>
      </x:c>
      <x:c r="E22" t="str">
        <x:v>Intermediate</x:v>
      </x:c>
      <x:c r="F22" t="str">
        <x:v>Standard</x:v>
      </x:c>
      <x:c r="G22" t="n">
        <x:v>46063</x:v>
      </x:c>
      <x:c r="H22" t="str">
        <x:v>41543</x:v>
      </x:c>
      <x:c r="I22" t="str">
        <x:v>https://www.smwcentral.net/?a=details&amp;id=41543&amp;p=section</x:v>
      </x:c>
      <x:c r="J22" t="str">
        <x:v>https://dl.smwcentral.net/41543/20ChallengesE5.zip</x:v>
      </x:c>
    </x:row>
    <x:row r="23">
      <x:c r="A23" t="str">
        <x:v>2019 Blind Kaizo Relay Level Collaboration</x:v>
      </x:c>
      <x:c r="B23" t="str">
        <x:v>2019 Blind Kaizo Relay Level Collaboration</x:v>
      </x:c>
      <x:c r="C23" t="str">
        <x:v>ChrisG___, Freakin_HA, IcyFruit, MarkAlarm, NeXuS15, Romhack Races Team, Valdio, dtothefourth</x:v>
      </x:c>
      <x:c r="D23" t="n">
        <x:v>7</x:v>
      </x:c>
      <x:c r="E23" t="str">
        <x:v>Expert</x:v>
      </x:c>
      <x:c r="F23" t="str">
        <x:v>Kaizo</x:v>
      </x:c>
      <x:c r="G23" t="n">
        <x:v>43648</x:v>
      </x:c>
      <x:c r="H23" t="str">
        <x:v>20319</x:v>
      </x:c>
      <x:c r="I23" t="str">
        <x:v>https://www.smwcentral.net/?a=details&amp;id=20319&amp;p=section</x:v>
      </x:c>
      <x:c r="J23" t="str">
        <x:v>https://dl.smwcentral.net/20319/2019%20Blind%20Kaizo%20Relay%20Level%20Collaboration.zip</x:v>
      </x:c>
    </x:row>
    <x:row r="24">
      <x:c r="A24" t="str">
        <x:v>22H</x:v>
      </x:c>
      <x:c r="B24" t="str">
        <x:v>22H</x:v>
      </x:c>
      <x:c r="C24" t="str">
        <x:v>random_box</x:v>
      </x:c>
      <x:c r="D24" t="n">
        <x:v>21</x:v>
      </x:c>
      <x:c r="E24" t="str">
        <x:v>Grandmaster</x:v>
      </x:c>
      <x:c r="F24" t="str">
        <x:v>Kaizo</x:v>
      </x:c>
      <x:c r="G24" t="n">
        <x:v>45583</x:v>
      </x:c>
      <x:c r="H24" t="str">
        <x:v>38406</x:v>
      </x:c>
      <x:c r="I24" t="str">
        <x:v>https://www.smwcentral.net/?a=details&amp;id=38406&amp;p=section</x:v>
      </x:c>
      <x:c r="J24" t="str">
        <x:v>https://dl.smwcentral.net/38406/22H%20v1.1.zip</x:v>
      </x:c>
    </x:row>
    <x:row r="25">
      <x:c r="A25" t="str">
        <x:v>2K Shells</x:v>
      </x:c>
      <x:c r="B25" t="str">
        <x:v>2K Shells</x:v>
      </x:c>
      <x:c r="C25" t="str">
        <x:v>Rapha2k, arantes</x:v>
      </x:c>
      <x:c r="D25" t="n">
        <x:v>17</x:v>
      </x:c>
      <x:c r="E25" t="str">
        <x:v>Advanced</x:v>
      </x:c>
      <x:c r="F25" t="str">
        <x:v>Kaizo</x:v>
      </x:c>
      <x:c r="G25" t="n">
        <x:v>45436</x:v>
      </x:c>
      <x:c r="H25" t="str">
        <x:v>37821</x:v>
      </x:c>
      <x:c r="I25" t="str">
        <x:v>https://www.smwcentral.net/?a=details&amp;id=37821&amp;p=section</x:v>
      </x:c>
      <x:c r="J25" t="str">
        <x:v>https://dl.smwcentral.net/37821/2k%20Shells%20v1.1.zip</x:v>
      </x:c>
    </x:row>
    <x:row r="26">
      <x:c r="A26" t="str">
        <x:v>2Kaizo2Learn</x:v>
      </x:c>
      <x:c r="B26" t="str">
        <x:v>2Kaizo2Learn</x:v>
      </x:c>
      <x:c r="C26" t="str">
        <x:v>blueribbonhighlife</x:v>
      </x:c>
      <x:c r="D26" t="n">
        <x:v>69</x:v>
      </x:c>
      <x:c r="E26" t="str">
        <x:v>Intermediate</x:v>
      </x:c>
      <x:c r="F26" t="str">
        <x:v>Kaizo</x:v>
      </x:c>
      <x:c r="G26" t="n">
        <x:v>44885</x:v>
      </x:c>
      <x:c r="H26" t="str">
        <x:v>32593</x:v>
      </x:c>
      <x:c r="I26" t="str">
        <x:v>https://www.smwcentral.net/?a=details&amp;id=32593&amp;p=section</x:v>
      </x:c>
      <x:c r="J26" t="str">
        <x:v>https://dl.smwcentral.net/32593/2Kaizo2Learn_1.0.zip</x:v>
      </x:c>
    </x:row>
    <x:row r="27">
      <x:c r="A27" t="str">
        <x:v>3 Islands of Shells</x:v>
      </x:c>
      <x:c r="B27" t="str">
        <x:v>3 Islands of Shells</x:v>
      </x:c>
      <x:c r="C27" t="str">
        <x:v>Gulaschko</x:v>
      </x:c>
      <x:c r="D27" t="n">
        <x:v>9</x:v>
      </x:c>
      <x:c r="E27" t="str">
        <x:v>Expert</x:v>
      </x:c>
      <x:c r="F27" t="str">
        <x:v>Kaizo</x:v>
      </x:c>
      <x:c r="G27" t="n">
        <x:v>44664</x:v>
      </x:c>
      <x:c r="H27" t="str">
        <x:v>30435</x:v>
      </x:c>
      <x:c r="I27" t="str">
        <x:v>https://www.smwcentral.net/?a=details&amp;id=30435&amp;p=section</x:v>
      </x:c>
      <x:c r="J27" t="str">
        <x:v>https://dl.smwcentral.net/30435/3%20Islands%20of%20Shells%20V.2.0.zip</x:v>
      </x:c>
    </x:row>
    <x:row r="28">
      <x:c r="A28" t="str">
        <x:v>3 Trials</x:v>
      </x:c>
      <x:c r="B28" t="str">
        <x:v>3 Trials</x:v>
      </x:c>
      <x:c r="C28" t="str">
        <x:v>I8Strudel</x:v>
      </x:c>
      <x:c r="D28" t="n">
        <x:v>4</x:v>
      </x:c>
      <x:c r="E28" t="str">
        <x:v>Casual</x:v>
      </x:c>
      <x:c r="F28" t="str">
        <x:v>Standard</x:v>
      </x:c>
      <x:c r="G28" t="n">
        <x:v>42235</x:v>
      </x:c>
      <x:c r="H28" t="str">
        <x:v>9893</x:v>
      </x:c>
      <x:c r="I28" t="str">
        <x:v>https://www.smwcentral.net/?a=details&amp;id=9893&amp;p=section</x:v>
      </x:c>
      <x:c r="J28" t="str">
        <x:v>https://dl.smwcentral.net/9893/3_Trials_I8Strudel_V_1.zip</x:v>
      </x:c>
    </x:row>
    <x:row r="29">
      <x:c r="A29" t="str">
        <x:v>35 Questions Deluxe</x:v>
      </x:c>
      <x:c r="B29" t="str">
        <x:v>35 Questions Deluxe</x:v>
      </x:c>
      <x:c r="C29" t="str">
        <x:v>random_box</x:v>
      </x:c>
      <x:c r="D29" t="n">
        <x:v>35</x:v>
      </x:c>
      <x:c r="E29" t="str">
        <x:v>Master</x:v>
      </x:c>
      <x:c r="F29" t="str">
        <x:v>Kaizo</x:v>
      </x:c>
      <x:c r="G29" t="n">
        <x:v>44164</x:v>
      </x:c>
      <x:c r="H29" t="str">
        <x:v>25310</x:v>
      </x:c>
      <x:c r="I29" t="str">
        <x:v>https://www.smwcentral.net/?a=details&amp;id=25310&amp;p=section</x:v>
      </x:c>
      <x:c r="J29" t="str">
        <x:v>https://dl.smwcentral.net/25310/35QuestionsDeluxe.zip</x:v>
      </x:c>
    </x:row>
    <x:row r="30">
      <x:c r="A30" t="str">
        <x:v>35 Rooms of Nonsense</x:v>
      </x:c>
      <x:c r="B30" t="str">
        <x:v>35 Rooms of Nonsense</x:v>
      </x:c>
      <x:c r="C30" t="str">
        <x:v>spratt</x:v>
      </x:c>
      <x:c r="D30" t="n">
        <x:v>1</x:v>
      </x:c>
      <x:c r="E30" t="str">
        <x:v>Master</x:v>
      </x:c>
      <x:c r="F30" t="str">
        <x:v>Kaizo</x:v>
      </x:c>
      <x:c r="G30" t="n">
        <x:v>45082</x:v>
      </x:c>
      <x:c r="H30" t="str">
        <x:v>34013</x:v>
      </x:c>
      <x:c r="I30" t="str">
        <x:v>https://www.smwcentral.net/?a=details&amp;id=34013&amp;p=section</x:v>
      </x:c>
      <x:c r="J30" t="str">
        <x:v>https://dl.smwcentral.net/34013/nonsense.zip</x:v>
      </x:c>
    </x:row>
    <x:row r="31">
      <x:c r="A31" t="str">
        <x:v>4 YUMPs For Yoshi</x:v>
      </x:c>
      <x:c r="B31" t="str">
        <x:v>4 YUMPs For Yoshi</x:v>
      </x:c>
      <x:c r="C31" t="str">
        <x:v>AmazingChest</x:v>
      </x:c>
      <x:c r="D31" t="n">
        <x:v>4</x:v>
      </x:c>
      <x:c r="E31" t="str">
        <x:v>Expert</x:v>
      </x:c>
      <x:c r="F31" t="str">
        <x:v>Kaizo</x:v>
      </x:c>
      <x:c r="G31" t="n">
        <x:v>44252</x:v>
      </x:c>
      <x:c r="H31" t="str">
        <x:v>26253</x:v>
      </x:c>
      <x:c r="I31" t="str">
        <x:v>https://www.smwcentral.net/?a=details&amp;id=26253&amp;p=section</x:v>
      </x:c>
      <x:c r="J31" t="str">
        <x:v>https://dl.smwcentral.net/26253/4-yumps-for-yoshi-v12.zip</x:v>
      </x:c>
    </x:row>
    <x:row r="32">
      <x:c r="A32" t="str">
        <x:v>45 Rooms of Balderdash</x:v>
      </x:c>
      <x:c r="B32" t="str">
        <x:v>45 Rooms of Balderdash</x:v>
      </x:c>
      <x:c r="C32" t="str">
        <x:v>spratt</x:v>
      </x:c>
      <x:c r="D32" t="n">
        <x:v>1</x:v>
      </x:c>
      <x:c r="E32" t="str">
        <x:v>Master</x:v>
      </x:c>
      <x:c r="F32" t="str">
        <x:v>Kaizo</x:v>
      </x:c>
      <x:c r="G32" t="n">
        <x:v>45725</x:v>
      </x:c>
      <x:c r="H32" t="str">
        <x:v>39505</x:v>
      </x:c>
      <x:c r="I32" t="str">
        <x:v>https://www.smwcentral.net/?a=details&amp;id=39505&amp;p=section</x:v>
      </x:c>
      <x:c r="J32" t="str">
        <x:v>https://dl.smwcentral.net/39505/balderdash.zip</x:v>
      </x:c>
    </x:row>
    <x:row r="33">
      <x:c r="A33" t="str">
        <x:v>4th Chamber</x:v>
      </x:c>
      <x:c r="B33" t="str">
        <x:v>4th Chamber</x:v>
      </x:c>
      <x:c r="C33" t="str">
        <x:v>Abstract</x:v>
      </x:c>
      <x:c r="D33" t="n">
        <x:v>29</x:v>
      </x:c>
      <x:c r="E33" t="str">
        <x:v>Master</x:v>
      </x:c>
      <x:c r="F33" t="str">
        <x:v>Kaizo</x:v>
      </x:c>
      <x:c r="G33" t="n">
        <x:v>44862</x:v>
      </x:c>
      <x:c r="H33" t="str">
        <x:v>32431</x:v>
      </x:c>
      <x:c r="I33" t="str">
        <x:v>https://www.smwcentral.net/?a=details&amp;id=32431&amp;p=section</x:v>
      </x:c>
      <x:c r="J33" t="str">
        <x:v>https://dl.smwcentral.net/32431/4th%20Chamber.zip</x:v>
      </x:c>
    </x:row>
    <x:row r="34">
      <x:c r="A34" t="str">
        <x:v>5 Level Hack</x:v>
      </x:c>
      <x:c r="B34" t="str">
        <x:v>5 Level Hack</x:v>
      </x:c>
      <x:c r="C34" t="str">
        <x:v>grishnax</x:v>
      </x:c>
      <x:c r="D34" t="n">
        <x:v>5</x:v>
      </x:c>
      <x:c r="E34" t="str">
        <x:v>Casual</x:v>
      </x:c>
      <x:c r="F34" t="str">
        <x:v>Standard</x:v>
      </x:c>
      <x:c r="G34" t="n">
        <x:v>42114</x:v>
      </x:c>
      <x:c r="H34" t="str">
        <x:v>9639</x:v>
      </x:c>
      <x:c r="I34" t="str">
        <x:v>https://www.smwcentral.net/?a=details&amp;id=9639&amp;p=section</x:v>
      </x:c>
      <x:c r="J34" t="str">
        <x:v>https://dl.smwcentral.net/9639/5LevelHack.zip</x:v>
      </x:c>
    </x:row>
    <x:row r="35">
      <x:c r="A35" t="str">
        <x:v>5 Orbs</x:v>
      </x:c>
      <x:c r="B35" t="str">
        <x:v>5 Orbs</x:v>
      </x:c>
      <x:c r="C35" t="str">
        <x:v>Shy-Hi</x:v>
      </x:c>
      <x:c r="D35" t="n">
        <x:v>16</x:v>
      </x:c>
      <x:c r="E35" t="str">
        <x:v>Newcomer</x:v>
      </x:c>
      <x:c r="F35" t="str">
        <x:v>Standard</x:v>
      </x:c>
      <x:c r="G35" t="n">
        <x:v>41457</x:v>
      </x:c>
      <x:c r="H35" t="str">
        <x:v>5257</x:v>
      </x:c>
      <x:c r="I35" t="str">
        <x:v>https://www.smwcentral.net/?a=details&amp;id=5257&amp;p=section</x:v>
      </x:c>
      <x:c r="J35" t="str">
        <x:v>https://dl.smwcentral.net/5257/5%20Orbs%20Demo%201.zip</x:v>
      </x:c>
    </x:row>
    <x:row r="36">
      <x:c r="A36" t="str">
        <x:v>5.3.20 Magnolia</x:v>
      </x:c>
      <x:c r="B36" t="str">
        <x:v>5.3.20 Magnolia</x:v>
      </x:c>
      <x:c r="C36" t="str">
        <x:v>Robju</x:v>
      </x:c>
      <x:c r="D36" t="n">
        <x:v>14</x:v>
      </x:c>
      <x:c r="E36" t="str">
        <x:v>Casual</x:v>
      </x:c>
      <x:c r="F36" t="str">
        <x:v>Standard</x:v>
      </x:c>
      <x:c r="G36" t="n">
        <x:v>43962</x:v>
      </x:c>
      <x:c r="H36" t="str">
        <x:v>22945</x:v>
      </x:c>
      <x:c r="I36" t="str">
        <x:v>https://www.smwcentral.net/?a=details&amp;id=22945&amp;p=section</x:v>
      </x:c>
      <x:c r="J36" t="str">
        <x:v>https://dl.smwcentral.net/22945/5.3.20%20Magnolia.zip</x:v>
      </x:c>
    </x:row>
    <x:row r="37">
      <x:c r="A37" t="str">
        <x:v>6 HOURS</x:v>
      </x:c>
      <x:c r="B37" t="str">
        <x:v>6 HOURS</x:v>
      </x:c>
      <x:c r="C37" t="str">
        <x:v>aur</x:v>
      </x:c>
      <x:c r="D37" t="n">
        <x:v>6</x:v>
      </x:c>
      <x:c r="E37" t="str">
        <x:v>Advanced</x:v>
      </x:c>
      <x:c r="F37" t="str">
        <x:v>Kaizo</x:v>
      </x:c>
      <x:c r="G37" t="n">
        <x:v>45964</x:v>
      </x:c>
      <x:c r="H37" t="str">
        <x:v>40952</x:v>
      </x:c>
      <x:c r="I37" t="str">
        <x:v>https://www.smwcentral.net/?a=details&amp;id=40952&amp;p=section</x:v>
      </x:c>
      <x:c r="J37" t="str">
        <x:v>https://dl.smwcentral.net/40952/6HOURS.zip</x:v>
      </x:c>
    </x:row>
    <x:row r="38">
      <x:c r="A38" t="str">
        <x:v>8 SCREENS</x:v>
      </x:c>
      <x:c r="B38" t="str">
        <x:v>8 SCREENS</x:v>
      </x:c>
      <x:c r="C38" t="str">
        <x:v>Nitrogen</x:v>
      </x:c>
      <x:c r="D38" t="n">
        <x:v>6</x:v>
      </x:c>
      <x:c r="E38" t="str">
        <x:v>Advanced</x:v>
      </x:c>
      <x:c r="F38" t="str">
        <x:v>Standard</x:v>
      </x:c>
      <x:c r="G38" t="n">
        <x:v>45963</x:v>
      </x:c>
      <x:c r="H38" t="str">
        <x:v>40929</x:v>
      </x:c>
      <x:c r="I38" t="str">
        <x:v>https://www.smwcentral.net/?a=details&amp;id=40929&amp;p=section</x:v>
      </x:c>
      <x:c r="J38" t="str">
        <x:v>https://dl.smwcentral.net/40929/8%20SCREENS.zip</x:v>
      </x:c>
    </x:row>
    <x:row r="39">
      <x:c r="A39" t="str">
        <x:v>8 Trials Await</x:v>
      </x:c>
      <x:c r="B39" t="str">
        <x:v>8 Trials Await</x:v>
      </x:c>
      <x:c r="C39" t="str">
        <x:v>GearboxGoober</x:v>
      </x:c>
      <x:c r="D39" t="n">
        <x:v>8</x:v>
      </x:c>
      <x:c r="E39" t="str">
        <x:v>Newcomer</x:v>
      </x:c>
      <x:c r="F39" t="str">
        <x:v>Standard</x:v>
      </x:c>
      <x:c r="G39" t="n">
        <x:v>43703</x:v>
      </x:c>
      <x:c r="H39" t="str">
        <x:v>20899</x:v>
      </x:c>
      <x:c r="I39" t="str">
        <x:v>https://www.smwcentral.net/?a=details&amp;id=20899&amp;p=section</x:v>
      </x:c>
      <x:c r="J39" t="str">
        <x:v>https://dl.smwcentral.net/20899/8%20Trials%20Await.zip</x:v>
      </x:c>
    </x:row>
    <x:row r="40">
      <x:c r="A40" t="str">
        <x:v>8-bit Mario World - Desert Mario</x:v>
      </x:c>
      <x:c r="B40" t="str">
        <x:v>8-bit Mario World - Desert Mario</x:v>
      </x:c>
      <x:c r="C40" t="str">
        <x:v>Green Jerry</x:v>
      </x:c>
      <x:c r="D40" t="n">
        <x:v>1</x:v>
      </x:c>
      <x:c r="E40" t="str">
        <x:v>Newcomer</x:v>
      </x:c>
      <x:c r="F40" t="str">
        <x:v>Standard</x:v>
      </x:c>
      <x:c r="G40" t="n">
        <x:v>42690</x:v>
      </x:c>
      <x:c r="H40" t="str">
        <x:v>14593</x:v>
      </x:c>
      <x:c r="I40" t="str">
        <x:v>https://www.smwcentral.net/?a=details&amp;id=14593&amp;p=section</x:v>
      </x:c>
      <x:c r="J40" t="str">
        <x:v>https://dl.smwcentral.net/14593/8-bit%20Mario%20World%20-%20Desert%20Mario%20ver.%201.3.zip</x:v>
      </x:c>
    </x:row>
    <x:row r="41">
      <x:c r="A41" t="str">
        <x:v>8:40</x:v>
      </x:c>
      <x:c r="B41" t="str">
        <x:v>8:40</x:v>
      </x:c>
      <x:c r="C41" t="str">
        <x:v>Irondill</x:v>
      </x:c>
      <x:c r="D41" t="n">
        <x:v>0</x:v>
      </x:c>
      <x:c r="E41" t="str">
        <x:v>Advanced</x:v>
      </x:c>
      <x:c r="F41" t="str">
        <x:v>Kaizo</x:v>
      </x:c>
      <x:c r="G41" t="n">
        <x:v>44420</x:v>
      </x:c>
      <x:c r="H41" t="str">
        <x:v>27975</x:v>
      </x:c>
      <x:c r="I41" t="str">
        <x:v>https://www.smwcentral.net/?a=details&amp;id=27975&amp;p=section</x:v>
      </x:c>
      <x:c r="J41" t="str">
        <x:v>https://dl.smwcentral.net/27975/8%3B40.zip</x:v>
      </x:c>
    </x:row>
    <x:row r="42">
      <x:c r="A42" t="str">
        <x:v>9 Dreams</x:v>
      </x:c>
      <x:c r="B42" t="str">
        <x:v>9 Dreams</x:v>
      </x:c>
      <x:c r="C42" t="str">
        <x:v>VLSkoot</x:v>
      </x:c>
      <x:c r="D42" t="n">
        <x:v>9</x:v>
      </x:c>
      <x:c r="E42" t="str">
        <x:v>Expert</x:v>
      </x:c>
      <x:c r="F42" t="str">
        <x:v>Kaizo</x:v>
      </x:c>
      <x:c r="G42" t="n">
        <x:v>45617</x:v>
      </x:c>
      <x:c r="H42" t="str">
        <x:v>38806</x:v>
      </x:c>
      <x:c r="I42" t="str">
        <x:v>https://www.smwcentral.net/?a=details&amp;id=38806&amp;p=section</x:v>
      </x:c>
      <x:c r="J42" t="str">
        <x:v>https://dl.smwcentral.net/38806/9%20Dreams.zip</x:v>
      </x:c>
    </x:row>
    <x:row r="43">
      <x:c r="A43" t="str">
        <x:v>9 LONG ADVENTURES</x:v>
      </x:c>
      <x:c r="B43" t="str">
        <x:v>9 LONG ADVENTURES</x:v>
      </x:c>
      <x:c r="C43" t="str">
        <x:v>Jonathan82GR</x:v>
      </x:c>
      <x:c r="D43" t="n">
        <x:v>10</x:v>
      </x:c>
      <x:c r="E43" t="str">
        <x:v>Intermediate</x:v>
      </x:c>
      <x:c r="F43" t="str">
        <x:v>Standard</x:v>
      </x:c>
      <x:c r="G43" t="n">
        <x:v>43865</x:v>
      </x:c>
      <x:c r="H43" t="str">
        <x:v>21890</x:v>
      </x:c>
      <x:c r="I43" t="str">
        <x:v>https://www.smwcentral.net/?a=details&amp;id=21890&amp;p=section</x:v>
      </x:c>
      <x:c r="J43" t="str">
        <x:v>https://dl.smwcentral.net/21890/9LA.zip</x:v>
      </x:c>
    </x:row>
    <x:row r="44">
      <x:c r="A44" t="str">
        <x:v>[Demo] Mario Adventure Land</x:v>
      </x:c>
      <x:c r="B44" t="str">
        <x:v>[Demo] Mario Adventure Land</x:v>
      </x:c>
      <x:c r="C44" t="str">
        <x:v>Ennui Goldfeld</x:v>
      </x:c>
      <x:c r="D44" t="n">
        <x:v>5</x:v>
      </x:c>
      <x:c r="E44" t="str">
        <x:v>Casual</x:v>
      </x:c>
      <x:c r="F44" t="str">
        <x:v>Standard</x:v>
      </x:c>
      <x:c r="G44" t="n">
        <x:v>45477</x:v>
      </x:c>
      <x:c r="H44" t="str">
        <x:v>37997</x:v>
      </x:c>
      <x:c r="I44" t="str">
        <x:v>https://www.smwcentral.net/?a=details&amp;id=37997&amp;p=section</x:v>
      </x:c>
      <x:c r="J44" t="str">
        <x:v>https://dl.smwcentral.net/37997/Mario%20Adventure%20Land.zip</x:v>
      </x:c>
    </x:row>
    <x:row r="45">
      <x:c r="A45" t="str">
        <x:v>A Baby Yoshi Quest</x:v>
      </x:c>
      <x:c r="B45" t="str">
        <x:v>A Baby Yoshi Quest</x:v>
      </x:c>
      <x:c r="C45" t="str">
        <x:v>that1bigbossyouhate</x:v>
      </x:c>
      <x:c r="D45" t="n">
        <x:v>9</x:v>
      </x:c>
      <x:c r="E45" t="str">
        <x:v>Intermediate</x:v>
      </x:c>
      <x:c r="F45" t="str">
        <x:v>Standard</x:v>
      </x:c>
      <x:c r="G45" t="n">
        <x:v>44006</x:v>
      </x:c>
      <x:c r="H45" t="str">
        <x:v>23415</x:v>
      </x:c>
      <x:c r="I45" t="str">
        <x:v>https://www.smwcentral.net/?a=details&amp;id=23415&amp;p=section</x:v>
      </x:c>
      <x:c r="J45" t="str">
        <x:v>https://dl.smwcentral.net/23415/A%20BABY%20YOSHI%20QUEST%201.5%20%28DEMO%29.zip</x:v>
      </x:c>
    </x:row>
    <x:row r="46">
      <x:c r="A46" t="str">
        <x:v>A Chance for Glory</x:v>
      </x:c>
      <x:c r="B46" t="str">
        <x:v>A Chance for Glory</x:v>
      </x:c>
      <x:c r="C46" t="str">
        <x:v>Nciktendo</x:v>
      </x:c>
      <x:c r="D46" t="n">
        <x:v>0</x:v>
      </x:c>
      <x:c r="E46" t="str">
        <x:v>Intermediate</x:v>
      </x:c>
      <x:c r="F46" t="str">
        <x:v>Standard, Kaizo</x:v>
      </x:c>
      <x:c r="G46" t="n">
        <x:v>44946</x:v>
      </x:c>
      <x:c r="H46" t="str">
        <x:v>32181</x:v>
      </x:c>
      <x:c r="I46" t="str">
        <x:v>https://www.smwcentral.net/?a=details&amp;id=32181&amp;p=section</x:v>
      </x:c>
      <x:c r="J46" t="str">
        <x:v>https://dl.smwcentral.net/32181/A_Chance_for_Glory.zip</x:v>
      </x:c>
    </x:row>
    <x:row r="47">
      <x:c r="A47" t="str">
        <x:v>A Christmas Gift</x:v>
      </x:c>
      <x:c r="B47" t="str">
        <x:v>A Christmas Gift</x:v>
      </x:c>
      <x:c r="C47" t="str">
        <x:v>The_Uber_Camper</x:v>
      </x:c>
      <x:c r="D47" t="n">
        <x:v>4</x:v>
      </x:c>
      <x:c r="E47" t="str">
        <x:v>Intermediate</x:v>
      </x:c>
      <x:c r="F47" t="str">
        <x:v>Kaizo</x:v>
      </x:c>
      <x:c r="G47" t="n">
        <x:v>44540</x:v>
      </x:c>
      <x:c r="H47" t="str">
        <x:v>28957</x:v>
      </x:c>
      <x:c r="I47" t="str">
        <x:v>https://www.smwcentral.net/?a=details&amp;id=28957&amp;p=section</x:v>
      </x:c>
      <x:c r="J47" t="str">
        <x:v>https://dl.smwcentral.net/28957/AChristmasGift.zip</x:v>
      </x:c>
    </x:row>
    <x:row r="48">
      <x:c r="A48" t="str">
        <x:v>A Christmas Gift: Timmy's Final Gift</x:v>
      </x:c>
      <x:c r="B48" t="str">
        <x:v>A Christmas Gift: Timmy's Final Gift</x:v>
      </x:c>
      <x:c r="C48" t="str">
        <x:v>The_Uber_Camper</x:v>
      </x:c>
      <x:c r="D48" t="n">
        <x:v>5</x:v>
      </x:c>
      <x:c r="E48" t="str">
        <x:v>Advanced</x:v>
      </x:c>
      <x:c r="F48" t="str">
        <x:v>Kaizo</x:v>
      </x:c>
      <x:c r="G48" t="n">
        <x:v>45268</x:v>
      </x:c>
      <x:c r="H48" t="str">
        <x:v>35663</x:v>
      </x:c>
      <x:c r="I48" t="str">
        <x:v>https://www.smwcentral.net/?a=details&amp;id=35663&amp;p=section</x:v>
      </x:c>
      <x:c r="J48" t="str">
        <x:v>https://dl.smwcentral.net/35663/A%20Christmas%20Gift%20-%20Timmy%27s%20Final%20Gift.zip</x:v>
      </x:c>
    </x:row>
    <x:row r="49">
      <x:c r="A49" t="str">
        <x:v>A Christmas Walk</x:v>
      </x:c>
      <x:c r="B49" t="str">
        <x:v>A Christmas Walk</x:v>
      </x:c>
      <x:c r="C49" t="str">
        <x:v>MATTAN</x:v>
      </x:c>
      <x:c r="D49" t="n">
        <x:v>1</x:v>
      </x:c>
      <x:c r="E49" t="str">
        <x:v>Casual</x:v>
      </x:c>
      <x:c r="F49" t="str">
        <x:v>Standard</x:v>
      </x:c>
      <x:c r="G49" t="n">
        <x:v>43827</x:v>
      </x:c>
      <x:c r="H49" t="str">
        <x:v>21704</x:v>
      </x:c>
      <x:c r="I49" t="str">
        <x:v>https://www.smwcentral.net/?a=details&amp;id=21704&amp;p=section</x:v>
      </x:c>
      <x:c r="J49" t="str">
        <x:v>https://dl.smwcentral.net/21704/A%20christmas%20walk%20%28Music%20Fixed%29.zip</x:v>
      </x:c>
    </x:row>
    <x:row r="50">
      <x:c r="A50" t="str">
        <x:v>A Cold Day In Shell</x:v>
      </x:c>
      <x:c r="B50" t="str">
        <x:v>A Cold Day In Shell</x:v>
      </x:c>
      <x:c r="C50" t="str">
        <x:v>Ryuoxel</x:v>
      </x:c>
      <x:c r="D50" t="n">
        <x:v>7</x:v>
      </x:c>
      <x:c r="E50" t="str">
        <x:v>Expert</x:v>
      </x:c>
      <x:c r="F50" t="str">
        <x:v>Kaizo</x:v>
      </x:c>
      <x:c r="G50" t="n">
        <x:v>45533</x:v>
      </x:c>
      <x:c r="H50" t="str">
        <x:v>38259</x:v>
      </x:c>
      <x:c r="I50" t="str">
        <x:v>https://www.smwcentral.net/?a=details&amp;id=38259&amp;p=section</x:v>
      </x:c>
      <x:c r="J50" t="str">
        <x:v>https://dl.smwcentral.net/38259/A%20Cold%20Day%20In%20Shell.zip</x:v>
      </x:c>
    </x:row>
    <x:row r="51">
      <x:c r="A51" t="str">
        <x:v>A Difficult Journey</x:v>
      </x:c>
      <x:c r="B51" t="str">
        <x:v>A Difficult Journey</x:v>
      </x:c>
      <x:c r="C51" t="str">
        <x:v>Cal-of-Gearva</x:v>
      </x:c>
      <x:c r="D51" t="n">
        <x:v>12</x:v>
      </x:c>
      <x:c r="E51" t="str">
        <x:v>Casual</x:v>
      </x:c>
      <x:c r="F51" t="str">
        <x:v>Standard</x:v>
      </x:c>
      <x:c r="G51" t="n">
        <x:v>43918</x:v>
      </x:c>
      <x:c r="H51" t="str">
        <x:v>22376</x:v>
      </x:c>
      <x:c r="I51" t="str">
        <x:v>https://www.smwcentral.net/?a=details&amp;id=22376&amp;p=section</x:v>
      </x:c>
      <x:c r="J51" t="str">
        <x:v>https://dl.smwcentral.net/22376/A%20Difficult%20Journey.zip</x:v>
      </x:c>
    </x:row>
    <x:row r="52">
      <x:c r="A52" t="str">
        <x:v>A FIP</x:v>
      </x:c>
      <x:c r="B52" t="str">
        <x:v>A FIP</x:v>
      </x:c>
      <x:c r="C52" t="str">
        <x:v>NikSik1</x:v>
      </x:c>
      <x:c r="D52" t="n">
        <x:v>0</x:v>
      </x:c>
      <x:c r="E52" t="str">
        <x:v>Master</x:v>
      </x:c>
      <x:c r="F52" t="str">
        <x:v>Kaizo</x:v>
      </x:c>
      <x:c r="G52" t="n">
        <x:v>44794</x:v>
      </x:c>
      <x:c r="H52" t="str">
        <x:v>31904</x:v>
      </x:c>
      <x:c r="I52" t="str">
        <x:v>https://www.smwcentral.net/?a=details&amp;id=31904&amp;p=section</x:v>
      </x:c>
      <x:c r="J52" t="str">
        <x:v>https://dl.smwcentral.net/31904/A%20FIP.zip</x:v>
      </x:c>
    </x:row>
    <x:row r="53">
      <x:c r="A53" t="str">
        <x:v>A Frivolous Journey</x:v>
      </x:c>
      <x:c r="B53" t="str">
        <x:v>A Frivolous Journey</x:v>
      </x:c>
      <x:c r="C53" t="str">
        <x:v>Chromite</x:v>
      </x:c>
      <x:c r="D53" t="n">
        <x:v>7</x:v>
      </x:c>
      <x:c r="E53" t="str">
        <x:v>Casual</x:v>
      </x:c>
      <x:c r="F53" t="str">
        <x:v>Standard</x:v>
      </x:c>
      <x:c r="G53" t="n">
        <x:v>42710</x:v>
      </x:c>
      <x:c r="H53" t="str">
        <x:v>14688</x:v>
      </x:c>
      <x:c r="I53" t="str">
        <x:v>https://www.smwcentral.net/?a=details&amp;id=14688&amp;p=section</x:v>
      </x:c>
      <x:c r="J53" t="str">
        <x:v>https://dl.smwcentral.net/14688/frivolous.zip</x:v>
      </x:c>
    </x:row>
    <x:row r="54">
      <x:c r="A54" t="str">
        <x:v>A Goblin's Quest to Leave Her House and Get a Gyro For Lunch Because She Was Hungry</x:v>
      </x:c>
      <x:c r="B54" t="str">
        <x:v>A Goblin's Quest to Leave Her House and Get a Gyro For Lunch Because She Was Hungry</x:v>
      </x:c>
      <x:c r="C54" t="str">
        <x:v>Lizstar</x:v>
      </x:c>
      <x:c r="D54" t="n">
        <x:v>24</x:v>
      </x:c>
      <x:c r="E54" t="str">
        <x:v>Expert</x:v>
      </x:c>
      <x:c r="F54" t="str">
        <x:v>Kaizo</x:v>
      </x:c>
      <x:c r="G54" t="n">
        <x:v>44342</x:v>
      </x:c>
      <x:c r="H54" t="str">
        <x:v>26928</x:v>
      </x:c>
      <x:c r="I54" t="str">
        <x:v>https://www.smwcentral.net/?a=details&amp;id=26928&amp;p=section</x:v>
      </x:c>
      <x:c r="J54" t="str">
        <x:v>https://dl.smwcentral.net/26928/A%20Goblin%27s%20Quest.zip</x:v>
      </x:c>
    </x:row>
    <x:row r="55">
      <x:c r="A55" t="str">
        <x:v>A Goomba's Walk</x:v>
      </x:c>
      <x:c r="B55" t="str">
        <x:v>A Goomba's Walk</x:v>
      </x:c>
      <x:c r="C55" t="str">
        <x:v>Luks</x:v>
      </x:c>
      <x:c r="D55" t="n">
        <x:v>7</x:v>
      </x:c>
      <x:c r="E55" t="str">
        <x:v>Intermediate</x:v>
      </x:c>
      <x:c r="F55" t="str">
        <x:v>Standard</x:v>
      </x:c>
      <x:c r="G55" t="n">
        <x:v>42013</x:v>
      </x:c>
      <x:c r="H55" t="str">
        <x:v>10456</x:v>
      </x:c>
      <x:c r="I55" t="str">
        <x:v>https://www.smwcentral.net/?a=details&amp;id=10456&amp;p=section</x:v>
      </x:c>
      <x:c r="J55" t="str">
        <x:v>https://dl.smwcentral.net/10456/GW.zip</x:v>
      </x:c>
    </x:row>
    <x:row r="56">
      <x:c r="A56" t="str">
        <x:v>A Hack Thing</x:v>
      </x:c>
      <x:c r="B56" t="str">
        <x:v>A Hack Thing</x:v>
      </x:c>
      <x:c r="C56" t="str">
        <x:v>MercuryPenny</x:v>
      </x:c>
      <x:c r="D56" t="n">
        <x:v>11</x:v>
      </x:c>
      <x:c r="E56" t="str">
        <x:v>Newcomer</x:v>
      </x:c>
      <x:c r="F56" t="str">
        <x:v>Standard</x:v>
      </x:c>
      <x:c r="G56" t="n">
        <x:v>42011</x:v>
      </x:c>
      <x:c r="H56" t="str">
        <x:v>10416</x:v>
      </x:c>
      <x:c r="I56" t="str">
        <x:v>https://www.smwcentral.net/?a=details&amp;id=10416&amp;p=section</x:v>
      </x:c>
      <x:c r="J56" t="str">
        <x:v>https://dl.smwcentral.net/10416/A%20Hack%20Thing%20v1.3.zip</x:v>
      </x:c>
    </x:row>
    <x:row r="57">
      <x:c r="A57" t="str">
        <x:v>A Hack Thing 2</x:v>
      </x:c>
      <x:c r="B57" t="str">
        <x:v>A Hack Thing 2</x:v>
      </x:c>
      <x:c r="C57" t="str">
        <x:v>MercuryPenny</x:v>
      </x:c>
      <x:c r="D57" t="n">
        <x:v>12</x:v>
      </x:c>
      <x:c r="E57" t="str">
        <x:v>Casual</x:v>
      </x:c>
      <x:c r="F57" t="str">
        <x:v>Standard</x:v>
      </x:c>
      <x:c r="G57" t="n">
        <x:v>42069</x:v>
      </x:c>
      <x:c r="H57" t="str">
        <x:v>10928</x:v>
      </x:c>
      <x:c r="I57" t="str">
        <x:v>https://www.smwcentral.net/?a=details&amp;id=10928&amp;p=section</x:v>
      </x:c>
      <x:c r="J57" t="str">
        <x:v>https://dl.smwcentral.net/10928/a%20hack%20thing%202.zip</x:v>
      </x:c>
    </x:row>
    <x:row r="58">
      <x:c r="A58" t="str">
        <x:v>A Halloween Walk</x:v>
      </x:c>
      <x:c r="B58" t="str">
        <x:v>A Halloween Walk</x:v>
      </x:c>
      <x:c r="C58" t="str">
        <x:v>MATTAN</x:v>
      </x:c>
      <x:c r="D58" t="n">
        <x:v>7</x:v>
      </x:c>
      <x:c r="E58" t="str">
        <x:v>Casual</x:v>
      </x:c>
      <x:c r="F58" t="str">
        <x:v>Standard</x:v>
      </x:c>
      <x:c r="G58" t="n">
        <x:v>43838</x:v>
      </x:c>
      <x:c r="H58" t="str">
        <x:v>21887</x:v>
      </x:c>
      <x:c r="I58" t="str">
        <x:v>https://www.smwcentral.net/?a=details&amp;id=21887&amp;p=section</x:v>
      </x:c>
      <x:c r="J58" t="str">
        <x:v>https://dl.smwcentral.net/21887/A%20halloween%20walk%20%28Music%20Fixed%29.zip</x:v>
      </x:c>
    </x:row>
    <x:row r="59">
      <x:c r="A59" t="str">
        <x:v>A Haunted Christmas</x:v>
      </x:c>
      <x:c r="B59" t="str">
        <x:v>A Haunted Christmas</x:v>
      </x:c>
      <x:c r="C59" t="str">
        <x:v>Team Haunted</x:v>
      </x:c>
      <x:c r="D59" t="n">
        <x:v>7</x:v>
      </x:c>
      <x:c r="E59" t="str">
        <x:v>Casual</x:v>
      </x:c>
      <x:c r="F59" t="str">
        <x:v>Standard</x:v>
      </x:c>
      <x:c r="G59" t="n">
        <x:v>44297</x:v>
      </x:c>
      <x:c r="H59" t="str">
        <x:v>26660</x:v>
      </x:c>
      <x:c r="I59" t="str">
        <x:v>https://www.smwcentral.net/?a=details&amp;id=26660&amp;p=section</x:v>
      </x:c>
      <x:c r="J59" t="str">
        <x:v>https://dl.smwcentral.net/26660/A%20Haunted%20Christmas.zip</x:v>
      </x:c>
    </x:row>
    <x:row r="60">
      <x:c r="A60" t="str">
        <x:v>A Haunting at Chateau Cousseaux</x:v>
      </x:c>
      <x:c r="B60" t="str">
        <x:v>A Haunting at Chateau Cousseaux</x:v>
      </x:c>
      <x:c r="C60" t="str">
        <x:v>NixKillsMyths</x:v>
      </x:c>
      <x:c r="D60" t="n">
        <x:v>9</x:v>
      </x:c>
      <x:c r="E60" t="str">
        <x:v>Grandmaster</x:v>
      </x:c>
      <x:c r="F60" t="str">
        <x:v>Kaizo</x:v>
      </x:c>
      <x:c r="G60" t="n">
        <x:v>45666</x:v>
      </x:c>
      <x:c r="H60" t="str">
        <x:v>38820</x:v>
      </x:c>
      <x:c r="I60" t="str">
        <x:v>https://www.smwcentral.net/?a=details&amp;id=38820&amp;p=section</x:v>
      </x:c>
      <x:c r="J60" t="str">
        <x:v>https://dl.smwcentral.net/38820/A%20Haunting%20at%20Chateau%20Cousseaux%20%281.3%29.zip</x:v>
      </x:c>
    </x:row>
    <x:row r="61">
      <x:c r="A61" t="str">
        <x:v>A Helping Hand</x:v>
      </x:c>
      <x:c r="B61" t="str">
        <x:v>A Helping Hand</x:v>
      </x:c>
      <x:c r="C61" t="str">
        <x:v>NewPointless, schema_tuna</x:v>
      </x:c>
      <x:c r="D61" t="n">
        <x:v>7</x:v>
      </x:c>
      <x:c r="E61" t="str">
        <x:v>Casual</x:v>
      </x:c>
      <x:c r="F61" t="str">
        <x:v>Standard</x:v>
      </x:c>
      <x:c r="G61" t="n">
        <x:v>45398</x:v>
      </x:c>
      <x:c r="H61" t="str">
        <x:v>37605</x:v>
      </x:c>
      <x:c r="I61" t="str">
        <x:v>https://www.smwcentral.net/?a=details&amp;id=37605&amp;p=section</x:v>
      </x:c>
      <x:c r="J61" t="str">
        <x:v>https://dl.smwcentral.net/37605/AHelpingHand1_2.zip</x:v>
      </x:c>
    </x:row>
    <x:row r="62">
      <x:c r="A62" t="str">
        <x:v>A Journey To Save The Yoshis</x:v>
      </x:c>
      <x:c r="B62" t="str">
        <x:v>A Journey To Save The Yoshis</x:v>
      </x:c>
      <x:c r="C62" t="str">
        <x:v>Yoshivert99</x:v>
      </x:c>
      <x:c r="D62" t="n">
        <x:v>19</x:v>
      </x:c>
      <x:c r="E62" t="str">
        <x:v>Casual</x:v>
      </x:c>
      <x:c r="F62" t="str">
        <x:v>Standard</x:v>
      </x:c>
      <x:c r="G62" t="n">
        <x:v>43730</x:v>
      </x:c>
      <x:c r="H62" t="str">
        <x:v>21194</x:v>
      </x:c>
      <x:c r="I62" t="str">
        <x:v>https://www.smwcentral.net/?a=details&amp;id=21194&amp;p=section</x:v>
      </x:c>
      <x:c r="J62" t="str">
        <x:v>https://dl.smwcentral.net/21194/A%20Journey%20to%20Save%20the%20Yoshis%20%281.7.1%29.zip</x:v>
      </x:c>
    </x:row>
    <x:row r="63">
      <x:c r="A63" t="str">
        <x:v>A Kaizo Adventure</x:v>
      </x:c>
      <x:c r="B63" t="str">
        <x:v>A Kaizo Adventure</x:v>
      </x:c>
      <x:c r="C63" t="str">
        <x:v>GbreezeSunset</x:v>
      </x:c>
      <x:c r="D63" t="n">
        <x:v>1</x:v>
      </x:c>
      <x:c r="E63" t="str">
        <x:v>Master</x:v>
      </x:c>
      <x:c r="F63" t="str">
        <x:v>Kaizo</x:v>
      </x:c>
      <x:c r="G63" t="n">
        <x:v>42133</x:v>
      </x:c>
      <x:c r="H63" t="str">
        <x:v>11306</x:v>
      </x:c>
      <x:c r="I63" t="str">
        <x:v>https://www.smwcentral.net/?a=details&amp;id=11306&amp;p=section</x:v>
      </x:c>
      <x:c r="J63" t="str">
        <x:v>https://dl.smwcentral.net/11306/A%20Kaizo%20Adventure.zip</x:v>
      </x:c>
    </x:row>
    <x:row r="64">
      <x:c r="A64" t="str">
        <x:v>A Kekcroc Christmas</x:v>
      </x:c>
      <x:c r="B64" t="str">
        <x:v>A Kekcroc Christmas</x:v>
      </x:c>
      <x:c r="C64" t="str">
        <x:v>Knucklesfan</x:v>
      </x:c>
      <x:c r="D64" t="n">
        <x:v>5</x:v>
      </x:c>
      <x:c r="E64" t="str">
        <x:v>Casual</x:v>
      </x:c>
      <x:c r="F64" t="str">
        <x:v>Standard</x:v>
      </x:c>
      <x:c r="G64" t="n">
        <x:v>43461</x:v>
      </x:c>
      <x:c r="H64" t="str">
        <x:v>18734</x:v>
      </x:c>
      <x:c r="I64" t="str">
        <x:v>https://www.smwcentral.net/?a=details&amp;id=18734&amp;p=section</x:v>
      </x:c>
      <x:c r="J64" t="str">
        <x:v>https://dl.smwcentral.net/18734/A%20Kekcroc%20Christmas.zip</x:v>
      </x:c>
    </x:row>
    <x:row r="65">
      <x:c r="A65" t="str">
        <x:v>A Land That is Super</x:v>
      </x:c>
      <x:c r="B65" t="str">
        <x:v>A Land That is Super</x:v>
      </x:c>
      <x:c r="C65" t="str">
        <x:v>NAM</x:v>
      </x:c>
      <x:c r="D65" t="n">
        <x:v>25</x:v>
      </x:c>
      <x:c r="E65" t="str">
        <x:v>Intermediate</x:v>
      </x:c>
      <x:c r="F65" t="str">
        <x:v>Standard</x:v>
      </x:c>
      <x:c r="G65" t="n">
        <x:v>42207</x:v>
      </x:c>
      <x:c r="H65" t="str">
        <x:v>10147</x:v>
      </x:c>
      <x:c r="I65" t="str">
        <x:v>https://www.smwcentral.net/?a=details&amp;id=10147&amp;p=section</x:v>
      </x:c>
      <x:c r="J65" t="str">
        <x:v>https://dl.smwcentral.net/10147/ALTiS_C3X.zip</x:v>
      </x:c>
    </x:row>
    <x:row r="66">
      <x:c r="A66" t="str">
        <x:v>A Lenda do Herói (Songs for a Hero)</x:v>
      </x:c>
      <x:c r="B66" t="str">
        <x:v>A Lenda do Herói (Songs for a Hero)</x:v>
      </x:c>
      <x:c r="C66" t="str">
        <x:v>TheMURAmatsu</x:v>
      </x:c>
      <x:c r="D66" t="n">
        <x:v>25</x:v>
      </x:c>
      <x:c r="E66" t="str">
        <x:v>Intermediate</x:v>
      </x:c>
      <x:c r="F66" t="str">
        <x:v>Standard</x:v>
      </x:c>
      <x:c r="G66" t="n">
        <x:v>43980</x:v>
      </x:c>
      <x:c r="H66" t="str">
        <x:v>23107</x:v>
      </x:c>
      <x:c r="I66" t="str">
        <x:v>https://www.smwcentral.net/?a=details&amp;id=23107&amp;p=section</x:v>
      </x:c>
      <x:c r="J66" t="str">
        <x:v>https://dl.smwcentral.net/23107/V2-2020-A-Lenda-do-Heroi-Songs_for-a-Hero.zip</x:v>
      </x:c>
    </x:row>
    <x:row r="67">
      <x:c r="A67" t="str">
        <x:v>A Mario Place</x:v>
      </x:c>
      <x:c r="B67" t="str">
        <x:v>A Mario Place</x:v>
      </x:c>
      <x:c r="C67" t="str">
        <x:v>salem</x:v>
      </x:c>
      <x:c r="D67" t="n">
        <x:v>7</x:v>
      </x:c>
      <x:c r="E67" t="str">
        <x:v>Casual</x:v>
      </x:c>
      <x:c r="F67" t="str">
        <x:v>Standard</x:v>
      </x:c>
      <x:c r="G67" t="n">
        <x:v>42218</x:v>
      </x:c>
      <x:c r="H67" t="str">
        <x:v>10014</x:v>
      </x:c>
      <x:c r="I67" t="str">
        <x:v>https://www.smwcentral.net/?a=details&amp;id=10014&amp;p=section</x:v>
      </x:c>
      <x:c r="J67" t="str">
        <x:v>https://dl.smwcentral.net/10014/AMPD.zip</x:v>
      </x:c>
    </x:row>
    <x:row r="68">
      <x:c r="A68" t="str">
        <x:v>A Maxi Mini Hack</x:v>
      </x:c>
      <x:c r="B68" t="str">
        <x:v>A Maxi Mini Hack</x:v>
      </x:c>
      <x:c r="C68" t="str">
        <x:v>noon</x:v>
      </x:c>
      <x:c r="D68" t="n">
        <x:v>8</x:v>
      </x:c>
      <x:c r="E68" t="str">
        <x:v>Newcomer</x:v>
      </x:c>
      <x:c r="F68" t="str">
        <x:v>Standard</x:v>
      </x:c>
      <x:c r="G68" t="n">
        <x:v>41543</x:v>
      </x:c>
      <x:c r="H68" t="str">
        <x:v>5480</x:v>
      </x:c>
      <x:c r="I68" t="str">
        <x:v>https://www.smwcentral.net/?a=details&amp;id=5480&amp;p=section</x:v>
      </x:c>
      <x:c r="J68" t="str">
        <x:v>https://dl.smwcentral.net/5480/A%20Maxi%20Mini%20Hack.zip</x:v>
      </x:c>
    </x:row>
    <x:row r="69">
      <x:c r="A69" t="str">
        <x:v>A Maxi Mini Hack B-Sides</x:v>
      </x:c>
      <x:c r="B69" t="str">
        <x:v>A Maxi Mini Hack B-Sides</x:v>
      </x:c>
      <x:c r="C69" t="str">
        <x:v>noon</x:v>
      </x:c>
      <x:c r="D69" t="n">
        <x:v>3</x:v>
      </x:c>
      <x:c r="E69" t="str">
        <x:v>Casual</x:v>
      </x:c>
      <x:c r="F69" t="str">
        <x:v>Standard</x:v>
      </x:c>
      <x:c r="G69" t="n">
        <x:v>42062</x:v>
      </x:c>
      <x:c r="H69" t="str">
        <x:v>9973</x:v>
      </x:c>
      <x:c r="I69" t="str">
        <x:v>https://www.smwcentral.net/?a=details&amp;id=9973&amp;p=section</x:v>
      </x:c>
      <x:c r="J69" t="str">
        <x:v>https://dl.smwcentral.net/9973/A%20Maxi%20Mini%20Hack%20B-Sides.zip</x:v>
      </x:c>
    </x:row>
    <x:row r="70">
      <x:c r="A70" t="str">
        <x:v>A Metal Hack</x:v>
      </x:c>
      <x:c r="B70" t="str">
        <x:v>A Metal Hack</x:v>
      </x:c>
      <x:c r="C70" t="str">
        <x:v>Eric Maia</x:v>
      </x:c>
      <x:c r="D70" t="n">
        <x:v>5</x:v>
      </x:c>
      <x:c r="E70" t="str">
        <x:v>Newcomer</x:v>
      </x:c>
      <x:c r="F70" t="str">
        <x:v>Standard</x:v>
      </x:c>
      <x:c r="G70" t="n">
        <x:v>42309</x:v>
      </x:c>
      <x:c r="H70" t="str">
        <x:v>10266</x:v>
      </x:c>
      <x:c r="I70" t="str">
        <x:v>https://www.smwcentral.net/?a=details&amp;id=10266&amp;p=section</x:v>
      </x:c>
      <x:c r="J70" t="str">
        <x:v>https://dl.smwcentral.net/10266/A%20Metal%20Hack%20Demo.zip</x:v>
      </x:c>
    </x:row>
    <x:row r="71">
      <x:c r="A71" t="str">
        <x:v>A Mole in Space</x:v>
      </x:c>
      <x:c r="B71" t="str">
        <x:v>A Mole in Space</x:v>
      </x:c>
      <x:c r="C71" t="str">
        <x:v>Anorakun, Dark Prince, Donut, NopeContest, Segment1Zone2</x:v>
      </x:c>
      <x:c r="D71" t="n">
        <x:v>0</x:v>
      </x:c>
      <x:c r="E71" t="str">
        <x:v>Advanced</x:v>
      </x:c>
      <x:c r="F71" t="str">
        <x:v>Standard</x:v>
      </x:c>
      <x:c r="G71" t="n">
        <x:v>44613</x:v>
      </x:c>
      <x:c r="H71" t="str">
        <x:v>29849</x:v>
      </x:c>
      <x:c r="I71" t="str">
        <x:v>https://www.smwcentral.net/?a=details&amp;id=29849&amp;p=section</x:v>
      </x:c>
      <x:c r="J71" t="str">
        <x:v>https://dl.smwcentral.net/29849/A%20Mole%20in%20Space%20Ver.%202.3.zip</x:v>
      </x:c>
    </x:row>
    <x:row r="72">
      <x:c r="A72" t="str">
        <x:v>A New Journey</x:v>
      </x:c>
      <x:c r="B72" t="str">
        <x:v>A New Journey</x:v>
      </x:c>
      <x:c r="C72" t="str">
        <x:v>GvS</x:v>
      </x:c>
      <x:c r="D72" t="n">
        <x:v>8</x:v>
      </x:c>
      <x:c r="E72" t="str">
        <x:v>Casual</x:v>
      </x:c>
      <x:c r="F72" t="str">
        <x:v>Standard</x:v>
      </x:c>
      <x:c r="G72" t="n">
        <x:v>42301</x:v>
      </x:c>
      <x:c r="H72" t="str">
        <x:v>10051</x:v>
      </x:c>
      <x:c r="I72" t="str">
        <x:v>https://www.smwcentral.net/?a=details&amp;id=10051&amp;p=section</x:v>
      </x:c>
      <x:c r="J72" t="str">
        <x:v>https://dl.smwcentral.net/10051/A%20New%20Journey.zip</x:v>
      </x:c>
    </x:row>
    <x:row r="73">
      <x:c r="A73" t="str">
        <x:v>A New Year Walk</x:v>
      </x:c>
      <x:c r="B73" t="str">
        <x:v>A New Year Walk</x:v>
      </x:c>
      <x:c r="C73" t="str">
        <x:v>MATTAN</x:v>
      </x:c>
      <x:c r="D73" t="n">
        <x:v>1</x:v>
      </x:c>
      <x:c r="E73" t="str">
        <x:v>Casual</x:v>
      </x:c>
      <x:c r="F73" t="str">
        <x:v>Standard</x:v>
      </x:c>
      <x:c r="G73" t="n">
        <x:v>43907</x:v>
      </x:c>
      <x:c r="H73" t="str">
        <x:v>22382</x:v>
      </x:c>
      <x:c r="I73" t="str">
        <x:v>https://www.smwcentral.net/?a=details&amp;id=22382&amp;p=section</x:v>
      </x:c>
      <x:c r="J73" t="str">
        <x:v>https://dl.smwcentral.net/22382/A%20new%20year%20walk%20%28Music%20Fixed%29.zip</x:v>
      </x:c>
    </x:row>
    <x:row r="74">
      <x:c r="A74" t="str">
        <x:v>A Plumber For All Seasons</x:v>
      </x:c>
      <x:c r="B74" t="str">
        <x:v>A Plumber For All Seasons</x:v>
      </x:c>
      <x:c r="C74" t="str">
        <x:v>wye</x:v>
      </x:c>
      <x:c r="D74" t="n">
        <x:v>41</x:v>
      </x:c>
      <x:c r="E74" t="str">
        <x:v>Casual</x:v>
      </x:c>
      <x:c r="F74" t="str">
        <x:v>Standard</x:v>
      </x:c>
      <x:c r="G74" t="n">
        <x:v>44540</x:v>
      </x:c>
      <x:c r="H74" t="str">
        <x:v>28856</x:v>
      </x:c>
      <x:c r="I74" t="str">
        <x:v>https://www.smwcentral.net/?a=details&amp;id=28856&amp;p=section</x:v>
      </x:c>
      <x:c r="J74" t="str">
        <x:v>https://dl.smwcentral.net/28856/A_Plumber_For_All_Seasons_2021-11-22.zip</x:v>
      </x:c>
    </x:row>
    <x:row r="75">
      <x:c r="A75" t="str">
        <x:v>a pretty view</x:v>
      </x:c>
      <x:c r="B75" t="str">
        <x:v>a pretty view</x:v>
      </x:c>
      <x:c r="C75" t="str">
        <x:v>Dixy</x:v>
      </x:c>
      <x:c r="D75" t="n">
        <x:v>13</x:v>
      </x:c>
      <x:c r="E75" t="str">
        <x:v>Expert</x:v>
      </x:c>
      <x:c r="F75" t="str">
        <x:v>Kaizo</x:v>
      </x:c>
      <x:c r="G75" t="n">
        <x:v>46207</x:v>
      </x:c>
      <x:c r="H75" t="str">
        <x:v>42626</x:v>
      </x:c>
      <x:c r="I75" t="str">
        <x:v>https://www.smwcentral.net/?a=details&amp;id=42626&amp;p=section</x:v>
      </x:c>
      <x:c r="J75" t="str">
        <x:v>https://dl.smwcentral.net/42626/a%20pretty%20view.zip</x:v>
      </x:c>
    </x:row>
    <x:row r="76">
      <x:c r="A76" t="str">
        <x:v>A Pure Vanilla Hack</x:v>
      </x:c>
      <x:c r="B76" t="str">
        <x:v>A Pure Vanilla Hack</x:v>
      </x:c>
      <x:c r="C76" t="str">
        <x:v>wye</x:v>
      </x:c>
      <x:c r="D76" t="n">
        <x:v>6</x:v>
      </x:c>
      <x:c r="E76" t="str">
        <x:v>Newcomer</x:v>
      </x:c>
      <x:c r="F76" t="str">
        <x:v>Standard</x:v>
      </x:c>
      <x:c r="G76" t="n">
        <x:v>41539</x:v>
      </x:c>
      <x:c r="H76" t="str">
        <x:v>5056</x:v>
      </x:c>
      <x:c r="I76" t="str">
        <x:v>https://www.smwcentral.net/?a=details&amp;id=5056&amp;p=section</x:v>
      </x:c>
      <x:c r="J76" t="str">
        <x:v>https://dl.smwcentral.net/5056/PureVanillaHack.zip</x:v>
      </x:c>
    </x:row>
    <x:row r="77">
      <x:c r="A77" t="str">
        <x:v>A Random Pit</x:v>
      </x:c>
      <x:c r="B77" t="str">
        <x:v>A Random Pit</x:v>
      </x:c>
      <x:c r="C77" t="str">
        <x:v>A Random Taser</x:v>
      </x:c>
      <x:c r="D77" t="n">
        <x:v>1</x:v>
      </x:c>
      <x:c r="E77" t="str">
        <x:v>Master</x:v>
      </x:c>
      <x:c r="F77" t="str">
        <x:v>Tool-Assisted, Pit</x:v>
      </x:c>
      <x:c r="G77" t="n">
        <x:v>43782</x:v>
      </x:c>
      <x:c r="H77" t="str">
        <x:v>21253</x:v>
      </x:c>
      <x:c r="I77" t="str">
        <x:v>https://www.smwcentral.net/?a=details&amp;id=21253&amp;p=section</x:v>
      </x:c>
      <x:c r="J77" t="str">
        <x:v>https://dl.smwcentral.net/21253/A_Random_Pit.zip</x:v>
      </x:c>
    </x:row>
    <x:row r="78">
      <x:c r="A78" t="str">
        <x:v>A Rose for Emily</x:v>
      </x:c>
      <x:c r="B78" t="str">
        <x:v>A Rose for Emily</x:v>
      </x:c>
      <x:c r="C78" t="str">
        <x:v>shovda</x:v>
      </x:c>
      <x:c r="D78" t="n">
        <x:v>9</x:v>
      </x:c>
      <x:c r="E78" t="str">
        <x:v>Master</x:v>
      </x:c>
      <x:c r="F78" t="str">
        <x:v>Kaizo</x:v>
      </x:c>
      <x:c r="G78" t="n">
        <x:v>45463</x:v>
      </x:c>
      <x:c r="H78" t="str">
        <x:v>37976</x:v>
      </x:c>
      <x:c r="I78" t="str">
        <x:v>https://www.smwcentral.net/?a=details&amp;id=37976&amp;p=section</x:v>
      </x:c>
      <x:c r="J78" t="str">
        <x:v>https://dl.smwcentral.net/37976/Rose.zip</x:v>
      </x:c>
    </x:row>
    <x:row r="79">
      <x:c r="A79" t="str">
        <x:v>A Rushed Project</x:v>
      </x:c>
      <x:c r="B79" t="str">
        <x:v>A Rushed Project</x:v>
      </x:c>
      <x:c r="C79" t="str">
        <x:v>Galactic Spear</x:v>
      </x:c>
      <x:c r="D79" t="n">
        <x:v>7</x:v>
      </x:c>
      <x:c r="E79" t="str">
        <x:v>Intermediate</x:v>
      </x:c>
      <x:c r="F79" t="str">
        <x:v>Standard</x:v>
      </x:c>
      <x:c r="G79" t="n">
        <x:v>44034</x:v>
      </x:c>
      <x:c r="H79" t="str">
        <x:v>23961</x:v>
      </x:c>
      <x:c r="I79" t="str">
        <x:v>https://www.smwcentral.net/?a=details&amp;id=23961&amp;p=section</x:v>
      </x:c>
      <x:c r="J79" t="str">
        <x:v>https://dl.smwcentral.net/23961/A%20Rushed%20Project.zip</x:v>
      </x:c>
    </x:row>
    <x:row r="80">
      <x:c r="A80" t="str">
        <x:v>A Second X Thing: Gaiden: Gaiden</x:v>
      </x:c>
      <x:c r="B80" t="str">
        <x:v>A Second X Thing: Gaiden: Gaiden</x:v>
      </x:c>
      <x:c r="C80" t="str">
        <x:v>Heraga, talkhaus</x:v>
      </x:c>
      <x:c r="D80" t="n">
        <x:v>26</x:v>
      </x:c>
      <x:c r="E80" t="str">
        <x:v>Advanced</x:v>
      </x:c>
      <x:c r="F80" t="str">
        <x:v>Standard</x:v>
      </x:c>
      <x:c r="G80" t="n">
        <x:v>46035</x:v>
      </x:c>
      <x:c r="H80" t="str">
        <x:v>41328</x:v>
      </x:c>
      <x:c r="I80" t="str">
        <x:v>https://www.smwcentral.net/?a=details&amp;id=41328&amp;p=section</x:v>
      </x:c>
      <x:c r="J80" t="str">
        <x:v>https://dl.smwcentral.net/41328/a2xtgaidengaiden.zip</x:v>
      </x:c>
    </x:row>
    <x:row r="81">
      <x:c r="A81" t="str">
        <x:v>A Semi-Normal Castle</x:v>
      </x:c>
      <x:c r="B81" t="str">
        <x:v>A Semi-Normal Castle</x:v>
      </x:c>
      <x:c r="C81" t="str">
        <x:v>Heitor Porfirio</x:v>
      </x:c>
      <x:c r="D81" t="n">
        <x:v>1</x:v>
      </x:c>
      <x:c r="E81" t="str">
        <x:v>Casual</x:v>
      </x:c>
      <x:c r="F81" t="str">
        <x:v>Standard</x:v>
      </x:c>
      <x:c r="G81" t="n">
        <x:v>45532</x:v>
      </x:c>
      <x:c r="H81" t="str">
        <x:v>38269</x:v>
      </x:c>
      <x:c r="I81" t="str">
        <x:v>https://www.smwcentral.net/?a=details&amp;id=38269&amp;p=section</x:v>
      </x:c>
      <x:c r="J81" t="str">
        <x:v>https://dl.smwcentral.net/38269/A%20Semi-Normal%20Castle%20v1.2.1.zip</x:v>
      </x:c>
    </x:row>
    <x:row r="82">
      <x:c r="A82" t="str">
        <x:v>A short Journey</x:v>
      </x:c>
      <x:c r="B82" t="str">
        <x:v>A short Journey</x:v>
      </x:c>
      <x:c r="C82" t="str">
        <x:v>H3nt4ik4m3n</x:v>
      </x:c>
      <x:c r="D82" t="n">
        <x:v>7</x:v>
      </x:c>
      <x:c r="E82" t="str">
        <x:v>Expert</x:v>
      </x:c>
      <x:c r="F82" t="str">
        <x:v>Kaizo</x:v>
      </x:c>
      <x:c r="G82" t="n">
        <x:v>44881</x:v>
      </x:c>
      <x:c r="H82" t="str">
        <x:v>32575</x:v>
      </x:c>
      <x:c r="I82" t="str">
        <x:v>https://www.smwcentral.net/?a=details&amp;id=32575&amp;p=section</x:v>
      </x:c>
      <x:c r="J82" t="str">
        <x:v>https://dl.smwcentral.net/32575/A%20short%20Journey.zip</x:v>
      </x:c>
    </x:row>
    <x:row r="83">
      <x:c r="A83" t="str">
        <x:v>A short kaizo</x:v>
      </x:c>
      <x:c r="B83" t="str">
        <x:v>A short kaizo</x:v>
      </x:c>
      <x:c r="C83" t="str">
        <x:v>Lush_50</x:v>
      </x:c>
      <x:c r="D83" t="n">
        <x:v>6</x:v>
      </x:c>
      <x:c r="E83" t="str">
        <x:v>Intermediate</x:v>
      </x:c>
      <x:c r="F83" t="str">
        <x:v>Kaizo</x:v>
      </x:c>
      <x:c r="G83" t="n">
        <x:v>44932</x:v>
      </x:c>
      <x:c r="H83" t="str">
        <x:v>32874</x:v>
      </x:c>
      <x:c r="I83" t="str">
        <x:v>https://www.smwcentral.net/?a=details&amp;id=32874&amp;p=section</x:v>
      </x:c>
      <x:c r="J83" t="str">
        <x:v>https://dl.smwcentral.net/32874/A_short_kaizo_v1.1.zip</x:v>
      </x:c>
    </x:row>
    <x:row r="84">
      <x:c r="A84" t="str">
        <x:v>A short kaizo 2</x:v>
      </x:c>
      <x:c r="B84" t="str">
        <x:v>A short kaizo 2</x:v>
      </x:c>
      <x:c r="C84" t="str">
        <x:v>Lush_50</x:v>
      </x:c>
      <x:c r="D84" t="n">
        <x:v>6</x:v>
      </x:c>
      <x:c r="E84" t="str">
        <x:v>Intermediate</x:v>
      </x:c>
      <x:c r="F84" t="str">
        <x:v>Kaizo</x:v>
      </x:c>
      <x:c r="G84" t="n">
        <x:v>45509</x:v>
      </x:c>
      <x:c r="H84" t="str">
        <x:v>38177</x:v>
      </x:c>
      <x:c r="I84" t="str">
        <x:v>https://www.smwcentral.net/?a=details&amp;id=38177&amp;p=section</x:v>
      </x:c>
      <x:c r="J84" t="str">
        <x:v>https://dl.smwcentral.net/38177/A%20Short%20kaizo%202%20by%20Lush_50%20%282022-24%29.zip</x:v>
      </x:c>
    </x:row>
    <x:row r="85">
      <x:c r="A85" t="str">
        <x:v>A Simple Story</x:v>
      </x:c>
      <x:c r="B85" t="str">
        <x:v>A Simple Story</x:v>
      </x:c>
      <x:c r="C85" t="str">
        <x:v>Thehoundsquad</x:v>
      </x:c>
      <x:c r="D85" t="n">
        <x:v>7</x:v>
      </x:c>
      <x:c r="E85" t="str">
        <x:v>Casual</x:v>
      </x:c>
      <x:c r="F85" t="str">
        <x:v>Standard</x:v>
      </x:c>
      <x:c r="G85" t="n">
        <x:v>42299</x:v>
      </x:c>
      <x:c r="H85" t="str">
        <x:v>10189</x:v>
      </x:c>
      <x:c r="I85" t="str">
        <x:v>https://www.smwcentral.net/?a=details&amp;id=10189&amp;p=section</x:v>
      </x:c>
      <x:c r="J85" t="str">
        <x:v>https://dl.smwcentral.net/10189/A%20Simple%20Story.zip</x:v>
      </x:c>
    </x:row>
    <x:row r="86">
      <x:c r="A86" t="str">
        <x:v>A SMW Hack</x:v>
      </x:c>
      <x:c r="B86" t="str">
        <x:v>A SMW Hack</x:v>
      </x:c>
      <x:c r="C86" t="str">
        <x:v>MetalLuigi</x:v>
      </x:c>
      <x:c r="D86" t="n">
        <x:v>6</x:v>
      </x:c>
      <x:c r="E86" t="str">
        <x:v>Newcomer</x:v>
      </x:c>
      <x:c r="F86" t="str">
        <x:v>Standard</x:v>
      </x:c>
      <x:c r="G86" t="n">
        <x:v>42220</x:v>
      </x:c>
      <x:c r="H86" t="str">
        <x:v>10089</x:v>
      </x:c>
      <x:c r="I86" t="str">
        <x:v>https://www.smwcentral.net/?a=details&amp;id=10089&amp;p=section</x:v>
      </x:c>
      <x:c r="J86" t="str">
        <x:v>https://dl.smwcentral.net/10089/A%20SMW%20HACK%20DEMO%20V1.2.zip</x:v>
      </x:c>
    </x:row>
    <x:row r="87">
      <x:c r="A87" t="str">
        <x:v>A Special Birthday</x:v>
      </x:c>
      <x:c r="B87" t="str">
        <x:v>A Special Birthday</x:v>
      </x:c>
      <x:c r="C87" t="str">
        <x:v>Andyana Jonseph</x:v>
      </x:c>
      <x:c r="D87" t="n">
        <x:v>8</x:v>
      </x:c>
      <x:c r="E87" t="str">
        <x:v>Advanced</x:v>
      </x:c>
      <x:c r="F87" t="str">
        <x:v>Standard</x:v>
      </x:c>
      <x:c r="G87" t="n">
        <x:v>42939</x:v>
      </x:c>
      <x:c r="H87" t="str">
        <x:v>15923</x:v>
      </x:c>
      <x:c r="I87" t="str">
        <x:v>https://www.smwcentral.net/?a=details&amp;id=15923&amp;p=section</x:v>
      </x:c>
      <x:c r="J87" t="str">
        <x:v>https://dl.smwcentral.net/15923/A%20Special%20Birthday.zip</x:v>
      </x:c>
    </x:row>
    <x:row r="88">
      <x:c r="A88" t="str">
        <x:v>A Special Christmas</x:v>
      </x:c>
      <x:c r="B88" t="str">
        <x:v>A Special Christmas</x:v>
      </x:c>
      <x:c r="C88" t="str">
        <x:v>Andyana Jonseph</x:v>
      </x:c>
      <x:c r="D88" t="n">
        <x:v>8</x:v>
      </x:c>
      <x:c r="E88" t="str">
        <x:v>Advanced</x:v>
      </x:c>
      <x:c r="F88" t="str">
        <x:v>Standard</x:v>
      </x:c>
      <x:c r="G88" t="n">
        <x:v>42738</x:v>
      </x:c>
      <x:c r="H88" t="str">
        <x:v>14841</x:v>
      </x:c>
      <x:c r="I88" t="str">
        <x:v>https://www.smwcentral.net/?a=details&amp;id=14841&amp;p=section</x:v>
      </x:c>
      <x:c r="J88" t="str">
        <x:v>https://dl.smwcentral.net/14841/A%20Special%20Christmas.zip</x:v>
      </x:c>
    </x:row>
    <x:row r="89">
      <x:c r="A89" t="str">
        <x:v>A Sticky Situation</x:v>
      </x:c>
      <x:c r="B89" t="str">
        <x:v>A Sticky Situation</x:v>
      </x:c>
      <x:c r="C89" t="str">
        <x:v>Firstnamebutt, dotCoockie</x:v>
      </x:c>
      <x:c r="D89" t="n">
        <x:v>16</x:v>
      </x:c>
      <x:c r="E89" t="str">
        <x:v>Advanced</x:v>
      </x:c>
      <x:c r="F89" t="str">
        <x:v>Kaizo</x:v>
      </x:c>
      <x:c r="G89" t="n">
        <x:v>45152</x:v>
      </x:c>
      <x:c r="H89" t="str">
        <x:v>34830</x:v>
      </x:c>
      <x:c r="I89" t="str">
        <x:v>https://www.smwcentral.net/?a=details&amp;id=34830&amp;p=section</x:v>
      </x:c>
      <x:c r="J89" t="str">
        <x:v>https://dl.smwcentral.net/34830/AStickySituation.zip</x:v>
      </x:c>
    </x:row>
    <x:row r="90">
      <x:c r="A90" t="str">
        <x:v>A story about an island</x:v>
      </x:c>
      <x:c r="B90" t="str">
        <x:v>A story about an island</x:v>
      </x:c>
      <x:c r="C90" t="str">
        <x:v>dotCoockie</x:v>
      </x:c>
      <x:c r="D90" t="n">
        <x:v>8</x:v>
      </x:c>
      <x:c r="E90" t="str">
        <x:v>Advanced</x:v>
      </x:c>
      <x:c r="F90" t="str">
        <x:v>Kaizo</x:v>
      </x:c>
      <x:c r="G90" t="n">
        <x:v>44445</x:v>
      </x:c>
      <x:c r="H90" t="str">
        <x:v>28197</x:v>
      </x:c>
      <x:c r="I90" t="str">
        <x:v>https://www.smwcentral.net/?a=details&amp;id=28197&amp;p=section</x:v>
      </x:c>
      <x:c r="J90" t="str">
        <x:v>https://dl.smwcentral.net/28197/Release.zip</x:v>
      </x:c>
    </x:row>
    <x:row r="91">
      <x:c r="A91" t="str">
        <x:v>A Strange Mission</x:v>
      </x:c>
      <x:c r="B91" t="str">
        <x:v>A Strange Mission</x:v>
      </x:c>
      <x:c r="C91" t="str">
        <x:v>wye</x:v>
      </x:c>
      <x:c r="D91" t="n">
        <x:v>8</x:v>
      </x:c>
      <x:c r="E91" t="str">
        <x:v>Intermediate</x:v>
      </x:c>
      <x:c r="F91" t="str">
        <x:v>Standard</x:v>
      </x:c>
      <x:c r="G91" t="n">
        <x:v>41451</x:v>
      </x:c>
      <x:c r="H91" t="str">
        <x:v>5031</x:v>
      </x:c>
      <x:c r="I91" t="str">
        <x:v>https://www.smwcentral.net/?a=details&amp;id=5031&amp;p=section</x:v>
      </x:c>
      <x:c r="J91" t="str">
        <x:v>https://dl.smwcentral.net/5031/AStrangeMission.zip</x:v>
      </x:c>
    </x:row>
    <x:row r="92">
      <x:c r="A92" t="str">
        <x:v>A Strongly-Worded Letter to the Iceberg</x:v>
      </x:c>
      <x:c r="B92" t="str">
        <x:v>A Strongly-Worded Letter to the Iceberg</x:v>
      </x:c>
      <x:c r="C92" t="str">
        <x:v>MarsAmPear</x:v>
      </x:c>
      <x:c r="D92" t="n">
        <x:v>7</x:v>
      </x:c>
      <x:c r="E92" t="str">
        <x:v>Master</x:v>
      </x:c>
      <x:c r="F92" t="str">
        <x:v>Standard, Kaizo</x:v>
      </x:c>
      <x:c r="G92" t="n">
        <x:v>46133</x:v>
      </x:c>
      <x:c r="H92" t="str">
        <x:v>41930</x:v>
      </x:c>
      <x:c r="I92" t="str">
        <x:v>https://www.smwcentral.net/?a=details&amp;id=41930&amp;p=section</x:v>
      </x:c>
      <x:c r="J92" t="str">
        <x:v>https://dl.smwcentral.net/41930/A%20Strongly-Worded%20Letter%20to%20the%20Iceberg%201.01.zip</x:v>
      </x:c>
    </x:row>
    <x:row r="93">
      <x:c r="A93" t="str">
        <x:v>A Summer Level</x:v>
      </x:c>
      <x:c r="B93" t="str">
        <x:v>A Summer Level</x:v>
      </x:c>
      <x:c r="C93" t="str">
        <x:v>DukeEnemy</x:v>
      </x:c>
      <x:c r="D93" t="n">
        <x:v>1</x:v>
      </x:c>
      <x:c r="E93" t="str">
        <x:v>Casual</x:v>
      </x:c>
      <x:c r="F93" t="str">
        <x:v>Standard</x:v>
      </x:c>
      <x:c r="G93" t="n">
        <x:v>41445</x:v>
      </x:c>
      <x:c r="H93" t="str">
        <x:v>5052</x:v>
      </x:c>
      <x:c r="I93" t="str">
        <x:v>https://www.smwcentral.net/?a=details&amp;id=5052&amp;p=section</x:v>
      </x:c>
      <x:c r="J93" t="str">
        <x:v>https://dl.smwcentral.net/5052/A%20Summer%20Level.zip</x:v>
      </x:c>
    </x:row>
    <x:row r="94">
      <x:c r="A94" t="str">
        <x:v>A Super Mario Adventure</x:v>
      </x:c>
      <x:c r="B94" t="str">
        <x:v>A Super Mario Adventure</x:v>
      </x:c>
      <x:c r="C94" t="str">
        <x:v>Gamma V</x:v>
      </x:c>
      <x:c r="D94" t="n">
        <x:v>107</x:v>
      </x:c>
      <x:c r="E94" t="str">
        <x:v>Casual</x:v>
      </x:c>
      <x:c r="F94" t="str">
        <x:v>Standard</x:v>
      </x:c>
      <x:c r="G94" t="n">
        <x:v>46073</x:v>
      </x:c>
      <x:c r="H94" t="str">
        <x:v>41554</x:v>
      </x:c>
      <x:c r="I94" t="str">
        <x:v>https://www.smwcentral.net/?a=details&amp;id=41554&amp;p=section</x:v>
      </x:c>
      <x:c r="J94" t="str">
        <x:v>https://dl.smwcentral.net/41554/ASMA%20NewIntro.zip</x:v>
      </x:c>
    </x:row>
    <x:row r="95">
      <x:c r="A95" t="str">
        <x:v>A Super Mario Thing</x:v>
      </x:c>
      <x:c r="B95" t="str">
        <x:v>A Super Mario Thing</x:v>
      </x:c>
      <x:c r="C95" t="str">
        <x:v>Talkhaus</x:v>
      </x:c>
      <x:c r="D95" t="n">
        <x:v>94</x:v>
      </x:c>
      <x:c r="E95" t="str">
        <x:v>Expert</x:v>
      </x:c>
      <x:c r="F95" t="str">
        <x:v>Standard</x:v>
      </x:c>
      <x:c r="G95" t="n">
        <x:v>43167</x:v>
      </x:c>
      <x:c r="H95" t="str">
        <x:v>17125</x:v>
      </x:c>
      <x:c r="I95" t="str">
        <x:v>https://www.smwcentral.net/?a=details&amp;id=17125&amp;p=section</x:v>
      </x:c>
      <x:c r="J95" t="str">
        <x:v>https://dl.smwcentral.net/17125/A%20Super%20Mario%20Thing.zip</x:v>
      </x:c>
    </x:row>
    <x:row r="96">
      <x:c r="A96" t="str">
        <x:v>A Super Mario World Rom Hack</x:v>
      </x:c>
      <x:c r="B96" t="str">
        <x:v>A Super Mario World Rom Hack</x:v>
      </x:c>
      <x:c r="C96" t="str">
        <x:v>Ralshi02</x:v>
      </x:c>
      <x:c r="D96" t="n">
        <x:v>7</x:v>
      </x:c>
      <x:c r="E96" t="str">
        <x:v>Intermediate</x:v>
      </x:c>
      <x:c r="F96" t="str">
        <x:v>Standard</x:v>
      </x:c>
      <x:c r="G96" t="n">
        <x:v>43670</x:v>
      </x:c>
      <x:c r="H96" t="str">
        <x:v>20604</x:v>
      </x:c>
      <x:c r="I96" t="str">
        <x:v>https://www.smwcentral.net/?a=details&amp;id=20604&amp;p=section</x:v>
      </x:c>
      <x:c r="J96" t="str">
        <x:v>https://dl.smwcentral.net/20604/Hack%202.zip</x:v>
      </x:c>
    </x:row>
    <x:row r="97">
      <x:c r="A97" t="str">
        <x:v>A Supposedly Fun Thing I'll Never Do Again</x:v>
      </x:c>
      <x:c r="B97" t="str">
        <x:v>A Supposedly Fun Thing I'll Never Do Again</x:v>
      </x:c>
      <x:c r="C97" t="str">
        <x:v>Abstract</x:v>
      </x:c>
      <x:c r="D97" t="n">
        <x:v>18</x:v>
      </x:c>
      <x:c r="E97" t="str">
        <x:v>Expert</x:v>
      </x:c>
      <x:c r="F97" t="str">
        <x:v>Kaizo</x:v>
      </x:c>
      <x:c r="G97" t="n">
        <x:v>45769</x:v>
      </x:c>
      <x:c r="H97" t="str">
        <x:v>39767</x:v>
      </x:c>
      <x:c r="I97" t="str">
        <x:v>https://www.smwcentral.net/?a=details&amp;id=39767&amp;p=section</x:v>
      </x:c>
      <x:c r="J97" t="str">
        <x:v>https://dl.smwcentral.net/39767/A%20Supposedly%20Fun%20Thing.zip</x:v>
      </x:c>
    </x:row>
    <x:row r="98">
      <x:c r="A98" t="str">
        <x:v>A Teakettle of Wet Bees</x:v>
      </x:c>
      <x:c r="B98" t="str">
        <x:v>A Teakettle of Wet Bees</x:v>
      </x:c>
      <x:c r="C98" t="str">
        <x:v>bucketofwetsocks</x:v>
      </x:c>
      <x:c r="D98" t="n">
        <x:v>11</x:v>
      </x:c>
      <x:c r="E98" t="str">
        <x:v>Expert</x:v>
      </x:c>
      <x:c r="F98" t="str">
        <x:v>Kaizo</x:v>
      </x:c>
      <x:c r="G98" t="n">
        <x:v>44950</x:v>
      </x:c>
      <x:c r="H98" t="str">
        <x:v>32994</x:v>
      </x:c>
      <x:c r="I98" t="str">
        <x:v>https://www.smwcentral.net/?a=details&amp;id=32994&amp;p=section</x:v>
      </x:c>
      <x:c r="J98" t="str">
        <x:v>https://dl.smwcentral.net/32994/ATeaKettleOfWetBees.zip</x:v>
      </x:c>
    </x:row>
    <x:row r="99">
      <x:c r="A99" t="str">
        <x:v>A Thing w/ Peiton</x:v>
      </x:c>
      <x:c r="B99" t="str">
        <x:v>A Thing w/ Peiton</x:v>
      </x:c>
      <x:c r="C99" t="str">
        <x:v>Peyton</x:v>
      </x:c>
      <x:c r="D99" t="n">
        <x:v>69</x:v>
      </x:c>
      <x:c r="E99" t="str">
        <x:v>Advanced</x:v>
      </x:c>
      <x:c r="F99" t="str">
        <x:v>Standard</x:v>
      </x:c>
      <x:c r="G99" t="n">
        <x:v>45802</x:v>
      </x:c>
      <x:c r="H99" t="str">
        <x:v>39597</x:v>
      </x:c>
      <x:c r="I99" t="str">
        <x:v>https://www.smwcentral.net/?a=details&amp;id=39597&amp;p=section</x:v>
      </x:c>
      <x:c r="J99" t="str">
        <x:v>https://dl.smwcentral.net/39597/A%20Thing%20With%20Peiton%20v.1.1.zip</x:v>
      </x:c>
    </x:row>
    <x:row r="100">
      <x:c r="A100" t="str">
        <x:v>A Vanilla Level</x:v>
      </x:c>
      <x:c r="B100" t="str">
        <x:v>A Vanilla Level</x:v>
      </x:c>
      <x:c r="C100" t="str">
        <x:v>yoshiguy978</x:v>
      </x:c>
      <x:c r="D100" t="n">
        <x:v>1</x:v>
      </x:c>
      <x:c r="E100" t="str">
        <x:v>Intermediate</x:v>
      </x:c>
      <x:c r="F100" t="str">
        <x:v>Standard</x:v>
      </x:c>
      <x:c r="G100" t="n">
        <x:v>42345</x:v>
      </x:c>
      <x:c r="H100" t="str">
        <x:v>10546</x:v>
      </x:c>
      <x:c r="I100" t="str">
        <x:v>https://www.smwcentral.net/?a=details&amp;id=10546&amp;p=section</x:v>
      </x:c>
      <x:c r="J100" t="str">
        <x:v>https://dl.smwcentral.net/10546/A%20Vanilla%20Level%20v1.4.zip</x:v>
      </x:c>
    </x:row>
    <x:row r="101">
      <x:c r="A101" t="str">
        <x:v>A Very Super Mario World</x:v>
      </x:c>
      <x:c r="B101" t="str">
        <x:v>A Very Super Mario World</x:v>
      </x:c>
      <x:c r="C101" t="str">
        <x:v>SchwerMuta</x:v>
      </x:c>
      <x:c r="D101" t="n">
        <x:v>120</x:v>
      </x:c>
      <x:c r="E101" t="str">
        <x:v>Grandmaster</x:v>
      </x:c>
      <x:c r="F101" t="str">
        <x:v>Standard</x:v>
      </x:c>
      <x:c r="G101" t="n">
        <x:v>42876</x:v>
      </x:c>
      <x:c r="H101" t="str">
        <x:v>15587</x:v>
      </x:c>
      <x:c r="I101" t="str">
        <x:v>https://www.smwcentral.net/?a=details&amp;id=15587&amp;p=section</x:v>
      </x:c>
      <x:c r="J101" t="str">
        <x:v>https://dl.smwcentral.net/15587/avsmw.zip</x:v>
      </x:c>
    </x:row>
    <x:row r="102">
      <x:c r="A102" t="str">
        <x:v>A WIP</x:v>
      </x:c>
      <x:c r="B102" t="str">
        <x:v>A WIP</x:v>
      </x:c>
      <x:c r="C102" t="str">
        <x:v>NikSik1</x:v>
      </x:c>
      <x:c r="D102" t="n">
        <x:v>0</x:v>
      </x:c>
      <x:c r="E102" t="str">
        <x:v>Master</x:v>
      </x:c>
      <x:c r="F102" t="str">
        <x:v>Kaizo</x:v>
      </x:c>
      <x:c r="G102" t="n">
        <x:v>44609</x:v>
      </x:c>
      <x:c r="H102" t="str">
        <x:v>29748</x:v>
      </x:c>
      <x:c r="I102" t="str">
        <x:v>https://www.smwcentral.net/?a=details&amp;id=29748&amp;p=section</x:v>
      </x:c>
      <x:c r="J102" t="str">
        <x:v>https://dl.smwcentral.net/29748/A%20WIP.zip</x:v>
      </x:c>
    </x:row>
    <x:row r="103">
      <x:c r="A103" t="str">
        <x:v>A work project thing...</x:v>
      </x:c>
      <x:c r="B103" t="str">
        <x:v>A work project thing...</x:v>
      </x:c>
      <x:c r="C103" t="str">
        <x:v>Stivi</x:v>
      </x:c>
      <x:c r="D103" t="n">
        <x:v>4</x:v>
      </x:c>
      <x:c r="E103" t="str">
        <x:v>Intermediate</x:v>
      </x:c>
      <x:c r="F103" t="str">
        <x:v>Standard</x:v>
      </x:c>
      <x:c r="G103" t="n">
        <x:v>43292</x:v>
      </x:c>
      <x:c r="H103" t="str">
        <x:v>17750</x:v>
      </x:c>
      <x:c r="I103" t="str">
        <x:v>https://www.smwcentral.net/?a=details&amp;id=17750&amp;p=section</x:v>
      </x:c>
      <x:c r="J103" t="str">
        <x:v>https://dl.smwcentral.net/17750/A%20work%20project%20thing....bps.zip</x:v>
      </x:c>
    </x:row>
    <x:row r="104">
      <x:c r="A104" t="str">
        <x:v>A Yoshi's Story</x:v>
      </x:c>
      <x:c r="B104" t="str">
        <x:v>A Yoshi's Story</x:v>
      </x:c>
      <x:c r="C104" t="str">
        <x:v>CaptainDazz</x:v>
      </x:c>
      <x:c r="D104" t="n">
        <x:v>1</x:v>
      </x:c>
      <x:c r="E104" t="str">
        <x:v>Intermediate</x:v>
      </x:c>
      <x:c r="F104" t="str">
        <x:v>Standard</x:v>
      </x:c>
      <x:c r="G104" t="n">
        <x:v>45732</x:v>
      </x:c>
      <x:c r="H104" t="str">
        <x:v>39452</x:v>
      </x:c>
      <x:c r="I104" t="str">
        <x:v>https://www.smwcentral.net/?a=details&amp;id=39452&amp;p=section</x:v>
      </x:c>
      <x:c r="J104" t="str">
        <x:v>https://dl.smwcentral.net/39452/AYoshi%27sStoryFixed.zip</x:v>
      </x:c>
    </x:row>
    <x:row r="105">
      <x:c r="A105" t="str">
        <x:v>A Yoshi's Story 2</x:v>
      </x:c>
      <x:c r="B105" t="str">
        <x:v>A Yoshi's Story 2</x:v>
      </x:c>
      <x:c r="C105" t="str">
        <x:v>CaptainDazz</x:v>
      </x:c>
      <x:c r="D105" t="n">
        <x:v>16</x:v>
      </x:c>
      <x:c r="E105" t="str">
        <x:v>Casual</x:v>
      </x:c>
      <x:c r="F105" t="str">
        <x:v>Standard</x:v>
      </x:c>
      <x:c r="G105" t="n">
        <x:v>42306</x:v>
      </x:c>
      <x:c r="H105" t="str">
        <x:v>10209</x:v>
      </x:c>
      <x:c r="I105" t="str">
        <x:v>https://www.smwcentral.net/?a=details&amp;id=10209&amp;p=section</x:v>
      </x:c>
      <x:c r="J105" t="str">
        <x:v>https://dl.smwcentral.net/10209/A%20Yoshi%27s%20Story%202.zip</x:v>
      </x:c>
    </x:row>
    <x:row r="106">
      <x:c r="A106" t="str">
        <x:v>A1 Mario World</x:v>
      </x:c>
      <x:c r="B106" t="str">
        <x:v>A1 Mario World</x:v>
      </x:c>
      <x:c r="C106" t="str">
        <x:v>qbear</x:v>
      </x:c>
      <x:c r="D106" t="n">
        <x:v>14</x:v>
      </x:c>
      <x:c r="E106" t="str">
        <x:v>Advanced</x:v>
      </x:c>
      <x:c r="F106" t="str">
        <x:v>Kaizo</x:v>
      </x:c>
      <x:c r="G106" t="n">
        <x:v>44950</x:v>
      </x:c>
      <x:c r="H106" t="str">
        <x:v>32964</x:v>
      </x:c>
      <x:c r="I106" t="str">
        <x:v>https://www.smwcentral.net/?a=details&amp;id=32964&amp;p=section</x:v>
      </x:c>
      <x:c r="J106" t="str">
        <x:v>https://dl.smwcentral.net/32964/A1%20Mario%20World%20vA.01.zip</x:v>
      </x:c>
    </x:row>
    <x:row r="107">
      <x:c r="A107" t="str">
        <x:v>Absolute Authenticity</x:v>
      </x:c>
      <x:c r="B107" t="str">
        <x:v>Absolute Authenticity</x:v>
      </x:c>
      <x:c r="C107" t="str">
        <x:v>MarsAmPear</x:v>
      </x:c>
      <x:c r="D107" t="n">
        <x:v>0</x:v>
      </x:c>
      <x:c r="E107" t="str">
        <x:v>Grandmaster</x:v>
      </x:c>
      <x:c r="F107" t="str">
        <x:v>Kaizo</x:v>
      </x:c>
      <x:c r="G107" t="n">
        <x:v>46089</x:v>
      </x:c>
      <x:c r="H107" t="str">
        <x:v>41559</x:v>
      </x:c>
      <x:c r="I107" t="str">
        <x:v>https://www.smwcentral.net/?a=details&amp;id=41559&amp;p=section</x:v>
      </x:c>
      <x:c r="J107" t="str">
        <x:v>https://dl.smwcentral.net/41559/Absolute%20Authenticity.zip</x:v>
      </x:c>
    </x:row>
    <x:row r="108">
      <x:c r="A108" t="str">
        <x:v>Abuse and Die 3</x:v>
      </x:c>
      <x:c r="B108" t="str">
        <x:v>Abuse and Die 3</x:v>
      </x:c>
      <x:c r="C108" t="str">
        <x:v>AFH</x:v>
      </x:c>
      <x:c r="D108" t="n">
        <x:v>3</x:v>
      </x:c>
      <x:c r="E108" t="str">
        <x:v>Expert</x:v>
      </x:c>
      <x:c r="F108" t="str">
        <x:v>Kaizo, Tool-Assisted</x:v>
      </x:c>
      <x:c r="G108" t="n">
        <x:v>43450</x:v>
      </x:c>
      <x:c r="H108" t="str">
        <x:v>18626</x:v>
      </x:c>
      <x:c r="I108" t="str">
        <x:v>https://www.smwcentral.net/?a=details&amp;id=18626&amp;p=section</x:v>
      </x:c>
      <x:c r="J108" t="str">
        <x:v>https://dl.smwcentral.net/18626/Abuse%20and%20Die%203%20demo.zip</x:v>
      </x:c>
    </x:row>
    <x:row r="109">
      <x:c r="A109" t="str">
        <x:v>Acid Tapes Vol. 1</x:v>
      </x:c>
      <x:c r="B109" t="str">
        <x:v>Acid Tapes Vol. 1</x:v>
      </x:c>
      <x:c r="C109" t="str">
        <x:v>twicepipes</x:v>
      </x:c>
      <x:c r="D109" t="n">
        <x:v>10</x:v>
      </x:c>
      <x:c r="E109" t="str">
        <x:v>Advanced</x:v>
      </x:c>
      <x:c r="F109" t="str">
        <x:v>Kaizo</x:v>
      </x:c>
      <x:c r="G109" t="n">
        <x:v>44854</x:v>
      </x:c>
      <x:c r="H109" t="str">
        <x:v>32375</x:v>
      </x:c>
      <x:c r="I109" t="str">
        <x:v>https://www.smwcentral.net/?a=details&amp;id=32375&amp;p=section</x:v>
      </x:c>
      <x:c r="J109" t="str">
        <x:v>https://dl.smwcentral.net/32375/AcidTapesVol1.zip</x:v>
      </x:c>
    </x:row>
    <x:row r="110">
      <x:c r="A110" t="str">
        <x:v>Acid Tapes Vol. 2</x:v>
      </x:c>
      <x:c r="B110" t="str">
        <x:v>Acid Tapes Vol. 2</x:v>
      </x:c>
      <x:c r="C110" t="str">
        <x:v>twicepipes</x:v>
      </x:c>
      <x:c r="D110" t="n">
        <x:v>20</x:v>
      </x:c>
      <x:c r="E110" t="str">
        <x:v>Expert</x:v>
      </x:c>
      <x:c r="F110" t="str">
        <x:v>Kaizo</x:v>
      </x:c>
      <x:c r="G110" t="n">
        <x:v>46055</x:v>
      </x:c>
      <x:c r="H110" t="str">
        <x:v>41504</x:v>
      </x:c>
      <x:c r="I110" t="str">
        <x:v>https://www.smwcentral.net/?a=details&amp;id=41504&amp;p=section</x:v>
      </x:c>
      <x:c r="J110" t="str">
        <x:v>https://dl.smwcentral.net/41504/AcidTapesVol2%201.1.zip</x:v>
      </x:c>
    </x:row>
    <x:row r="111">
      <x:c r="A111" t="str">
        <x:v>Action42</x:v>
      </x:c>
      <x:c r="B111" t="str">
        <x:v>Action42</x:v>
      </x:c>
      <x:c r="C111" t="str">
        <x:v>Nicoke42</x:v>
      </x:c>
      <x:c r="D111" t="n">
        <x:v>10</x:v>
      </x:c>
      <x:c r="E111" t="str">
        <x:v>Advanced</x:v>
      </x:c>
      <x:c r="F111" t="str">
        <x:v>Kaizo</x:v>
      </x:c>
      <x:c r="G111" t="n">
        <x:v>44745</x:v>
      </x:c>
      <x:c r="H111" t="str">
        <x:v>31179</x:v>
      </x:c>
      <x:c r="I111" t="str">
        <x:v>https://www.smwcentral.net/?a=details&amp;id=31179&amp;p=section</x:v>
      </x:c>
      <x:c r="J111" t="str">
        <x:v>https://dl.smwcentral.net/31179/Action42.zip</x:v>
      </x:c>
    </x:row>
    <x:row r="112">
      <x:c r="A112" t="str">
        <x:v>Advanced Shells</x:v>
      </x:c>
      <x:c r="B112" t="str">
        <x:v>Advanced Shells</x:v>
      </x:c>
      <x:c r="C112" t="str">
        <x:v>RicardoDeMelo</x:v>
      </x:c>
      <x:c r="D112" t="n">
        <x:v>15</x:v>
      </x:c>
      <x:c r="E112" t="str">
        <x:v>Master</x:v>
      </x:c>
      <x:c r="F112" t="str">
        <x:v>Kaizo</x:v>
      </x:c>
      <x:c r="G112" t="n">
        <x:v>44846</x:v>
      </x:c>
      <x:c r="H112" t="str">
        <x:v>32218</x:v>
      </x:c>
      <x:c r="I112" t="str">
        <x:v>https://www.smwcentral.net/?a=details&amp;id=32218&amp;p=section</x:v>
      </x:c>
      <x:c r="J112" t="str">
        <x:v>https://dl.smwcentral.net/32218/Advanced%20Shells.zip</x:v>
      </x:c>
    </x:row>
    <x:row r="113">
      <x:c r="A113" t="str">
        <x:v>Advanced Shells II</x:v>
      </x:c>
      <x:c r="B113" t="str">
        <x:v>Advanced Shells II</x:v>
      </x:c>
      <x:c r="C113" t="str">
        <x:v>RicardoDeMelo</x:v>
      </x:c>
      <x:c r="D113" t="n">
        <x:v>14</x:v>
      </x:c>
      <x:c r="E113" t="str">
        <x:v>Master</x:v>
      </x:c>
      <x:c r="F113" t="str">
        <x:v>Kaizo</x:v>
      </x:c>
      <x:c r="G113" t="n">
        <x:v>44624</x:v>
      </x:c>
      <x:c r="H113" t="str">
        <x:v>29945</x:v>
      </x:c>
      <x:c r="I113" t="str">
        <x:v>https://www.smwcentral.net/?a=details&amp;id=29945&amp;p=section</x:v>
      </x:c>
      <x:c r="J113" t="str">
        <x:v>https://dl.smwcentral.net/29945/Advanced%20Shells%202.zip</x:v>
      </x:c>
    </x:row>
    <x:row r="114">
      <x:c r="A114" t="str">
        <x:v>Advanced Shells III</x:v>
      </x:c>
      <x:c r="B114" t="str">
        <x:v>Advanced Shells III</x:v>
      </x:c>
      <x:c r="C114" t="str">
        <x:v>RicardoDeMelo</x:v>
      </x:c>
      <x:c r="D114" t="n">
        <x:v>13</x:v>
      </x:c>
      <x:c r="E114" t="str">
        <x:v>Master</x:v>
      </x:c>
      <x:c r="F114" t="str">
        <x:v>Kaizo</x:v>
      </x:c>
      <x:c r="G114" t="n">
        <x:v>44985</x:v>
      </x:c>
      <x:c r="H114" t="str">
        <x:v>33319</x:v>
      </x:c>
      <x:c r="I114" t="str">
        <x:v>https://www.smwcentral.net/?a=details&amp;id=33319&amp;p=section</x:v>
      </x:c>
      <x:c r="J114" t="str">
        <x:v>https://dl.smwcentral.net/33319/Advanced%20Shells%203.zip</x:v>
      </x:c>
    </x:row>
    <x:row r="115">
      <x:c r="A115" t="str">
        <x:v>Adventure in Gemstone Islands</x:v>
      </x:c>
      <x:c r="B115" t="str">
        <x:v>Adventure in Gemstone Islands</x:v>
      </x:c>
      <x:c r="C115" t="str">
        <x:v>Burst Man</x:v>
      </x:c>
      <x:c r="D115" t="n">
        <x:v>73</x:v>
      </x:c>
      <x:c r="E115" t="str">
        <x:v>Intermediate</x:v>
      </x:c>
      <x:c r="F115" t="str">
        <x:v>Standard</x:v>
      </x:c>
      <x:c r="G115" t="n">
        <x:v>46092</x:v>
      </x:c>
      <x:c r="H115" t="str">
        <x:v>41808</x:v>
      </x:c>
      <x:c r="I115" t="str">
        <x:v>https://www.smwcentral.net/?a=details&amp;id=41808&amp;p=section</x:v>
      </x:c>
      <x:c r="J115" t="str">
        <x:v>https://dl.smwcentral.net/41808/Adventure%20in%20Gemstone%20Islands%20v2.03.zip</x:v>
      </x:c>
    </x:row>
    <x:row r="116">
      <x:c r="A116" t="str">
        <x:v>Adventure Islands</x:v>
      </x:c>
      <x:c r="B116" t="str">
        <x:v>Adventure Islands</x:v>
      </x:c>
      <x:c r="C116" t="str">
        <x:v>Shadow9999</x:v>
      </x:c>
      <x:c r="D116" t="n">
        <x:v>44</x:v>
      </x:c>
      <x:c r="E116" t="str">
        <x:v>Advanced</x:v>
      </x:c>
      <x:c r="F116" t="str">
        <x:v>Kaizo</x:v>
      </x:c>
      <x:c r="G116" t="n">
        <x:v>43760</x:v>
      </x:c>
      <x:c r="H116" t="str">
        <x:v>21316</x:v>
      </x:c>
      <x:c r="I116" t="str">
        <x:v>https://www.smwcentral.net/?a=details&amp;id=21316&amp;p=section</x:v>
      </x:c>
      <x:c r="J116" t="str">
        <x:v>https://dl.smwcentral.net/21316/Adventure%20Islands.zip</x:v>
      </x:c>
    </x:row>
    <x:row r="117">
      <x:c r="A117" t="str">
        <x:v>Adventure Land: Darkness Rising</x:v>
      </x:c>
      <x:c r="B117" t="str">
        <x:v>Adventure Land: Darkness Rising</x:v>
      </x:c>
      <x:c r="C117" t="str">
        <x:v>flareblade26</x:v>
      </x:c>
      <x:c r="D117" t="n">
        <x:v>8</x:v>
      </x:c>
      <x:c r="E117" t="str">
        <x:v>Casual</x:v>
      </x:c>
      <x:c r="F117" t="str">
        <x:v>Standard</x:v>
      </x:c>
      <x:c r="G117" t="n">
        <x:v>41815</x:v>
      </x:c>
      <x:c r="H117" t="str">
        <x:v>6777</x:v>
      </x:c>
      <x:c r="I117" t="str">
        <x:v>https://www.smwcentral.net/?a=details&amp;id=6777&amp;p=section</x:v>
      </x:c>
      <x:c r="J117" t="str">
        <x:v>https://dl.smwcentral.net/6777/Adventure%20Land%20-%20Darkness%20Rising.zip</x:v>
      </x:c>
    </x:row>
    <x:row r="118">
      <x:c r="A118" t="str">
        <x:v>Adventure Land: Legend of the Stars</x:v>
      </x:c>
      <x:c r="B118" t="str">
        <x:v>Adventure Land: Legend of the Stars</x:v>
      </x:c>
      <x:c r="C118" t="str">
        <x:v>flareblade26</x:v>
      </x:c>
      <x:c r="D118" t="n">
        <x:v>7</x:v>
      </x:c>
      <x:c r="E118" t="str">
        <x:v>Casual</x:v>
      </x:c>
      <x:c r="F118" t="str">
        <x:v>Standard</x:v>
      </x:c>
      <x:c r="G118" t="n">
        <x:v>41513</x:v>
      </x:c>
      <x:c r="H118" t="str">
        <x:v>5368</x:v>
      </x:c>
      <x:c r="I118" t="str">
        <x:v>https://www.smwcentral.net/?a=details&amp;id=5368&amp;p=section</x:v>
      </x:c>
      <x:c r="J118" t="str">
        <x:v>https://dl.smwcentral.net/5368/Adventure%20Land%20Demo%201.zip</x:v>
      </x:c>
    </x:row>
    <x:row r="119">
      <x:c r="A119" t="str">
        <x:v>Adventure Of The Red Plumber</x:v>
      </x:c>
      <x:c r="B119" t="str">
        <x:v>Adventure Of The Red Plumber</x:v>
      </x:c>
      <x:c r="C119" t="str">
        <x:v>guitar god527</x:v>
      </x:c>
      <x:c r="D119" t="n">
        <x:v>3</x:v>
      </x:c>
      <x:c r="E119" t="str">
        <x:v>Newcomer</x:v>
      </x:c>
      <x:c r="F119" t="str">
        <x:v>Standard</x:v>
      </x:c>
      <x:c r="G119" t="n">
        <x:v>42044</x:v>
      </x:c>
      <x:c r="H119" t="str">
        <x:v>9742</x:v>
      </x:c>
      <x:c r="I119" t="str">
        <x:v>https://www.smwcentral.net/?a=details&amp;id=9742&amp;p=section</x:v>
      </x:c>
      <x:c r="J119" t="str">
        <x:v>https://dl.smwcentral.net/9742/Adventure%20of%20the%20red%20plumber.zip</x:v>
      </x:c>
    </x:row>
    <x:row r="120">
      <x:c r="A120" t="str">
        <x:v>Aeron Returns</x:v>
      </x:c>
      <x:c r="B120" t="str">
        <x:v>Aeron Returns</x:v>
      </x:c>
      <x:c r="C120" t="str">
        <x:v>Anorakun</x:v>
      </x:c>
      <x:c r="D120" t="n">
        <x:v>3</x:v>
      </x:c>
      <x:c r="E120" t="str">
        <x:v>Advanced</x:v>
      </x:c>
      <x:c r="F120" t="str">
        <x:v>Standard, Kaizo</x:v>
      </x:c>
      <x:c r="G120" t="n">
        <x:v>44774</x:v>
      </x:c>
      <x:c r="H120" t="str">
        <x:v>31365</x:v>
      </x:c>
      <x:c r="I120" t="str">
        <x:v>https://www.smwcentral.net/?a=details&amp;id=31365&amp;p=section</x:v>
      </x:c>
      <x:c r="J120" t="str">
        <x:v>https://dl.smwcentral.net/31365/Aeron_Returns_ver._1.8.zip</x:v>
      </x:c>
    </x:row>
    <x:row r="121">
      <x:c r="A121" t="str">
        <x:v>Aeron's Golden Cookie Quest ~ Special Edition</x:v>
      </x:c>
      <x:c r="B121" t="str">
        <x:v>Aeron's Golden Cookie Quest ~ Special Edition</x:v>
      </x:c>
      <x:c r="C121" t="str">
        <x:v>Anorakun</x:v>
      </x:c>
      <x:c r="D121" t="n">
        <x:v>10</x:v>
      </x:c>
      <x:c r="E121" t="str">
        <x:v>Advanced</x:v>
      </x:c>
      <x:c r="F121" t="str">
        <x:v>Standard</x:v>
      </x:c>
      <x:c r="G121" t="n">
        <x:v>46167</x:v>
      </x:c>
      <x:c r="H121" t="str">
        <x:v>42362</x:v>
      </x:c>
      <x:c r="I121" t="str">
        <x:v>https://www.smwcentral.net/?a=details&amp;id=42362&amp;p=section</x:v>
      </x:c>
      <x:c r="J121" t="str">
        <x:v>https://dl.smwcentral.net/42362/Aeron%27s%20Golden%20Cookie%20Quest%20-%20Special%20Edition%20%28ver.5.0.1%29.zip</x:v>
      </x:c>
    </x:row>
    <x:row r="122">
      <x:c r="A122" t="str">
        <x:v>Aether: The Paramount Omnibus</x:v>
      </x:c>
      <x:c r="B122" t="str">
        <x:v>Aether: The Paramount Omnibus</x:v>
      </x:c>
      <x:c r="C122" t="str">
        <x:v>Dappertron</x:v>
      </x:c>
      <x:c r="D122" t="n">
        <x:v>20</x:v>
      </x:c>
      <x:c r="E122" t="str">
        <x:v>Casual</x:v>
      </x:c>
      <x:c r="F122" t="str">
        <x:v>Standard</x:v>
      </x:c>
      <x:c r="G122" t="n">
        <x:v>41570</x:v>
      </x:c>
      <x:c r="H122" t="str">
        <x:v>5471</x:v>
      </x:c>
      <x:c r="I122" t="str">
        <x:v>https://www.smwcentral.net/?a=details&amp;id=5471&amp;p=section</x:v>
      </x:c>
      <x:c r="J122" t="str">
        <x:v>https://dl.smwcentral.net/5471/Aether%20TPO.zip</x:v>
      </x:c>
    </x:row>
    <x:row r="123">
      <x:c r="A123" t="str">
        <x:v>ageVerrly's Challenge</x:v>
      </x:c>
      <x:c r="B123" t="str">
        <x:v>ageVerrly's Challenge</x:v>
      </x:c>
      <x:c r="C123" t="str">
        <x:v>ageVerrly</x:v>
      </x:c>
      <x:c r="D123" t="n">
        <x:v>1</x:v>
      </x:c>
      <x:c r="E123" t="str">
        <x:v>Grandmaster</x:v>
      </x:c>
      <x:c r="F123" t="str">
        <x:v>Kaizo</x:v>
      </x:c>
      <x:c r="G123" t="n">
        <x:v>44874</x:v>
      </x:c>
      <x:c r="H123" t="str">
        <x:v>32364</x:v>
      </x:c>
      <x:c r="I123" t="str">
        <x:v>https://www.smwcentral.net/?a=details&amp;id=32364&amp;p=section</x:v>
      </x:c>
      <x:c r="J123" t="str">
        <x:v>https://dl.smwcentral.net/32364/ac.zip</x:v>
      </x:c>
    </x:row>
    <x:row r="124">
      <x:c r="A124" t="str">
        <x:v>Agnosthesia</x:v>
      </x:c>
      <x:c r="B124" t="str">
        <x:v>Agnosthesia</x:v>
      </x:c>
      <x:c r="C124" t="str">
        <x:v>LightAligns, Saela</x:v>
      </x:c>
      <x:c r="D124" t="n">
        <x:v>22</x:v>
      </x:c>
      <x:c r="E124" t="str">
        <x:v>Expert</x:v>
      </x:c>
      <x:c r="F124" t="str">
        <x:v>Kaizo</x:v>
      </x:c>
      <x:c r="G124" t="n">
        <x:v>45151</x:v>
      </x:c>
      <x:c r="H124" t="str">
        <x:v>34827</x:v>
      </x:c>
      <x:c r="I124" t="str">
        <x:v>https://www.smwcentral.net/?a=details&amp;id=34827&amp;p=section</x:v>
      </x:c>
      <x:c r="J124" t="str">
        <x:v>https://dl.smwcentral.net/34827/Agnosthesia.zip</x:v>
      </x:c>
    </x:row>
    <x:row r="125">
      <x:c r="A125" t="str">
        <x:v>Aionios Dynami</x:v>
      </x:c>
      <x:c r="B125" t="str">
        <x:v>Aionios Dynami</x:v>
      </x:c>
      <x:c r="C125" t="str">
        <x:v>Atma, Buster Beetle</x:v>
      </x:c>
      <x:c r="D125" t="n">
        <x:v>6</x:v>
      </x:c>
      <x:c r="E125" t="str">
        <x:v>Intermediate</x:v>
      </x:c>
      <x:c r="F125" t="str">
        <x:v>Standard</x:v>
      </x:c>
      <x:c r="G125" t="n">
        <x:v>42258</x:v>
      </x:c>
      <x:c r="H125" t="str">
        <x:v>9993</x:v>
      </x:c>
      <x:c r="I125" t="str">
        <x:v>https://www.smwcentral.net/?a=details&amp;id=9993&amp;p=section</x:v>
      </x:c>
      <x:c r="J125" t="str">
        <x:v>https://dl.smwcentral.net/9993/Aionios%20Dynami.zip</x:v>
      </x:c>
    </x:row>
    <x:row r="126">
      <x:c r="A126" t="str">
        <x:v>Akogare 2</x:v>
      </x:c>
      <x:c r="B126" t="str">
        <x:v>Akogare 2</x:v>
      </x:c>
      <x:c r="C126" t="str">
        <x:v>Mega</x:v>
      </x:c>
      <x:c r="D126" t="n">
        <x:v>29</x:v>
      </x:c>
      <x:c r="E126" t="str">
        <x:v>Expert</x:v>
      </x:c>
      <x:c r="F126" t="str">
        <x:v>Kaizo</x:v>
      </x:c>
      <x:c r="G126" t="n">
        <x:v>44342</x:v>
      </x:c>
      <x:c r="H126" t="str">
        <x:v>27094</x:v>
      </x:c>
      <x:c r="I126" t="str">
        <x:v>https://www.smwcentral.net/?a=details&amp;id=27094&amp;p=section</x:v>
      </x:c>
      <x:c r="J126" t="str">
        <x:v>https://dl.smwcentral.net/27094/Akogare2.zip</x:v>
      </x:c>
    </x:row>
    <x:row r="127">
      <x:c r="A127" t="str">
        <x:v>Akogare Mario World</x:v>
      </x:c>
      <x:c r="B127" t="str">
        <x:v>Akogare Mario World</x:v>
      </x:c>
      <x:c r="C127" t="str">
        <x:v>Mega</x:v>
      </x:c>
      <x:c r="D127" t="n">
        <x:v>28</x:v>
      </x:c>
      <x:c r="E127" t="str">
        <x:v>Advanced</x:v>
      </x:c>
      <x:c r="F127" t="str">
        <x:v>Kaizo</x:v>
      </x:c>
      <x:c r="G127" t="n">
        <x:v>43442</x:v>
      </x:c>
      <x:c r="H127" t="str">
        <x:v>18612</x:v>
      </x:c>
      <x:c r="I127" t="str">
        <x:v>https://www.smwcentral.net/?a=details&amp;id=18612&amp;p=section</x:v>
      </x:c>
      <x:c r="J127" t="str">
        <x:v>https://dl.smwcentral.net/18612/Akogare%20v1.2.zip</x:v>
      </x:c>
    </x:row>
    <x:row r="128">
      <x:c r="A128" t="str">
        <x:v>Alabaras Shells</x:v>
      </x:c>
      <x:c r="B128" t="str">
        <x:v>Alabaras Shells</x:v>
      </x:c>
      <x:c r="C128" t="str">
        <x:v>arantes</x:v>
      </x:c>
      <x:c r="D128" t="n">
        <x:v>10</x:v>
      </x:c>
      <x:c r="E128" t="str">
        <x:v>Expert</x:v>
      </x:c>
      <x:c r="F128" t="str">
        <x:v>Kaizo</x:v>
      </x:c>
      <x:c r="G128" t="n">
        <x:v>44958</x:v>
      </x:c>
      <x:c r="H128" t="str">
        <x:v>33026</x:v>
      </x:c>
      <x:c r="I128" t="str">
        <x:v>https://www.smwcentral.net/?a=details&amp;id=33026&amp;p=section</x:v>
      </x:c>
      <x:c r="J128" t="str">
        <x:v>https://dl.smwcentral.net/33026/Alabaras%20Shells%201.2.zip</x:v>
      </x:c>
    </x:row>
    <x:row r="129">
      <x:c r="A129" t="str">
        <x:v>Albatros</x:v>
      </x:c>
      <x:c r="B129" t="str">
        <x:v>Albatros</x:v>
      </x:c>
      <x:c r="C129" t="str">
        <x:v>kurtistrydiz</x:v>
      </x:c>
      <x:c r="D129" t="n">
        <x:v>32</x:v>
      </x:c>
      <x:c r="E129" t="str">
        <x:v>Grandmaster</x:v>
      </x:c>
      <x:c r="F129" t="str">
        <x:v>Kaizo</x:v>
      </x:c>
      <x:c r="G129" t="n">
        <x:v>45680</x:v>
      </x:c>
      <x:c r="H129" t="str">
        <x:v>38912</x:v>
      </x:c>
      <x:c r="I129" t="str">
        <x:v>https://www.smwcentral.net/?a=details&amp;id=38912&amp;p=section</x:v>
      </x:c>
      <x:c r="J129" t="str">
        <x:v>https://dl.smwcentral.net/38912/Albatros%201.102.zip</x:v>
      </x:c>
    </x:row>
    <x:row r="130">
      <x:c r="A130" t="str">
        <x:v>Alex Kidd in Mario World</x:v>
      </x:c>
      <x:c r="B130" t="str">
        <x:v>Alex Kidd in Mario World</x:v>
      </x:c>
      <x:c r="C130" t="str">
        <x:v>Bioma</x:v>
      </x:c>
      <x:c r="D130" t="n">
        <x:v>38</x:v>
      </x:c>
      <x:c r="E130" t="str">
        <x:v>Casual</x:v>
      </x:c>
      <x:c r="F130" t="str">
        <x:v>Standard</x:v>
      </x:c>
      <x:c r="G130" t="n">
        <x:v>42561</x:v>
      </x:c>
      <x:c r="H130" t="str">
        <x:v>13589</x:v>
      </x:c>
      <x:c r="I130" t="str">
        <x:v>https://www.smwcentral.net/?a=details&amp;id=13589&amp;p=section</x:v>
      </x:c>
      <x:c r="J130" t="str">
        <x:v>https://dl.smwcentral.net/13589/AKMW.zip</x:v>
      </x:c>
    </x:row>
    <x:row r="131">
      <x:c r="A131" t="str">
        <x:v>Alex Kidd In Pancake World</x:v>
      </x:c>
      <x:c r="B131" t="str">
        <x:v>Alex Kidd In Pancake World</x:v>
      </x:c>
      <x:c r="C131" t="str">
        <x:v>Lunartoad</x:v>
      </x:c>
      <x:c r="D131" t="n">
        <x:v>4</x:v>
      </x:c>
      <x:c r="E131" t="str">
        <x:v>Casual</x:v>
      </x:c>
      <x:c r="F131" t="str">
        <x:v>Standard</x:v>
      </x:c>
      <x:c r="G131" t="n">
        <x:v>42046</x:v>
      </x:c>
      <x:c r="H131" t="str">
        <x:v>9721</x:v>
      </x:c>
      <x:c r="I131" t="str">
        <x:v>https://www.smwcentral.net/?a=details&amp;id=9721&amp;p=section</x:v>
      </x:c>
      <x:c r="J131" t="str">
        <x:v>https://dl.smwcentral.net/9721/Alex_Kidd_Demo1_%28IPS%2C_for_clean_ROM%29.zip</x:v>
      </x:c>
    </x:row>
    <x:row r="132">
      <x:c r="A132" t="str">
        <x:v>All in a Day's World</x:v>
      </x:c>
      <x:c r="B132" t="str">
        <x:v>All in a Day's World</x:v>
      </x:c>
      <x:c r="C132" t="str">
        <x:v>E-man38</x:v>
      </x:c>
      <x:c r="D132" t="n">
        <x:v>10</x:v>
      </x:c>
      <x:c r="E132" t="str">
        <x:v>Intermediate</x:v>
      </x:c>
      <x:c r="F132" t="str">
        <x:v>Standard</x:v>
      </x:c>
      <x:c r="G132" t="n">
        <x:v>45706</x:v>
      </x:c>
      <x:c r="H132" t="str">
        <x:v>39362</x:v>
      </x:c>
      <x:c r="I132" t="str">
        <x:v>https://www.smwcentral.net/?a=details&amp;id=39362&amp;p=section</x:v>
      </x:c>
      <x:c r="J132" t="str">
        <x:v>https://dl.smwcentral.net/39362/All%20in%20a%20Day%27s%20World.zip</x:v>
      </x:c>
    </x:row>
    <x:row r="133">
      <x:c r="A133" t="str">
        <x:v>Allstar's dream</x:v>
      </x:c>
      <x:c r="B133" t="str">
        <x:v>Allstar's dream</x:v>
      </x:c>
      <x:c r="C133" t="str">
        <x:v>Lush_50</x:v>
      </x:c>
      <x:c r="D133" t="n">
        <x:v>0</x:v>
      </x:c>
      <x:c r="E133" t="str">
        <x:v>Intermediate</x:v>
      </x:c>
      <x:c r="F133" t="str">
        <x:v>Kaizo</x:v>
      </x:c>
      <x:c r="G133" t="n">
        <x:v>44475</x:v>
      </x:c>
      <x:c r="H133" t="str">
        <x:v>28535</x:v>
      </x:c>
      <x:c r="I133" t="str">
        <x:v>https://www.smwcentral.net/?a=details&amp;id=28535&amp;p=section</x:v>
      </x:c>
      <x:c r="J133" t="str">
        <x:v>https://dl.smwcentral.net/28535/Allstar%27s%20dream%20v1.0.zip</x:v>
      </x:c>
    </x:row>
    <x:row r="134">
      <x:c r="A134" t="str">
        <x:v>Allycia Legends - The Blood Moon</x:v>
      </x:c>
      <x:c r="B134" t="str">
        <x:v>Allycia Legends - The Blood Moon</x:v>
      </x:c>
      <x:c r="C134" t="str">
        <x:v>Guilherme F Santos</x:v>
      </x:c>
      <x:c r="D134" t="n">
        <x:v>9</x:v>
      </x:c>
      <x:c r="E134" t="str">
        <x:v>Casual</x:v>
      </x:c>
      <x:c r="F134" t="str">
        <x:v>Standard</x:v>
      </x:c>
      <x:c r="G134" t="n">
        <x:v>42716</x:v>
      </x:c>
      <x:c r="H134" t="str">
        <x:v>14727</x:v>
      </x:c>
      <x:c r="I134" t="str">
        <x:v>https://www.smwcentral.net/?a=details&amp;id=14727&amp;p=section</x:v>
      </x:c>
      <x:c r="J134" t="str">
        <x:v>https://dl.smwcentral.net/14727/Allycia%20Legends.zip</x:v>
      </x:c>
    </x:row>
    <x:row r="135">
      <x:c r="A135" t="str">
        <x:v>Alpha Shelltauri</x:v>
      </x:c>
      <x:c r="B135" t="str">
        <x:v>Alpha Shelltauri</x:v>
      </x:c>
      <x:c r="C135" t="str">
        <x:v>pibolarGaming</x:v>
      </x:c>
      <x:c r="D135" t="n">
        <x:v>1</x:v>
      </x:c>
      <x:c r="E135" t="str">
        <x:v>Master</x:v>
      </x:c>
      <x:c r="F135" t="str">
        <x:v>Kaizo</x:v>
      </x:c>
      <x:c r="G135" t="n">
        <x:v>45091</x:v>
      </x:c>
      <x:c r="H135" t="str">
        <x:v>34112</x:v>
      </x:c>
      <x:c r="I135" t="str">
        <x:v>https://www.smwcentral.net/?a=details&amp;id=34112&amp;p=section</x:v>
      </x:c>
      <x:c r="J135" t="str">
        <x:v>https://dl.smwcentral.net/34112/Alpha%20Shelltauri.zip</x:v>
      </x:c>
    </x:row>
    <x:row r="136">
      <x:c r="A136" t="str">
        <x:v>ALPHA SPHERE Zero: Rotten Brains</x:v>
      </x:c>
      <x:c r="B136" t="str">
        <x:v>ALPHA SPHERE Zero: Rotten Brains</x:v>
      </x:c>
      <x:c r="C136" t="str">
        <x:v>Daizo Dee Von</x:v>
      </x:c>
      <x:c r="D136" t="n">
        <x:v>0</x:v>
      </x:c>
      <x:c r="E136" t="str">
        <x:v>Newcomer</x:v>
      </x:c>
      <x:c r="F136" t="str">
        <x:v>Standard</x:v>
      </x:c>
      <x:c r="G136" t="n">
        <x:v>44859</x:v>
      </x:c>
      <x:c r="H136" t="str">
        <x:v>32393</x:v>
      </x:c>
      <x:c r="I136" t="str">
        <x:v>https://www.smwcentral.net/?a=details&amp;id=32393&amp;p=section</x:v>
      </x:c>
      <x:c r="J136" t="str">
        <x:v>https://dl.smwcentral.net/32393/%5BHack%5D%20ALPHA%20SPHERE%20Zero%20-%20Rotten%20Brains.zip</x:v>
      </x:c>
    </x:row>
    <x:row r="137">
      <x:c r="A137" t="str">
        <x:v>ALPHA SPHERE: Director's Cut</x:v>
      </x:c>
      <x:c r="B137" t="str">
        <x:v>ALPHA SPHERE: Director's Cut</x:v>
      </x:c>
      <x:c r="C137" t="str">
        <x:v>Daizo Dee Von</x:v>
      </x:c>
      <x:c r="D137" t="n">
        <x:v>5</x:v>
      </x:c>
      <x:c r="E137" t="str">
        <x:v>Casual</x:v>
      </x:c>
      <x:c r="F137" t="str">
        <x:v>Standard</x:v>
      </x:c>
      <x:c r="G137" t="n">
        <x:v>44407</x:v>
      </x:c>
      <x:c r="H137" t="str">
        <x:v>27795</x:v>
      </x:c>
      <x:c r="I137" t="str">
        <x:v>https://www.smwcentral.net/?a=details&amp;id=27795&amp;p=section</x:v>
      </x:c>
      <x:c r="J137" t="str">
        <x:v>https://dl.smwcentral.net/27795/ALPHA%20SPHERE%20Director%27s%20Cut%20v1.0.2.zip</x:v>
      </x:c>
    </x:row>
    <x:row r="138">
      <x:c r="A138" t="str">
        <x:v>Also Sprach Mario</x:v>
      </x:c>
      <x:c r="B138" t="str">
        <x:v>Also Sprach Mario</x:v>
      </x:c>
      <x:c r="C138" t="str">
        <x:v>MrBread</x:v>
      </x:c>
      <x:c r="D138" t="n">
        <x:v>10</x:v>
      </x:c>
      <x:c r="E138" t="str">
        <x:v>Advanced</x:v>
      </x:c>
      <x:c r="F138" t="str">
        <x:v>Kaizo</x:v>
      </x:c>
      <x:c r="G138" t="n">
        <x:v>43908</x:v>
      </x:c>
      <x:c r="H138" t="str">
        <x:v>22417</x:v>
      </x:c>
      <x:c r="I138" t="str">
        <x:v>https://www.smwcentral.net/?a=details&amp;id=22417&amp;p=section</x:v>
      </x:c>
      <x:c r="J138" t="str">
        <x:v>https://dl.smwcentral.net/22417/AlsoSprachMario.zip</x:v>
      </x:c>
    </x:row>
    <x:row r="139">
      <x:c r="A139" t="str">
        <x:v>Amazing</x:v>
      </x:c>
      <x:c r="B139" t="str">
        <x:v>Amazing</x:v>
      </x:c>
      <x:c r="C139" t="str">
        <x:v>Sweetdude</x:v>
      </x:c>
      <x:c r="D139" t="n">
        <x:v>8</x:v>
      </x:c>
      <x:c r="E139" t="str">
        <x:v>Advanced</x:v>
      </x:c>
      <x:c r="F139" t="str">
        <x:v>Kaizo</x:v>
      </x:c>
      <x:c r="G139" t="n">
        <x:v>45634</x:v>
      </x:c>
      <x:c r="H139" t="str">
        <x:v>38889</x:v>
      </x:c>
      <x:c r="I139" t="str">
        <x:v>https://www.smwcentral.net/?a=details&amp;id=38889&amp;p=section</x:v>
      </x:c>
      <x:c r="J139" t="str">
        <x:v>https://dl.smwcentral.net/38889/Amazeballs.zip</x:v>
      </x:c>
    </x:row>
    <x:row r="140">
      <x:c r="A140" t="str">
        <x:v>Ambivalence</x:v>
      </x:c>
      <x:c r="B140" t="str">
        <x:v>Ambivalence</x:v>
      </x:c>
      <x:c r="C140" t="str">
        <x:v>drkrdnk</x:v>
      </x:c>
      <x:c r="D140" t="n">
        <x:v>11</x:v>
      </x:c>
      <x:c r="E140" t="str">
        <x:v>Advanced</x:v>
      </x:c>
      <x:c r="F140" t="str">
        <x:v>Kaizo</x:v>
      </x:c>
      <x:c r="G140" t="n">
        <x:v>44736</x:v>
      </x:c>
      <x:c r="H140" t="str">
        <x:v>31224</x:v>
      </x:c>
      <x:c r="I140" t="str">
        <x:v>https://www.smwcentral.net/?a=details&amp;id=31224&amp;p=section</x:v>
      </x:c>
      <x:c r="J140" t="str">
        <x:v>https://dl.smwcentral.net/31224/ambivalence%20v101.zip</x:v>
      </x:c>
    </x:row>
    <x:row r="141">
      <x:c r="A141" t="str">
        <x:v>Amulet Of Corruption DEMO</x:v>
      </x:c>
      <x:c r="B141" t="str">
        <x:v>Amulet Of Corruption DEMO</x:v>
      </x:c>
      <x:c r="C141" t="str">
        <x:v>Superwan</x:v>
      </x:c>
      <x:c r="D141" t="n">
        <x:v>7</x:v>
      </x:c>
      <x:c r="E141" t="str">
        <x:v>Casual</x:v>
      </x:c>
      <x:c r="F141" t="str">
        <x:v>Standard</x:v>
      </x:c>
      <x:c r="G141" t="n">
        <x:v>44297</x:v>
      </x:c>
      <x:c r="H141" t="str">
        <x:v>26347</x:v>
      </x:c>
      <x:c r="I141" t="str">
        <x:v>https://www.smwcentral.net/?a=details&amp;id=26347&amp;p=section</x:v>
      </x:c>
      <x:c r="J141" t="str">
        <x:v>https://dl.smwcentral.net/26347/AmuletOfCorruption.zip</x:v>
      </x:c>
    </x:row>
    <x:row r="142">
      <x:c r="A142" t="str">
        <x:v>An SMW Central Production</x:v>
      </x:c>
      <x:c r="B142" t="str">
        <x:v>An SMW Central Production</x:v>
      </x:c>
      <x:c r="C142" t="str">
        <x:v>SMW Central</x:v>
      </x:c>
      <x:c r="D142" t="n">
        <x:v>117</x:v>
      </x:c>
      <x:c r="E142" t="str">
        <x:v>Advanced</x:v>
      </x:c>
      <x:c r="F142" t="str">
        <x:v>Standard</x:v>
      </x:c>
      <x:c r="G142" t="n">
        <x:v>41639</x:v>
      </x:c>
      <x:c r="H142" t="str">
        <x:v>5420</x:v>
      </x:c>
      <x:c r="I142" t="str">
        <x:v>https://www.smwcentral.net/?a=details&amp;id=5420&amp;p=section</x:v>
      </x:c>
      <x:c r="J142" t="str">
        <x:v>https://dl.smwcentral.net/5420/SMWCP.zip</x:v>
      </x:c>
    </x:row>
    <x:row r="143">
      <x:c r="A143" t="str">
        <x:v>An Untitled Quest!</x:v>
      </x:c>
      <x:c r="B143" t="str">
        <x:v>An Untitled Quest!</x:v>
      </x:c>
      <x:c r="C143" t="str">
        <x:v>LHB</x:v>
      </x:c>
      <x:c r="D143" t="n">
        <x:v>14</x:v>
      </x:c>
      <x:c r="E143" t="str">
        <x:v>Casual</x:v>
      </x:c>
      <x:c r="F143" t="str">
        <x:v>Standard</x:v>
      </x:c>
      <x:c r="G143" t="n">
        <x:v>42303</x:v>
      </x:c>
      <x:c r="H143" t="str">
        <x:v>10216</x:v>
      </x:c>
      <x:c r="I143" t="str">
        <x:v>https://www.smwcentral.net/?a=details&amp;id=10216&amp;p=section</x:v>
      </x:c>
      <x:c r="J143" t="str">
        <x:v>https://dl.smwcentral.net/10216/An%20Untitled%20Quest%21.zip</x:v>
      </x:c>
    </x:row>
    <x:row r="144">
      <x:c r="A144" t="str">
        <x:v>Anita Kaizo Land</x:v>
      </x:c>
      <x:c r="B144" t="str">
        <x:v>Anita Kaizo Land</x:v>
      </x:c>
      <x:c r="C144" t="str">
        <x:v>Azula16</x:v>
      </x:c>
      <x:c r="D144" t="n">
        <x:v>7</x:v>
      </x:c>
      <x:c r="E144" t="str">
        <x:v>Advanced</x:v>
      </x:c>
      <x:c r="F144" t="str">
        <x:v>Kaizo</x:v>
      </x:c>
      <x:c r="G144" t="n">
        <x:v>44405</x:v>
      </x:c>
      <x:c r="H144" t="str">
        <x:v>27829</x:v>
      </x:c>
      <x:c r="I144" t="str">
        <x:v>https://www.smwcentral.net/?a=details&amp;id=27829&amp;p=section</x:v>
      </x:c>
      <x:c r="J144" t="str">
        <x:v>https://dl.smwcentral.net/27829/Anita%20Kaizo%20Land%20V1.1.zip</x:v>
      </x:c>
    </x:row>
    <x:row r="145">
      <x:c r="A145" t="str">
        <x:v>Another adventure of Mario</x:v>
      </x:c>
      <x:c r="B145" t="str">
        <x:v>Another adventure of Mario</x:v>
      </x:c>
      <x:c r="C145" t="str">
        <x:v>Suhru</x:v>
      </x:c>
      <x:c r="D145" t="n">
        <x:v>19</x:v>
      </x:c>
      <x:c r="E145" t="str">
        <x:v>Intermediate</x:v>
      </x:c>
      <x:c r="F145" t="str">
        <x:v>Standard</x:v>
      </x:c>
      <x:c r="G145" t="n">
        <x:v>42284</x:v>
      </x:c>
      <x:c r="H145" t="str">
        <x:v>10106</x:v>
      </x:c>
      <x:c r="I145" t="str">
        <x:v>https://www.smwcentral.net/?a=details&amp;id=10106&amp;p=section</x:v>
      </x:c>
      <x:c r="J145" t="str">
        <x:v>https://dl.smwcentral.net/10106/Another%20adventure%20of%20Mario.zip</x:v>
      </x:c>
    </x:row>
    <x:row r="146">
      <x:c r="A146" t="str">
        <x:v>Another Challenge With Mario</x:v>
      </x:c>
      <x:c r="B146" t="str">
        <x:v>Another Challenge With Mario</x:v>
      </x:c>
      <x:c r="C146" t="str">
        <x:v>ChaoticX</x:v>
      </x:c>
      <x:c r="D146" t="n">
        <x:v>8</x:v>
      </x:c>
      <x:c r="E146" t="str">
        <x:v>Intermediate</x:v>
      </x:c>
      <x:c r="F146" t="str">
        <x:v>Standard</x:v>
      </x:c>
      <x:c r="G146" t="n">
        <x:v>42207</x:v>
      </x:c>
      <x:c r="H146" t="str">
        <x:v>9677</x:v>
      </x:c>
      <x:c r="I146" t="str">
        <x:v>https://www.smwcentral.net/?a=details&amp;id=9677&amp;p=section</x:v>
      </x:c>
      <x:c r="J146" t="str">
        <x:v>https://dl.smwcentral.net/9677/AnotherChallengeWithMario%20DEMO%201.0.zip</x:v>
      </x:c>
    </x:row>
    <x:row r="147">
      <x:c r="A147" t="str">
        <x:v>Another Christmas Gift - Christmas in March</x:v>
      </x:c>
      <x:c r="B147" t="str">
        <x:v>Another Christmas Gift - Christmas in March</x:v>
      </x:c>
      <x:c r="C147" t="str">
        <x:v>The_Uber_Camper</x:v>
      </x:c>
      <x:c r="D147" t="n">
        <x:v>4</x:v>
      </x:c>
      <x:c r="E147" t="str">
        <x:v>Advanced</x:v>
      </x:c>
      <x:c r="F147" t="str">
        <x:v>Kaizo</x:v>
      </x:c>
      <x:c r="G147" t="n">
        <x:v>44995</x:v>
      </x:c>
      <x:c r="H147" t="str">
        <x:v>33435</x:v>
      </x:c>
      <x:c r="I147" t="str">
        <x:v>https://www.smwcentral.net/?a=details&amp;id=33435&amp;p=section</x:v>
      </x:c>
      <x:c r="J147" t="str">
        <x:v>https://dl.smwcentral.net/33435/Another%20Christmas%20Gift%20-%20Christmas%20in%20March.zip</x:v>
      </x:c>
    </x:row>
    <x:row r="148">
      <x:c r="A148" t="str">
        <x:v>Another Generic SMW Hack</x:v>
      </x:c>
      <x:c r="B148" t="str">
        <x:v>Another Generic SMW Hack</x:v>
      </x:c>
      <x:c r="C148" t="str">
        <x:v>MarioFan22</x:v>
      </x:c>
      <x:c r="D148" t="n">
        <x:v>11</x:v>
      </x:c>
      <x:c r="E148" t="str">
        <x:v>Newcomer</x:v>
      </x:c>
      <x:c r="F148" t="str">
        <x:v>Standard</x:v>
      </x:c>
      <x:c r="G148" t="n">
        <x:v>42295</x:v>
      </x:c>
      <x:c r="H148" t="str">
        <x:v>10059</x:v>
      </x:c>
      <x:c r="I148" t="str">
        <x:v>https://www.smwcentral.net/?a=details&amp;id=10059&amp;p=section</x:v>
      </x:c>
      <x:c r="J148" t="str">
        <x:v>https://dl.smwcentral.net/10059/GenSMWHackUnfinished.zip</x:v>
      </x:c>
    </x:row>
    <x:row r="149">
      <x:c r="A149" t="str">
        <x:v>Another Mario Adventure</x:v>
      </x:c>
      <x:c r="B149" t="str">
        <x:v>Another Mario Adventure</x:v>
      </x:c>
      <x:c r="C149" t="str">
        <x:v>NismoZ</x:v>
      </x:c>
      <x:c r="D149" t="n">
        <x:v>5</x:v>
      </x:c>
      <x:c r="E149" t="str">
        <x:v>Newcomer</x:v>
      </x:c>
      <x:c r="F149" t="str">
        <x:v>Standard</x:v>
      </x:c>
      <x:c r="G149" t="n">
        <x:v>42317</x:v>
      </x:c>
      <x:c r="H149" t="str">
        <x:v>10160</x:v>
      </x:c>
      <x:c r="I149" t="str">
        <x:v>https://www.smwcentral.net/?a=details&amp;id=10160&amp;p=section</x:v>
      </x:c>
      <x:c r="J149" t="str">
        <x:v>https://dl.smwcentral.net/10160/marventurev131.zip</x:v>
      </x:c>
    </x:row>
    <x:row r="150">
      <x:c r="A150" t="str">
        <x:v>Another Mario Hack</x:v>
      </x:c>
      <x:c r="B150" t="str">
        <x:v>Another Mario Hack</x:v>
      </x:c>
      <x:c r="C150" t="str">
        <x:v>Carsr4carpeople1</x:v>
      </x:c>
      <x:c r="D150" t="n">
        <x:v>9</x:v>
      </x:c>
      <x:c r="E150" t="str">
        <x:v>Intermediate</x:v>
      </x:c>
      <x:c r="F150" t="str">
        <x:v>Standard</x:v>
      </x:c>
      <x:c r="G150" t="n">
        <x:v>42065</x:v>
      </x:c>
      <x:c r="H150" t="str">
        <x:v>9671</x:v>
      </x:c>
      <x:c r="I150" t="str">
        <x:v>https://www.smwcentral.net/?a=details&amp;id=9671&amp;p=section</x:v>
      </x:c>
      <x:c r="J150" t="str">
        <x:v>https://dl.smwcentral.net/9671/Another%20Mario%20Hack.zip</x:v>
      </x:c>
    </x:row>
    <x:row r="151">
      <x:c r="A151" t="str">
        <x:v>Another Mario Remastered</x:v>
      </x:c>
      <x:c r="B151" t="str">
        <x:v>Another Mario Remastered</x:v>
      </x:c>
      <x:c r="C151" t="str">
        <x:v>DAA234</x:v>
      </x:c>
      <x:c r="D151" t="n">
        <x:v>71</x:v>
      </x:c>
      <x:c r="E151" t="str">
        <x:v>Casual</x:v>
      </x:c>
      <x:c r="F151" t="str">
        <x:v>Standard</x:v>
      </x:c>
      <x:c r="G151" t="n">
        <x:v>42892</x:v>
      </x:c>
      <x:c r="H151" t="str">
        <x:v>15640</x:v>
      </x:c>
      <x:c r="I151" t="str">
        <x:v>https://www.smwcentral.net/?a=details&amp;id=15640&amp;p=section</x:v>
      </x:c>
      <x:c r="J151" t="str">
        <x:v>https://dl.smwcentral.net/15640/Another%20Mario%20Remastered.zip</x:v>
      </x:c>
    </x:row>
    <x:row r="152">
      <x:c r="A152" t="str">
        <x:v>Another Mario Remastered 2 - HF Crismon</x:v>
      </x:c>
      <x:c r="B152" t="str">
        <x:v>Another Mario Remastered 2 - HF Crismon</x:v>
      </x:c>
      <x:c r="C152" t="str">
        <x:v>DAA234</x:v>
      </x:c>
      <x:c r="D152" t="n">
        <x:v>34</x:v>
      </x:c>
      <x:c r="E152" t="str">
        <x:v>Casual</x:v>
      </x:c>
      <x:c r="F152" t="str">
        <x:v>Standard</x:v>
      </x:c>
      <x:c r="G152" t="n">
        <x:v>42987</x:v>
      </x:c>
      <x:c r="H152" t="str">
        <x:v>16145</x:v>
      </x:c>
      <x:c r="I152" t="str">
        <x:v>https://www.smwcentral.net/?a=details&amp;id=16145&amp;p=section</x:v>
      </x:c>
      <x:c r="J152" t="str">
        <x:v>https://dl.smwcentral.net/16145/Another%20Mario%20Remastered%202%20Demo%202.zip</x:v>
      </x:c>
    </x:row>
    <x:row r="153">
      <x:c r="A153" t="str">
        <x:v>Another Mario World</x:v>
      </x:c>
      <x:c r="B153" t="str">
        <x:v>Another Mario World</x:v>
      </x:c>
      <x:c r="C153" t="str">
        <x:v>Stivi</x:v>
      </x:c>
      <x:c r="D153" t="n">
        <x:v>54</x:v>
      </x:c>
      <x:c r="E153" t="str">
        <x:v>Casual</x:v>
      </x:c>
      <x:c r="F153" t="str">
        <x:v>Standard</x:v>
      </x:c>
      <x:c r="G153" t="n">
        <x:v>42764</x:v>
      </x:c>
      <x:c r="H153" t="str">
        <x:v>15076</x:v>
      </x:c>
      <x:c r="I153" t="str">
        <x:v>https://www.smwcentral.net/?a=details&amp;id=15076&amp;p=section</x:v>
      </x:c>
      <x:c r="J153" t="str">
        <x:v>https://dl.smwcentral.net/15076/Another%20Mario%20World.zip</x:v>
      </x:c>
    </x:row>
    <x:row r="154">
      <x:c r="A154" t="str">
        <x:v>Another Mario World 2: Luigi's Mission</x:v>
      </x:c>
      <x:c r="B154" t="str">
        <x:v>Another Mario World 2: Luigi's Mission</x:v>
      </x:c>
      <x:c r="C154" t="str">
        <x:v>Stivi</x:v>
      </x:c>
      <x:c r="D154" t="n">
        <x:v>70</x:v>
      </x:c>
      <x:c r="E154" t="str">
        <x:v>Casual</x:v>
      </x:c>
      <x:c r="F154" t="str">
        <x:v>Standard</x:v>
      </x:c>
      <x:c r="G154" t="n">
        <x:v>42926</x:v>
      </x:c>
      <x:c r="H154" t="str">
        <x:v>15710</x:v>
      </x:c>
      <x:c r="I154" t="str">
        <x:v>https://www.smwcentral.net/?a=details&amp;id=15710&amp;p=section</x:v>
      </x:c>
      <x:c r="J154" t="str">
        <x:v>https://dl.smwcentral.net/15710/Another%20Mario%20World%202%20-%20Luigi%27s%20Mission.zip</x:v>
      </x:c>
    </x:row>
    <x:row r="155">
      <x:c r="A155" t="str">
        <x:v>Another Rom Hack Featuring Mario</x:v>
      </x:c>
      <x:c r="B155" t="str">
        <x:v>Another Rom Hack Featuring Mario</x:v>
      </x:c>
      <x:c r="C155" t="str">
        <x:v>rumpg46691</x:v>
      </x:c>
      <x:c r="D155" t="n">
        <x:v>8</x:v>
      </x:c>
      <x:c r="E155" t="str">
        <x:v>Casual</x:v>
      </x:c>
      <x:c r="F155" t="str">
        <x:v>Standard</x:v>
      </x:c>
      <x:c r="G155" t="n">
        <x:v>42211</x:v>
      </x:c>
      <x:c r="H155" t="str">
        <x:v>11837</x:v>
      </x:c>
      <x:c r="I155" t="str">
        <x:v>https://www.smwcentral.net/?a=details&amp;id=11837&amp;p=section</x:v>
      </x:c>
      <x:c r="J155" t="str">
        <x:v>https://dl.smwcentral.net/11837/Another%20Rom%20Hack%20Featuring%20Mario.zip</x:v>
      </x:c>
    </x:row>
    <x:row r="156">
      <x:c r="A156" t="str">
        <x:v>Another Special World</x:v>
      </x:c>
      <x:c r="B156" t="str">
        <x:v>Another Special World</x:v>
      </x:c>
      <x:c r="C156" t="str">
        <x:v>lolyoshi, rextep</x:v>
      </x:c>
      <x:c r="D156" t="n">
        <x:v>8</x:v>
      </x:c>
      <x:c r="E156" t="str">
        <x:v>Intermediate</x:v>
      </x:c>
      <x:c r="F156" t="str">
        <x:v>Standard</x:v>
      </x:c>
      <x:c r="G156" t="n">
        <x:v>42587</x:v>
      </x:c>
      <x:c r="H156" t="str">
        <x:v>14122</x:v>
      </x:c>
      <x:c r="I156" t="str">
        <x:v>https://www.smwcentral.net/?a=details&amp;id=14122&amp;p=section</x:v>
      </x:c>
      <x:c r="J156" t="str">
        <x:v>https://dl.smwcentral.net/14122/newASW.zip</x:v>
      </x:c>
    </x:row>
    <x:row r="157">
      <x:c r="A157" t="str">
        <x:v>Another Special World 2</x:v>
      </x:c>
      <x:c r="B157" t="str">
        <x:v>Another Special World 2</x:v>
      </x:c>
      <x:c r="C157" t="str">
        <x:v>lolyoshi, rextep</x:v>
      </x:c>
      <x:c r="D157" t="n">
        <x:v>9</x:v>
      </x:c>
      <x:c r="E157" t="str">
        <x:v>Advanced</x:v>
      </x:c>
      <x:c r="F157" t="str">
        <x:v>Standard</x:v>
      </x:c>
      <x:c r="G157" t="n">
        <x:v>44385</x:v>
      </x:c>
      <x:c r="H157" t="str">
        <x:v>27588</x:v>
      </x:c>
      <x:c r="I157" t="str">
        <x:v>https://www.smwcentral.net/?a=details&amp;id=27588&amp;p=section</x:v>
      </x:c>
      <x:c r="J157" t="str">
        <x:v>https://dl.smwcentral.net/27588/asw2.zip</x:v>
      </x:c>
    </x:row>
    <x:row r="158">
      <x:c r="A158" t="str">
        <x:v>Another Super Mario Adventure</x:v>
      </x:c>
      <x:c r="B158" t="str">
        <x:v>Another Super Mario Adventure</x:v>
      </x:c>
      <x:c r="C158" t="str">
        <x:v>Gamma V</x:v>
      </x:c>
      <x:c r="D158" t="n">
        <x:v>27</x:v>
      </x:c>
      <x:c r="E158" t="str">
        <x:v>Casual</x:v>
      </x:c>
      <x:c r="F158" t="str">
        <x:v>Standard</x:v>
      </x:c>
      <x:c r="G158" t="n">
        <x:v>46137</x:v>
      </x:c>
      <x:c r="H158" t="str">
        <x:v>42255</x:v>
      </x:c>
      <x:c r="I158" t="str">
        <x:v>https://www.smwcentral.net/?a=details&amp;id=42255&amp;p=section</x:v>
      </x:c>
      <x:c r="J158" t="str">
        <x:v>https://dl.smwcentral.net/42255/ASMA2%20Demo.zip</x:v>
      </x:c>
    </x:row>
    <x:row r="159">
      <x:c r="A159" t="str">
        <x:v>Aperitif</x:v>
      </x:c>
      <x:c r="B159" t="str">
        <x:v>Aperitif</x:v>
      </x:c>
      <x:c r="C159" t="str">
        <x:v>bald_ridge</x:v>
      </x:c>
      <x:c r="D159" t="n">
        <x:v>13</x:v>
      </x:c>
      <x:c r="E159" t="str">
        <x:v>Intermediate</x:v>
      </x:c>
      <x:c r="F159" t="str">
        <x:v>Kaizo</x:v>
      </x:c>
      <x:c r="G159" t="n">
        <x:v>46192</x:v>
      </x:c>
      <x:c r="H159" t="str">
        <x:v>42560</x:v>
      </x:c>
      <x:c r="I159" t="str">
        <x:v>https://www.smwcentral.net/?a=details&amp;id=42560&amp;p=section</x:v>
      </x:c>
      <x:c r="J159" t="str">
        <x:v>https://dl.smwcentral.net/42560/Aperitif1.1.zip</x:v>
      </x:c>
    </x:row>
    <x:row r="160">
      <x:c r="A160" t="str">
        <x:v>App Strike</x:v>
      </x:c>
      <x:c r="B160" t="str">
        <x:v>App Strike</x:v>
      </x:c>
      <x:c r="C160" t="str">
        <x:v>Metalstriker</x:v>
      </x:c>
      <x:c r="D160" t="n">
        <x:v>5</x:v>
      </x:c>
      <x:c r="E160" t="str">
        <x:v>Casual</x:v>
      </x:c>
      <x:c r="F160" t="str">
        <x:v>Standard</x:v>
      </x:c>
      <x:c r="G160" t="n">
        <x:v>42058</x:v>
      </x:c>
      <x:c r="H160" t="str">
        <x:v>10048</x:v>
      </x:c>
      <x:c r="I160" t="str">
        <x:v>https://www.smwcentral.net/?a=details&amp;id=10048&amp;p=section</x:v>
      </x:c>
      <x:c r="J160" t="str">
        <x:v>https://dl.smwcentral.net/10048/App%20Strike%28v2%29.zip</x:v>
      </x:c>
    </x:row>
    <x:row r="161">
      <x:c r="A161" t="str">
        <x:v>Apple Boy 2: Homebound Hero</x:v>
      </x:c>
      <x:c r="B161" t="str">
        <x:v>Apple Boy 2: Homebound Hero</x:v>
      </x:c>
      <x:c r="C161" t="str">
        <x:v>Apple Boy, KaidenThelens</x:v>
      </x:c>
      <x:c r="D161" t="n">
        <x:v>45</x:v>
      </x:c>
      <x:c r="E161" t="str">
        <x:v>Casual</x:v>
      </x:c>
      <x:c r="F161" t="str">
        <x:v>Standard</x:v>
      </x:c>
      <x:c r="G161" t="n">
        <x:v>45279</x:v>
      </x:c>
      <x:c r="H161" t="str">
        <x:v>35726</x:v>
      </x:c>
      <x:c r="I161" t="str">
        <x:v>https://www.smwcentral.net/?a=details&amp;id=35726&amp;p=section</x:v>
      </x:c>
      <x:c r="J161" t="str">
        <x:v>https://dl.smwcentral.net/35726/Apple%20Boy%20Hack%202.zip</x:v>
      </x:c>
    </x:row>
    <x:row r="162">
      <x:c r="A162" t="str">
        <x:v>Apple Boy: Attack of Ice Cream Man</x:v>
      </x:c>
      <x:c r="B162" t="str">
        <x:v>Apple Boy: Attack of Ice Cream Man</x:v>
      </x:c>
      <x:c r="C162" t="str">
        <x:v>Apple Boy</x:v>
      </x:c>
      <x:c r="D162" t="n">
        <x:v>33</x:v>
      </x:c>
      <x:c r="E162" t="str">
        <x:v>Casual</x:v>
      </x:c>
      <x:c r="F162" t="str">
        <x:v>Standard</x:v>
      </x:c>
      <x:c r="G162" t="n">
        <x:v>44845</x:v>
      </x:c>
      <x:c r="H162" t="str">
        <x:v>32317</x:v>
      </x:c>
      <x:c r="I162" t="str">
        <x:v>https://www.smwcentral.net/?a=details&amp;id=32317&amp;p=section</x:v>
      </x:c>
      <x:c r="J162" t="str">
        <x:v>https://dl.smwcentral.net/32317/Apple%20Boy%20Attack%20of%20Ice%20Cream%20Man.zip</x:v>
      </x:c>
    </x:row>
    <x:row r="163">
      <x:c r="A163" t="str">
        <x:v>Apple Guardian</x:v>
      </x:c>
      <x:c r="B163" t="str">
        <x:v>Apple Guardian</x:v>
      </x:c>
      <x:c r="C163" t="str">
        <x:v>Kerfuffle</x:v>
      </x:c>
      <x:c r="D163" t="n">
        <x:v>9</x:v>
      </x:c>
      <x:c r="E163" t="str">
        <x:v>Expert</x:v>
      </x:c>
      <x:c r="F163" t="str">
        <x:v>Kaizo</x:v>
      </x:c>
      <x:c r="G163" t="n">
        <x:v>44918</x:v>
      </x:c>
      <x:c r="H163" t="str">
        <x:v>32781</x:v>
      </x:c>
      <x:c r="I163" t="str">
        <x:v>https://www.smwcentral.net/?a=details&amp;id=32781&amp;p=section</x:v>
      </x:c>
      <x:c r="J163" t="str">
        <x:v>https://dl.smwcentral.net/32781/Apple%20Guardian%201.1.zip</x:v>
      </x:c>
    </x:row>
    <x:row r="164">
      <x:c r="A164" t="str">
        <x:v>Arantes Shells</x:v>
      </x:c>
      <x:c r="B164" t="str">
        <x:v>Arantes Shells</x:v>
      </x:c>
      <x:c r="C164" t="str">
        <x:v>RenanSV, arantes</x:v>
      </x:c>
      <x:c r="D164" t="n">
        <x:v>15</x:v>
      </x:c>
      <x:c r="E164" t="str">
        <x:v>Master</x:v>
      </x:c>
      <x:c r="F164" t="str">
        <x:v>Kaizo</x:v>
      </x:c>
      <x:c r="G164" t="n">
        <x:v>45211</x:v>
      </x:c>
      <x:c r="H164" t="str">
        <x:v>34662</x:v>
      </x:c>
      <x:c r="I164" t="str">
        <x:v>https://www.smwcentral.net/?a=details&amp;id=34662&amp;p=section</x:v>
      </x:c>
      <x:c r="J164" t="str">
        <x:v>https://dl.smwcentral.net/34662/Arantes%20Shells%201.2.zip</x:v>
      </x:c>
    </x:row>
    <x:row r="165">
      <x:c r="A165" t="str">
        <x:v>Arcadia</x:v>
      </x:c>
      <x:c r="B165" t="str">
        <x:v>Arcadia</x:v>
      </x:c>
      <x:c r="C165" t="str">
        <x:v>D_O_M</x:v>
      </x:c>
      <x:c r="D165" t="n">
        <x:v>25</x:v>
      </x:c>
      <x:c r="E165" t="str">
        <x:v>Expert</x:v>
      </x:c>
      <x:c r="F165" t="str">
        <x:v>Kaizo</x:v>
      </x:c>
      <x:c r="G165" t="n">
        <x:v>46114</x:v>
      </x:c>
      <x:c r="H165" t="str">
        <x:v>41875</x:v>
      </x:c>
      <x:c r="I165" t="str">
        <x:v>https://www.smwcentral.net/?a=details&amp;id=41875&amp;p=section</x:v>
      </x:c>
      <x:c r="J165" t="str">
        <x:v>https://dl.smwcentral.net/41875/Arcadia.zip</x:v>
      </x:c>
    </x:row>
    <x:row r="166">
      <x:c r="A166" t="str">
        <x:v>Arcane Mario World</x:v>
      </x:c>
      <x:c r="B166" t="str">
        <x:v>Arcane Mario World</x:v>
      </x:c>
      <x:c r="C166" t="str">
        <x:v>Mithrillionaire</x:v>
      </x:c>
      <x:c r="D166" t="n">
        <x:v>16</x:v>
      </x:c>
      <x:c r="E166" t="str">
        <x:v>Expert</x:v>
      </x:c>
      <x:c r="F166" t="str">
        <x:v>Kaizo</x:v>
      </x:c>
      <x:c r="G166" t="n">
        <x:v>44368</x:v>
      </x:c>
      <x:c r="H166" t="str">
        <x:v>27227</x:v>
      </x:c>
      <x:c r="I166" t="str">
        <x:v>https://www.smwcentral.net/?a=details&amp;id=27227&amp;p=section</x:v>
      </x:c>
      <x:c r="J166" t="str">
        <x:v>https://dl.smwcentral.net/27227/Arcane%20Mario%20World.zip</x:v>
      </x:c>
    </x:row>
    <x:row r="167">
      <x:c r="A167" t="str">
        <x:v>Archipelago of Truth Collection</x:v>
      </x:c>
      <x:c r="B167" t="str">
        <x:v>Archipelago of Truth Collection</x:v>
      </x:c>
      <x:c r="C167" t="str">
        <x:v>Onyx</x:v>
      </x:c>
      <x:c r="D167" t="n">
        <x:v>19</x:v>
      </x:c>
      <x:c r="E167" t="str">
        <x:v>Casual</x:v>
      </x:c>
      <x:c r="F167" t="str">
        <x:v>Standard</x:v>
      </x:c>
      <x:c r="G167" t="n">
        <x:v>42346</x:v>
      </x:c>
      <x:c r="H167" t="str">
        <x:v>9926</x:v>
      </x:c>
      <x:c r="I167" t="str">
        <x:v>https://www.smwcentral.net/?a=details&amp;id=9926&amp;p=section</x:v>
      </x:c>
      <x:c r="J167" t="str">
        <x:v>https://dl.smwcentral.net/9926/Archipelago%20of%20Truth%20Collection.zip</x:v>
      </x:c>
    </x:row>
    <x:row r="168">
      <x:c r="A168" t="str">
        <x:v>Arcyria</x:v>
      </x:c>
      <x:c r="B168" t="str">
        <x:v>Arcyria</x:v>
      </x:c>
      <x:c r="C168" t="str">
        <x:v>neidoodle</x:v>
      </x:c>
      <x:c r="D168" t="n">
        <x:v>8</x:v>
      </x:c>
      <x:c r="E168" t="str">
        <x:v>Expert</x:v>
      </x:c>
      <x:c r="F168" t="str">
        <x:v>Kaizo</x:v>
      </x:c>
      <x:c r="G168" t="n">
        <x:v>46117</x:v>
      </x:c>
      <x:c r="H168" t="str">
        <x:v>42100</x:v>
      </x:c>
      <x:c r="I168" t="str">
        <x:v>https://www.smwcentral.net/?a=details&amp;id=42100&amp;p=section</x:v>
      </x:c>
      <x:c r="J168" t="str">
        <x:v>https://dl.smwcentral.net/42100/Arcyria%201.1.zip</x:v>
      </x:c>
    </x:row>
    <x:row r="169">
      <x:c r="A169" t="str">
        <x:v>Are The Enemies Smarter Than A Caveman?</x:v>
      </x:c>
      <x:c r="B169" t="str">
        <x:v>Are The Enemies Smarter Than A Caveman?</x:v>
      </x:c>
      <x:c r="C169" t="str">
        <x:v>Daizo Dee Von</x:v>
      </x:c>
      <x:c r="D169" t="n">
        <x:v>10</x:v>
      </x:c>
      <x:c r="E169" t="str">
        <x:v>Intermediate</x:v>
      </x:c>
      <x:c r="F169" t="str">
        <x:v>Standard</x:v>
      </x:c>
      <x:c r="G169" t="n">
        <x:v>45401</x:v>
      </x:c>
      <x:c r="H169" t="str">
        <x:v>37655</x:v>
      </x:c>
      <x:c r="I169" t="str">
        <x:v>https://www.smwcentral.net/?a=details&amp;id=37655&amp;p=section</x:v>
      </x:c>
      <x:c r="J169" t="str">
        <x:v>https://dl.smwcentral.net/37655/Are%20The%20Enemies%20Smarter%20Than%20A%20Caveman%20%28v1.01%29.zip</x:v>
      </x:c>
    </x:row>
    <x:row r="170">
      <x:c r="A170" t="str">
        <x:v>Arkin</x:v>
      </x:c>
      <x:c r="B170" t="str">
        <x:v>Arkin</x:v>
      </x:c>
      <x:c r="C170" t="str">
        <x:v>TheTrueCommonSense</x:v>
      </x:c>
      <x:c r="D170" t="n">
        <x:v>11</x:v>
      </x:c>
      <x:c r="E170" t="str">
        <x:v>Advanced</x:v>
      </x:c>
      <x:c r="F170" t="str">
        <x:v>Kaizo</x:v>
      </x:c>
      <x:c r="G170" t="n">
        <x:v>45742</x:v>
      </x:c>
      <x:c r="H170" t="str">
        <x:v>39637</x:v>
      </x:c>
      <x:c r="I170" t="str">
        <x:v>https://www.smwcentral.net/?a=details&amp;id=39637&amp;p=section</x:v>
      </x:c>
      <x:c r="J170" t="str">
        <x:v>https://dl.smwcentral.net/39637/Arkin.zip</x:v>
      </x:c>
    </x:row>
    <x:row r="171">
      <x:c r="A171" t="str">
        <x:v>ARMAGEDDON</x:v>
      </x:c>
      <x:c r="B171" t="str">
        <x:v>ARMAGEDDON</x:v>
      </x:c>
      <x:c r="C171" t="str">
        <x:v>dacin</x:v>
      </x:c>
      <x:c r="D171" t="n">
        <x:v>1</x:v>
      </x:c>
      <x:c r="E171" t="str">
        <x:v>Grandmaster</x:v>
      </x:c>
      <x:c r="F171" t="str">
        <x:v>Tool-Assisted, Pit</x:v>
      </x:c>
      <x:c r="G171" t="n">
        <x:v>44428</x:v>
      </x:c>
      <x:c r="H171" t="str">
        <x:v>27209</x:v>
      </x:c>
      <x:c r="I171" t="str">
        <x:v>https://www.smwcentral.net/?a=details&amp;id=27209&amp;p=section</x:v>
      </x:c>
      <x:c r="J171" t="str">
        <x:v>https://dl.smwcentral.net/27209/ARMAGEDDON_1.1.zip</x:v>
      </x:c>
    </x:row>
    <x:row r="172">
      <x:c r="A172" t="str">
        <x:v>Armaidia</x:v>
      </x:c>
      <x:c r="B172" t="str">
        <x:v>Armaidia</x:v>
      </x:c>
      <x:c r="C172" t="str">
        <x:v>34088, SMW Physicist, levelengine</x:v>
      </x:c>
      <x:c r="D172" t="n">
        <x:v>5</x:v>
      </x:c>
      <x:c r="E172" t="str">
        <x:v>Casual</x:v>
      </x:c>
      <x:c r="F172" t="str">
        <x:v>Standard</x:v>
      </x:c>
      <x:c r="G172" t="n">
        <x:v>43670</x:v>
      </x:c>
      <x:c r="H172" t="str">
        <x:v>20671</x:v>
      </x:c>
      <x:c r="I172" t="str">
        <x:v>https://www.smwcentral.net/?a=details&amp;id=20671&amp;p=section</x:v>
      </x:c>
      <x:c r="J172" t="str">
        <x:v>https://dl.smwcentral.net/20671/Armaidia.zip</x:v>
      </x:c>
    </x:row>
    <x:row r="173">
      <x:c r="A173" t="str">
        <x:v>Assortment Of Wyverns</x:v>
      </x:c>
      <x:c r="B173" t="str">
        <x:v>Assortment Of Wyverns</x:v>
      </x:c>
      <x:c r="C173" t="str">
        <x:v>SolveForX</x:v>
      </x:c>
      <x:c r="D173" t="n">
        <x:v>3</x:v>
      </x:c>
      <x:c r="E173" t="str">
        <x:v>Grandmaster</x:v>
      </x:c>
      <x:c r="F173" t="str">
        <x:v>Kaizo</x:v>
      </x:c>
      <x:c r="G173" t="n">
        <x:v>46097</x:v>
      </x:c>
      <x:c r="H173" t="str">
        <x:v>41455</x:v>
      </x:c>
      <x:c r="I173" t="str">
        <x:v>https://www.smwcentral.net/?a=details&amp;id=41455&amp;p=section</x:v>
      </x:c>
      <x:c r="J173" t="str">
        <x:v>https://dl.smwcentral.net/41455/AssortmentOfWyverns.zip</x:v>
      </x:c>
    </x:row>
    <x:row r="174">
      <x:c r="A174" t="str">
        <x:v>At Least The Music's Good</x:v>
      </x:c>
      <x:c r="B174" t="str">
        <x:v>At Least The Music's Good</x:v>
      </x:c>
      <x:c r="C174" t="str">
        <x:v>Worl</x:v>
      </x:c>
      <x:c r="D174" t="n">
        <x:v>15</x:v>
      </x:c>
      <x:c r="E174" t="str">
        <x:v>Expert</x:v>
      </x:c>
      <x:c r="F174" t="str">
        <x:v>Kaizo</x:v>
      </x:c>
      <x:c r="G174" t="n">
        <x:v>44523</x:v>
      </x:c>
      <x:c r="H174" t="str">
        <x:v>28839</x:v>
      </x:c>
      <x:c r="I174" t="str">
        <x:v>https://www.smwcentral.net/?a=details&amp;id=28839&amp;p=section</x:v>
      </x:c>
      <x:c r="J174" t="str">
        <x:v>https://dl.smwcentral.net/28839/At%20Least%20The%20Music%27s%20Good%20v1.1.zip</x:v>
      </x:c>
    </x:row>
    <x:row r="175">
      <x:c r="A175" t="str">
        <x:v>Athletic Plumber Twins</x:v>
      </x:c>
      <x:c r="B175" t="str">
        <x:v>Athletic Plumber Twins</x:v>
      </x:c>
      <x:c r="C175" t="str">
        <x:v>Shuffles</x:v>
      </x:c>
      <x:c r="D175" t="n">
        <x:v>24</x:v>
      </x:c>
      <x:c r="E175" t="str">
        <x:v>Casual</x:v>
      </x:c>
      <x:c r="F175" t="str">
        <x:v>Standard</x:v>
      </x:c>
      <x:c r="G175" t="n">
        <x:v>42238</x:v>
      </x:c>
      <x:c r="H175" t="str">
        <x:v>9857</x:v>
      </x:c>
      <x:c r="I175" t="str">
        <x:v>https://www.smwcentral.net/?a=details&amp;id=9857&amp;p=section</x:v>
      </x:c>
      <x:c r="J175" t="str">
        <x:v>https://dl.smwcentral.net/9857/Athletic%20Plumber%20Twins.zip</x:v>
      </x:c>
    </x:row>
    <x:row r="176">
      <x:c r="A176" t="str">
        <x:v>Attempt at a Normal Hack</x:v>
      </x:c>
      <x:c r="B176" t="str">
        <x:v>Attempt at a Normal Hack</x:v>
      </x:c>
      <x:c r="C176" t="str">
        <x:v>ft029</x:v>
      </x:c>
      <x:c r="D176" t="n">
        <x:v>40</x:v>
      </x:c>
      <x:c r="E176" t="str">
        <x:v>Intermediate</x:v>
      </x:c>
      <x:c r="F176" t="str">
        <x:v>Standard</x:v>
      </x:c>
      <x:c r="G176" t="n">
        <x:v>45430</x:v>
      </x:c>
      <x:c r="H176" t="str">
        <x:v>37783</x:v>
      </x:c>
      <x:c r="I176" t="str">
        <x:v>https://www.smwcentral.net/?a=details&amp;id=37783&amp;p=section</x:v>
      </x:c>
      <x:c r="J176" t="str">
        <x:v>https://dl.smwcentral.net/37783/Attempt%20at%20a%20normal%20hack%20v1.11.zip</x:v>
      </x:c>
    </x:row>
    <x:row r="177">
      <x:c r="A177" t="str">
        <x:v>Autumn</x:v>
      </x:c>
      <x:c r="B177" t="str">
        <x:v>Autumn</x:v>
      </x:c>
      <x:c r="C177" t="str">
        <x:v>Morph Moth</x:v>
      </x:c>
      <x:c r="D177" t="n">
        <x:v>18</x:v>
      </x:c>
      <x:c r="E177" t="str">
        <x:v>Expert</x:v>
      </x:c>
      <x:c r="F177" t="str">
        <x:v>Kaizo</x:v>
      </x:c>
      <x:c r="G177" t="n">
        <x:v>44622</x:v>
      </x:c>
      <x:c r="H177" t="str">
        <x:v>29994</x:v>
      </x:c>
      <x:c r="I177" t="str">
        <x:v>https://www.smwcentral.net/?a=details&amp;id=29994&amp;p=section</x:v>
      </x:c>
      <x:c r="J177" t="str">
        <x:v>https://dl.smwcentral.net/29994/Autumn%201.1.zip</x:v>
      </x:c>
    </x:row>
    <x:row r="178">
      <x:c r="A178" t="str">
        <x:v>Autumn Hike (Demo)</x:v>
      </x:c>
      <x:c r="B178" t="str">
        <x:v>Autumn Hike (Demo)</x:v>
      </x:c>
      <x:c r="C178" t="str">
        <x:v>its_heeho</x:v>
      </x:c>
      <x:c r="D178" t="n">
        <x:v>4</x:v>
      </x:c>
      <x:c r="E178" t="str">
        <x:v>Newcomer</x:v>
      </x:c>
      <x:c r="F178" t="str">
        <x:v>Standard</x:v>
      </x:c>
      <x:c r="G178" t="n">
        <x:v>45584</x:v>
      </x:c>
      <x:c r="H178" t="str">
        <x:v>38595</x:v>
      </x:c>
      <x:c r="I178" t="str">
        <x:v>https://www.smwcentral.net/?a=details&amp;id=38595&amp;p=section</x:v>
      </x:c>
      <x:c r="J178" t="str">
        <x:v>https://dl.smwcentral.net/38595/AutumnHike%28Demo%29.zip</x:v>
      </x:c>
    </x:row>
    <x:row r="179">
      <x:c r="A179" t="str">
        <x:v>Awesome Mario World</x:v>
      </x:c>
      <x:c r="B179" t="str">
        <x:v>Awesome Mario World</x:v>
      </x:c>
      <x:c r="C179" t="str">
        <x:v>NGB</x:v>
      </x:c>
      <x:c r="D179" t="n">
        <x:v>11</x:v>
      </x:c>
      <x:c r="E179" t="str">
        <x:v>Casual</x:v>
      </x:c>
      <x:c r="F179" t="str">
        <x:v>Standard</x:v>
      </x:c>
      <x:c r="G179" t="n">
        <x:v>42021</x:v>
      </x:c>
      <x:c r="H179" t="str">
        <x:v>10346</x:v>
      </x:c>
      <x:c r="I179" t="str">
        <x:v>https://www.smwcentral.net/?a=details&amp;id=10346&amp;p=section</x:v>
      </x:c>
      <x:c r="J179" t="str">
        <x:v>https://dl.smwcentral.net/10346/Awesome_Mario_World%20Ver.%201.0.zip</x:v>
      </x:c>
    </x:row>
    <x:row r="180">
      <x:c r="A180" t="str">
        <x:v>Awful Mario World</x:v>
      </x:c>
      <x:c r="B180" t="str">
        <x:v>Awful Mario World</x:v>
      </x:c>
      <x:c r="C180" t="str">
        <x:v>KoJi</x:v>
      </x:c>
      <x:c r="D180" t="n">
        <x:v>12</x:v>
      </x:c>
      <x:c r="E180" t="str">
        <x:v>Expert</x:v>
      </x:c>
      <x:c r="F180" t="str">
        <x:v>Kaizo</x:v>
      </x:c>
      <x:c r="G180" t="n">
        <x:v>45530</x:v>
      </x:c>
      <x:c r="H180" t="str">
        <x:v>38239</x:v>
      </x:c>
      <x:c r="I180" t="str">
        <x:v>https://www.smwcentral.net/?a=details&amp;id=38239&amp;p=section</x:v>
      </x:c>
      <x:c r="J180" t="str">
        <x:v>https://dl.smwcentral.net/38239/awfulmarioworld.zip</x:v>
      </x:c>
    </x:row>
    <x:row r="181">
      <x:c r="A181" t="str">
        <x:v>Ayashi Mario</x:v>
      </x:c>
      <x:c r="B181" t="str">
        <x:v>Ayashi Mario</x:v>
      </x:c>
      <x:c r="C181" t="str">
        <x:v>edidari</x:v>
      </x:c>
      <x:c r="D181" t="n">
        <x:v>5</x:v>
      </x:c>
      <x:c r="E181" t="str">
        <x:v>Expert</x:v>
      </x:c>
      <x:c r="F181" t="str">
        <x:v>Kaizo</x:v>
      </x:c>
      <x:c r="G181" t="n">
        <x:v>43774</x:v>
      </x:c>
      <x:c r="H181" t="str">
        <x:v>21408</x:v>
      </x:c>
      <x:c r="I181" t="str">
        <x:v>https://www.smwcentral.net/?a=details&amp;id=21408&amp;p=section</x:v>
      </x:c>
      <x:c r="J181" t="str">
        <x:v>https://dl.smwcentral.net/21408/Ayashi%20Mario.zip</x:v>
      </x:c>
    </x:row>
    <x:row r="182">
      <x:c r="A182" t="str">
        <x:v>Babby Builds Wevels</x:v>
      </x:c>
      <x:c r="B182" t="str">
        <x:v>Babby Builds Wevels</x:v>
      </x:c>
      <x:c r="C182" t="str">
        <x:v>liz_bean</x:v>
      </x:c>
      <x:c r="D182" t="n">
        <x:v>14</x:v>
      </x:c>
      <x:c r="E182" t="str">
        <x:v>Advanced</x:v>
      </x:c>
      <x:c r="F182" t="str">
        <x:v>Kaizo</x:v>
      </x:c>
      <x:c r="G182" t="n">
        <x:v>45899</x:v>
      </x:c>
      <x:c r="H182" t="str">
        <x:v>40535</x:v>
      </x:c>
      <x:c r="I182" t="str">
        <x:v>https://www.smwcentral.net/?a=details&amp;id=40535&amp;p=section</x:v>
      </x:c>
      <x:c r="J182" t="str">
        <x:v>https://dl.smwcentral.net/40535/Babby%20Builds%20Wevels%20-%20V1.0.zip</x:v>
      </x:c>
    </x:row>
    <x:row r="183">
      <x:c r="A183" t="str">
        <x:v>Baby Kaizo World</x:v>
      </x:c>
      <x:c r="B183" t="str">
        <x:v>Baby Kaizo World</x:v>
      </x:c>
      <x:c r="C183" t="str">
        <x:v>Nowieso</x:v>
      </x:c>
      <x:c r="D183" t="n">
        <x:v>44</x:v>
      </x:c>
      <x:c r="E183" t="str">
        <x:v>Advanced</x:v>
      </x:c>
      <x:c r="F183" t="str">
        <x:v>Kaizo</x:v>
      </x:c>
      <x:c r="G183" t="n">
        <x:v>43514</x:v>
      </x:c>
      <x:c r="H183" t="str">
        <x:v>19145</x:v>
      </x:c>
      <x:c r="I183" t="str">
        <x:v>https://www.smwcentral.net/?a=details&amp;id=19145&amp;p=section</x:v>
      </x:c>
      <x:c r="J183" t="str">
        <x:v>https://dl.smwcentral.net/19145/BabyKaizoWorld.zip</x:v>
      </x:c>
    </x:row>
    <x:row r="184">
      <x:c r="A184" t="str">
        <x:v>Baby Kaizo World 2</x:v>
      </x:c>
      <x:c r="B184" t="str">
        <x:v>Baby Kaizo World 2</x:v>
      </x:c>
      <x:c r="C184" t="str">
        <x:v>Phyll</x:v>
      </x:c>
      <x:c r="D184" t="n">
        <x:v>34</x:v>
      </x:c>
      <x:c r="E184" t="str">
        <x:v>Intermediate</x:v>
      </x:c>
      <x:c r="F184" t="str">
        <x:v>Kaizo</x:v>
      </x:c>
      <x:c r="G184" t="n">
        <x:v>44734</x:v>
      </x:c>
      <x:c r="H184" t="str">
        <x:v>31182</x:v>
      </x:c>
      <x:c r="I184" t="str">
        <x:v>https://www.smwcentral.net/?a=details&amp;id=31182&amp;p=section</x:v>
      </x:c>
      <x:c r="J184" t="str">
        <x:v>https://dl.smwcentral.net/31182/BKW2V1.1NeW.zip</x:v>
      </x:c>
    </x:row>
    <x:row r="185">
      <x:c r="A185" t="str">
        <x:v>Back to the Classics</x:v>
      </x:c>
      <x:c r="B185" t="str">
        <x:v>Back to the Classics</x:v>
      </x:c>
      <x:c r="C185" t="str">
        <x:v>Spud Alpha</x:v>
      </x:c>
      <x:c r="D185" t="n">
        <x:v>36</x:v>
      </x:c>
      <x:c r="E185" t="str">
        <x:v>Casual</x:v>
      </x:c>
      <x:c r="F185" t="str">
        <x:v>Standard</x:v>
      </x:c>
      <x:c r="G185" t="n">
        <x:v>41454</x:v>
      </x:c>
      <x:c r="H185" t="str">
        <x:v>5277</x:v>
      </x:c>
      <x:c r="I185" t="str">
        <x:v>https://www.smwcentral.net/?a=details&amp;id=5277&amp;p=section</x:v>
      </x:c>
      <x:c r="J185" t="str">
        <x:v>https://dl.smwcentral.net/5277/Back%20to%20the%20Classics.zip</x:v>
      </x:c>
    </x:row>
    <x:row r="186">
      <x:c r="A186" t="str">
        <x:v>Back to the Green Hill</x:v>
      </x:c>
      <x:c r="B186" t="str">
        <x:v>Back to the Green Hill</x:v>
      </x:c>
      <x:c r="C186" t="str">
        <x:v>sholmes</x:v>
      </x:c>
      <x:c r="D186" t="n">
        <x:v>25</x:v>
      </x:c>
      <x:c r="E186" t="str">
        <x:v>Master</x:v>
      </x:c>
      <x:c r="F186" t="str">
        <x:v>Kaizo</x:v>
      </x:c>
      <x:c r="G186" t="n">
        <x:v>46096</x:v>
      </x:c>
      <x:c r="H186" t="str">
        <x:v>41863</x:v>
      </x:c>
      <x:c r="I186" t="str">
        <x:v>https://www.smwcentral.net/?a=details&amp;id=41863&amp;p=section</x:v>
      </x:c>
      <x:c r="J186" t="str">
        <x:v>https://dl.smwcentral.net/41863/Back%20to%20the%20Green%20Hill%20Updated.zip</x:v>
      </x:c>
    </x:row>
    <x:row r="187">
      <x:c r="A187" t="str">
        <x:v>Backwards Mario World</x:v>
      </x:c>
      <x:c r="B187" t="str">
        <x:v>Backwards Mario World</x:v>
      </x:c>
      <x:c r="C187" t="str">
        <x:v>westslasher2</x:v>
      </x:c>
      <x:c r="D187" t="n">
        <x:v>13</x:v>
      </x:c>
      <x:c r="E187" t="str">
        <x:v>Intermediate</x:v>
      </x:c>
      <x:c r="F187" t="str">
        <x:v>Kaizo</x:v>
      </x:c>
      <x:c r="G187" t="n">
        <x:v>43335</x:v>
      </x:c>
      <x:c r="H187" t="str">
        <x:v>18071</x:v>
      </x:c>
      <x:c r="I187" t="str">
        <x:v>https://www.smwcentral.net/?a=details&amp;id=18071&amp;p=section</x:v>
      </x:c>
      <x:c r="J187" t="str">
        <x:v>https://dl.smwcentral.net/18071/BackwardsMarioWorld1.11.zip</x:v>
      </x:c>
    </x:row>
    <x:row r="188">
      <x:c r="A188" t="str">
        <x:v>Backyard Kaizo</x:v>
      </x:c>
      <x:c r="B188" t="str">
        <x:v>Backyard Kaizo</x:v>
      </x:c>
      <x:c r="C188" t="str">
        <x:v>zynnoir</x:v>
      </x:c>
      <x:c r="D188" t="n">
        <x:v>3</x:v>
      </x:c>
      <x:c r="E188" t="str">
        <x:v>Expert</x:v>
      </x:c>
      <x:c r="F188" t="str">
        <x:v>Kaizo</x:v>
      </x:c>
      <x:c r="G188" t="n">
        <x:v>44705</x:v>
      </x:c>
      <x:c r="H188" t="str">
        <x:v>30968</x:v>
      </x:c>
      <x:c r="I188" t="str">
        <x:v>https://www.smwcentral.net/?a=details&amp;id=30968&amp;p=section</x:v>
      </x:c>
      <x:c r="J188" t="str">
        <x:v>https://dl.smwcentral.net/30968/Backyard.zip</x:v>
      </x:c>
    </x:row>
    <x:row r="189">
      <x:c r="A189" t="str">
        <x:v>Baker's Dozen</x:v>
      </x:c>
      <x:c r="B189" t="str">
        <x:v>Baker's Dozen</x:v>
      </x:c>
      <x:c r="C189" t="str">
        <x:v>HaddonFeels</x:v>
      </x:c>
      <x:c r="D189" t="n">
        <x:v>13</x:v>
      </x:c>
      <x:c r="E189" t="str">
        <x:v>Advanced</x:v>
      </x:c>
      <x:c r="F189" t="str">
        <x:v>Kaizo</x:v>
      </x:c>
      <x:c r="G189" t="n">
        <x:v>45592</x:v>
      </x:c>
      <x:c r="H189" t="str">
        <x:v>38701</x:v>
      </x:c>
      <x:c r="I189" t="str">
        <x:v>https://www.smwcentral.net/?a=details&amp;id=38701&amp;p=section</x:v>
      </x:c>
      <x:c r="J189" t="str">
        <x:v>https://dl.smwcentral.net/38701/bakers1.1.zip</x:v>
      </x:c>
    </x:row>
    <x:row r="190">
      <x:c r="A190" t="str">
        <x:v>BALL BUSTER</x:v>
      </x:c>
      <x:c r="B190" t="str">
        <x:v>BALL BUSTER</x:v>
      </x:c>
      <x:c r="C190" t="str">
        <x:v>NerDose</x:v>
      </x:c>
      <x:c r="D190" t="n">
        <x:v>9</x:v>
      </x:c>
      <x:c r="E190" t="str">
        <x:v>Expert</x:v>
      </x:c>
      <x:c r="F190" t="str">
        <x:v>Kaizo</x:v>
      </x:c>
      <x:c r="G190" t="n">
        <x:v>46107</x:v>
      </x:c>
      <x:c r="H190" t="str">
        <x:v>41843</x:v>
      </x:c>
      <x:c r="I190" t="str">
        <x:v>https://www.smwcentral.net/?a=details&amp;id=41843&amp;p=section</x:v>
      </x:c>
      <x:c r="J190" t="str">
        <x:v>https://dl.smwcentral.net/41843/BallBusterV1.4.zip</x:v>
      </x:c>
    </x:row>
    <x:row r="191">
      <x:c r="A191" t="str">
        <x:v>Ball of Revenge</x:v>
      </x:c>
      <x:c r="B191" t="str">
        <x:v>Ball of Revenge</x:v>
      </x:c>
      <x:c r="C191" t="str">
        <x:v>Darky</x:v>
      </x:c>
      <x:c r="D191" t="n">
        <x:v>10</x:v>
      </x:c>
      <x:c r="E191" t="str">
        <x:v>Newcomer</x:v>
      </x:c>
      <x:c r="F191" t="str">
        <x:v>Standard</x:v>
      </x:c>
      <x:c r="G191" t="n">
        <x:v>42260</x:v>
      </x:c>
      <x:c r="H191" t="str">
        <x:v>9944</x:v>
      </x:c>
      <x:c r="I191" t="str">
        <x:v>https://www.smwcentral.net/?a=details&amp;id=9944&amp;p=section</x:v>
      </x:c>
      <x:c r="J191" t="str">
        <x:v>https://dl.smwcentral.net/9944/BoR.zip</x:v>
      </x:c>
    </x:row>
    <x:row r="192">
      <x:c r="A192" t="str">
        <x:v>Banana Is Missing!</x:v>
      </x:c>
      <x:c r="B192" t="str">
        <x:v>Banana Is Missing!</x:v>
      </x:c>
      <x:c r="C192" t="str">
        <x:v>BDgames2023</x:v>
      </x:c>
      <x:c r="D192" t="n">
        <x:v>19</x:v>
      </x:c>
      <x:c r="E192" t="str">
        <x:v>Intermediate</x:v>
      </x:c>
      <x:c r="F192" t="str">
        <x:v>Standard</x:v>
      </x:c>
      <x:c r="G192" t="n">
        <x:v>45928</x:v>
      </x:c>
      <x:c r="H192" t="str">
        <x:v>40622</x:v>
      </x:c>
      <x:c r="I192" t="str">
        <x:v>https://www.smwcentral.net/?a=details&amp;id=40622&amp;p=section</x:v>
      </x:c>
      <x:c r="J192" t="str">
        <x:v>https://dl.smwcentral.net/40622/BIM%21.zip</x:v>
      </x:c>
    </x:row>
    <x:row r="193">
      <x:c r="A193" t="str">
        <x:v>Banana's Quest</x:v>
      </x:c>
      <x:c r="B193" t="str">
        <x:v>Banana's Quest</x:v>
      </x:c>
      <x:c r="C193" t="str">
        <x:v>BDgames2023</x:v>
      </x:c>
      <x:c r="D193" t="n">
        <x:v>23</x:v>
      </x:c>
      <x:c r="E193" t="str">
        <x:v>Intermediate</x:v>
      </x:c>
      <x:c r="F193" t="str">
        <x:v>Standard</x:v>
      </x:c>
      <x:c r="G193" t="n">
        <x:v>45628</x:v>
      </x:c>
      <x:c r="H193" t="str">
        <x:v>38857</x:v>
      </x:c>
      <x:c r="I193" t="str">
        <x:v>https://www.smwcentral.net/?a=details&amp;id=38857&amp;p=section</x:v>
      </x:c>
      <x:c r="J193" t="str">
        <x:v>https://dl.smwcentral.net/38857/B%27SQ.zip</x:v>
      </x:c>
    </x:row>
    <x:row r="194">
      <x:c r="A194" t="str">
        <x:v>BanShell</x:v>
      </x:c>
      <x:c r="B194" t="str">
        <x:v>BanShell</x:v>
      </x:c>
      <x:c r="C194" t="str">
        <x:v>kLk</x:v>
      </x:c>
      <x:c r="D194" t="n">
        <x:v>6</x:v>
      </x:c>
      <x:c r="E194" t="str">
        <x:v>Master</x:v>
      </x:c>
      <x:c r="F194" t="str">
        <x:v>Kaizo</x:v>
      </x:c>
      <x:c r="G194" t="n">
        <x:v>44938</x:v>
      </x:c>
      <x:c r="H194" t="str">
        <x:v>32912</x:v>
      </x:c>
      <x:c r="I194" t="str">
        <x:v>https://www.smwcentral.net/?a=details&amp;id=32912&amp;p=section</x:v>
      </x:c>
      <x:c r="J194" t="str">
        <x:v>https://dl.smwcentral.net/32912/BanShell.zip</x:v>
      </x:c>
    </x:row>
    <x:row r="195">
      <x:c r="A195" t="str">
        <x:v>Banzai Mario World</x:v>
      </x:c>
      <x:c r="B195" t="str">
        <x:v>Banzai Mario World</x:v>
      </x:c>
      <x:c r="C195" t="str">
        <x:v>GbreezeSunset</x:v>
      </x:c>
      <x:c r="D195" t="n">
        <x:v>40</x:v>
      </x:c>
      <x:c r="E195" t="str">
        <x:v>Expert</x:v>
      </x:c>
      <x:c r="F195" t="str">
        <x:v>Kaizo</x:v>
      </x:c>
      <x:c r="G195" t="n">
        <x:v>42179</x:v>
      </x:c>
      <x:c r="H195" t="str">
        <x:v>11477</x:v>
      </x:c>
      <x:c r="I195" t="str">
        <x:v>https://www.smwcentral.net/?a=details&amp;id=11477&amp;p=section</x:v>
      </x:c>
      <x:c r="J195" t="str">
        <x:v>https://dl.smwcentral.net/11477/Banzai%20Mario%20World.zip</x:v>
      </x:c>
    </x:row>
    <x:row r="196">
      <x:c r="A196" t="str">
        <x:v>Banzai's Level Sampler</x:v>
      </x:c>
      <x:c r="B196" t="str">
        <x:v>Banzai's Level Sampler</x:v>
      </x:c>
      <x:c r="C196" t="str">
        <x:v>TheNewerGuy</x:v>
      </x:c>
      <x:c r="D196" t="n">
        <x:v>10</x:v>
      </x:c>
      <x:c r="E196" t="str">
        <x:v>Casual</x:v>
      </x:c>
      <x:c r="F196" t="str">
        <x:v>Standard</x:v>
      </x:c>
      <x:c r="G196" t="n">
        <x:v>42093</x:v>
      </x:c>
      <x:c r="H196" t="str">
        <x:v>9652</x:v>
      </x:c>
      <x:c r="I196" t="str">
        <x:v>https://www.smwcentral.net/?a=details&amp;id=9652&amp;p=section</x:v>
      </x:c>
      <x:c r="J196" t="str">
        <x:v>https://dl.smwcentral.net/9652/banzai%27s%20Level%20Sampler.zip</x:v>
      </x:c>
    </x:row>
    <x:row r="197">
      <x:c r="A197" t="str">
        <x:v>Baron of Shell</x:v>
      </x:c>
      <x:c r="B197" t="str">
        <x:v>Baron of Shell</x:v>
      </x:c>
      <x:c r="C197" t="str">
        <x:v>shaoshao</x:v>
      </x:c>
      <x:c r="D197" t="n">
        <x:v>22</x:v>
      </x:c>
      <x:c r="E197" t="str">
        <x:v>Master</x:v>
      </x:c>
      <x:c r="F197" t="str">
        <x:v>Kaizo</x:v>
      </x:c>
      <x:c r="G197" t="n">
        <x:v>45077</x:v>
      </x:c>
      <x:c r="H197" t="str">
        <x:v>34021</x:v>
      </x:c>
      <x:c r="I197" t="str">
        <x:v>https://www.smwcentral.net/?a=details&amp;id=34021&amp;p=section</x:v>
      </x:c>
      <x:c r="J197" t="str">
        <x:v>https://dl.smwcentral.net/34021/baron.zip</x:v>
      </x:c>
    </x:row>
    <x:row r="198">
      <x:c r="A198" t="str">
        <x:v>Basic Mario Hack</x:v>
      </x:c>
      <x:c r="B198" t="str">
        <x:v>Basic Mario Hack</x:v>
      </x:c>
      <x:c r="C198" t="str">
        <x:v>GMCHacker91</x:v>
      </x:c>
      <x:c r="D198" t="n">
        <x:v>13</x:v>
      </x:c>
      <x:c r="E198" t="str">
        <x:v>Intermediate</x:v>
      </x:c>
      <x:c r="F198" t="str">
        <x:v>Standard</x:v>
      </x:c>
      <x:c r="G198" t="n">
        <x:v>43918</x:v>
      </x:c>
      <x:c r="H198" t="str">
        <x:v>22210</x:v>
      </x:c>
      <x:c r="I198" t="str">
        <x:v>https://www.smwcentral.net/?a=details&amp;id=22210&amp;p=section</x:v>
      </x:c>
      <x:c r="J198" t="str">
        <x:v>https://dl.smwcentral.net/22210/2020%20Basic%20Mario%20UPDATE.zip</x:v>
      </x:c>
    </x:row>
    <x:row r="199">
      <x:c r="A199" t="str">
        <x:v>Basic Mario Hack 2 BETA</x:v>
      </x:c>
      <x:c r="B199" t="str">
        <x:v>Basic Mario Hack 2 BETA</x:v>
      </x:c>
      <x:c r="C199" t="str">
        <x:v>GMCHacker91</x:v>
      </x:c>
      <x:c r="D199" t="n">
        <x:v>11</x:v>
      </x:c>
      <x:c r="E199" t="str">
        <x:v>Intermediate</x:v>
      </x:c>
      <x:c r="F199" t="str">
        <x:v>Standard</x:v>
      </x:c>
      <x:c r="G199" t="n">
        <x:v>44505</x:v>
      </x:c>
      <x:c r="H199" t="str">
        <x:v>28720</x:v>
      </x:c>
      <x:c r="I199" t="str">
        <x:v>https://www.smwcentral.net/?a=details&amp;id=28720&amp;p=section</x:v>
      </x:c>
      <x:c r="J199" t="str">
        <x:v>https://dl.smwcentral.net/28720/Basic%20Mario%202%20BETA.zip</x:v>
      </x:c>
    </x:row>
    <x:row r="200">
      <x:c r="A200" t="str">
        <x:v>Bavario Bros.</x:v>
      </x:c>
      <x:c r="B200" t="str">
        <x:v>Bavario Bros.</x:v>
      </x:c>
      <x:c r="C200" t="str">
        <x:v>Ahrion, DoktorGroove, Edphonse15, Gulaschko, H3nt4ik4m3n, KoS, Maw, Nowieso, Rudi_Schrausch, Schlafkopf, Spedinja, neidoodle, xamexer</x:v>
      </x:c>
      <x:c r="D200" t="n">
        <x:v>16</x:v>
      </x:c>
      <x:c r="E200" t="str">
        <x:v>Expert</x:v>
      </x:c>
      <x:c r="F200" t="str">
        <x:v>Kaizo</x:v>
      </x:c>
      <x:c r="G200" t="n">
        <x:v>45347</x:v>
      </x:c>
      <x:c r="H200" t="str">
        <x:v>37056</x:v>
      </x:c>
      <x:c r="I200" t="str">
        <x:v>https://www.smwcentral.net/?a=details&amp;id=37056&amp;p=section</x:v>
      </x:c>
      <x:c r="J200" t="str">
        <x:v>https://dl.smwcentral.net/37056/Bavario%20Bros.%20v1.1.zip</x:v>
      </x:c>
    </x:row>
    <x:row r="201">
      <x:c r="A201" t="str">
        <x:v>Beach Park At Isla Blanca</x:v>
      </x:c>
      <x:c r="B201" t="str">
        <x:v>Beach Park At Isla Blanca</x:v>
      </x:c>
      <x:c r="C201" t="str">
        <x:v>El Cuh Fermin</x:v>
      </x:c>
      <x:c r="D201" t="n">
        <x:v>8</x:v>
      </x:c>
      <x:c r="E201" t="str">
        <x:v>Intermediate</x:v>
      </x:c>
      <x:c r="F201" t="str">
        <x:v>Standard</x:v>
      </x:c>
      <x:c r="G201" t="n">
        <x:v>44700</x:v>
      </x:c>
      <x:c r="H201" t="str">
        <x:v>30707</x:v>
      </x:c>
      <x:c r="I201" t="str">
        <x:v>https://www.smwcentral.net/?a=details&amp;id=30707&amp;p=section</x:v>
      </x:c>
      <x:c r="J201" t="str">
        <x:v>https://dl.smwcentral.net/30707/Beach%20Park%20At%20Isla%20Blanca%20Hack.zip</x:v>
      </x:c>
    </x:row>
    <x:row r="202">
      <x:c r="A202" t="str">
        <x:v>Beachside Blitz</x:v>
      </x:c>
      <x:c r="B202" t="str">
        <x:v>Beachside Blitz</x:v>
      </x:c>
      <x:c r="C202" t="str">
        <x:v>TheRealCatsup</x:v>
      </x:c>
      <x:c r="D202" t="n">
        <x:v>14</x:v>
      </x:c>
      <x:c r="E202" t="str">
        <x:v>Advanced</x:v>
      </x:c>
      <x:c r="F202" t="str">
        <x:v>Kaizo</x:v>
      </x:c>
      <x:c r="G202" t="n">
        <x:v>44577</x:v>
      </x:c>
      <x:c r="H202" t="str">
        <x:v>29528</x:v>
      </x:c>
      <x:c r="I202" t="str">
        <x:v>https://www.smwcentral.net/?a=details&amp;id=29528&amp;p=section</x:v>
      </x:c>
      <x:c r="J202" t="str">
        <x:v>https://dl.smwcentral.net/29528/BeachsideBlitz.zip</x:v>
      </x:c>
    </x:row>
    <x:row r="203">
      <x:c r="A203" t="str">
        <x:v>Bearded Comedy World</x:v>
      </x:c>
      <x:c r="B203" t="str">
        <x:v>Bearded Comedy World</x:v>
      </x:c>
      <x:c r="C203" t="str">
        <x:v>dotCoockie</x:v>
      </x:c>
      <x:c r="D203" t="n">
        <x:v>20</x:v>
      </x:c>
      <x:c r="E203" t="str">
        <x:v>Expert</x:v>
      </x:c>
      <x:c r="F203" t="str">
        <x:v>Kaizo</x:v>
      </x:c>
      <x:c r="G203" t="n">
        <x:v>44523</x:v>
      </x:c>
      <x:c r="H203" t="str">
        <x:v>28731</x:v>
      </x:c>
      <x:c r="I203" t="str">
        <x:v>https://www.smwcentral.net/?a=details&amp;id=28731&amp;p=section</x:v>
      </x:c>
      <x:c r="J203" t="str">
        <x:v>https://dl.smwcentral.net/28731/BCW_1.2.zip</x:v>
      </x:c>
    </x:row>
    <x:row r="204">
      <x:c r="A204" t="str">
        <x:v>Bearded Comedy World 2 Demo</x:v>
      </x:c>
      <x:c r="B204" t="str">
        <x:v>Bearded Comedy World 2 Demo</x:v>
      </x:c>
      <x:c r="C204" t="str">
        <x:v>dotCoockie</x:v>
      </x:c>
      <x:c r="D204" t="n">
        <x:v>5</x:v>
      </x:c>
      <x:c r="E204" t="str">
        <x:v>Expert</x:v>
      </x:c>
      <x:c r="F204" t="str">
        <x:v>Kaizo</x:v>
      </x:c>
      <x:c r="G204" t="n">
        <x:v>46005</x:v>
      </x:c>
      <x:c r="H204" t="str">
        <x:v>41268</x:v>
      </x:c>
      <x:c r="I204" t="str">
        <x:v>https://www.smwcentral.net/?a=details&amp;id=41268&amp;p=section</x:v>
      </x:c>
      <x:c r="J204" t="str">
        <x:v>https://dl.smwcentral.net/41268/BCW2-demo.zip</x:v>
      </x:c>
    </x:row>
    <x:row r="205">
      <x:c r="A205" t="str">
        <x:v>Beautiful (Not So) Dangerous</x:v>
      </x:c>
      <x:c r="B205" t="str">
        <x:v>Beautiful (Not So) Dangerous</x:v>
      </x:c>
      <x:c r="C205" t="str">
        <x:v>iamtheratio</x:v>
      </x:c>
      <x:c r="D205" t="n">
        <x:v>15</x:v>
      </x:c>
      <x:c r="E205" t="str">
        <x:v>Intermediate</x:v>
      </x:c>
      <x:c r="F205" t="str">
        <x:v>Kaizo</x:v>
      </x:c>
      <x:c r="G205" t="n">
        <x:v>45893</x:v>
      </x:c>
      <x:c r="H205" t="str">
        <x:v>40437</x:v>
      </x:c>
      <x:c r="I205" t="str">
        <x:v>https://www.smwcentral.net/?a=details&amp;id=40437&amp;p=section</x:v>
      </x:c>
      <x:c r="J205" t="str">
        <x:v>https://dl.smwcentral.net/40437/BeautifulNotSoDangerous_v1.0%20.zip</x:v>
      </x:c>
    </x:row>
    <x:row r="206">
      <x:c r="A206" t="str">
        <x:v>Beautiful Dangerous</x:v>
      </x:c>
      <x:c r="B206" t="str">
        <x:v>Beautiful Dangerous</x:v>
      </x:c>
      <x:c r="C206" t="str">
        <x:v>iamtheratio</x:v>
      </x:c>
      <x:c r="D206" t="n">
        <x:v>20</x:v>
      </x:c>
      <x:c r="E206" t="str">
        <x:v>Expert</x:v>
      </x:c>
      <x:c r="F206" t="str">
        <x:v>Kaizo</x:v>
      </x:c>
      <x:c r="G206" t="n">
        <x:v>45386</x:v>
      </x:c>
      <x:c r="H206" t="str">
        <x:v>37555</x:v>
      </x:c>
      <x:c r="I206" t="str">
        <x:v>https://www.smwcentral.net/?a=details&amp;id=37555&amp;p=section</x:v>
      </x:c>
      <x:c r="J206" t="str">
        <x:v>https://dl.smwcentral.net/37555/Beautiful%20Dangerous%20v1.1.zip</x:v>
      </x:c>
    </x:row>
    <x:row r="207">
      <x:c r="A207" t="str">
        <x:v>BEES in Space!</x:v>
      </x:c>
      <x:c r="B207" t="str">
        <x:v>BEES in Space!</x:v>
      </x:c>
      <x:c r="C207" t="str">
        <x:v>BEESphilly</x:v>
      </x:c>
      <x:c r="D207" t="n">
        <x:v>4</x:v>
      </x:c>
      <x:c r="E207" t="str">
        <x:v>Intermediate</x:v>
      </x:c>
      <x:c r="F207" t="str">
        <x:v>Standard</x:v>
      </x:c>
      <x:c r="G207" t="n">
        <x:v>44710</x:v>
      </x:c>
      <x:c r="H207" t="str">
        <x:v>31047</x:v>
      </x:c>
      <x:c r="I207" t="str">
        <x:v>https://www.smwcentral.net/?a=details&amp;id=31047&amp;p=section</x:v>
      </x:c>
      <x:c r="J207" t="str">
        <x:v>https://dl.smwcentral.net/31047/BEES%20in%20Space.zip</x:v>
      </x:c>
    </x:row>
    <x:row r="208">
      <x:c r="A208" t="str">
        <x:v>Before The Shrooms Kick In</x:v>
      </x:c>
      <x:c r="B208" t="str">
        <x:v>Before The Shrooms Kick In</x:v>
      </x:c>
      <x:c r="C208" t="str">
        <x:v>JudithPrietht</x:v>
      </x:c>
      <x:c r="D208" t="n">
        <x:v>12</x:v>
      </x:c>
      <x:c r="E208" t="str">
        <x:v>Advanced</x:v>
      </x:c>
      <x:c r="F208" t="str">
        <x:v>Kaizo</x:v>
      </x:c>
      <x:c r="G208" t="n">
        <x:v>45509</x:v>
      </x:c>
      <x:c r="H208" t="str">
        <x:v>38171</x:v>
      </x:c>
      <x:c r="I208" t="str">
        <x:v>https://www.smwcentral.net/?a=details&amp;id=38171&amp;p=section</x:v>
      </x:c>
      <x:c r="J208" t="str">
        <x:v>https://dl.smwcentral.net/38171/Shroomskickin.zip</x:v>
      </x:c>
    </x:row>
    <x:row r="209">
      <x:c r="A209" t="str">
        <x:v>Beginning of the End</x:v>
      </x:c>
      <x:c r="B209" t="str">
        <x:v>Beginning of the End</x:v>
      </x:c>
      <x:c r="C209" t="str">
        <x:v>ShadowBoxer_Sandshrew</x:v>
      </x:c>
      <x:c r="D209" t="n">
        <x:v>9</x:v>
      </x:c>
      <x:c r="E209" t="str">
        <x:v>Expert</x:v>
      </x:c>
      <x:c r="F209" t="str">
        <x:v>Kaizo</x:v>
      </x:c>
      <x:c r="G209" t="n">
        <x:v>45125</x:v>
      </x:c>
      <x:c r="H209" t="str">
        <x:v>34163</x:v>
      </x:c>
      <x:c r="I209" t="str">
        <x:v>https://www.smwcentral.net/?a=details&amp;id=34163&amp;p=section</x:v>
      </x:c>
      <x:c r="J209" t="str">
        <x:v>https://dl.smwcentral.net/34163/BeginningoftheEnd.zip</x:v>
      </x:c>
    </x:row>
    <x:row r="210">
      <x:c r="A210" t="str">
        <x:v>BeginningBrew - Super "Real" World</x:v>
      </x:c>
      <x:c r="B210" t="str">
        <x:v>BeginningBrew - Super "Real" World</x:v>
      </x:c>
      <x:c r="C210" t="str">
        <x:v>Hanzo</x:v>
      </x:c>
      <x:c r="D210" t="n">
        <x:v>11</x:v>
      </x:c>
      <x:c r="E210" t="str">
        <x:v>Advanced</x:v>
      </x:c>
      <x:c r="F210" t="str">
        <x:v>Kaizo</x:v>
      </x:c>
      <x:c r="G210" t="n">
        <x:v>44768</x:v>
      </x:c>
      <x:c r="H210" t="str">
        <x:v>31618</x:v>
      </x:c>
      <x:c r="I210" t="str">
        <x:v>https://www.smwcentral.net/?a=details&amp;id=31618&amp;p=section</x:v>
      </x:c>
      <x:c r="J210" t="str">
        <x:v>https://dl.smwcentral.net/31618/BeginningBrew%20-%20Super%20Real%20World.zip</x:v>
      </x:c>
    </x:row>
    <x:row r="211">
      <x:c r="A211" t="str">
        <x:v>Beneath the Bottom of the Screen</x:v>
      </x:c>
      <x:c r="B211" t="str">
        <x:v>Beneath the Bottom of the Screen</x:v>
      </x:c>
      <x:c r="C211" t="str">
        <x:v>xLyfu</x:v>
      </x:c>
      <x:c r="D211" t="n">
        <x:v>13</x:v>
      </x:c>
      <x:c r="E211" t="str">
        <x:v>Master</x:v>
      </x:c>
      <x:c r="F211" t="str">
        <x:v>Kaizo</x:v>
      </x:c>
      <x:c r="G211" t="n">
        <x:v>45941</x:v>
      </x:c>
      <x:c r="H211" t="str">
        <x:v>40744</x:v>
      </x:c>
      <x:c r="I211" t="str">
        <x:v>https://www.smwcentral.net/?a=details&amp;id=40744&amp;p=section</x:v>
      </x:c>
      <x:c r="J211" t="str">
        <x:v>https://dl.smwcentral.net/40744/Beneath%20the%20Bottom%20of%20the%20Screen.zip</x:v>
      </x:c>
    </x:row>
    <x:row r="212">
      <x:c r="A212" t="str">
        <x:v>BETO UNIVERSE</x:v>
      </x:c>
      <x:c r="B212" t="str">
        <x:v>BETO UNIVERSE</x:v>
      </x:c>
      <x:c r="C212" t="str">
        <x:v>alvinluis</x:v>
      </x:c>
      <x:c r="D212" t="n">
        <x:v>7</x:v>
      </x:c>
      <x:c r="E212" t="str">
        <x:v>Intermediate</x:v>
      </x:c>
      <x:c r="F212" t="str">
        <x:v>Kaizo</x:v>
      </x:c>
      <x:c r="G212" t="n">
        <x:v>44781</x:v>
      </x:c>
      <x:c r="H212" t="str">
        <x:v>31781</x:v>
      </x:c>
      <x:c r="I212" t="str">
        <x:v>https://www.smwcentral.net/?a=details&amp;id=31781&amp;p=section</x:v>
      </x:c>
      <x:c r="J212" t="str">
        <x:v>https://dl.smwcentral.net/31781/beto%20universe.zip</x:v>
      </x:c>
    </x:row>
    <x:row r="213">
      <x:c r="A213" t="str">
        <x:v>Beyond Beco World</x:v>
      </x:c>
      <x:c r="B213" t="str">
        <x:v>Beyond Beco World</x:v>
      </x:c>
      <x:c r="C213" t="str">
        <x:v>Azula16, SKAW Adri</x:v>
      </x:c>
      <x:c r="D213" t="n">
        <x:v>10</x:v>
      </x:c>
      <x:c r="E213" t="str">
        <x:v>Advanced</x:v>
      </x:c>
      <x:c r="F213" t="str">
        <x:v>Kaizo</x:v>
      </x:c>
      <x:c r="G213" t="n">
        <x:v>44994</x:v>
      </x:c>
      <x:c r="H213" t="str">
        <x:v>33461</x:v>
      </x:c>
      <x:c r="I213" t="str">
        <x:v>https://www.smwcentral.net/?a=details&amp;id=33461&amp;p=section</x:v>
      </x:c>
      <x:c r="J213" t="str">
        <x:v>https://dl.smwcentral.net/33461/Beyond%20Beco%20World.zip</x:v>
      </x:c>
    </x:row>
    <x:row r="214">
      <x:c r="A214" t="str">
        <x:v>Big Boo Gang</x:v>
      </x:c>
      <x:c r="B214" t="str">
        <x:v>Big Boo Gang</x:v>
      </x:c>
      <x:c r="C214" t="str">
        <x:v>GvS</x:v>
      </x:c>
      <x:c r="D214" t="n">
        <x:v>18</x:v>
      </x:c>
      <x:c r="E214" t="str">
        <x:v>Casual</x:v>
      </x:c>
      <x:c r="F214" t="str">
        <x:v>Standard</x:v>
      </x:c>
      <x:c r="G214" t="n">
        <x:v>41509</x:v>
      </x:c>
      <x:c r="H214" t="str">
        <x:v>5055</x:v>
      </x:c>
      <x:c r="I214" t="str">
        <x:v>https://www.smwcentral.net/?a=details&amp;id=5055&amp;p=section</x:v>
      </x:c>
      <x:c r="J214" t="str">
        <x:v>https://dl.smwcentral.net/5055/BBG.zip</x:v>
      </x:c>
    </x:row>
    <x:row r="215">
      <x:c r="A215" t="str">
        <x:v>Big Boo's Revenge</x:v>
      </x:c>
      <x:c r="B215" t="str">
        <x:v>Big Boo's Revenge</x:v>
      </x:c>
      <x:c r="C215" t="str">
        <x:v>Tobias94</x:v>
      </x:c>
      <x:c r="D215" t="n">
        <x:v>91</x:v>
      </x:c>
      <x:c r="E215" t="str">
        <x:v>Intermediate</x:v>
      </x:c>
      <x:c r="F215" t="str">
        <x:v>Standard</x:v>
      </x:c>
      <x:c r="G215" t="n">
        <x:v>44607</x:v>
      </x:c>
      <x:c r="H215" t="str">
        <x:v>29604</x:v>
      </x:c>
      <x:c r="I215" t="str">
        <x:v>https://www.smwcentral.net/?a=details&amp;id=29604&amp;p=section</x:v>
      </x:c>
      <x:c r="J215" t="str">
        <x:v>https://dl.smwcentral.net/29604/Big%20Boo%27s%20Revenge%20-%20Fixed.zip</x:v>
      </x:c>
    </x:row>
    <x:row r="216">
      <x:c r="A216" t="str">
        <x:v>Binary Perdition</x:v>
      </x:c>
      <x:c r="B216" t="str">
        <x:v>Binary Perdition</x:v>
      </x:c>
      <x:c r="C216" t="str">
        <x:v>dotCoockie</x:v>
      </x:c>
      <x:c r="D216" t="n">
        <x:v>5</x:v>
      </x:c>
      <x:c r="E216" t="str">
        <x:v>Grandmaster</x:v>
      </x:c>
      <x:c r="F216" t="str">
        <x:v>Kaizo</x:v>
      </x:c>
      <x:c r="G216" t="n">
        <x:v>45216</x:v>
      </x:c>
      <x:c r="H216" t="str">
        <x:v>35070</x:v>
      </x:c>
      <x:c r="I216" t="str">
        <x:v>https://www.smwcentral.net/?a=details&amp;id=35070&amp;p=section</x:v>
      </x:c>
      <x:c r="J216" t="str">
        <x:v>https://dl.smwcentral.net/35070/Binary.zip</x:v>
      </x:c>
    </x:row>
    <x:row r="217">
      <x:c r="A217" t="str">
        <x:v>Binary World</x:v>
      </x:c>
      <x:c r="B217" t="str">
        <x:v>Binary World</x:v>
      </x:c>
      <x:c r="C217" t="str">
        <x:v>Celestin_Goulvet, RussianMan, TheXander</x:v>
      </x:c>
      <x:c r="D217" t="n">
        <x:v>10</x:v>
      </x:c>
      <x:c r="E217" t="str">
        <x:v>Advanced</x:v>
      </x:c>
      <x:c r="F217" t="str">
        <x:v>Standard</x:v>
      </x:c>
      <x:c r="G217" t="n">
        <x:v>45690</x:v>
      </x:c>
      <x:c r="H217" t="str">
        <x:v>39116</x:v>
      </x:c>
      <x:c r="I217" t="str">
        <x:v>https://www.smwcentral.net/?a=details&amp;id=39116&amp;p=section</x:v>
      </x:c>
      <x:c r="J217" t="str">
        <x:v>https://dl.smwcentral.net/39116/Binary%20World%20Submission%201.0.11.zip</x:v>
      </x:c>
    </x:row>
    <x:row r="218">
      <x:c r="A218" t="str">
        <x:v>Biob's Challenge</x:v>
      </x:c>
      <x:c r="B218" t="str">
        <x:v>Biob's Challenge</x:v>
      </x:c>
      <x:c r="C218" t="str">
        <x:v>TheBiob</x:v>
      </x:c>
      <x:c r="D218" t="n">
        <x:v>1</x:v>
      </x:c>
      <x:c r="E218" t="str">
        <x:v>Master</x:v>
      </x:c>
      <x:c r="F218" t="str">
        <x:v>Tool-Assisted, Pit</x:v>
      </x:c>
      <x:c r="G218" t="n">
        <x:v>42796</x:v>
      </x:c>
      <x:c r="H218" t="str">
        <x:v>14999</x:v>
      </x:c>
      <x:c r="I218" t="str">
        <x:v>https://www.smwcentral.net/?a=details&amp;id=14999&amp;p=section</x:v>
      </x:c>
      <x:c r="J218" t="str">
        <x:v>https://dl.smwcentral.net/14999/BiobsChallenge.zip</x:v>
      </x:c>
    </x:row>
    <x:row r="219">
      <x:c r="A219" t="str">
        <x:v>Birola World</x:v>
      </x:c>
      <x:c r="B219" t="str">
        <x:v>Birola World</x:v>
      </x:c>
      <x:c r="C219" t="str">
        <x:v>TheMURAmatsu</x:v>
      </x:c>
      <x:c r="D219" t="n">
        <x:v>13</x:v>
      </x:c>
      <x:c r="E219" t="str">
        <x:v>Expert</x:v>
      </x:c>
      <x:c r="F219" t="str">
        <x:v>Kaizo</x:v>
      </x:c>
      <x:c r="G219" t="n">
        <x:v>44145</x:v>
      </x:c>
      <x:c r="H219" t="str">
        <x:v>25068</x:v>
      </x:c>
      <x:c r="I219" t="str">
        <x:v>https://www.smwcentral.net/?a=details&amp;id=25068&amp;p=section</x:v>
      </x:c>
      <x:c r="J219" t="str">
        <x:v>https://dl.smwcentral.net/25068/Birola_World_V2.zip</x:v>
      </x:c>
    </x:row>
    <x:row r="220">
      <x:c r="A220" t="str">
        <x:v>Bits and Pieces</x:v>
      </x:c>
      <x:c r="B220" t="str">
        <x:v>Bits and Pieces</x:v>
      </x:c>
      <x:c r="C220" t="str">
        <x:v>levelengine</x:v>
      </x:c>
      <x:c r="D220" t="n">
        <x:v>58</x:v>
      </x:c>
      <x:c r="E220" t="str">
        <x:v>Advanced</x:v>
      </x:c>
      <x:c r="F220" t="str">
        <x:v>Standard</x:v>
      </x:c>
      <x:c r="G220" t="n">
        <x:v>43372</x:v>
      </x:c>
      <x:c r="H220" t="str">
        <x:v>18119</x:v>
      </x:c>
      <x:c r="I220" t="str">
        <x:v>https://www.smwcentral.net/?a=details&amp;id=18119&amp;p=section</x:v>
      </x:c>
      <x:c r="J220" t="str">
        <x:v>https://dl.smwcentral.net/18119/Bits_and_Pieces_3rd_Edition.zip</x:v>
      </x:c>
    </x:row>
    <x:row r="221">
      <x:c r="A221" t="str">
        <x:v>Blackout Shells</x:v>
      </x:c>
      <x:c r="B221" t="str">
        <x:v>Blackout Shells</x:v>
      </x:c>
      <x:c r="C221" t="str">
        <x:v>Breno Henrique, Daniel Pedroza, flavioinsanity</x:v>
      </x:c>
      <x:c r="D221" t="n">
        <x:v>4</x:v>
      </x:c>
      <x:c r="E221" t="str">
        <x:v>Expert</x:v>
      </x:c>
      <x:c r="F221" t="str">
        <x:v>Kaizo</x:v>
      </x:c>
      <x:c r="G221" t="n">
        <x:v>46220</x:v>
      </x:c>
      <x:c r="H221" t="str">
        <x:v>42683</x:v>
      </x:c>
      <x:c r="I221" t="str">
        <x:v>https://www.smwcentral.net/?a=details&amp;id=42683&amp;p=section</x:v>
      </x:c>
      <x:c r="J221" t="str">
        <x:v>https://dl.smwcentral.net/42683/Blackout%20shells.zip</x:v>
      </x:c>
    </x:row>
    <x:row r="222">
      <x:c r="A222" t="str">
        <x:v>BLACKOUT.exe</x:v>
      </x:c>
      <x:c r="B222" t="str">
        <x:v>BLACKOUT.exe</x:v>
      </x:c>
      <x:c r="C222" t="str">
        <x:v>bald_ridge</x:v>
      </x:c>
      <x:c r="D222" t="n">
        <x:v>23</x:v>
      </x:c>
      <x:c r="E222" t="str">
        <x:v>Expert</x:v>
      </x:c>
      <x:c r="F222" t="str">
        <x:v>Kaizo</x:v>
      </x:c>
      <x:c r="G222" t="n">
        <x:v>45680</x:v>
      </x:c>
      <x:c r="H222" t="str">
        <x:v>38957</x:v>
      </x:c>
      <x:c r="I222" t="str">
        <x:v>https://www.smwcentral.net/?a=details&amp;id=38957&amp;p=section</x:v>
      </x:c>
      <x:c r="J222" t="str">
        <x:v>https://dl.smwcentral.net/38957/BlackOut.zip</x:v>
      </x:c>
    </x:row>
    <x:row r="223">
      <x:c r="A223" t="str">
        <x:v>Blind Devil's Trip Back in Time</x:v>
      </x:c>
      <x:c r="B223" t="str">
        <x:v>Blind Devil's Trip Back in Time</x:v>
      </x:c>
      <x:c r="C223" t="str">
        <x:v>Blind Devil</x:v>
      </x:c>
      <x:c r="D223" t="n">
        <x:v>33</x:v>
      </x:c>
      <x:c r="E223" t="str">
        <x:v>Intermediate</x:v>
      </x:c>
      <x:c r="F223" t="str">
        <x:v>Standard</x:v>
      </x:c>
      <x:c r="G223" t="n">
        <x:v>41450</x:v>
      </x:c>
      <x:c r="H223" t="str">
        <x:v>5527</x:v>
      </x:c>
      <x:c r="I223" t="str">
        <x:v>https://www.smwcentral.net/?a=details&amp;id=5527&amp;p=section</x:v>
      </x:c>
      <x:c r="J223" t="str">
        <x:v>https://dl.smwcentral.net/5527/BlindTripBackFixed.zip</x:v>
      </x:c>
    </x:row>
    <x:row r="224">
      <x:c r="A224" t="str">
        <x:v>Blind Race: Lucky Pick</x:v>
      </x:c>
      <x:c r="B224" t="str">
        <x:v>Blind Race: Lucky Pick</x:v>
      </x:c>
      <x:c r="C224" t="str">
        <x:v>Firstnamebutt, Justepic</x:v>
      </x:c>
      <x:c r="D224" t="n">
        <x:v>5</x:v>
      </x:c>
      <x:c r="E224" t="str">
        <x:v>Advanced</x:v>
      </x:c>
      <x:c r="F224" t="str">
        <x:v>Kaizo</x:v>
      </x:c>
      <x:c r="G224" t="n">
        <x:v>45215</x:v>
      </x:c>
      <x:c r="H224" t="str">
        <x:v>35280</x:v>
      </x:c>
      <x:c r="I224" t="str">
        <x:v>https://www.smwcentral.net/?a=details&amp;id=35280&amp;p=section</x:v>
      </x:c>
      <x:c r="J224" t="str">
        <x:v>https://dl.smwcentral.net/35280/Blind%20Race%20Lucky%20Pick.zip</x:v>
      </x:c>
    </x:row>
    <x:row r="225">
      <x:c r="A225" t="str">
        <x:v>Blockreator Hack</x:v>
      </x:c>
      <x:c r="B225" t="str">
        <x:v>Blockreator Hack</x:v>
      </x:c>
      <x:c r="C225" t="str">
        <x:v>Golden Yoshi</x:v>
      </x:c>
      <x:c r="D225" t="n">
        <x:v>7</x:v>
      </x:c>
      <x:c r="E225" t="str">
        <x:v>Advanced</x:v>
      </x:c>
      <x:c r="F225" t="str">
        <x:v>Standard</x:v>
      </x:c>
      <x:c r="G225" t="n">
        <x:v>46013</x:v>
      </x:c>
      <x:c r="H225" t="str">
        <x:v>41314</x:v>
      </x:c>
      <x:c r="I225" t="str">
        <x:v>https://www.smwcentral.net/?a=details&amp;id=41314&amp;p=section</x:v>
      </x:c>
      <x:c r="J225" t="str">
        <x:v>https://dl.smwcentral.net/41314/Blockreator%20Hack.zip</x:v>
      </x:c>
    </x:row>
    <x:row r="226">
      <x:c r="A226" t="str">
        <x:v>Blocks and Hammers and Coins and Spikes</x:v>
      </x:c>
      <x:c r="B226" t="str">
        <x:v>Blocks and Hammers and Coins and Spikes</x:v>
      </x:c>
      <x:c r="C226" t="str">
        <x:v>ageVerrly</x:v>
      </x:c>
      <x:c r="D226" t="n">
        <x:v>6</x:v>
      </x:c>
      <x:c r="E226" t="str">
        <x:v>Master</x:v>
      </x:c>
      <x:c r="F226" t="str">
        <x:v>Kaizo</x:v>
      </x:c>
      <x:c r="G226" t="n">
        <x:v>44657</x:v>
      </x:c>
      <x:c r="H226" t="str">
        <x:v>30171</x:v>
      </x:c>
      <x:c r="I226" t="str">
        <x:v>https://www.smwcentral.net/?a=details&amp;id=30171&amp;p=section</x:v>
      </x:c>
      <x:c r="J226" t="str">
        <x:v>https://dl.smwcentral.net/30171/blocks.zip</x:v>
      </x:c>
    </x:row>
    <x:row r="227">
      <x:c r="A227" t="str">
        <x:v>Blooper Stole My Cake</x:v>
      </x:c>
      <x:c r="B227" t="str">
        <x:v>Blooper Stole My Cake</x:v>
      </x:c>
      <x:c r="C227" t="str">
        <x:v>ShadowBoxer_Sandshrew</x:v>
      </x:c>
      <x:c r="D227" t="n">
        <x:v>12</x:v>
      </x:c>
      <x:c r="E227" t="str">
        <x:v>Master</x:v>
      </x:c>
      <x:c r="F227" t="str">
        <x:v>Kaizo</x:v>
      </x:c>
      <x:c r="G227" t="n">
        <x:v>44825</x:v>
      </x:c>
      <x:c r="H227" t="str">
        <x:v>31843</x:v>
      </x:c>
      <x:c r="I227" t="str">
        <x:v>https://www.smwcentral.net/?a=details&amp;id=31843&amp;p=section</x:v>
      </x:c>
      <x:c r="J227" t="str">
        <x:v>https://dl.smwcentral.net/31843/Blooper%20Stole%20My%20Cake%20%28Version%201.1%29.zip</x:v>
      </x:c>
    </x:row>
    <x:row r="228">
      <x:c r="A228" t="str">
        <x:v>Blue World</x:v>
      </x:c>
      <x:c r="B228" t="str">
        <x:v>Blue World</x:v>
      </x:c>
      <x:c r="C228" t="str">
        <x:v>johhankyuzu</x:v>
      </x:c>
      <x:c r="D228" t="n">
        <x:v>17</x:v>
      </x:c>
      <x:c r="E228" t="str">
        <x:v>Advanced</x:v>
      </x:c>
      <x:c r="F228" t="str">
        <x:v>Kaizo</x:v>
      </x:c>
      <x:c r="G228" t="n">
        <x:v>44900</x:v>
      </x:c>
      <x:c r="H228" t="str">
        <x:v>32646</x:v>
      </x:c>
      <x:c r="I228" t="str">
        <x:v>https://www.smwcentral.net/?a=details&amp;id=32646&amp;p=section</x:v>
      </x:c>
      <x:c r="J228" t="str">
        <x:v>https://dl.smwcentral.net/32646/Blue%20World.zip</x:v>
      </x:c>
    </x:row>
    <x:row r="229">
      <x:c r="A229" t="str">
        <x:v>Blue's Revenge</x:v>
      </x:c>
      <x:c r="B229" t="str">
        <x:v>Blue's Revenge</x:v>
      </x:c>
      <x:c r="C229" t="str">
        <x:v>TheRealCatsup</x:v>
      </x:c>
      <x:c r="D229" t="n">
        <x:v>17</x:v>
      </x:c>
      <x:c r="E229" t="str">
        <x:v>Advanced</x:v>
      </x:c>
      <x:c r="F229" t="str">
        <x:v>Kaizo</x:v>
      </x:c>
      <x:c r="G229" t="n">
        <x:v>44361</x:v>
      </x:c>
      <x:c r="H229" t="str">
        <x:v>27212</x:v>
      </x:c>
      <x:c r="I229" t="str">
        <x:v>https://www.smwcentral.net/?a=details&amp;id=27212&amp;p=section</x:v>
      </x:c>
      <x:c r="J229" t="str">
        <x:v>https://dl.smwcentral.net/27212/Blue%27sRevengeV1.1.zip</x:v>
      </x:c>
    </x:row>
    <x:row r="230">
      <x:c r="A230" t="str">
        <x:v>Bluerio's Adventure</x:v>
      </x:c>
      <x:c r="B230" t="str">
        <x:v>Bluerio's Adventure</x:v>
      </x:c>
      <x:c r="C230" t="str">
        <x:v>Inflagrandy</x:v>
      </x:c>
      <x:c r="D230" t="n">
        <x:v>11</x:v>
      </x:c>
      <x:c r="E230" t="str">
        <x:v>Expert</x:v>
      </x:c>
      <x:c r="F230" t="str">
        <x:v>Kaizo</x:v>
      </x:c>
      <x:c r="G230" t="n">
        <x:v>45733</x:v>
      </x:c>
      <x:c r="H230" t="str">
        <x:v>39591</x:v>
      </x:c>
      <x:c r="I230" t="str">
        <x:v>https://www.smwcentral.net/?a=details&amp;id=39591&amp;p=section</x:v>
      </x:c>
      <x:c r="J230" t="str">
        <x:v>https://dl.smwcentral.net/39591/Bluerio%27s%20Adventure.zip</x:v>
      </x:c>
    </x:row>
    <x:row r="231">
      <x:c r="A231" t="str">
        <x:v>Bluewater Kingdom</x:v>
      </x:c>
      <x:c r="B231" t="str">
        <x:v>Bluewater Kingdom</x:v>
      </x:c>
      <x:c r="C231" t="str">
        <x:v>Nic Nac</x:v>
      </x:c>
      <x:c r="D231" t="n">
        <x:v>24</x:v>
      </x:c>
      <x:c r="E231" t="str">
        <x:v>Casual</x:v>
      </x:c>
      <x:c r="F231" t="str">
        <x:v>Standard</x:v>
      </x:c>
      <x:c r="G231" t="n">
        <x:v>42147</x:v>
      </x:c>
      <x:c r="H231" t="str">
        <x:v>11347</x:v>
      </x:c>
      <x:c r="I231" t="str">
        <x:v>https://www.smwcentral.net/?a=details&amp;id=11347&amp;p=section</x:v>
      </x:c>
      <x:c r="J231" t="str">
        <x:v>https://dl.smwcentral.net/11347/Bluewater%20Kingdom.zip</x:v>
      </x:c>
    </x:row>
    <x:row r="232">
      <x:c r="A232" t="str">
        <x:v>Bob's Adventure</x:v>
      </x:c>
      <x:c r="B232" t="str">
        <x:v>Bob's Adventure</x:v>
      </x:c>
      <x:c r="C232" t="str">
        <x:v>thekenbaum</x:v>
      </x:c>
      <x:c r="D232" t="n">
        <x:v>6</x:v>
      </x:c>
      <x:c r="E232" t="str">
        <x:v>Casual</x:v>
      </x:c>
      <x:c r="F232" t="str">
        <x:v>Standard</x:v>
      </x:c>
      <x:c r="G232" t="n">
        <x:v>42309</x:v>
      </x:c>
      <x:c r="H232" t="str">
        <x:v>10194</x:v>
      </x:c>
      <x:c r="I232" t="str">
        <x:v>https://www.smwcentral.net/?a=details&amp;id=10194&amp;p=section</x:v>
      </x:c>
      <x:c r="J232" t="str">
        <x:v>https://dl.smwcentral.net/10194/Bob%27s%20adventure%20patch.zip</x:v>
      </x:c>
    </x:row>
    <x:row r="233">
      <x:c r="A233" t="str">
        <x:v>BokoBoko 2  - no yaba (smw remaster)</x:v>
      </x:c>
      <x:c r="B233" t="str">
        <x:v>BokoBoko 2  - no yaba (smw remaster)</x:v>
      </x:c>
      <x:c r="C233" t="str">
        <x:v>AnaRosaHD01</x:v>
      </x:c>
      <x:c r="D233" t="n">
        <x:v>11</x:v>
      </x:c>
      <x:c r="E233" t="str">
        <x:v>Intermediate</x:v>
      </x:c>
      <x:c r="F233" t="str">
        <x:v>Standard</x:v>
      </x:c>
      <x:c r="G233" t="n">
        <x:v>44872</x:v>
      </x:c>
      <x:c r="H233" t="str">
        <x:v>32466</x:v>
      </x:c>
      <x:c r="I233" t="str">
        <x:v>https://www.smwcentral.net/?a=details&amp;id=32466&amp;p=section</x:v>
      </x:c>
      <x:c r="J233" t="str">
        <x:v>https://dl.smwcentral.net/32466/BokoBoko2%20smw%20remaster.zip</x:v>
      </x:c>
    </x:row>
    <x:row r="234">
      <x:c r="A234" t="str">
        <x:v>BoliKa</x:v>
      </x:c>
      <x:c r="B234" t="str">
        <x:v>BoliKa</x:v>
      </x:c>
      <x:c r="C234" t="str">
        <x:v>Kazefbr</x:v>
      </x:c>
      <x:c r="D234" t="n">
        <x:v>9</x:v>
      </x:c>
      <x:c r="E234" t="str">
        <x:v>Expert</x:v>
      </x:c>
      <x:c r="F234" t="str">
        <x:v>Kaizo</x:v>
      </x:c>
      <x:c r="G234" t="n">
        <x:v>44400</x:v>
      </x:c>
      <x:c r="H234" t="str">
        <x:v>27797</x:v>
      </x:c>
      <x:c r="I234" t="str">
        <x:v>https://www.smwcentral.net/?a=details&amp;id=27797&amp;p=section</x:v>
      </x:c>
      <x:c r="J234" t="str">
        <x:v>https://dl.smwcentral.net/27797/BoliKa%20V1.1.zip</x:v>
      </x:c>
    </x:row>
    <x:row r="235">
      <x:c r="A235" t="str">
        <x:v>Bomberman X</x:v>
      </x:c>
      <x:c r="B235" t="str">
        <x:v>Bomberman X</x:v>
      </x:c>
      <x:c r="C235" t="str">
        <x:v>karen13505</x:v>
      </x:c>
      <x:c r="D235" t="n">
        <x:v>41</x:v>
      </x:c>
      <x:c r="E235" t="str">
        <x:v>Casual</x:v>
      </x:c>
      <x:c r="F235" t="str">
        <x:v>Standard</x:v>
      </x:c>
      <x:c r="G235" t="n">
        <x:v>42619</x:v>
      </x:c>
      <x:c r="H235" t="str">
        <x:v>14376</x:v>
      </x:c>
      <x:c r="I235" t="str">
        <x:v>https://www.smwcentral.net/?a=details&amp;id=14376&amp;p=section</x:v>
      </x:c>
      <x:c r="J235" t="str">
        <x:v>https://dl.smwcentral.net/14376/Bomberman_X%20final%20patch.zip</x:v>
      </x:c>
    </x:row>
    <x:row r="236">
      <x:c r="A236" t="str">
        <x:v>Bonni's Quest</x:v>
      </x:c>
      <x:c r="B236" t="str">
        <x:v>Bonni's Quest</x:v>
      </x:c>
      <x:c r="C236" t="str">
        <x:v>Ladida</x:v>
      </x:c>
      <x:c r="D236" t="n">
        <x:v>25</x:v>
      </x:c>
      <x:c r="E236" t="str">
        <x:v>Casual</x:v>
      </x:c>
      <x:c r="F236" t="str">
        <x:v>Standard</x:v>
      </x:c>
      <x:c r="G236" t="n">
        <x:v>41572</x:v>
      </x:c>
      <x:c r="H236" t="str">
        <x:v>5346</x:v>
      </x:c>
      <x:c r="I236" t="str">
        <x:v>https://www.smwcentral.net/?a=details&amp;id=5346&amp;p=section</x:v>
      </x:c>
      <x:c r="J236" t="str">
        <x:v>https://dl.smwcentral.net/5346/Bonni%27s%20Quest%20-%20Demo%202%20%5BFixed%5D.zip</x:v>
      </x:c>
    </x:row>
    <x:row r="237">
      <x:c r="A237" t="str">
        <x:v>Boogie Wonderland</x:v>
      </x:c>
      <x:c r="B237" t="str">
        <x:v>Boogie Wonderland</x:v>
      </x:c>
      <x:c r="C237" t="str">
        <x:v>BabaYegha</x:v>
      </x:c>
      <x:c r="D237" t="n">
        <x:v>20</x:v>
      </x:c>
      <x:c r="E237" t="str">
        <x:v>Master</x:v>
      </x:c>
      <x:c r="F237" t="str">
        <x:v>Kaizo</x:v>
      </x:c>
      <x:c r="G237" t="n">
        <x:v>44476</x:v>
      </x:c>
      <x:c r="H237" t="str">
        <x:v>28495</x:v>
      </x:c>
      <x:c r="I237" t="str">
        <x:v>https://www.smwcentral.net/?a=details&amp;id=28495&amp;p=section</x:v>
      </x:c>
      <x:c r="J237" t="str">
        <x:v>https://dl.smwcentral.net/28495/BoogieWonderLand_v2.0.zip</x:v>
      </x:c>
    </x:row>
    <x:row r="238">
      <x:c r="A238" t="str">
        <x:v>Boon's Adventure</x:v>
      </x:c>
      <x:c r="B238" t="str">
        <x:v>Boon's Adventure</x:v>
      </x:c>
      <x:c r="C238" t="str">
        <x:v>Phyll</x:v>
      </x:c>
      <x:c r="D238" t="n">
        <x:v>0</x:v>
      </x:c>
      <x:c r="E238" t="str">
        <x:v>Advanced</x:v>
      </x:c>
      <x:c r="F238" t="str">
        <x:v>Kaizo</x:v>
      </x:c>
      <x:c r="G238" t="n">
        <x:v>44887</x:v>
      </x:c>
      <x:c r="H238" t="str">
        <x:v>32564</x:v>
      </x:c>
      <x:c r="I238" t="str">
        <x:v>https://www.smwcentral.net/?a=details&amp;id=32564&amp;p=section</x:v>
      </x:c>
      <x:c r="J238" t="str">
        <x:v>https://dl.smwcentral.net/32564/Boon%27s%20Adventure%20Demo.zip</x:v>
      </x:c>
    </x:row>
    <x:row r="239">
      <x:c r="A239" t="str">
        <x:v>BooSide</x:v>
      </x:c>
      <x:c r="B239" t="str">
        <x:v>BooSide</x:v>
      </x:c>
      <x:c r="C239" t="str">
        <x:v>CousinCatnip</x:v>
      </x:c>
      <x:c r="D239" t="n">
        <x:v>8</x:v>
      </x:c>
      <x:c r="E239" t="str">
        <x:v>Intermediate</x:v>
      </x:c>
      <x:c r="F239" t="str">
        <x:v>Standard</x:v>
      </x:c>
      <x:c r="G239" t="n">
        <x:v>44341</x:v>
      </x:c>
      <x:c r="H239" t="str">
        <x:v>27043</x:v>
      </x:c>
      <x:c r="I239" t="str">
        <x:v>https://www.smwcentral.net/?a=details&amp;id=27043&amp;p=section</x:v>
      </x:c>
      <x:c r="J239" t="str">
        <x:v>https://dl.smwcentral.net/27043/BooSide%201.0.zip</x:v>
      </x:c>
    </x:row>
    <x:row r="240">
      <x:c r="A240" t="str">
        <x:v>BOOT IT UP</x:v>
      </x:c>
      <x:c r="B240" t="str">
        <x:v>BOOT IT UP</x:v>
      </x:c>
      <x:c r="C240" t="str">
        <x:v>Goon Nation, deported</x:v>
      </x:c>
      <x:c r="D240" t="n">
        <x:v>1</x:v>
      </x:c>
      <x:c r="E240" t="str">
        <x:v>Master</x:v>
      </x:c>
      <x:c r="F240" t="str">
        <x:v>Kaizo</x:v>
      </x:c>
      <x:c r="G240" t="n">
        <x:v>45749</x:v>
      </x:c>
      <x:c r="H240" t="str">
        <x:v>39679</x:v>
      </x:c>
      <x:c r="I240" t="str">
        <x:v>https://www.smwcentral.net/?a=details&amp;id=39679&amp;p=section</x:v>
      </x:c>
      <x:c r="J240" t="str">
        <x:v>https://dl.smwcentral.net/39679/boot.zip</x:v>
      </x:c>
    </x:row>
    <x:row r="241">
      <x:c r="A241" t="str">
        <x:v>Borealis Sh'El</x:v>
      </x:c>
      <x:c r="B241" t="str">
        <x:v>Borealis Sh'El</x:v>
      </x:c>
      <x:c r="C241" t="str">
        <x:v>elsaiz117</x:v>
      </x:c>
      <x:c r="D241" t="n">
        <x:v>9</x:v>
      </x:c>
      <x:c r="E241" t="str">
        <x:v>Master</x:v>
      </x:c>
      <x:c r="F241" t="str">
        <x:v>Kaizo</x:v>
      </x:c>
      <x:c r="G241" t="n">
        <x:v>45899</x:v>
      </x:c>
      <x:c r="H241" t="str">
        <x:v>40521</x:v>
      </x:c>
      <x:c r="I241" t="str">
        <x:v>https://www.smwcentral.net/?a=details&amp;id=40521&amp;p=section</x:v>
      </x:c>
      <x:c r="J241" t="str">
        <x:v>https://dl.smwcentral.net/40521/Borealis%20Sh%27El.zip</x:v>
      </x:c>
    </x:row>
    <x:row r="242">
      <x:c r="A242" t="str">
        <x:v>Boris</x:v>
      </x:c>
      <x:c r="B242" t="str">
        <x:v>Boris</x:v>
      </x:c>
      <x:c r="C242" t="str">
        <x:v>Sockbat Replica</x:v>
      </x:c>
      <x:c r="D242" t="n">
        <x:v>52</x:v>
      </x:c>
      <x:c r="E242" t="str">
        <x:v>Casual</x:v>
      </x:c>
      <x:c r="F242" t="str">
        <x:v>Standard</x:v>
      </x:c>
      <x:c r="G242" t="n">
        <x:v>43300</x:v>
      </x:c>
      <x:c r="H242" t="str">
        <x:v>17843</x:v>
      </x:c>
      <x:c r="I242" t="str">
        <x:v>https://www.smwcentral.net/?a=details&amp;id=17843&amp;p=section</x:v>
      </x:c>
      <x:c r="J242" t="str">
        <x:v>https://dl.smwcentral.net/17843/Boris%20V2.zip</x:v>
      </x:c>
    </x:row>
    <x:row r="243">
      <x:c r="A243" t="str">
        <x:v>Bounceland: The Quest for The Holy Springboard</x:v>
      </x:c>
      <x:c r="B243" t="str">
        <x:v>Bounceland: The Quest for The Holy Springboard</x:v>
      </x:c>
      <x:c r="C243" t="str">
        <x:v>Segment1Zone2</x:v>
      </x:c>
      <x:c r="D243" t="n">
        <x:v>10</x:v>
      </x:c>
      <x:c r="E243" t="str">
        <x:v>Intermediate</x:v>
      </x:c>
      <x:c r="F243" t="str">
        <x:v>Standard</x:v>
      </x:c>
      <x:c r="G243" t="n">
        <x:v>45717</x:v>
      </x:c>
      <x:c r="H243" t="str">
        <x:v>39209</x:v>
      </x:c>
      <x:c r="I243" t="str">
        <x:v>https://www.smwcentral.net/?a=details&amp;id=39209&amp;p=section</x:v>
      </x:c>
      <x:c r="J243" t="str">
        <x:v>https://dl.smwcentral.net/39209/Bounceland%20v1.02.zip</x:v>
      </x:c>
    </x:row>
    <x:row r="244">
      <x:c r="A244" t="str">
        <x:v>Bowser Forest</x:v>
      </x:c>
      <x:c r="B244" t="str">
        <x:v>Bowser Forest</x:v>
      </x:c>
      <x:c r="C244" t="str">
        <x:v>Dylan Yoshi</x:v>
      </x:c>
      <x:c r="D244" t="n">
        <x:v>9</x:v>
      </x:c>
      <x:c r="E244" t="str">
        <x:v>Intermediate</x:v>
      </x:c>
      <x:c r="F244" t="str">
        <x:v>Standard</x:v>
      </x:c>
      <x:c r="G244" t="n">
        <x:v>42039</x:v>
      </x:c>
      <x:c r="H244" t="str">
        <x:v>9752</x:v>
      </x:c>
      <x:c r="I244" t="str">
        <x:v>https://www.smwcentral.net/?a=details&amp;id=9752&amp;p=section</x:v>
      </x:c>
      <x:c r="J244" t="str">
        <x:v>https://dl.smwcentral.net/9752/Bowser%20Forest.zip</x:v>
      </x:c>
    </x:row>
    <x:row r="245">
      <x:c r="A245" t="str">
        <x:v>Bowser Jr's Adventure</x:v>
      </x:c>
      <x:c r="B245" t="str">
        <x:v>Bowser Jr's Adventure</x:v>
      </x:c>
      <x:c r="C245" t="str">
        <x:v>BBkaizo</x:v>
      </x:c>
      <x:c r="D245" t="n">
        <x:v>17</x:v>
      </x:c>
      <x:c r="E245" t="str">
        <x:v>Casual</x:v>
      </x:c>
      <x:c r="F245" t="str">
        <x:v>Standard</x:v>
      </x:c>
      <x:c r="G245" t="n">
        <x:v>42304</x:v>
      </x:c>
      <x:c r="H245" t="str">
        <x:v>10199</x:v>
      </x:c>
      <x:c r="I245" t="str">
        <x:v>https://www.smwcentral.net/?a=details&amp;id=10199&amp;p=section</x:v>
      </x:c>
      <x:c r="J245" t="str">
        <x:v>https://dl.smwcentral.net/10199/Bowser%20jr.zip</x:v>
      </x:c>
    </x:row>
    <x:row r="246">
      <x:c r="A246" t="str">
        <x:v>Bowser Jr.'s Pirate Ship</x:v>
      </x:c>
      <x:c r="B246" t="str">
        <x:v>Bowser Jr.'s Pirate Ship</x:v>
      </x:c>
      <x:c r="C246" t="str">
        <x:v>Shizufuzu</x:v>
      </x:c>
      <x:c r="D246" t="n">
        <x:v>7</x:v>
      </x:c>
      <x:c r="E246" t="str">
        <x:v>Intermediate</x:v>
      </x:c>
      <x:c r="F246" t="str">
        <x:v>Standard</x:v>
      </x:c>
      <x:c r="G246" t="n">
        <x:v>42306</x:v>
      </x:c>
      <x:c r="H246" t="str">
        <x:v>11682</x:v>
      </x:c>
      <x:c r="I246" t="str">
        <x:v>https://www.smwcentral.net/?a=details&amp;id=11682&amp;p=section</x:v>
      </x:c>
      <x:c r="J246" t="str">
        <x:v>https://dl.smwcentral.net/11682/Bowser%20JR.s%20pirate%20ship.zip</x:v>
      </x:c>
    </x:row>
    <x:row r="247">
      <x:c r="A247" t="str">
        <x:v>Bowser Rampages Again</x:v>
      </x:c>
      <x:c r="B247" t="str">
        <x:v>Bowser Rampages Again</x:v>
      </x:c>
      <x:c r="C247" t="str">
        <x:v>ZMann</x:v>
      </x:c>
      <x:c r="D247" t="n">
        <x:v>48</x:v>
      </x:c>
      <x:c r="E247" t="str">
        <x:v>Casual</x:v>
      </x:c>
      <x:c r="F247" t="str">
        <x:v>Standard</x:v>
      </x:c>
      <x:c r="G247" t="n">
        <x:v>41552</x:v>
      </x:c>
      <x:c r="H247" t="str">
        <x:v>5241</x:v>
      </x:c>
      <x:c r="I247" t="str">
        <x:v>https://www.smwcentral.net/?a=details&amp;id=5241&amp;p=section</x:v>
      </x:c>
      <x:c r="J247" t="str">
        <x:v>https://dl.smwcentral.net/5241/Bowser%20Rampages%20Again.zip</x:v>
      </x:c>
    </x:row>
    <x:row r="248">
      <x:c r="A248" t="str">
        <x:v>Bowser Rampages Again 2 - Peach Rampages Back!</x:v>
      </x:c>
      <x:c r="B248" t="str">
        <x:v>Bowser Rampages Again 2 - Peach Rampages Back!</x:v>
      </x:c>
      <x:c r="C248" t="str">
        <x:v>ZMann</x:v>
      </x:c>
      <x:c r="D248" t="n">
        <x:v>10</x:v>
      </x:c>
      <x:c r="E248" t="str">
        <x:v>Casual</x:v>
      </x:c>
      <x:c r="F248" t="str">
        <x:v>Standard</x:v>
      </x:c>
      <x:c r="G248" t="n">
        <x:v>42013</x:v>
      </x:c>
      <x:c r="H248" t="str">
        <x:v>10488</x:v>
      </x:c>
      <x:c r="I248" t="str">
        <x:v>https://www.smwcentral.net/?a=details&amp;id=10488&amp;p=section</x:v>
      </x:c>
      <x:c r="J248" t="str">
        <x:v>https://dl.smwcentral.net/10488/RAMPAGEII-REALDEMOI%20%282%29.zip</x:v>
      </x:c>
    </x:row>
    <x:row r="249">
      <x:c r="A249" t="str">
        <x:v>Bowser Runis Marios Vaction</x:v>
      </x:c>
      <x:c r="B249" t="str">
        <x:v>Bowser Runis Marios Vaction</x:v>
      </x:c>
      <x:c r="C249" t="str">
        <x:v>Enan63</x:v>
      </x:c>
      <x:c r="D249" t="n">
        <x:v>6</x:v>
      </x:c>
      <x:c r="E249" t="str">
        <x:v>Casual</x:v>
      </x:c>
      <x:c r="F249" t="str">
        <x:v>Standard</x:v>
      </x:c>
      <x:c r="G249" t="n">
        <x:v>43471</x:v>
      </x:c>
      <x:c r="H249" t="str">
        <x:v>18822</x:v>
      </x:c>
      <x:c r="I249" t="str">
        <x:v>https://www.smwcentral.net/?a=details&amp;id=18822&amp;p=section</x:v>
      </x:c>
      <x:c r="J249" t="str">
        <x:v>https://dl.smwcentral.net/18822/Bowser%20Runis%20Marios%20Vaction.zip</x:v>
      </x:c>
    </x:row>
    <x:row r="250">
      <x:c r="A250" t="str">
        <x:v>Bowser Stadium</x:v>
      </x:c>
      <x:c r="B250" t="str">
        <x:v>Bowser Stadium</x:v>
      </x:c>
      <x:c r="C250" t="str">
        <x:v>levelengine</x:v>
      </x:c>
      <x:c r="D250" t="n">
        <x:v>18</x:v>
      </x:c>
      <x:c r="E250" t="str">
        <x:v>Casual</x:v>
      </x:c>
      <x:c r="F250" t="str">
        <x:v>Standard</x:v>
      </x:c>
      <x:c r="G250" t="n">
        <x:v>41572</x:v>
      </x:c>
      <x:c r="H250" t="str">
        <x:v>5582</x:v>
      </x:c>
      <x:c r="I250" t="str">
        <x:v>https://www.smwcentral.net/?a=details&amp;id=5582&amp;p=section</x:v>
      </x:c>
      <x:c r="J250" t="str">
        <x:v>https://dl.smwcentral.net/5582/Bowser%20Stadium%20Gamma.zip</x:v>
      </x:c>
    </x:row>
    <x:row r="251">
      <x:c r="A251" t="str">
        <x:v>Bowser Strikes Back</x:v>
      </x:c>
      <x:c r="B251" t="str">
        <x:v>Bowser Strikes Back</x:v>
      </x:c>
      <x:c r="C251" t="str">
        <x:v>Jimmy</x:v>
      </x:c>
      <x:c r="D251" t="n">
        <x:v>11</x:v>
      </x:c>
      <x:c r="E251" t="str">
        <x:v>Casual</x:v>
      </x:c>
      <x:c r="F251" t="str">
        <x:v>Standard</x:v>
      </x:c>
      <x:c r="G251" t="n">
        <x:v>42208</x:v>
      </x:c>
      <x:c r="H251" t="str">
        <x:v>9774</x:v>
      </x:c>
      <x:c r="I251" t="str">
        <x:v>https://www.smwcentral.net/?a=details&amp;id=9774&amp;p=section</x:v>
      </x:c>
      <x:c r="J251" t="str">
        <x:v>https://dl.smwcentral.net/9774/BSB-Demo1v1.1.zip</x:v>
      </x:c>
    </x:row>
    <x:row r="252">
      <x:c r="A252" t="str">
        <x:v>Bowser's Armada</x:v>
      </x:c>
      <x:c r="B252" t="str">
        <x:v>Bowser's Armada</x:v>
      </x:c>
      <x:c r="C252" t="str">
        <x:v>Choco</x:v>
      </x:c>
      <x:c r="D252" t="n">
        <x:v>15</x:v>
      </x:c>
      <x:c r="E252" t="str">
        <x:v>Casual</x:v>
      </x:c>
      <x:c r="F252" t="str">
        <x:v>Standard</x:v>
      </x:c>
      <x:c r="G252" t="n">
        <x:v>42224</x:v>
      </x:c>
      <x:c r="H252" t="str">
        <x:v>9877</x:v>
      </x:c>
      <x:c r="I252" t="str">
        <x:v>https://www.smwcentral.net/?a=details&amp;id=9877&amp;p=section</x:v>
      </x:c>
      <x:c r="J252" t="str">
        <x:v>https://dl.smwcentral.net/9877/Kopia%20%284%29%20av%20Super%20Mario%20World%20%28U%29%20%5B%21%5D.zip</x:v>
      </x:c>
    </x:row>
    <x:row r="253">
      <x:c r="A253" t="str">
        <x:v>Bowser's Casino</x:v>
      </x:c>
      <x:c r="B253" t="str">
        <x:v>Bowser's Casino</x:v>
      </x:c>
      <x:c r="C253" t="str">
        <x:v>FreeKill2111</x:v>
      </x:c>
      <x:c r="D253" t="n">
        <x:v>0</x:v>
      </x:c>
      <x:c r="E253" t="str">
        <x:v>Newcomer</x:v>
      </x:c>
      <x:c r="F253" t="str">
        <x:v>Standard</x:v>
      </x:c>
      <x:c r="G253" t="n">
        <x:v>45876</x:v>
      </x:c>
      <x:c r="H253" t="str">
        <x:v>40169</x:v>
      </x:c>
      <x:c r="I253" t="str">
        <x:v>https://www.smwcentral.net/?a=details&amp;id=40169&amp;p=section</x:v>
      </x:c>
      <x:c r="J253" t="str">
        <x:v>https://dl.smwcentral.net/40169/BowsersCasino.zip</x:v>
      </x:c>
    </x:row>
    <x:row r="254">
      <x:c r="A254" t="str">
        <x:v>Bowser's Castle</x:v>
      </x:c>
      <x:c r="B254" t="str">
        <x:v>Bowser's Castle</x:v>
      </x:c>
      <x:c r="C254" t="str">
        <x:v>PMH</x:v>
      </x:c>
      <x:c r="D254" t="n">
        <x:v>1</x:v>
      </x:c>
      <x:c r="E254" t="str">
        <x:v>Casual</x:v>
      </x:c>
      <x:c r="F254" t="str">
        <x:v>Standard</x:v>
      </x:c>
      <x:c r="G254" t="n">
        <x:v>42579</x:v>
      </x:c>
      <x:c r="H254" t="str">
        <x:v>13982</x:v>
      </x:c>
      <x:c r="I254" t="str">
        <x:v>https://www.smwcentral.net/?a=details&amp;id=13982&amp;p=section</x:v>
      </x:c>
      <x:c r="J254" t="str">
        <x:v>https://dl.smwcentral.net/13982/Bowser%27s%20Castle.zip</x:v>
      </x:c>
    </x:row>
    <x:row r="255">
      <x:c r="A255" t="str">
        <x:v>Bowser's Castle 2</x:v>
      </x:c>
      <x:c r="B255" t="str">
        <x:v>Bowser's Castle 2</x:v>
      </x:c>
      <x:c r="C255" t="str">
        <x:v>PMH</x:v>
      </x:c>
      <x:c r="D255" t="n">
        <x:v>1</x:v>
      </x:c>
      <x:c r="E255" t="str">
        <x:v>Casual</x:v>
      </x:c>
      <x:c r="F255" t="str">
        <x:v>Standard</x:v>
      </x:c>
      <x:c r="G255" t="n">
        <x:v>43895</x:v>
      </x:c>
      <x:c r="H255" t="str">
        <x:v>22233</x:v>
      </x:c>
      <x:c r="I255" t="str">
        <x:v>https://www.smwcentral.net/?a=details&amp;id=22233&amp;p=section</x:v>
      </x:c>
      <x:c r="J255" t="str">
        <x:v>https://dl.smwcentral.net/22233/Bowser%27s%20Castle%202.zip</x:v>
      </x:c>
    </x:row>
    <x:row r="256">
      <x:c r="A256" t="str">
        <x:v>Bowser's Dangerous Castle 2</x:v>
      </x:c>
      <x:c r="B256" t="str">
        <x:v>Bowser's Dangerous Castle 2</x:v>
      </x:c>
      <x:c r="C256" t="str">
        <x:v>Vampire Killer</x:v>
      </x:c>
      <x:c r="D256" t="n">
        <x:v>1</x:v>
      </x:c>
      <x:c r="E256" t="str">
        <x:v>Casual</x:v>
      </x:c>
      <x:c r="F256" t="str">
        <x:v>Standard</x:v>
      </x:c>
      <x:c r="G256" t="n">
        <x:v>42322</x:v>
      </x:c>
      <x:c r="H256" t="str">
        <x:v>9707</x:v>
      </x:c>
      <x:c r="I256" t="str">
        <x:v>https://www.smwcentral.net/?a=details&amp;id=9707&amp;p=section</x:v>
      </x:c>
      <x:c r="J256" t="str">
        <x:v>https://dl.smwcentral.net/9707/BDC2.zip</x:v>
      </x:c>
    </x:row>
    <x:row r="257">
      <x:c r="A257" t="str">
        <x:v>Bowser's Hideout</x:v>
      </x:c>
      <x:c r="B257" t="str">
        <x:v>Bowser's Hideout</x:v>
      </x:c>
      <x:c r="C257" t="str">
        <x:v>Core</x:v>
      </x:c>
      <x:c r="D257" t="n">
        <x:v>4</x:v>
      </x:c>
      <x:c r="E257" t="str">
        <x:v>Intermediate</x:v>
      </x:c>
      <x:c r="F257" t="str">
        <x:v>Standard</x:v>
      </x:c>
      <x:c r="G257" t="n">
        <x:v>44908</x:v>
      </x:c>
      <x:c r="H257" t="str">
        <x:v>32728</x:v>
      </x:c>
      <x:c r="I257" t="str">
        <x:v>https://www.smwcentral.net/?a=details&amp;id=32728&amp;p=section</x:v>
      </x:c>
      <x:c r="J257" t="str">
        <x:v>https://dl.smwcentral.net/32728/BH1Fix.zip</x:v>
      </x:c>
    </x:row>
    <x:row r="258">
      <x:c r="A258" t="str">
        <x:v>Bowser's Hideout 2</x:v>
      </x:c>
      <x:c r="B258" t="str">
        <x:v>Bowser's Hideout 2</x:v>
      </x:c>
      <x:c r="C258" t="str">
        <x:v>Core</x:v>
      </x:c>
      <x:c r="D258" t="n">
        <x:v>5</x:v>
      </x:c>
      <x:c r="E258" t="str">
        <x:v>Expert</x:v>
      </x:c>
      <x:c r="F258" t="str">
        <x:v>Standard</x:v>
      </x:c>
      <x:c r="G258" t="n">
        <x:v>44505</x:v>
      </x:c>
      <x:c r="H258" t="str">
        <x:v>28708</x:v>
      </x:c>
      <x:c r="I258" t="str">
        <x:v>https://www.smwcentral.net/?a=details&amp;id=28708&amp;p=section</x:v>
      </x:c>
      <x:c r="J258" t="str">
        <x:v>https://dl.smwcentral.net/28708/Bowser%27s%20Hideout%202_fix.zip</x:v>
      </x:c>
    </x:row>
    <x:row r="259">
      <x:c r="A259" t="str">
        <x:v>Bowser's Hideout Deluxe</x:v>
      </x:c>
      <x:c r="B259" t="str">
        <x:v>Bowser's Hideout Deluxe</x:v>
      </x:c>
      <x:c r="C259" t="str">
        <x:v>Core, Mr. MS</x:v>
      </x:c>
      <x:c r="D259" t="n">
        <x:v>5</x:v>
      </x:c>
      <x:c r="E259" t="str">
        <x:v>Intermediate</x:v>
      </x:c>
      <x:c r="F259" t="str">
        <x:v>Standard</x:v>
      </x:c>
      <x:c r="G259" t="n">
        <x:v>44971</x:v>
      </x:c>
      <x:c r="H259" t="str">
        <x:v>33106</x:v>
      </x:c>
      <x:c r="I259" t="str">
        <x:v>https://www.smwcentral.net/?a=details&amp;id=33106&amp;p=section</x:v>
      </x:c>
      <x:c r="J259" t="str">
        <x:v>https://dl.smwcentral.net/33106/BH1R.zip</x:v>
      </x:c>
    </x:row>
    <x:row r="260">
      <x:c r="A260" t="str">
        <x:v>Bowser's Kingdom</x:v>
      </x:c>
      <x:c r="B260" t="str">
        <x:v>Bowser's Kingdom</x:v>
      </x:c>
      <x:c r="C260" t="str">
        <x:v>mario and luigi</x:v>
      </x:c>
      <x:c r="D260" t="n">
        <x:v>6</x:v>
      </x:c>
      <x:c r="E260" t="str">
        <x:v>Casual</x:v>
      </x:c>
      <x:c r="F260" t="str">
        <x:v>Standard</x:v>
      </x:c>
      <x:c r="G260" t="n">
        <x:v>41856</x:v>
      </x:c>
      <x:c r="H260" t="str">
        <x:v>6874</x:v>
      </x:c>
      <x:c r="I260" t="str">
        <x:v>https://www.smwcentral.net/?a=details&amp;id=6874&amp;p=section</x:v>
      </x:c>
      <x:c r="J260" t="str">
        <x:v>https://dl.smwcentral.net/6874/bowser%27s%20kingdom%20hack.zip</x:v>
      </x:c>
    </x:row>
    <x:row r="261">
      <x:c r="A261" t="str">
        <x:v>Bowser's Plan Part One: Alternate World</x:v>
      </x:c>
      <x:c r="B261" t="str">
        <x:v>Bowser's Plan Part One: Alternate World</x:v>
      </x:c>
      <x:c r="C261" t="str">
        <x:v>ShyGuyGuyShy</x:v>
      </x:c>
      <x:c r="D261" t="n">
        <x:v>9</x:v>
      </x:c>
      <x:c r="E261" t="str">
        <x:v>Newcomer</x:v>
      </x:c>
      <x:c r="F261" t="str">
        <x:v>Standard</x:v>
      </x:c>
      <x:c r="G261" t="n">
        <x:v>42275</x:v>
      </x:c>
      <x:c r="H261" t="str">
        <x:v>10046</x:v>
      </x:c>
      <x:c r="I261" t="str">
        <x:v>https://www.smwcentral.net/?a=details&amp;id=10046&amp;p=section</x:v>
      </x:c>
      <x:c r="J261" t="str">
        <x:v>https://dl.smwcentral.net/10046/SMB%20BP%20DEMO.zip</x:v>
      </x:c>
    </x:row>
    <x:row r="262">
      <x:c r="A262" t="str">
        <x:v>Bowser's Revenge</x:v>
      </x:c>
      <x:c r="B262" t="str">
        <x:v>Bowser's Revenge</x:v>
      </x:c>
      <x:c r="C262" t="str">
        <x:v>Easy Difficulty</x:v>
      </x:c>
      <x:c r="D262" t="n">
        <x:v>67</x:v>
      </x:c>
      <x:c r="E262" t="str">
        <x:v>Intermediate</x:v>
      </x:c>
      <x:c r="F262" t="str">
        <x:v>Standard</x:v>
      </x:c>
      <x:c r="G262" t="n">
        <x:v>45199</x:v>
      </x:c>
      <x:c r="H262" t="str">
        <x:v>35118</x:v>
      </x:c>
      <x:c r="I262" t="str">
        <x:v>https://www.smwcentral.net/?a=details&amp;id=35118&amp;p=section</x:v>
      </x:c>
      <x:c r="J262" t="str">
        <x:v>https://dl.smwcentral.net/35118/Bowser%27s%20Revenge%20v1.1.zip</x:v>
      </x:c>
    </x:row>
    <x:row r="263">
      <x:c r="A263" t="str">
        <x:v>Bowser's Revenge 2</x:v>
      </x:c>
      <x:c r="B263" t="str">
        <x:v>Bowser's Revenge 2</x:v>
      </x:c>
      <x:c r="C263" t="str">
        <x:v>Easy Difficulty</x:v>
      </x:c>
      <x:c r="D263" t="n">
        <x:v>68</x:v>
      </x:c>
      <x:c r="E263" t="str">
        <x:v>Intermediate</x:v>
      </x:c>
      <x:c r="F263" t="str">
        <x:v>Standard</x:v>
      </x:c>
      <x:c r="G263" t="n">
        <x:v>45420</x:v>
      </x:c>
      <x:c r="H263" t="str">
        <x:v>37751</x:v>
      </x:c>
      <x:c r="I263" t="str">
        <x:v>https://www.smwcentral.net/?a=details&amp;id=37751&amp;p=section</x:v>
      </x:c>
      <x:c r="J263" t="str">
        <x:v>https://dl.smwcentral.net/37751/Bowser%27s%20Revenge%202%20v1.1.zip</x:v>
      </x:c>
    </x:row>
    <x:row r="264">
      <x:c r="A264" t="str">
        <x:v>Bowser's Revenge 3</x:v>
      </x:c>
      <x:c r="B264" t="str">
        <x:v>Bowser's Revenge 3</x:v>
      </x:c>
      <x:c r="C264" t="str">
        <x:v>Easy Difficulty</x:v>
      </x:c>
      <x:c r="D264" t="n">
        <x:v>44</x:v>
      </x:c>
      <x:c r="E264" t="str">
        <x:v>Intermediate</x:v>
      </x:c>
      <x:c r="F264" t="str">
        <x:v>Standard</x:v>
      </x:c>
      <x:c r="G264" t="n">
        <x:v>45232</x:v>
      </x:c>
      <x:c r="H264" t="str">
        <x:v>35354</x:v>
      </x:c>
      <x:c r="I264" t="str">
        <x:v>https://www.smwcentral.net/?a=details&amp;id=35354&amp;p=section</x:v>
      </x:c>
      <x:c r="J264" t="str">
        <x:v>https://dl.smwcentral.net/35354/Bowser%27s%20Revenge%203.zip</x:v>
      </x:c>
    </x:row>
    <x:row r="265">
      <x:c r="A265" t="str">
        <x:v>Bowser's Revenge 4</x:v>
      </x:c>
      <x:c r="B265" t="str">
        <x:v>Bowser's Revenge 4</x:v>
      </x:c>
      <x:c r="C265" t="str">
        <x:v>Easy Difficulty</x:v>
      </x:c>
      <x:c r="D265" t="n">
        <x:v>70</x:v>
      </x:c>
      <x:c r="E265" t="str">
        <x:v>Intermediate</x:v>
      </x:c>
      <x:c r="F265" t="str">
        <x:v>Standard</x:v>
      </x:c>
      <x:c r="G265" t="n">
        <x:v>45391</x:v>
      </x:c>
      <x:c r="H265" t="str">
        <x:v>36606</x:v>
      </x:c>
      <x:c r="I265" t="str">
        <x:v>https://www.smwcentral.net/?a=details&amp;id=36606&amp;p=section</x:v>
      </x:c>
      <x:c r="J265" t="str">
        <x:v>https://dl.smwcentral.net/36606/Bowser%27s%20Revenge%204.zip</x:v>
      </x:c>
    </x:row>
    <x:row r="266">
      <x:c r="A266" t="str">
        <x:v>Bowser's Time Machine</x:v>
      </x:c>
      <x:c r="B266" t="str">
        <x:v>Bowser's Time Machine</x:v>
      </x:c>
      <x:c r="C266" t="str">
        <x:v>DarkBones</x:v>
      </x:c>
      <x:c r="D266" t="n">
        <x:v>6</x:v>
      </x:c>
      <x:c r="E266" t="str">
        <x:v>Newcomer</x:v>
      </x:c>
      <x:c r="F266" t="str">
        <x:v>Standard</x:v>
      </x:c>
      <x:c r="G266" t="n">
        <x:v>42293</x:v>
      </x:c>
      <x:c r="H266" t="str">
        <x:v>10178</x:v>
      </x:c>
      <x:c r="I266" t="str">
        <x:v>https://www.smwcentral.net/?a=details&amp;id=10178&amp;p=section</x:v>
      </x:c>
      <x:c r="J266" t="str">
        <x:v>https://dl.smwcentral.net/10178/Bowser%27s%20Time%20Machine.zip</x:v>
      </x:c>
    </x:row>
    <x:row r="267">
      <x:c r="A267" t="str">
        <x:v>Box of Shadows</x:v>
      </x:c>
      <x:c r="B267" t="str">
        <x:v>Box of Shadows</x:v>
      </x:c>
      <x:c r="C267" t="str">
        <x:v>ShadowBoxer_Sandshrew</x:v>
      </x:c>
      <x:c r="D267" t="n">
        <x:v>28</x:v>
      </x:c>
      <x:c r="E267" t="str">
        <x:v>Expert</x:v>
      </x:c>
      <x:c r="F267" t="str">
        <x:v>Kaizo</x:v>
      </x:c>
      <x:c r="G267" t="n">
        <x:v>44534</x:v>
      </x:c>
      <x:c r="H267" t="str">
        <x:v>28763</x:v>
      </x:c>
      <x:c r="I267" t="str">
        <x:v>https://www.smwcentral.net/?a=details&amp;id=28763&amp;p=section</x:v>
      </x:c>
      <x:c r="J267" t="str">
        <x:v>https://dl.smwcentral.net/28763/Box_of_Shadows.zip</x:v>
      </x:c>
    </x:row>
    <x:row r="268">
      <x:c r="A268" t="str">
        <x:v>Brave New World</x:v>
      </x:c>
      <x:c r="B268" t="str">
        <x:v>Brave New World</x:v>
      </x:c>
      <x:c r="C268" t="str">
        <x:v>derv82</x:v>
      </x:c>
      <x:c r="D268" t="n">
        <x:v>12</x:v>
      </x:c>
      <x:c r="E268" t="str">
        <x:v>Expert</x:v>
      </x:c>
      <x:c r="F268" t="str">
        <x:v>Kaizo</x:v>
      </x:c>
      <x:c r="G268" t="n">
        <x:v>44666</x:v>
      </x:c>
      <x:c r="H268" t="str">
        <x:v>30248</x:v>
      </x:c>
      <x:c r="I268" t="str">
        <x:v>https://www.smwcentral.net/?a=details&amp;id=30248&amp;p=section</x:v>
      </x:c>
      <x:c r="J268" t="str">
        <x:v>https://dl.smwcentral.net/30248/Brave%20New%20World%201.1.zip</x:v>
      </x:c>
    </x:row>
    <x:row r="269">
      <x:c r="A269" t="str">
        <x:v>Brave New World 2</x:v>
      </x:c>
      <x:c r="B269" t="str">
        <x:v>Brave New World 2</x:v>
      </x:c>
      <x:c r="C269" t="str">
        <x:v>derv82</x:v>
      </x:c>
      <x:c r="D269" t="n">
        <x:v>26</x:v>
      </x:c>
      <x:c r="E269" t="str">
        <x:v>Expert</x:v>
      </x:c>
      <x:c r="F269" t="str">
        <x:v>Kaizo</x:v>
      </x:c>
      <x:c r="G269" t="n">
        <x:v>45243</x:v>
      </x:c>
      <x:c r="H269" t="str">
        <x:v>35504</x:v>
      </x:c>
      <x:c r="I269" t="str">
        <x:v>https://www.smwcentral.net/?a=details&amp;id=35504&amp;p=section</x:v>
      </x:c>
      <x:c r="J269" t="str">
        <x:v>https://dl.smwcentral.net/35504/BraveNewWorld2.zip</x:v>
      </x:c>
    </x:row>
    <x:row r="270">
      <x:c r="A270" t="str">
        <x:v>Bread World</x:v>
      </x:c>
      <x:c r="B270" t="str">
        <x:v>Bread World</x:v>
      </x:c>
      <x:c r="C270" t="str">
        <x:v>MrBread</x:v>
      </x:c>
      <x:c r="D270" t="n">
        <x:v>11</x:v>
      </x:c>
      <x:c r="E270" t="str">
        <x:v>Intermediate</x:v>
      </x:c>
      <x:c r="F270" t="str">
        <x:v>Kaizo</x:v>
      </x:c>
      <x:c r="G270" t="n">
        <x:v>43920</x:v>
      </x:c>
      <x:c r="H270" t="str">
        <x:v>22536</x:v>
      </x:c>
      <x:c r="I270" t="str">
        <x:v>https://www.smwcentral.net/?a=details&amp;id=22536&amp;p=section</x:v>
      </x:c>
      <x:c r="J270" t="str">
        <x:v>https://dl.smwcentral.net/22536/BreadWorld.zip</x:v>
      </x:c>
    </x:row>
    <x:row r="271">
      <x:c r="A271" t="str">
        <x:v>Breakfast Kaizo 2: Elevensies</x:v>
      </x:c>
      <x:c r="B271" t="str">
        <x:v>Breakfast Kaizo 2: Elevensies</x:v>
      </x:c>
      <x:c r="C271" t="str">
        <x:v>GlitchCat7</x:v>
      </x:c>
      <x:c r="D271" t="n">
        <x:v>10</x:v>
      </x:c>
      <x:c r="E271" t="str">
        <x:v>Expert</x:v>
      </x:c>
      <x:c r="F271" t="str">
        <x:v>Kaizo</x:v>
      </x:c>
      <x:c r="G271" t="n">
        <x:v>43754</x:v>
      </x:c>
      <x:c r="H271" t="str">
        <x:v>21147</x:v>
      </x:c>
      <x:c r="I271" t="str">
        <x:v>https://www.smwcentral.net/?a=details&amp;id=21147&amp;p=section</x:v>
      </x:c>
      <x:c r="J271" t="str">
        <x:v>https://dl.smwcentral.net/21147/BKW2_1.1.zip</x:v>
      </x:c>
    </x:row>
    <x:row r="272">
      <x:c r="A272" t="str">
        <x:v>Breaking SMW</x:v>
      </x:c>
      <x:c r="B272" t="str">
        <x:v>Breaking SMW</x:v>
      </x:c>
      <x:c r="C272" t="str">
        <x:v>Devazure, Magikey, dacin, xHF01x</x:v>
      </x:c>
      <x:c r="D272" t="n">
        <x:v>6</x:v>
      </x:c>
      <x:c r="E272" t="str">
        <x:v>Master</x:v>
      </x:c>
      <x:c r="F272" t="str">
        <x:v>Kaizo</x:v>
      </x:c>
      <x:c r="G272" t="n">
        <x:v>44700</x:v>
      </x:c>
      <x:c r="H272" t="str">
        <x:v>30536</x:v>
      </x:c>
      <x:c r="I272" t="str">
        <x:v>https://www.smwcentral.net/?a=details&amp;id=30536&amp;p=section</x:v>
      </x:c>
      <x:c r="J272" t="str">
        <x:v>https://dl.smwcentral.net/30536/BreakingSMW.zip</x:v>
      </x:c>
    </x:row>
    <x:row r="273">
      <x:c r="A273" t="str">
        <x:v>Briefly12 World</x:v>
      </x:c>
      <x:c r="B273" t="str">
        <x:v>Briefly12 World</x:v>
      </x:c>
      <x:c r="C273" t="str">
        <x:v>Lee12UK</x:v>
      </x:c>
      <x:c r="D273" t="n">
        <x:v>11</x:v>
      </x:c>
      <x:c r="E273" t="str">
        <x:v>Advanced</x:v>
      </x:c>
      <x:c r="F273" t="str">
        <x:v>Kaizo</x:v>
      </x:c>
      <x:c r="G273" t="n">
        <x:v>44513</x:v>
      </x:c>
      <x:c r="H273" t="str">
        <x:v>28764</x:v>
      </x:c>
      <x:c r="I273" t="str">
        <x:v>https://www.smwcentral.net/?a=details&amp;id=28764&amp;p=section</x:v>
      </x:c>
      <x:c r="J273" t="str">
        <x:v>https://dl.smwcentral.net/28764/Briefly12v1.1.zip</x:v>
      </x:c>
    </x:row>
    <x:row r="274">
      <x:c r="A274" t="str">
        <x:v>BRMVR</x:v>
      </x:c>
      <x:c r="B274" t="str">
        <x:v>BRMVR</x:v>
      </x:c>
      <x:c r="C274" t="str">
        <x:v>Enan63</x:v>
      </x:c>
      <x:c r="D274" t="n">
        <x:v>23</x:v>
      </x:c>
      <x:c r="E274" t="str">
        <x:v>Casual</x:v>
      </x:c>
      <x:c r="F274" t="str">
        <x:v>Standard</x:v>
      </x:c>
      <x:c r="G274" t="n">
        <x:v>43657</x:v>
      </x:c>
      <x:c r="H274" t="str">
        <x:v>20443</x:v>
      </x:c>
      <x:c r="I274" t="str">
        <x:v>https://www.smwcentral.net/?a=details&amp;id=20443&amp;p=section</x:v>
      </x:c>
      <x:c r="J274" t="str">
        <x:v>https://dl.smwcentral.net/20443/BRMVR%20Demo%202%20C3%20July%202019.zip</x:v>
      </x:c>
    </x:row>
    <x:row r="275">
      <x:c r="A275" t="str">
        <x:v>Bro's Adventure</x:v>
      </x:c>
      <x:c r="B275" t="str">
        <x:v>Bro's Adventure</x:v>
      </x:c>
      <x:c r="C275" t="str">
        <x:v>Gringo Loco Jr.</x:v>
      </x:c>
      <x:c r="D275" t="n">
        <x:v>4</x:v>
      </x:c>
      <x:c r="E275" t="str">
        <x:v>Casual</x:v>
      </x:c>
      <x:c r="F275" t="str">
        <x:v>Standard</x:v>
      </x:c>
      <x:c r="G275" t="n">
        <x:v>45049</x:v>
      </x:c>
      <x:c r="H275" t="str">
        <x:v>33806</x:v>
      </x:c>
      <x:c r="I275" t="str">
        <x:v>https://www.smwcentral.net/?a=details&amp;id=33806&amp;p=section</x:v>
      </x:c>
      <x:c r="J275" t="str">
        <x:v>https://dl.smwcentral.net/33806/Bro%27s%20Adventure%20%28Demo%29.zip</x:v>
      </x:c>
    </x:row>
    <x:row r="276">
      <x:c r="A276" t="str">
        <x:v>Broken Shell</x:v>
      </x:c>
      <x:c r="B276" t="str">
        <x:v>Broken Shell</x:v>
      </x:c>
      <x:c r="C276" t="str">
        <x:v>Pottsie</x:v>
      </x:c>
      <x:c r="D276" t="n">
        <x:v>12</x:v>
      </x:c>
      <x:c r="E276" t="str">
        <x:v>Expert</x:v>
      </x:c>
      <x:c r="F276" t="str">
        <x:v>Kaizo</x:v>
      </x:c>
      <x:c r="G276" t="n">
        <x:v>45952</x:v>
      </x:c>
      <x:c r="H276" t="str">
        <x:v>40848</x:v>
      </x:c>
      <x:c r="I276" t="str">
        <x:v>https://www.smwcentral.net/?a=details&amp;id=40848&amp;p=section</x:v>
      </x:c>
      <x:c r="J276" t="str">
        <x:v>https://dl.smwcentral.net/40848/Broken%20Shell.zip</x:v>
      </x:c>
    </x:row>
    <x:row r="277">
      <x:c r="A277" t="str">
        <x:v>Brothermen</x:v>
      </x:c>
      <x:c r="B277" t="str">
        <x:v>Brothermen</x:v>
      </x:c>
      <x:c r="C277" t="str">
        <x:v>JezJitzu, MorrieTheMagpie, pnaha</x:v>
      </x:c>
      <x:c r="D277" t="n">
        <x:v>5</x:v>
      </x:c>
      <x:c r="E277" t="str">
        <x:v>Advanced</x:v>
      </x:c>
      <x:c r="F277" t="str">
        <x:v>Kaizo</x:v>
      </x:c>
      <x:c r="G277" t="n">
        <x:v>46214</x:v>
      </x:c>
      <x:c r="H277" t="str">
        <x:v>42661</x:v>
      </x:c>
      <x:c r="I277" t="str">
        <x:v>https://www.smwcentral.net/?a=details&amp;id=42661&amp;p=section</x:v>
      </x:c>
      <x:c r="J277" t="str">
        <x:v>https://dl.smwcentral.net/42661/Brothermen.zip</x:v>
      </x:c>
    </x:row>
    <x:row r="278">
      <x:c r="A278" t="str">
        <x:v>Brutal Bunny</x:v>
      </x:c>
      <x:c r="B278" t="str">
        <x:v>Brutal Bunny</x:v>
      </x:c>
      <x:c r="C278" t="str">
        <x:v>fanfan21</x:v>
      </x:c>
      <x:c r="D278" t="n">
        <x:v>5</x:v>
      </x:c>
      <x:c r="E278" t="str">
        <x:v>Intermediate</x:v>
      </x:c>
      <x:c r="F278" t="str">
        <x:v>Kaizo, Tool-Assisted</x:v>
      </x:c>
      <x:c r="G278" t="n">
        <x:v>45743</x:v>
      </x:c>
      <x:c r="H278" t="str">
        <x:v>39595</x:v>
      </x:c>
      <x:c r="I278" t="str">
        <x:v>https://www.smwcentral.net/?a=details&amp;id=39595&amp;p=section</x:v>
      </x:c>
      <x:c r="J278" t="str">
        <x:v>https://dl.smwcentral.net/39595/Brutal%20Bunny%20%28SMW%29.zip</x:v>
      </x:c>
    </x:row>
    <x:row r="279">
      <x:c r="A279" t="str">
        <x:v>Brutal Mario</x:v>
      </x:c>
      <x:c r="B279" t="str">
        <x:v>Brutal Mario</x:v>
      </x:c>
      <x:c r="C279" t="str">
        <x:v>carol</x:v>
      </x:c>
      <x:c r="D279" t="n">
        <x:v>98</x:v>
      </x:c>
      <x:c r="E279" t="str">
        <x:v>Intermediate</x:v>
      </x:c>
      <x:c r="F279" t="str">
        <x:v>Standard</x:v>
      </x:c>
      <x:c r="G279" t="n">
        <x:v>41644</x:v>
      </x:c>
      <x:c r="H279" t="str">
        <x:v>6099</x:v>
      </x:c>
      <x:c r="I279" t="str">
        <x:v>https://www.smwcentral.net/?a=details&amp;id=6099&amp;p=section</x:v>
      </x:c>
      <x:c r="J279" t="str">
        <x:v>https://dl.smwcentral.net/6099/Brutal%20Mario%20Demo%207.zip</x:v>
      </x:c>
    </x:row>
    <x:row r="280">
      <x:c r="A280" t="str">
        <x:v>Buddy Shell</x:v>
      </x:c>
      <x:c r="B280" t="str">
        <x:v>Buddy Shell</x:v>
      </x:c>
      <x:c r="C280" t="str">
        <x:v>Firstnamebutt</x:v>
      </x:c>
      <x:c r="D280" t="n">
        <x:v>12</x:v>
      </x:c>
      <x:c r="E280" t="str">
        <x:v>Advanced</x:v>
      </x:c>
      <x:c r="F280" t="str">
        <x:v>Kaizo</x:v>
      </x:c>
      <x:c r="G280" t="n">
        <x:v>45022</x:v>
      </x:c>
      <x:c r="H280" t="str">
        <x:v>33690</x:v>
      </x:c>
      <x:c r="I280" t="str">
        <x:v>https://www.smwcentral.net/?a=details&amp;id=33690&amp;p=section</x:v>
      </x:c>
      <x:c r="J280" t="str">
        <x:v>https://dl.smwcentral.net/33690/BUDDY%20SHELL%20v1.zip</x:v>
      </x:c>
    </x:row>
    <x:row r="281">
      <x:c r="A281" t="str">
        <x:v>Buddy Shell 2</x:v>
      </x:c>
      <x:c r="B281" t="str">
        <x:v>Buddy Shell 2</x:v>
      </x:c>
      <x:c r="C281" t="str">
        <x:v>Firstnamebutt</x:v>
      </x:c>
      <x:c r="D281" t="n">
        <x:v>25</x:v>
      </x:c>
      <x:c r="E281" t="str">
        <x:v>Expert</x:v>
      </x:c>
      <x:c r="F281" t="str">
        <x:v>Kaizo</x:v>
      </x:c>
      <x:c r="G281" t="n">
        <x:v>45329</x:v>
      </x:c>
      <x:c r="H281" t="str">
        <x:v>36816</x:v>
      </x:c>
      <x:c r="I281" t="str">
        <x:v>https://www.smwcentral.net/?a=details&amp;id=36816&amp;p=section</x:v>
      </x:c>
      <x:c r="J281" t="str">
        <x:v>https://dl.smwcentral.net/36816/Buddy_Shell2.zip</x:v>
      </x:c>
    </x:row>
    <x:row r="282">
      <x:c r="A282" t="str">
        <x:v>Buddy Shell 2 REDUX</x:v>
      </x:c>
      <x:c r="B282" t="str">
        <x:v>Buddy Shell 2 REDUX</x:v>
      </x:c>
      <x:c r="C282" t="str">
        <x:v>Firstnamebutt</x:v>
      </x:c>
      <x:c r="D282" t="n">
        <x:v>21</x:v>
      </x:c>
      <x:c r="E282" t="str">
        <x:v>Expert</x:v>
      </x:c>
      <x:c r="F282" t="str">
        <x:v>Kaizo</x:v>
      </x:c>
      <x:c r="G282" t="n">
        <x:v>45419</x:v>
      </x:c>
      <x:c r="H282" t="str">
        <x:v>37743</x:v>
      </x:c>
      <x:c r="I282" t="str">
        <x:v>https://www.smwcentral.net/?a=details&amp;id=37743&amp;p=section</x:v>
      </x:c>
      <x:c r="J282" t="str">
        <x:v>https://dl.smwcentral.net/37743/BuddyShell2REDUX.zip</x:v>
      </x:c>
    </x:row>
    <x:row r="283">
      <x:c r="A283" t="str">
        <x:v>Bullymario's New Super Mario World</x:v>
      </x:c>
      <x:c r="B283" t="str">
        <x:v>Bullymario's New Super Mario World</x:v>
      </x:c>
      <x:c r="C283" t="str">
        <x:v>Bullymario</x:v>
      </x:c>
      <x:c r="D283" t="n">
        <x:v>80</x:v>
      </x:c>
      <x:c r="E283" t="str">
        <x:v>Intermediate</x:v>
      </x:c>
      <x:c r="F283" t="str">
        <x:v>Standard</x:v>
      </x:c>
      <x:c r="G283" t="n">
        <x:v>44828</x:v>
      </x:c>
      <x:c r="H283" t="str">
        <x:v>31895</x:v>
      </x:c>
      <x:c r="I283" t="str">
        <x:v>https://www.smwcentral.net/?a=details&amp;id=31895&amp;p=section</x:v>
      </x:c>
      <x:c r="J283" t="str">
        <x:v>https://dl.smwcentral.net/31895/NSMW1%20%28Fixed%29.zip</x:v>
      </x:c>
    </x:row>
    <x:row r="284">
      <x:c r="A284" t="str">
        <x:v>Bunbun 3</x:v>
      </x:c>
      <x:c r="B284" t="str">
        <x:v>Bunbun 3</x:v>
      </x:c>
      <x:c r="C284" t="str">
        <x:v>sio-kedelic</x:v>
      </x:c>
      <x:c r="D284" t="n">
        <x:v>24</x:v>
      </x:c>
      <x:c r="E284" t="str">
        <x:v>Advanced</x:v>
      </x:c>
      <x:c r="F284" t="str">
        <x:v>Kaizo</x:v>
      </x:c>
      <x:c r="G284" t="n">
        <x:v>45137</x:v>
      </x:c>
      <x:c r="H284" t="str">
        <x:v>34494</x:v>
      </x:c>
      <x:c r="I284" t="str">
        <x:v>https://www.smwcentral.net/?a=details&amp;id=34494&amp;p=section</x:v>
      </x:c>
      <x:c r="J284" t="str">
        <x:v>https://dl.smwcentral.net/34494/bunbun3v1.01.zip</x:v>
      </x:c>
    </x:row>
    <x:row r="285">
      <x:c r="A285" t="str">
        <x:v>Bunbun World</x:v>
      </x:c>
      <x:c r="B285" t="str">
        <x:v>Bunbun World</x:v>
      </x:c>
      <x:c r="C285" t="str">
        <x:v>sio-kedelic</x:v>
      </x:c>
      <x:c r="D285" t="n">
        <x:v>19</x:v>
      </x:c>
      <x:c r="E285" t="str">
        <x:v>Advanced</x:v>
      </x:c>
      <x:c r="F285" t="str">
        <x:v>Kaizo</x:v>
      </x:c>
      <x:c r="G285" t="n">
        <x:v>43627</x:v>
      </x:c>
      <x:c r="H285" t="str">
        <x:v>20177</x:v>
      </x:c>
      <x:c r="I285" t="str">
        <x:v>https://www.smwcentral.net/?a=details&amp;id=20177&amp;p=section</x:v>
      </x:c>
      <x:c r="J285" t="str">
        <x:v>https://dl.smwcentral.net/20177/BunbunWorld_1.0.zip</x:v>
      </x:c>
    </x:row>
    <x:row r="286">
      <x:c r="A286" t="str">
        <x:v>Bunbun World 2</x:v>
      </x:c>
      <x:c r="B286" t="str">
        <x:v>Bunbun World 2</x:v>
      </x:c>
      <x:c r="C286" t="str">
        <x:v>sio-kedelic</x:v>
      </x:c>
      <x:c r="D286" t="n">
        <x:v>19</x:v>
      </x:c>
      <x:c r="E286" t="str">
        <x:v>Advanced</x:v>
      </x:c>
      <x:c r="F286" t="str">
        <x:v>Kaizo</x:v>
      </x:c>
      <x:c r="G286" t="n">
        <x:v>44073</x:v>
      </x:c>
      <x:c r="H286" t="str">
        <x:v>24356</x:v>
      </x:c>
      <x:c r="I286" t="str">
        <x:v>https://www.smwcentral.net/?a=details&amp;id=24356&amp;p=section</x:v>
      </x:c>
      <x:c r="J286" t="str">
        <x:v>https://dl.smwcentral.net/24356/BunbunWorld2_1.1.zip</x:v>
      </x:c>
    </x:row>
    <x:row r="287">
      <x:c r="A287" t="str">
        <x:v>Burning Star</x:v>
      </x:c>
      <x:c r="B287" t="str">
        <x:v>Burning Star</x:v>
      </x:c>
      <x:c r="C287" t="str">
        <x:v>PixlBitNick</x:v>
      </x:c>
      <x:c r="D287" t="n">
        <x:v>11</x:v>
      </x:c>
      <x:c r="E287" t="str">
        <x:v>Expert</x:v>
      </x:c>
      <x:c r="F287" t="str">
        <x:v>Kaizo</x:v>
      </x:c>
      <x:c r="G287" t="n">
        <x:v>45062</x:v>
      </x:c>
      <x:c r="H287" t="str">
        <x:v>33860</x:v>
      </x:c>
      <x:c r="I287" t="str">
        <x:v>https://www.smwcentral.net/?a=details&amp;id=33860&amp;p=section</x:v>
      </x:c>
      <x:c r="J287" t="str">
        <x:v>https://dl.smwcentral.net/33860/burningstar1.3.zip</x:v>
      </x:c>
    </x:row>
    <x:row r="288">
      <x:c r="A288" t="str">
        <x:v>Burning Star 2 Deluxe</x:v>
      </x:c>
      <x:c r="B288" t="str">
        <x:v>Burning Star 2 Deluxe</x:v>
      </x:c>
      <x:c r="C288" t="str">
        <x:v>PixlBitNick</x:v>
      </x:c>
      <x:c r="D288" t="n">
        <x:v>16</x:v>
      </x:c>
      <x:c r="E288" t="str">
        <x:v>Master</x:v>
      </x:c>
      <x:c r="F288" t="str">
        <x:v>Kaizo</x:v>
      </x:c>
      <x:c r="G288" t="n">
        <x:v>45539</x:v>
      </x:c>
      <x:c r="H288" t="str">
        <x:v>38340</x:v>
      </x:c>
      <x:c r="I288" t="str">
        <x:v>https://www.smwcentral.net/?a=details&amp;id=38340&amp;p=section</x:v>
      </x:c>
      <x:c r="J288" t="str">
        <x:v>https://dl.smwcentral.net/38340/BurningStar2Deluxe.zip</x:v>
      </x:c>
    </x:row>
    <x:row r="289">
      <x:c r="A289" t="str">
        <x:v>Burrito Rings</x:v>
      </x:c>
      <x:c r="B289" t="str">
        <x:v>Burrito Rings</x:v>
      </x:c>
      <x:c r="C289" t="str">
        <x:v>Sammmoo</x:v>
      </x:c>
      <x:c r="D289" t="n">
        <x:v>10</x:v>
      </x:c>
      <x:c r="E289" t="str">
        <x:v>Expert</x:v>
      </x:c>
      <x:c r="F289" t="str">
        <x:v>Standard</x:v>
      </x:c>
      <x:c r="G289" t="n">
        <x:v>44143</x:v>
      </x:c>
      <x:c r="H289" t="str">
        <x:v>25065</x:v>
      </x:c>
      <x:c r="I289" t="str">
        <x:v>https://www.smwcentral.net/?a=details&amp;id=25065&amp;p=section</x:v>
      </x:c>
      <x:c r="J289" t="str">
        <x:v>https://dl.smwcentral.net/25065/Burrito%20Rings.zip</x:v>
      </x:c>
    </x:row>
    <x:row r="290">
      <x:c r="A290" t="str">
        <x:v>BUTT GRAVY</x:v>
      </x:c>
      <x:c r="B290" t="str">
        <x:v>BUTT GRAVY</x:v>
      </x:c>
      <x:c r="C290" t="str">
        <x:v>xMANGRAVYx</x:v>
      </x:c>
      <x:c r="D290" t="n">
        <x:v>1</x:v>
      </x:c>
      <x:c r="E290" t="str">
        <x:v>Advanced</x:v>
      </x:c>
      <x:c r="F290" t="str">
        <x:v>Kaizo</x:v>
      </x:c>
      <x:c r="G290" t="n">
        <x:v>45767</x:v>
      </x:c>
      <x:c r="H290" t="str">
        <x:v>39760</x:v>
      </x:c>
      <x:c r="I290" t="str">
        <x:v>https://www.smwcentral.net/?a=details&amp;id=39760&amp;p=section</x:v>
      </x:c>
      <x:c r="J290" t="str">
        <x:v>https://dl.smwcentral.net/39760/BUTT%20GRAVY.zip</x:v>
      </x:c>
    </x:row>
    <x:row r="291">
      <x:c r="A291" t="str">
        <x:v>Buzzed</x:v>
      </x:c>
      <x:c r="B291" t="str">
        <x:v>Buzzed</x:v>
      </x:c>
      <x:c r="C291" t="str">
        <x:v>bald_ridge</x:v>
      </x:c>
      <x:c r="D291" t="n">
        <x:v>10</x:v>
      </x:c>
      <x:c r="E291" t="str">
        <x:v>Advanced</x:v>
      </x:c>
      <x:c r="F291" t="str">
        <x:v>Kaizo</x:v>
      </x:c>
      <x:c r="G291" t="n">
        <x:v>45833</x:v>
      </x:c>
      <x:c r="H291" t="str">
        <x:v>40001</x:v>
      </x:c>
      <x:c r="I291" t="str">
        <x:v>https://www.smwcentral.net/?a=details&amp;id=40001&amp;p=section</x:v>
      </x:c>
      <x:c r="J291" t="str">
        <x:v>https://dl.smwcentral.net/40001/BUZZED.zip</x:v>
      </x:c>
    </x:row>
    <x:row r="292">
      <x:c r="A292" t="str">
        <x:v>Buzzy's World Tour</x:v>
      </x:c>
      <x:c r="B292" t="str">
        <x:v>Buzzy's World Tour</x:v>
      </x:c>
      <x:c r="C292" t="str">
        <x:v>Stivi</x:v>
      </x:c>
      <x:c r="D292" t="n">
        <x:v>6</x:v>
      </x:c>
      <x:c r="E292" t="str">
        <x:v>Intermediate</x:v>
      </x:c>
      <x:c r="F292" t="str">
        <x:v>Standard</x:v>
      </x:c>
      <x:c r="G292" t="n">
        <x:v>43651</x:v>
      </x:c>
      <x:c r="H292" t="str">
        <x:v>20379</x:v>
      </x:c>
      <x:c r="I292" t="str">
        <x:v>https://www.smwcentral.net/?a=details&amp;id=20379&amp;p=section</x:v>
      </x:c>
      <x:c r="J292" t="str">
        <x:v>https://dl.smwcentral.net/20379/Buzzy%27s%20World%20Tour%20%28DISCONTINUED%29.zip</x:v>
      </x:c>
    </x:row>
    <x:row r="293">
      <x:c r="A293" t="str">
        <x:v>By The Harvest Moon</x:v>
      </x:c>
      <x:c r="B293" t="str">
        <x:v>By The Harvest Moon</x:v>
      </x:c>
      <x:c r="C293" t="str">
        <x:v>levelengine</x:v>
      </x:c>
      <x:c r="D293" t="n">
        <x:v>5</x:v>
      </x:c>
      <x:c r="E293" t="str">
        <x:v>Intermediate</x:v>
      </x:c>
      <x:c r="F293" t="str">
        <x:v>Standard</x:v>
      </x:c>
      <x:c r="G293" t="n">
        <x:v>41900</x:v>
      </x:c>
      <x:c r="H293" t="str">
        <x:v>9267</x:v>
      </x:c>
      <x:c r="I293" t="str">
        <x:v>https://www.smwcentral.net/?a=details&amp;id=9267&amp;p=section</x:v>
      </x:c>
      <x:c r="J293" t="str">
        <x:v>https://dl.smwcentral.net/9267/By%20The%20Harvest%20Moon%202nd%20Edition.zip</x:v>
      </x:c>
    </x:row>
    <x:row r="294">
      <x:c r="A294" t="str">
        <x:v>Cacaphonic Chrysalis</x:v>
      </x:c>
      <x:c r="B294" t="str">
        <x:v>Cacaphonic Chrysalis</x:v>
      </x:c>
      <x:c r="C294" t="str">
        <x:v>Hwailaluta</x:v>
      </x:c>
      <x:c r="D294" t="n">
        <x:v>1</x:v>
      </x:c>
      <x:c r="E294" t="str">
        <x:v>Master</x:v>
      </x:c>
      <x:c r="F294" t="str">
        <x:v>Kaizo</x:v>
      </x:c>
      <x:c r="G294" t="n">
        <x:v>44798</x:v>
      </x:c>
      <x:c r="H294" t="str">
        <x:v>31877</x:v>
      </x:c>
      <x:c r="I294" t="str">
        <x:v>https://www.smwcentral.net/?a=details&amp;id=31877&amp;p=section</x:v>
      </x:c>
      <x:c r="J294" t="str">
        <x:v>https://dl.smwcentral.net/31877/CacaphonicChrysalis.zip</x:v>
      </x:c>
    </x:row>
    <x:row r="295">
      <x:c r="A295" t="str">
        <x:v>Cadaverous Chains</x:v>
      </x:c>
      <x:c r="B295" t="str">
        <x:v>Cadaverous Chains</x:v>
      </x:c>
      <x:c r="C295" t="str">
        <x:v>ft029</x:v>
      </x:c>
      <x:c r="D295" t="n">
        <x:v>1</x:v>
      </x:c>
      <x:c r="E295" t="str">
        <x:v>Expert</x:v>
      </x:c>
      <x:c r="F295" t="str">
        <x:v>Kaizo</x:v>
      </x:c>
      <x:c r="G295" t="n">
        <x:v>42674</x:v>
      </x:c>
      <x:c r="H295" t="str">
        <x:v>14605</x:v>
      </x:c>
      <x:c r="I295" t="str">
        <x:v>https://www.smwcentral.net/?a=details&amp;id=14605&amp;p=section</x:v>
      </x:c>
      <x:c r="J295" t="str">
        <x:v>https://dl.smwcentral.net/14605/Cadaverous%20Chains.zip</x:v>
      </x:c>
    </x:row>
    <x:row r="296">
      <x:c r="A296" t="str">
        <x:v>Can't Stop Won't Stop</x:v>
      </x:c>
      <x:c r="B296" t="str">
        <x:v>Can't Stop Won't Stop</x:v>
      </x:c>
      <x:c r="C296" t="str">
        <x:v>brown_tower</x:v>
      </x:c>
      <x:c r="D296" t="n">
        <x:v>6</x:v>
      </x:c>
      <x:c r="E296" t="str">
        <x:v>Expert</x:v>
      </x:c>
      <x:c r="F296" t="str">
        <x:v>Kaizo</x:v>
      </x:c>
      <x:c r="G296" t="n">
        <x:v>46080</x:v>
      </x:c>
      <x:c r="H296" t="str">
        <x:v>41726</x:v>
      </x:c>
      <x:c r="I296" t="str">
        <x:v>https://www.smwcentral.net/?a=details&amp;id=41726&amp;p=section</x:v>
      </x:c>
      <x:c r="J296" t="str">
        <x:v>https://dl.smwcentral.net/41726/CantStopWontStop_v1.1.zip</x:v>
      </x:c>
    </x:row>
    <x:row r="297">
      <x:c r="A297" t="str">
        <x:v>Candy Shop</x:v>
      </x:c>
      <x:c r="B297" t="str">
        <x:v>Candy Shop</x:v>
      </x:c>
      <x:c r="C297" t="str">
        <x:v>Saphros</x:v>
      </x:c>
      <x:c r="D297" t="n">
        <x:v>12</x:v>
      </x:c>
      <x:c r="E297" t="str">
        <x:v>Advanced</x:v>
      </x:c>
      <x:c r="F297" t="str">
        <x:v>Kaizo</x:v>
      </x:c>
      <x:c r="G297" t="n">
        <x:v>45540</x:v>
      </x:c>
      <x:c r="H297" t="str">
        <x:v>38387</x:v>
      </x:c>
      <x:c r="I297" t="str">
        <x:v>https://www.smwcentral.net/?a=details&amp;id=38387&amp;p=section</x:v>
      </x:c>
      <x:c r="J297" t="str">
        <x:v>https://dl.smwcentral.net/38387/Candy_Shop.zip</x:v>
      </x:c>
    </x:row>
    <x:row r="298">
      <x:c r="A298" t="str">
        <x:v>Candy Shop - Light Edition</x:v>
      </x:c>
      <x:c r="B298" t="str">
        <x:v>Candy Shop - Light Edition</x:v>
      </x:c>
      <x:c r="C298" t="str">
        <x:v>Saphros</x:v>
      </x:c>
      <x:c r="D298" t="n">
        <x:v>10</x:v>
      </x:c>
      <x:c r="E298" t="str">
        <x:v>Intermediate</x:v>
      </x:c>
      <x:c r="F298" t="str">
        <x:v>Kaizo</x:v>
      </x:c>
      <x:c r="G298" t="n">
        <x:v>45717</x:v>
      </x:c>
      <x:c r="H298" t="str">
        <x:v>39487</x:v>
      </x:c>
      <x:c r="I298" t="str">
        <x:v>https://www.smwcentral.net/?a=details&amp;id=39487&amp;p=section</x:v>
      </x:c>
      <x:c r="J298" t="str">
        <x:v>https://dl.smwcentral.net/39487/Candyshop%20-%20Light%20Edition%201.1.zip</x:v>
      </x:c>
    </x:row>
    <x:row r="299">
      <x:c r="A299" t="str">
        <x:v>Cangrejo Kaizo Land</x:v>
      </x:c>
      <x:c r="B299" t="str">
        <x:v>Cangrejo Kaizo Land</x:v>
      </x:c>
      <x:c r="C299" t="str">
        <x:v>Hiroki</x:v>
      </x:c>
      <x:c r="D299" t="n">
        <x:v>17</x:v>
      </x:c>
      <x:c r="E299" t="str">
        <x:v>Advanced</x:v>
      </x:c>
      <x:c r="F299" t="str">
        <x:v>Kaizo</x:v>
      </x:c>
      <x:c r="G299" t="n">
        <x:v>44285</x:v>
      </x:c>
      <x:c r="H299" t="str">
        <x:v>26500</x:v>
      </x:c>
      <x:c r="I299" t="str">
        <x:v>https://www.smwcentral.net/?a=details&amp;id=26500&amp;p=section</x:v>
      </x:c>
      <x:c r="J299" t="str">
        <x:v>https://dl.smwcentral.net/26500/Cangrejo%20Kaizo%20Land%20v1.1.zip</x:v>
      </x:c>
    </x:row>
    <x:row r="300">
      <x:c r="A300" t="str">
        <x:v>Cape is Good</x:v>
      </x:c>
      <x:c r="B300" t="str">
        <x:v>Cape is Good</x:v>
      </x:c>
      <x:c r="C300" t="str">
        <x:v>Insanit</x:v>
      </x:c>
      <x:c r="D300" t="n">
        <x:v>7</x:v>
      </x:c>
      <x:c r="E300" t="str">
        <x:v>Expert</x:v>
      </x:c>
      <x:c r="F300" t="str">
        <x:v>Kaizo</x:v>
      </x:c>
      <x:c r="G300" t="n">
        <x:v>45778</x:v>
      </x:c>
      <x:c r="H300" t="str">
        <x:v>39796</x:v>
      </x:c>
      <x:c r="I300" t="str">
        <x:v>https://www.smwcentral.net/?a=details&amp;id=39796&amp;p=section</x:v>
      </x:c>
      <x:c r="J300" t="str">
        <x:v>https://dl.smwcentral.net/39796/Cape%20is%20Good%201.3.zip</x:v>
      </x:c>
    </x:row>
    <x:row r="301">
      <x:c r="A301" t="str">
        <x:v>Capirotada Land</x:v>
      </x:c>
      <x:c r="B301" t="str">
        <x:v>Capirotada Land</x:v>
      </x:c>
      <x:c r="C301" t="str">
        <x:v>Mane Bros.</x:v>
      </x:c>
      <x:c r="D301" t="n">
        <x:v>10</x:v>
      </x:c>
      <x:c r="E301" t="str">
        <x:v>Expert</x:v>
      </x:c>
      <x:c r="F301" t="str">
        <x:v>Kaizo</x:v>
      </x:c>
      <x:c r="G301" t="n">
        <x:v>44827</x:v>
      </x:c>
      <x:c r="H301" t="str">
        <x:v>32084</x:v>
      </x:c>
      <x:c r="I301" t="str">
        <x:v>https://www.smwcentral.net/?a=details&amp;id=32084&amp;p=section</x:v>
      </x:c>
      <x:c r="J301" t="str">
        <x:v>https://dl.smwcentral.net/32084/Capirotada%20Land%202.1.zip</x:v>
      </x:c>
    </x:row>
    <x:row r="302">
      <x:c r="A302" t="str">
        <x:v>Capirotada Land 2: Meta Knight's Intervention</x:v>
      </x:c>
      <x:c r="B302" t="str">
        <x:v>Capirotada Land 2: Meta Knight's Intervention</x:v>
      </x:c>
      <x:c r="C302" t="str">
        <x:v>Mane Bros.</x:v>
      </x:c>
      <x:c r="D302" t="n">
        <x:v>18</x:v>
      </x:c>
      <x:c r="E302" t="str">
        <x:v>Master</x:v>
      </x:c>
      <x:c r="F302" t="str">
        <x:v>Kaizo</x:v>
      </x:c>
      <x:c r="G302" t="n">
        <x:v>45054</x:v>
      </x:c>
      <x:c r="H302" t="str">
        <x:v>33805</x:v>
      </x:c>
      <x:c r="I302" t="str">
        <x:v>https://www.smwcentral.net/?a=details&amp;id=33805&amp;p=section</x:v>
      </x:c>
      <x:c r="J302" t="str">
        <x:v>https://dl.smwcentral.net/33805/Capirotada%20Land%202.zip</x:v>
      </x:c>
    </x:row>
    <x:row r="303">
      <x:c r="A303" t="str">
        <x:v>Captain Barry's Treasure</x:v>
      </x:c>
      <x:c r="B303" t="str">
        <x:v>Captain Barry's Treasure</x:v>
      </x:c>
      <x:c r="C303" t="str">
        <x:v>MORC</x:v>
      </x:c>
      <x:c r="D303" t="n">
        <x:v>8</x:v>
      </x:c>
      <x:c r="E303" t="str">
        <x:v>Casual</x:v>
      </x:c>
      <x:c r="F303" t="str">
        <x:v>Standard</x:v>
      </x:c>
      <x:c r="G303" t="n">
        <x:v>43700</x:v>
      </x:c>
      <x:c r="H303" t="str">
        <x:v>21010</x:v>
      </x:c>
      <x:c r="I303" t="str">
        <x:v>https://www.smwcentral.net/?a=details&amp;id=21010&amp;p=section</x:v>
      </x:c>
      <x:c r="J303" t="str">
        <x:v>https://dl.smwcentral.net/21010/Captain%20Barry%27s%20Treasure%20V1.2.zip</x:v>
      </x:c>
    </x:row>
    <x:row r="304">
      <x:c r="A304" t="str">
        <x:v>Captain Toad treasure tracker for snes</x:v>
      </x:c>
      <x:c r="B304" t="str">
        <x:v>Captain Toad treasure tracker for snes</x:v>
      </x:c>
      <x:c r="C304" t="str">
        <x:v>zacmario</x:v>
      </x:c>
      <x:c r="D304" t="n">
        <x:v>24</x:v>
      </x:c>
      <x:c r="E304" t="str">
        <x:v>Intermediate</x:v>
      </x:c>
      <x:c r="F304" t="str">
        <x:v>Standard</x:v>
      </x:c>
      <x:c r="G304" t="n">
        <x:v>42719</x:v>
      </x:c>
      <x:c r="H304" t="str">
        <x:v>14736</x:v>
      </x:c>
      <x:c r="I304" t="str">
        <x:v>https://www.smwcentral.net/?a=details&amp;id=14736&amp;p=section</x:v>
      </x:c>
      <x:c r="J304" t="str">
        <x:v>https://dl.smwcentral.net/14736/Capttoad1.1.zip</x:v>
      </x:c>
    </x:row>
    <x:row r="305">
      <x:c r="A305" t="str">
        <x:v>Captain Toad Treasure Tracker for SNES II</x:v>
      </x:c>
      <x:c r="B305" t="str">
        <x:v>Captain Toad Treasure Tracker for SNES II</x:v>
      </x:c>
      <x:c r="C305" t="str">
        <x:v>zacmario</x:v>
      </x:c>
      <x:c r="D305" t="n">
        <x:v>25</x:v>
      </x:c>
      <x:c r="E305" t="str">
        <x:v>Casual</x:v>
      </x:c>
      <x:c r="F305" t="str">
        <x:v>Standard</x:v>
      </x:c>
      <x:c r="G305" t="n">
        <x:v>43275</x:v>
      </x:c>
      <x:c r="H305" t="str">
        <x:v>17594</x:v>
      </x:c>
      <x:c r="I305" t="str">
        <x:v>https://www.smwcentral.net/?a=details&amp;id=17594&amp;p=section</x:v>
      </x:c>
      <x:c r="J305" t="str">
        <x:v>https://dl.smwcentral.net/17594/Captain%20Toad%20IIv1.2.zip</x:v>
      </x:c>
    </x:row>
    <x:row r="306">
      <x:c r="A306" t="str">
        <x:v>Capture That Cake!</x:v>
      </x:c>
      <x:c r="B306" t="str">
        <x:v>Capture That Cake!</x:v>
      </x:c>
      <x:c r="C306" t="str">
        <x:v>Zildjian</x:v>
      </x:c>
      <x:c r="D306" t="n">
        <x:v>6</x:v>
      </x:c>
      <x:c r="E306" t="str">
        <x:v>Casual</x:v>
      </x:c>
      <x:c r="F306" t="str">
        <x:v>Standard</x:v>
      </x:c>
      <x:c r="G306" t="n">
        <x:v>41675</x:v>
      </x:c>
      <x:c r="H306" t="str">
        <x:v>6264</x:v>
      </x:c>
      <x:c r="I306" t="str">
        <x:v>https://www.smwcentral.net/?a=details&amp;id=6264&amp;p=section</x:v>
      </x:c>
      <x:c r="J306" t="str">
        <x:v>https://dl.smwcentral.net/6264/ctc%21.zip</x:v>
      </x:c>
    </x:row>
    <x:row r="307">
      <x:c r="A307" t="str">
        <x:v>Carl vs Juz: Carl's Toilet</x:v>
      </x:c>
      <x:c r="B307" t="str">
        <x:v>Carl vs Juz: Carl's Toilet</x:v>
      </x:c>
      <x:c r="C307" t="str">
        <x:v>juzcook</x:v>
      </x:c>
      <x:c r="D307" t="n">
        <x:v>1</x:v>
      </x:c>
      <x:c r="E307" t="str">
        <x:v>Intermediate</x:v>
      </x:c>
      <x:c r="F307" t="str">
        <x:v>Kaizo</x:v>
      </x:c>
      <x:c r="G307" t="n">
        <x:v>43946</x:v>
      </x:c>
      <x:c r="H307" t="str">
        <x:v>22475</x:v>
      </x:c>
      <x:c r="I307" t="str">
        <x:v>https://www.smwcentral.net/?a=details&amp;id=22475&amp;p=section</x:v>
      </x:c>
      <x:c r="J307" t="str">
        <x:v>https://dl.smwcentral.net/22475/Carls_Toilet.zip</x:v>
      </x:c>
    </x:row>
    <x:row r="308">
      <x:c r="A308" t="str">
        <x:v>Carl vs Juz: Juzt Desserts</x:v>
      </x:c>
      <x:c r="B308" t="str">
        <x:v>Carl vs Juz: Juzt Desserts</x:v>
      </x:c>
      <x:c r="C308" t="str">
        <x:v>juzcook</x:v>
      </x:c>
      <x:c r="D308" t="n">
        <x:v>1</x:v>
      </x:c>
      <x:c r="E308" t="str">
        <x:v>Expert</x:v>
      </x:c>
      <x:c r="F308" t="str">
        <x:v>Standard, Kaizo</x:v>
      </x:c>
      <x:c r="G308" t="n">
        <x:v>43972</x:v>
      </x:c>
      <x:c r="H308" t="str">
        <x:v>22856</x:v>
      </x:c>
      <x:c r="I308" t="str">
        <x:v>https://www.smwcentral.net/?a=details&amp;id=22856&amp;p=section</x:v>
      </x:c>
      <x:c r="J308" t="str">
        <x:v>https://dl.smwcentral.net/22856/JuztDesserts.zip</x:v>
      </x:c>
    </x:row>
    <x:row r="309">
      <x:c r="A309" t="str">
        <x:v>Cartuchito World</x:v>
      </x:c>
      <x:c r="B309" t="str">
        <x:v>Cartuchito World</x:v>
      </x:c>
      <x:c r="C309" t="str">
        <x:v>MaxwelHacks</x:v>
      </x:c>
      <x:c r="D309" t="n">
        <x:v>26</x:v>
      </x:c>
      <x:c r="E309" t="str">
        <x:v>Casual</x:v>
      </x:c>
      <x:c r="F309" t="str">
        <x:v>Standard</x:v>
      </x:c>
      <x:c r="G309" t="n">
        <x:v>42615</x:v>
      </x:c>
      <x:c r="H309" t="str">
        <x:v>14348</x:v>
      </x:c>
      <x:c r="I309" t="str">
        <x:v>https://www.smwcentral.net/?a=details&amp;id=14348&amp;p=section</x:v>
      </x:c>
      <x:c r="J309" t="str">
        <x:v>https://dl.smwcentral.net/14348/Cartuchito%20World.zip</x:v>
      </x:c>
    </x:row>
    <x:row r="310">
      <x:c r="A310" t="str">
        <x:v>Casio Mario World</x:v>
      </x:c>
      <x:c r="B310" t="str">
        <x:v>Casio Mario World</x:v>
      </x:c>
      <x:c r="C310" t="str">
        <x:v>Wyatt</x:v>
      </x:c>
      <x:c r="D310" t="n">
        <x:v>9</x:v>
      </x:c>
      <x:c r="E310" t="str">
        <x:v>Grandmaster</x:v>
      </x:c>
      <x:c r="F310" t="str">
        <x:v>Kaizo</x:v>
      </x:c>
      <x:c r="G310" t="n">
        <x:v>44135</x:v>
      </x:c>
      <x:c r="H310" t="str">
        <x:v>24990</x:v>
      </x:c>
      <x:c r="I310" t="str">
        <x:v>https://www.smwcentral.net/?a=details&amp;id=24990&amp;p=section</x:v>
      </x:c>
      <x:c r="J310" t="str">
        <x:v>https://dl.smwcentral.net/24990/Casio%20Mario%20World.zip</x:v>
      </x:c>
    </x:row>
    <x:row r="311">
      <x:c r="A311" t="str">
        <x:v>Castle of Terror 3</x:v>
      </x:c>
      <x:c r="B311" t="str">
        <x:v>Castle of Terror 3</x:v>
      </x:c>
      <x:c r="C311" t="str">
        <x:v>IgorS777</x:v>
      </x:c>
      <x:c r="D311" t="n">
        <x:v>1</x:v>
      </x:c>
      <x:c r="E311" t="str">
        <x:v>Advanced</x:v>
      </x:c>
      <x:c r="F311" t="str">
        <x:v>Kaizo, Tool-Assisted</x:v>
      </x:c>
      <x:c r="G311" t="n">
        <x:v>42897</x:v>
      </x:c>
      <x:c r="H311" t="str">
        <x:v>15634</x:v>
      </x:c>
      <x:c r="I311" t="str">
        <x:v>https://www.smwcentral.net/?a=details&amp;id=15634&amp;p=section</x:v>
      </x:c>
      <x:c r="J311" t="str">
        <x:v>https://dl.smwcentral.net/15634/CastleOfTerror3.zip</x:v>
      </x:c>
    </x:row>
    <x:row r="312">
      <x:c r="A312" t="str">
        <x:v>Castle of Time</x:v>
      </x:c>
      <x:c r="B312" t="str">
        <x:v>Castle of Time</x:v>
      </x:c>
      <x:c r="C312" t="str">
        <x:v>Yoshiro</x:v>
      </x:c>
      <x:c r="D312" t="n">
        <x:v>5</x:v>
      </x:c>
      <x:c r="E312" t="str">
        <x:v>Casual</x:v>
      </x:c>
      <x:c r="F312" t="str">
        <x:v>Standard</x:v>
      </x:c>
      <x:c r="G312" t="n">
        <x:v>42276</x:v>
      </x:c>
      <x:c r="H312" t="str">
        <x:v>10063</x:v>
      </x:c>
      <x:c r="I312" t="str">
        <x:v>https://www.smwcentral.net/?a=details&amp;id=10063&amp;p=section</x:v>
      </x:c>
      <x:c r="J312" t="str">
        <x:v>https://dl.smwcentral.net/10063/Cot.zip</x:v>
      </x:c>
    </x:row>
    <x:row r="313">
      <x:c r="A313" t="str">
        <x:v>Castlemania</x:v>
      </x:c>
      <x:c r="B313" t="str">
        <x:v>Castlemania</x:v>
      </x:c>
      <x:c r="C313" t="str">
        <x:v>xMANGRAVYx</x:v>
      </x:c>
      <x:c r="D313" t="n">
        <x:v>6</x:v>
      </x:c>
      <x:c r="E313" t="str">
        <x:v>Intermediate</x:v>
      </x:c>
      <x:c r="F313" t="str">
        <x:v>Standard</x:v>
      </x:c>
      <x:c r="G313" t="n">
        <x:v>46142</x:v>
      </x:c>
      <x:c r="H313" t="str">
        <x:v>42285</x:v>
      </x:c>
      <x:c r="I313" t="str">
        <x:v>https://www.smwcentral.net/?a=details&amp;id=42285&amp;p=section</x:v>
      </x:c>
      <x:c r="J313" t="str">
        <x:v>https://dl.smwcentral.net/42285/Castlemania%20v1.1.zip</x:v>
      </x:c>
    </x:row>
    <x:row r="314">
      <x:c r="A314" t="str">
        <x:v>Castlemania - REVAMPED</x:v>
      </x:c>
      <x:c r="B314" t="str">
        <x:v>Castlemania - REVAMPED</x:v>
      </x:c>
      <x:c r="C314" t="str">
        <x:v>xMANGRAVYx</x:v>
      </x:c>
      <x:c r="D314" t="n">
        <x:v>6</x:v>
      </x:c>
      <x:c r="E314" t="str">
        <x:v>Intermediate</x:v>
      </x:c>
      <x:c r="F314" t="str">
        <x:v>Standard</x:v>
      </x:c>
      <x:c r="G314" t="n">
        <x:v>46198</x:v>
      </x:c>
      <x:c r="H314" t="str">
        <x:v>42459</x:v>
      </x:c>
      <x:c r="I314" t="str">
        <x:v>https://www.smwcentral.net/?a=details&amp;id=42459&amp;p=section</x:v>
      </x:c>
      <x:c r="J314" t="str">
        <x:v>https://dl.smwcentral.net/42459/Castlemania%20-%20REVAMPED.zip</x:v>
      </x:c>
    </x:row>
    <x:row r="315">
      <x:c r="A315" t="str">
        <x:v>Castlemania II</x:v>
      </x:c>
      <x:c r="B315" t="str">
        <x:v>Castlemania II</x:v>
      </x:c>
      <x:c r="C315" t="str">
        <x:v>xMANGRAVYx</x:v>
      </x:c>
      <x:c r="D315" t="n">
        <x:v>6</x:v>
      </x:c>
      <x:c r="E315" t="str">
        <x:v>Advanced</x:v>
      </x:c>
      <x:c r="F315" t="str">
        <x:v>Standard</x:v>
      </x:c>
      <x:c r="G315" t="n">
        <x:v>46164</x:v>
      </x:c>
      <x:c r="H315" t="str">
        <x:v>42393</x:v>
      </x:c>
      <x:c r="I315" t="str">
        <x:v>https://www.smwcentral.net/?a=details&amp;id=42393&amp;p=section</x:v>
      </x:c>
      <x:c r="J315" t="str">
        <x:v>https://dl.smwcentral.net/42393/Castlemania%20II%20v1.1.zip</x:v>
      </x:c>
    </x:row>
    <x:row r="316">
      <x:c r="A316" t="str">
        <x:v>Castlemania II - REVAMPED</x:v>
      </x:c>
      <x:c r="B316" t="str">
        <x:v>Castlemania II - REVAMPED</x:v>
      </x:c>
      <x:c r="C316" t="str">
        <x:v>xMANGRAVYx</x:v>
      </x:c>
      <x:c r="D316" t="n">
        <x:v>6</x:v>
      </x:c>
      <x:c r="E316" t="str">
        <x:v>Advanced</x:v>
      </x:c>
      <x:c r="F316" t="str">
        <x:v>Standard</x:v>
      </x:c>
      <x:c r="G316" t="n">
        <x:v>46202</x:v>
      </x:c>
      <x:c r="H316" t="str">
        <x:v>42602</x:v>
      </x:c>
      <x:c r="I316" t="str">
        <x:v>https://www.smwcentral.net/?a=details&amp;id=42602&amp;p=section</x:v>
      </x:c>
      <x:c r="J316" t="str">
        <x:v>https://dl.smwcentral.net/42602/Castlemania%20II%20-%20REVAMPED.zip</x:v>
      </x:c>
    </x:row>
    <x:row r="317">
      <x:c r="A317" t="str">
        <x:v>CATACLYSM</x:v>
      </x:c>
      <x:c r="B317" t="str">
        <x:v>CATACLYSM</x:v>
      </x:c>
      <x:c r="C317" t="str">
        <x:v>xHF01x</x:v>
      </x:c>
      <x:c r="D317" t="n">
        <x:v>1</x:v>
      </x:c>
      <x:c r="E317" t="str">
        <x:v>Grandmaster</x:v>
      </x:c>
      <x:c r="F317" t="str">
        <x:v>Tool-Assisted, Pit</x:v>
      </x:c>
      <x:c r="G317" t="n">
        <x:v>43962</x:v>
      </x:c>
      <x:c r="H317" t="str">
        <x:v>21933</x:v>
      </x:c>
      <x:c r="I317" t="str">
        <x:v>https://www.smwcentral.net/?a=details&amp;id=21933&amp;p=section</x:v>
      </x:c>
      <x:c r="J317" t="str">
        <x:v>https://dl.smwcentral.net/21933/CATACLYSM%20v1.2.zip</x:v>
      </x:c>
    </x:row>
    <x:row r="318">
      <x:c r="A318" t="str">
        <x:v>Cave Escape</x:v>
      </x:c>
      <x:c r="B318" t="str">
        <x:v>Cave Escape</x:v>
      </x:c>
      <x:c r="C318" t="str">
        <x:v>MarioFan22</x:v>
      </x:c>
      <x:c r="D318" t="n">
        <x:v>2</x:v>
      </x:c>
      <x:c r="E318" t="str">
        <x:v>Casual</x:v>
      </x:c>
      <x:c r="F318" t="str">
        <x:v>Standard</x:v>
      </x:c>
      <x:c r="G318" t="n">
        <x:v>41999</x:v>
      </x:c>
      <x:c r="H318" t="str">
        <x:v>9704</x:v>
      </x:c>
      <x:c r="I318" t="str">
        <x:v>https://www.smwcentral.net/?a=details&amp;id=9704&amp;p=section</x:v>
      </x:c>
      <x:c r="J318" t="str">
        <x:v>https://dl.smwcentral.net/9704/CaveEscape1.5.zip</x:v>
      </x:c>
    </x:row>
    <x:row r="319">
      <x:c r="A319" t="str">
        <x:v>Caveat Emptor 2</x:v>
      </x:c>
      <x:c r="B319" t="str">
        <x:v>Caveat Emptor 2</x:v>
      </x:c>
      <x:c r="C319" t="str">
        <x:v>ElohssaYtrid</x:v>
      </x:c>
      <x:c r="D319" t="n">
        <x:v>11</x:v>
      </x:c>
      <x:c r="E319" t="str">
        <x:v>Expert</x:v>
      </x:c>
      <x:c r="F319" t="str">
        <x:v>Kaizo</x:v>
      </x:c>
      <x:c r="G319" t="n">
        <x:v>44237</x:v>
      </x:c>
      <x:c r="H319" t="str">
        <x:v>25656</x:v>
      </x:c>
      <x:c r="I319" t="str">
        <x:v>https://www.smwcentral.net/?a=details&amp;id=25656&amp;p=section</x:v>
      </x:c>
      <x:c r="J319" t="str">
        <x:v>https://dl.smwcentral.net/25656/CaveatEmptor2v1.11.zip</x:v>
      </x:c>
    </x:row>
    <x:row r="320">
      <x:c r="A320" t="str">
        <x:v>Cazeaje World</x:v>
      </x:c>
      <x:c r="B320" t="str">
        <x:v>Cazeaje World</x:v>
      </x:c>
      <x:c r="C320" t="str">
        <x:v>Deivid Borba</x:v>
      </x:c>
      <x:c r="D320" t="n">
        <x:v>6</x:v>
      </x:c>
      <x:c r="E320" t="str">
        <x:v>Expert</x:v>
      </x:c>
      <x:c r="F320" t="str">
        <x:v>Kaizo</x:v>
      </x:c>
      <x:c r="G320" t="n">
        <x:v>44362</x:v>
      </x:c>
      <x:c r="H320" t="str">
        <x:v>27260</x:v>
      </x:c>
      <x:c r="I320" t="str">
        <x:v>https://www.smwcentral.net/?a=details&amp;id=27260&amp;p=section</x:v>
      </x:c>
      <x:c r="J320" t="str">
        <x:v>https://dl.smwcentral.net/27260/Cazeaje%20World.zip</x:v>
      </x:c>
    </x:row>
    <x:row r="321">
      <x:c r="A321" t="str">
        <x:v>Celery</x:v>
      </x:c>
      <x:c r="B321" t="str">
        <x:v>Celery</x:v>
      </x:c>
      <x:c r="C321" t="str">
        <x:v>Jordan</x:v>
      </x:c>
      <x:c r="D321" t="n">
        <x:v>20</x:v>
      </x:c>
      <x:c r="E321" t="str">
        <x:v>Casual</x:v>
      </x:c>
      <x:c r="F321" t="str">
        <x:v>Kaizo</x:v>
      </x:c>
      <x:c r="G321" t="n">
        <x:v>46006</x:v>
      </x:c>
      <x:c r="H321" t="str">
        <x:v>41254</x:v>
      </x:c>
      <x:c r="I321" t="str">
        <x:v>https://www.smwcentral.net/?a=details&amp;id=41254&amp;p=section</x:v>
      </x:c>
      <x:c r="J321" t="str">
        <x:v>https://dl.smwcentral.net/41254/Celery%201.1.zip</x:v>
      </x:c>
    </x:row>
    <x:row r="322">
      <x:c r="A322" t="str">
        <x:v>Celeste.smc</x:v>
      </x:c>
      <x:c r="B322" t="str">
        <x:v>Celeste.smc</x:v>
      </x:c>
      <x:c r="C322" t="str">
        <x:v>MarkAlarm</x:v>
      </x:c>
      <x:c r="D322" t="n">
        <x:v>9</x:v>
      </x:c>
      <x:c r="E322" t="str">
        <x:v>Expert</x:v>
      </x:c>
      <x:c r="F322" t="str">
        <x:v>Kaizo</x:v>
      </x:c>
      <x:c r="G322" t="n">
        <x:v>44594</x:v>
      </x:c>
      <x:c r="H322" t="str">
        <x:v>29613</x:v>
      </x:c>
      <x:c r="I322" t="str">
        <x:v>https://www.smwcentral.net/?a=details&amp;id=29613&amp;p=section</x:v>
      </x:c>
      <x:c r="J322" t="str">
        <x:v>https://dl.smwcentral.net/29613/Celeste.zip</x:v>
      </x:c>
    </x:row>
    <x:row r="323">
      <x:c r="A323" t="str">
        <x:v>Chain Reaction</x:v>
      </x:c>
      <x:c r="B323" t="str">
        <x:v>Chain Reaction</x:v>
      </x:c>
      <x:c r="C323" t="str">
        <x:v>Sweetdude</x:v>
      </x:c>
      <x:c r="D323" t="n">
        <x:v>15</x:v>
      </x:c>
      <x:c r="E323" t="str">
        <x:v>Expert</x:v>
      </x:c>
      <x:c r="F323" t="str">
        <x:v>Kaizo</x:v>
      </x:c>
      <x:c r="G323" t="n">
        <x:v>43452</x:v>
      </x:c>
      <x:c r="H323" t="str">
        <x:v>18669</x:v>
      </x:c>
      <x:c r="I323" t="str">
        <x:v>https://www.smwcentral.net/?a=details&amp;id=18669&amp;p=section</x:v>
      </x:c>
      <x:c r="J323" t="str">
        <x:v>https://dl.smwcentral.net/18669/Chain%20Reaction.zip</x:v>
      </x:c>
    </x:row>
    <x:row r="324">
      <x:c r="A324" t="str">
        <x:v>Chain Reaction 2</x:v>
      </x:c>
      <x:c r="B324" t="str">
        <x:v>Chain Reaction 2</x:v>
      </x:c>
      <x:c r="C324" t="str">
        <x:v>Sweetdude</x:v>
      </x:c>
      <x:c r="D324" t="n">
        <x:v>0</x:v>
      </x:c>
      <x:c r="E324" t="str">
        <x:v>Expert</x:v>
      </x:c>
      <x:c r="F324" t="str">
        <x:v>Kaizo</x:v>
      </x:c>
      <x:c r="G324" t="n">
        <x:v>45902</x:v>
      </x:c>
      <x:c r="H324" t="str">
        <x:v>40504</x:v>
      </x:c>
      <x:c r="I324" t="str">
        <x:v>https://www.smwcentral.net/?a=details&amp;id=40504&amp;p=section</x:v>
      </x:c>
      <x:c r="J324" t="str">
        <x:v>https://dl.smwcentral.net/40504/CR2.zip</x:v>
      </x:c>
    </x:row>
    <x:row r="325">
      <x:c r="A325" t="str">
        <x:v>Chaos Chronicles</x:v>
      </x:c>
      <x:c r="B325" t="str">
        <x:v>Chaos Chronicles</x:v>
      </x:c>
      <x:c r="C325" t="str">
        <x:v>PhoenixTN</x:v>
      </x:c>
      <x:c r="D325" t="n">
        <x:v>11</x:v>
      </x:c>
      <x:c r="E325" t="str">
        <x:v>Casual</x:v>
      </x:c>
      <x:c r="F325" t="str">
        <x:v>Standard</x:v>
      </x:c>
      <x:c r="G325" t="n">
        <x:v>42215</x:v>
      </x:c>
      <x:c r="H325" t="str">
        <x:v>9713</x:v>
      </x:c>
      <x:c r="I325" t="str">
        <x:v>https://www.smwcentral.net/?a=details&amp;id=9713&amp;p=section</x:v>
      </x:c>
      <x:c r="J325" t="str">
        <x:v>https://dl.smwcentral.net/9713/Chaos%20Chronicles%20Demo%201%20%28Fixed%29.zip</x:v>
      </x:c>
    </x:row>
    <x:row r="326">
      <x:c r="A326" t="str">
        <x:v>Chaos CompleXX</x:v>
      </x:c>
      <x:c r="B326" t="str">
        <x:v>Chaos CompleXX</x:v>
      </x:c>
      <x:c r="C326" t="str">
        <x:v>FPI</x:v>
      </x:c>
      <x:c r="D326" t="n">
        <x:v>26</x:v>
      </x:c>
      <x:c r="E326" t="str">
        <x:v>Intermediate</x:v>
      </x:c>
      <x:c r="F326" t="str">
        <x:v>Standard</x:v>
      </x:c>
      <x:c r="G326" t="n">
        <x:v>42037</x:v>
      </x:c>
      <x:c r="H326" t="str">
        <x:v>9680</x:v>
      </x:c>
      <x:c r="I326" t="str">
        <x:v>https://www.smwcentral.net/?a=details&amp;id=9680&amp;p=section</x:v>
      </x:c>
      <x:c r="J326" t="str">
        <x:v>https://dl.smwcentral.net/9680/chaoscomplexx.zip</x:v>
      </x:c>
    </x:row>
    <x:row r="327">
      <x:c r="A327" t="str">
        <x:v>Chaotic Realm</x:v>
      </x:c>
      <x:c r="B327" t="str">
        <x:v>Chaotic Realm</x:v>
      </x:c>
      <x:c r="C327" t="str">
        <x:v>anonimato</x:v>
      </x:c>
      <x:c r="D327" t="n">
        <x:v>10</x:v>
      </x:c>
      <x:c r="E327" t="str">
        <x:v>Intermediate</x:v>
      </x:c>
      <x:c r="F327" t="str">
        <x:v>Standard</x:v>
      </x:c>
      <x:c r="G327" t="n">
        <x:v>45314</x:v>
      </x:c>
      <x:c r="H327" t="str">
        <x:v>35560</x:v>
      </x:c>
      <x:c r="I327" t="str">
        <x:v>https://www.smwcentral.net/?a=details&amp;id=35560&amp;p=section</x:v>
      </x:c>
      <x:c r="J327" t="str">
        <x:v>https://dl.smwcentral.net/35560/Chaotic%20Realm%20V1.22_fixed.zip</x:v>
      </x:c>
    </x:row>
    <x:row r="328">
      <x:c r="A328" t="str">
        <x:v>Cheap &amp; Nasty</x:v>
      </x:c>
      <x:c r="B328" t="str">
        <x:v>Cheap &amp; Nasty</x:v>
      </x:c>
      <x:c r="C328" t="str">
        <x:v>DashGamer</x:v>
      </x:c>
      <x:c r="D328" t="n">
        <x:v>4</x:v>
      </x:c>
      <x:c r="E328" t="str">
        <x:v>Expert</x:v>
      </x:c>
      <x:c r="F328" t="str">
        <x:v>Kaizo</x:v>
      </x:c>
      <x:c r="G328" t="n">
        <x:v>45111</x:v>
      </x:c>
      <x:c r="H328" t="str">
        <x:v>34198</x:v>
      </x:c>
      <x:c r="I328" t="str">
        <x:v>https://www.smwcentral.net/?a=details&amp;id=34198&amp;p=section</x:v>
      </x:c>
      <x:c r="J328" t="str">
        <x:v>https://dl.smwcentral.net/34198/CheapNasty.zip</x:v>
      </x:c>
    </x:row>
    <x:row r="329">
      <x:c r="A329" t="str">
        <x:v>Cheep Cheep Challenge</x:v>
      </x:c>
      <x:c r="B329" t="str">
        <x:v>Cheep Cheep Challenge</x:v>
      </x:c>
      <x:c r="C329" t="str">
        <x:v>zacmario</x:v>
      </x:c>
      <x:c r="D329" t="n">
        <x:v>0</x:v>
      </x:c>
      <x:c r="E329" t="str">
        <x:v>Intermediate</x:v>
      </x:c>
      <x:c r="F329" t="str">
        <x:v>Standard</x:v>
      </x:c>
      <x:c r="G329" t="n">
        <x:v>42718</x:v>
      </x:c>
      <x:c r="H329" t="str">
        <x:v>14735</x:v>
      </x:c>
      <x:c r="I329" t="str">
        <x:v>https://www.smwcentral.net/?a=details&amp;id=14735&amp;p=section</x:v>
      </x:c>
      <x:c r="J329" t="str">
        <x:v>https://dl.smwcentral.net/14735/Cheepfix.zip</x:v>
      </x:c>
    </x:row>
    <x:row r="330">
      <x:c r="A330" t="str">
        <x:v>Cheese Island</x:v>
      </x:c>
      <x:c r="B330" t="str">
        <x:v>Cheese Island</x:v>
      </x:c>
      <x:c r="C330" t="str">
        <x:v>cardboardknoxmonkey</x:v>
      </x:c>
      <x:c r="D330" t="n">
        <x:v>8</x:v>
      </x:c>
      <x:c r="E330" t="str">
        <x:v>Newcomer</x:v>
      </x:c>
      <x:c r="F330" t="str">
        <x:v>Standard</x:v>
      </x:c>
      <x:c r="G330" t="n">
        <x:v>44614</x:v>
      </x:c>
      <x:c r="H330" t="str">
        <x:v>29819</x:v>
      </x:c>
      <x:c r="I330" t="str">
        <x:v>https://www.smwcentral.net/?a=details&amp;id=29819&amp;p=section</x:v>
      </x:c>
      <x:c r="J330" t="str">
        <x:v>https://dl.smwcentral.net/29819/Cheese%20Island.zip</x:v>
      </x:c>
    </x:row>
    <x:row r="331">
      <x:c r="A331" t="str">
        <x:v>CHI</x:v>
      </x:c>
      <x:c r="B331" t="str">
        <x:v>CHI</x:v>
      </x:c>
      <x:c r="C331" t="str">
        <x:v>MorrieTheMagpie</x:v>
      </x:c>
      <x:c r="D331" t="n">
        <x:v>11</x:v>
      </x:c>
      <x:c r="E331" t="str">
        <x:v>Advanced</x:v>
      </x:c>
      <x:c r="F331" t="str">
        <x:v>Kaizo</x:v>
      </x:c>
      <x:c r="G331" t="n">
        <x:v>44685</x:v>
      </x:c>
      <x:c r="H331" t="str">
        <x:v>30753</x:v>
      </x:c>
      <x:c r="I331" t="str">
        <x:v>https://www.smwcentral.net/?a=details&amp;id=30753&amp;p=section</x:v>
      </x:c>
      <x:c r="J331" t="str">
        <x:v>https://dl.smwcentral.net/30753/CHIV1.1.zip</x:v>
      </x:c>
    </x:row>
    <x:row r="332">
      <x:c r="A332" t="str">
        <x:v>Chicanery</x:v>
      </x:c>
      <x:c r="B332" t="str">
        <x:v>Chicanery</x:v>
      </x:c>
      <x:c r="C332" t="str">
        <x:v>Buflen, Nirv</x:v>
      </x:c>
      <x:c r="D332" t="n">
        <x:v>17</x:v>
      </x:c>
      <x:c r="E332" t="str">
        <x:v>Expert</x:v>
      </x:c>
      <x:c r="F332" t="str">
        <x:v>Kaizo</x:v>
      </x:c>
      <x:c r="G332" t="n">
        <x:v>45040</x:v>
      </x:c>
      <x:c r="H332" t="str">
        <x:v>33810</x:v>
      </x:c>
      <x:c r="I332" t="str">
        <x:v>https://www.smwcentral.net/?a=details&amp;id=33810&amp;p=section</x:v>
      </x:c>
      <x:c r="J332" t="str">
        <x:v>https://dl.smwcentral.net/33810/Chicanery.zip</x:v>
      </x:c>
    </x:row>
    <x:row r="333">
      <x:c r="A333" t="str">
        <x:v>Chicanery Beginner Edition</x:v>
      </x:c>
      <x:c r="B333" t="str">
        <x:v>Chicanery Beginner Edition</x:v>
      </x:c>
      <x:c r="C333" t="str">
        <x:v>Buflen</x:v>
      </x:c>
      <x:c r="D333" t="n">
        <x:v>23</x:v>
      </x:c>
      <x:c r="E333" t="str">
        <x:v>Intermediate</x:v>
      </x:c>
      <x:c r="F333" t="str">
        <x:v>Kaizo</x:v>
      </x:c>
      <x:c r="G333" t="n">
        <x:v>45477</x:v>
      </x:c>
      <x:c r="H333" t="str">
        <x:v>38058</x:v>
      </x:c>
      <x:c r="I333" t="str">
        <x:v>https://www.smwcentral.net/?a=details&amp;id=38058&amp;p=section</x:v>
      </x:c>
      <x:c r="J333" t="str">
        <x:v>https://dl.smwcentral.net/38058/Chicanery%20Beginner%20Edition%201.0.zip</x:v>
      </x:c>
    </x:row>
    <x:row r="334">
      <x:c r="A334" t="str">
        <x:v>Chirality</x:v>
      </x:c>
      <x:c r="B334" t="str">
        <x:v>Chirality</x:v>
      </x:c>
      <x:c r="C334" t="str">
        <x:v>LightAligns</x:v>
      </x:c>
      <x:c r="D334" t="n">
        <x:v>10</x:v>
      </x:c>
      <x:c r="E334" t="str">
        <x:v>Advanced</x:v>
      </x:c>
      <x:c r="F334" t="str">
        <x:v>Kaizo</x:v>
      </x:c>
      <x:c r="G334" t="n">
        <x:v>45613</x:v>
      </x:c>
      <x:c r="H334" t="str">
        <x:v>38787</x:v>
      </x:c>
      <x:c r="I334" t="str">
        <x:v>https://www.smwcentral.net/?a=details&amp;id=38787&amp;p=section</x:v>
      </x:c>
      <x:c r="J334" t="str">
        <x:v>https://dl.smwcentral.net/38787/Chirality.zip</x:v>
      </x:c>
    </x:row>
    <x:row r="335">
      <x:c r="A335" t="str">
        <x:v>Choco COLLAB - MaSeHiHa 2</x:v>
      </x:c>
      <x:c r="B335" t="str">
        <x:v>Choco COLLAB - MaSeHiHa 2</x:v>
      </x:c>
      <x:c r="C335" t="str">
        <x:v>neidoodle</x:v>
      </x:c>
      <x:c r="D335" t="n">
        <x:v>12</x:v>
      </x:c>
      <x:c r="E335" t="str">
        <x:v>Newcomer</x:v>
      </x:c>
      <x:c r="F335" t="str">
        <x:v>Standard</x:v>
      </x:c>
      <x:c r="G335" t="n">
        <x:v>42132</x:v>
      </x:c>
      <x:c r="H335" t="str">
        <x:v>11289</x:v>
      </x:c>
      <x:c r="I335" t="str">
        <x:v>https://www.smwcentral.net/?a=details&amp;id=11289&amp;p=section</x:v>
      </x:c>
      <x:c r="J335" t="str">
        <x:v>https://dl.smwcentral.net/11289/ChocollabMase2.zip</x:v>
      </x:c>
    </x:row>
    <x:row r="336">
      <x:c r="A336" t="str">
        <x:v>Chocolate Flavour!</x:v>
      </x:c>
      <x:c r="B336" t="str">
        <x:v>Chocolate Flavour!</x:v>
      </x:c>
      <x:c r="C336" t="str">
        <x:v>JDC</x:v>
      </x:c>
      <x:c r="D336" t="n">
        <x:v>1</x:v>
      </x:c>
      <x:c r="E336" t="str">
        <x:v>Casual</x:v>
      </x:c>
      <x:c r="F336" t="str">
        <x:v>Standard</x:v>
      </x:c>
      <x:c r="G336" t="n">
        <x:v>42003</x:v>
      </x:c>
      <x:c r="H336" t="str">
        <x:v>10151</x:v>
      </x:c>
      <x:c r="I336" t="str">
        <x:v>https://www.smwcentral.net/?a=details&amp;id=10151&amp;p=section</x:v>
      </x:c>
      <x:c r="J336" t="str">
        <x:v>https://dl.smwcentral.net/10151/ChocolateFlavour.zip</x:v>
      </x:c>
    </x:row>
    <x:row r="337">
      <x:c r="A337" t="str">
        <x:v>Chocolate Sunday</x:v>
      </x:c>
      <x:c r="B337" t="str">
        <x:v>Chocolate Sunday</x:v>
      </x:c>
      <x:c r="C337" t="str">
        <x:v>snomangaming</x:v>
      </x:c>
      <x:c r="D337" t="n">
        <x:v>19</x:v>
      </x:c>
      <x:c r="E337" t="str">
        <x:v>Expert</x:v>
      </x:c>
      <x:c r="F337" t="str">
        <x:v>Kaizo</x:v>
      </x:c>
      <x:c r="G337" t="n">
        <x:v>44523</x:v>
      </x:c>
      <x:c r="H337" t="str">
        <x:v>28862</x:v>
      </x:c>
      <x:c r="I337" t="str">
        <x:v>https://www.smwcentral.net/?a=details&amp;id=28862&amp;p=section</x:v>
      </x:c>
      <x:c r="J337" t="str">
        <x:v>https://dl.smwcentral.net/28862/Chocolate%20Sunday%201.2.zip</x:v>
      </x:c>
    </x:row>
    <x:row r="338">
      <x:c r="A338" t="str">
        <x:v>Choconilla Kaizo Island</x:v>
      </x:c>
      <x:c r="B338" t="str">
        <x:v>Choconilla Kaizo Island</x:v>
      </x:c>
      <x:c r="C338" t="str">
        <x:v>Azula16</x:v>
      </x:c>
      <x:c r="D338" t="n">
        <x:v>13</x:v>
      </x:c>
      <x:c r="E338" t="str">
        <x:v>Expert</x:v>
      </x:c>
      <x:c r="F338" t="str">
        <x:v>Kaizo</x:v>
      </x:c>
      <x:c r="G338" t="n">
        <x:v>44722</x:v>
      </x:c>
      <x:c r="H338" t="str">
        <x:v>31080</x:v>
      </x:c>
      <x:c r="I338" t="str">
        <x:v>https://www.smwcentral.net/?a=details&amp;id=31080&amp;p=section</x:v>
      </x:c>
      <x:c r="J338" t="str">
        <x:v>https://dl.smwcentral.net/31080/Choconilla%20Kaizo%20Island%20v1.2.zip</x:v>
      </x:c>
    </x:row>
    <x:row r="339">
      <x:c r="A339" t="str">
        <x:v>Chomp's Coin Hunt</x:v>
      </x:c>
      <x:c r="B339" t="str">
        <x:v>Chomp's Coin Hunt</x:v>
      </x:c>
      <x:c r="C339" t="str">
        <x:v>Matt, Mr. MS</x:v>
      </x:c>
      <x:c r="D339" t="n">
        <x:v>5</x:v>
      </x:c>
      <x:c r="E339" t="str">
        <x:v>Intermediate</x:v>
      </x:c>
      <x:c r="F339" t="str">
        <x:v>Standard, Kaizo</x:v>
      </x:c>
      <x:c r="G339" t="n">
        <x:v>44383</x:v>
      </x:c>
      <x:c r="H339" t="str">
        <x:v>27385</x:v>
      </x:c>
      <x:c r="I339" t="str">
        <x:v>https://www.smwcentral.net/?a=details&amp;id=27385&amp;p=section</x:v>
      </x:c>
      <x:c r="J339" t="str">
        <x:v>https://dl.smwcentral.net/27385/Chomp%27s%20Coin%20Hunt.zip</x:v>
      </x:c>
    </x:row>
    <x:row r="340">
      <x:c r="A340" t="str">
        <x:v>Chopped N' Screwed</x:v>
      </x:c>
      <x:c r="B340" t="str">
        <x:v>Chopped N' Screwed</x:v>
      </x:c>
      <x:c r="C340" t="str">
        <x:v>deported</x:v>
      </x:c>
      <x:c r="D340" t="n">
        <x:v>8</x:v>
      </x:c>
      <x:c r="E340" t="str">
        <x:v>Master</x:v>
      </x:c>
      <x:c r="F340" t="str">
        <x:v>Kaizo</x:v>
      </x:c>
      <x:c r="G340" t="n">
        <x:v>45452</x:v>
      </x:c>
      <x:c r="H340" t="str">
        <x:v>37901</x:v>
      </x:c>
      <x:c r="I340" t="str">
        <x:v>https://www.smwcentral.net/?a=details&amp;id=37901&amp;p=section</x:v>
      </x:c>
      <x:c r="J340" t="str">
        <x:v>https://dl.smwcentral.net/37901/Chopped.zip</x:v>
      </x:c>
    </x:row>
    <x:row r="341">
      <x:c r="A341" t="str">
        <x:v>Christmas Balls</x:v>
      </x:c>
      <x:c r="B341" t="str">
        <x:v>Christmas Balls</x:v>
      </x:c>
      <x:c r="C341" t="str">
        <x:v>levelengine</x:v>
      </x:c>
      <x:c r="D341" t="n">
        <x:v>12</x:v>
      </x:c>
      <x:c r="E341" t="str">
        <x:v>Intermediate</x:v>
      </x:c>
      <x:c r="F341" t="str">
        <x:v>Standard</x:v>
      </x:c>
      <x:c r="G341" t="n">
        <x:v>42380</x:v>
      </x:c>
      <x:c r="H341" t="str">
        <x:v>13028</x:v>
      </x:c>
      <x:c r="I341" t="str">
        <x:v>https://www.smwcentral.net/?a=details&amp;id=13028&amp;p=section</x:v>
      </x:c>
      <x:c r="J341" t="str">
        <x:v>https://dl.smwcentral.net/13028/Christmas%20Balls%20%28Hack%2016%29.zip</x:v>
      </x:c>
    </x:row>
    <x:row r="342">
      <x:c r="A342" t="str">
        <x:v>Christmas Hack</x:v>
      </x:c>
      <x:c r="B342" t="str">
        <x:v>Christmas Hack</x:v>
      </x:c>
      <x:c r="C342" t="str">
        <x:v>Golden Yoshi</x:v>
      </x:c>
      <x:c r="D342" t="n">
        <x:v>6</x:v>
      </x:c>
      <x:c r="E342" t="str">
        <x:v>Intermediate</x:v>
      </x:c>
      <x:c r="F342" t="str">
        <x:v>Standard</x:v>
      </x:c>
      <x:c r="G342" t="n">
        <x:v>45534</x:v>
      </x:c>
      <x:c r="H342" t="str">
        <x:v>38345</x:v>
      </x:c>
      <x:c r="I342" t="str">
        <x:v>https://www.smwcentral.net/?a=details&amp;id=38345&amp;p=section</x:v>
      </x:c>
      <x:c r="J342" t="str">
        <x:v>https://dl.smwcentral.net/38345/ChristmasHack.zip</x:v>
      </x:c>
    </x:row>
    <x:row r="343">
      <x:c r="A343" t="str">
        <x:v>Christmas Island</x:v>
      </x:c>
      <x:c r="B343" t="str">
        <x:v>Christmas Island</x:v>
      </x:c>
      <x:c r="C343" t="str">
        <x:v>Segment1Zone2</x:v>
      </x:c>
      <x:c r="D343" t="n">
        <x:v>4</x:v>
      </x:c>
      <x:c r="E343" t="str">
        <x:v>Intermediate</x:v>
      </x:c>
      <x:c r="F343" t="str">
        <x:v>Standard</x:v>
      </x:c>
      <x:c r="G343" t="n">
        <x:v>45627</x:v>
      </x:c>
      <x:c r="H343" t="str">
        <x:v>38847</x:v>
      </x:c>
      <x:c r="I343" t="str">
        <x:v>https://www.smwcentral.net/?a=details&amp;id=38847&amp;p=section</x:v>
      </x:c>
      <x:c r="J343" t="str">
        <x:v>https://dl.smwcentral.net/38847/Christmas%20Island%20v2.zip</x:v>
      </x:c>
    </x:row>
    <x:row r="344">
      <x:c r="A344" t="str">
        <x:v>Christmas Island 2</x:v>
      </x:c>
      <x:c r="B344" t="str">
        <x:v>Christmas Island 2</x:v>
      </x:c>
      <x:c r="C344" t="str">
        <x:v>Segment1Zone2</x:v>
      </x:c>
      <x:c r="D344" t="n">
        <x:v>8</x:v>
      </x:c>
      <x:c r="E344" t="str">
        <x:v>Casual</x:v>
      </x:c>
      <x:c r="F344" t="str">
        <x:v>Standard</x:v>
      </x:c>
      <x:c r="G344" t="n">
        <x:v>45565</x:v>
      </x:c>
      <x:c r="H344" t="str">
        <x:v>38522</x:v>
      </x:c>
      <x:c r="I344" t="str">
        <x:v>https://www.smwcentral.net/?a=details&amp;id=38522&amp;p=section</x:v>
      </x:c>
      <x:c r="J344" t="str">
        <x:v>https://dl.smwcentral.net/38522/Christmas%20Island%202%20v1.1.zip</x:v>
      </x:c>
    </x:row>
    <x:row r="345">
      <x:c r="A345" t="str">
        <x:v>Christmas Puzzle</x:v>
      </x:c>
      <x:c r="B345" t="str">
        <x:v>Christmas Puzzle</x:v>
      </x:c>
      <x:c r="C345" t="str">
        <x:v>TheOrangeToad</x:v>
      </x:c>
      <x:c r="D345" t="n">
        <x:v>27</x:v>
      </x:c>
      <x:c r="E345" t="str">
        <x:v>Intermediate</x:v>
      </x:c>
      <x:c r="F345" t="str">
        <x:v>Standard</x:v>
      </x:c>
      <x:c r="G345" t="n">
        <x:v>42733</x:v>
      </x:c>
      <x:c r="H345" t="str">
        <x:v>14831</x:v>
      </x:c>
      <x:c r="I345" t="str">
        <x:v>https://www.smwcentral.net/?a=details&amp;id=14831&amp;p=section</x:v>
      </x:c>
      <x:c r="J345" t="str">
        <x:v>https://dl.smwcentral.net/14831/CP.zip</x:v>
      </x:c>
    </x:row>
    <x:row r="346">
      <x:c r="A346" t="str">
        <x:v>Chronoclasm</x:v>
      </x:c>
      <x:c r="B346" t="str">
        <x:v>Chronoclasm</x:v>
      </x:c>
      <x:c r="C346" t="str">
        <x:v>LightAligns, Saela</x:v>
      </x:c>
      <x:c r="D346" t="n">
        <x:v>0</x:v>
      </x:c>
      <x:c r="E346" t="str">
        <x:v>Expert</x:v>
      </x:c>
      <x:c r="F346" t="str">
        <x:v>Kaizo</x:v>
      </x:c>
      <x:c r="G346" t="n">
        <x:v>45747</x:v>
      </x:c>
      <x:c r="H346" t="str">
        <x:v>39652</x:v>
      </x:c>
      <x:c r="I346" t="str">
        <x:v>https://www.smwcentral.net/?a=details&amp;id=39652&amp;p=section</x:v>
      </x:c>
      <x:c r="J346" t="str">
        <x:v>https://dl.smwcentral.net/39652/Chronoclasm.zip</x:v>
      </x:c>
    </x:row>
    <x:row r="347">
      <x:c r="A347" t="str">
        <x:v>Chrysalis</x:v>
      </x:c>
      <x:c r="B347" t="str">
        <x:v>Chrysalis</x:v>
      </x:c>
      <x:c r="C347" t="str">
        <x:v>random_box</x:v>
      </x:c>
      <x:c r="D347" t="n">
        <x:v>9</x:v>
      </x:c>
      <x:c r="E347" t="str">
        <x:v>Grandmaster</x:v>
      </x:c>
      <x:c r="F347" t="str">
        <x:v>Kaizo</x:v>
      </x:c>
      <x:c r="G347" t="n">
        <x:v>45781</x:v>
      </x:c>
      <x:c r="H347" t="str">
        <x:v>39655</x:v>
      </x:c>
      <x:c r="I347" t="str">
        <x:v>https://www.smwcentral.net/?a=details&amp;id=39655&amp;p=section</x:v>
      </x:c>
      <x:c r="J347" t="str">
        <x:v>https://dl.smwcentral.net/39655/Chrysalis.zip</x:v>
      </x:c>
    </x:row>
    <x:row r="348">
      <x:c r="A348" t="str">
        <x:v>Chuck Must Die</x:v>
      </x:c>
      <x:c r="B348" t="str">
        <x:v>Chuck Must Die</x:v>
      </x:c>
      <x:c r="C348" t="str">
        <x:v>Flavvless</x:v>
      </x:c>
      <x:c r="D348" t="n">
        <x:v>22</x:v>
      </x:c>
      <x:c r="E348" t="str">
        <x:v>Expert</x:v>
      </x:c>
      <x:c r="F348" t="str">
        <x:v>Kaizo</x:v>
      </x:c>
      <x:c r="G348" t="n">
        <x:v>45608</x:v>
      </x:c>
      <x:c r="H348" t="str">
        <x:v>38758</x:v>
      </x:c>
      <x:c r="I348" t="str">
        <x:v>https://www.smwcentral.net/?a=details&amp;id=38758&amp;p=section</x:v>
      </x:c>
      <x:c r="J348" t="str">
        <x:v>https://dl.smwcentral.net/38758/Chuck%20Must%20Die.zip</x:v>
      </x:c>
    </x:row>
    <x:row r="349">
      <x:c r="A349" t="str">
        <x:v>Cinnamon Hills</x:v>
      </x:c>
      <x:c r="B349" t="str">
        <x:v>Cinnamon Hills</x:v>
      </x:c>
      <x:c r="C349" t="str">
        <x:v>AlanJacobs</x:v>
      </x:c>
      <x:c r="D349" t="n">
        <x:v>15</x:v>
      </x:c>
      <x:c r="E349" t="str">
        <x:v>Casual</x:v>
      </x:c>
      <x:c r="F349" t="str">
        <x:v>Standard</x:v>
      </x:c>
      <x:c r="G349" t="n">
        <x:v>41569</x:v>
      </x:c>
      <x:c r="H349" t="str">
        <x:v>5546</x:v>
      </x:c>
      <x:c r="I349" t="str">
        <x:v>https://www.smwcentral.net/?a=details&amp;id=5546&amp;p=section</x:v>
      </x:c>
      <x:c r="J349" t="str">
        <x:v>https://dl.smwcentral.net/5546/Cinnamon%20Hills.zip</x:v>
      </x:c>
    </x:row>
    <x:row r="350">
      <x:c r="A350" t="str">
        <x:v>Classic Mario</x:v>
      </x:c>
      <x:c r="B350" t="str">
        <x:v>Classic Mario</x:v>
      </x:c>
      <x:c r="C350" t="str">
        <x:v>Xgen_Product</x:v>
      </x:c>
      <x:c r="D350" t="n">
        <x:v>7</x:v>
      </x:c>
      <x:c r="E350" t="str">
        <x:v>Casual</x:v>
      </x:c>
      <x:c r="F350" t="str">
        <x:v>Standard</x:v>
      </x:c>
      <x:c r="G350" t="n">
        <x:v>43167</x:v>
      </x:c>
      <x:c r="H350" t="str">
        <x:v>17198</x:v>
      </x:c>
      <x:c r="I350" t="str">
        <x:v>https://www.smwcentral.net/?a=details&amp;id=17198&amp;p=section</x:v>
      </x:c>
      <x:c r="J350" t="str">
        <x:v>https://dl.smwcentral.net/17198/Classic%20Mario%20Demo%202.zip</x:v>
      </x:c>
    </x:row>
    <x:row r="351">
      <x:c r="A351" t="str">
        <x:v>Classic Mario World 2: The Great Alliance</x:v>
      </x:c>
      <x:c r="B351" t="str">
        <x:v>Classic Mario World 2: The Great Alliance</x:v>
      </x:c>
      <x:c r="C351" t="str">
        <x:v>bandicoot</x:v>
      </x:c>
      <x:c r="D351" t="n">
        <x:v>120</x:v>
      </x:c>
      <x:c r="E351" t="str">
        <x:v>Intermediate</x:v>
      </x:c>
      <x:c r="F351" t="str">
        <x:v>Standard</x:v>
      </x:c>
      <x:c r="G351" t="n">
        <x:v>43571</x:v>
      </x:c>
      <x:c r="H351" t="str">
        <x:v>19575</x:v>
      </x:c>
      <x:c r="I351" t="str">
        <x:v>https://www.smwcentral.net/?a=details&amp;id=19575&amp;p=section</x:v>
      </x:c>
      <x:c r="J351" t="str">
        <x:v>https://dl.smwcentral.net/19575/CMW2_fixed.zip</x:v>
      </x:c>
    </x:row>
    <x:row r="352">
      <x:c r="A352" t="str">
        <x:v>Classic Mario World 3: The Finale</x:v>
      </x:c>
      <x:c r="B352" t="str">
        <x:v>Classic Mario World 3: The Finale</x:v>
      </x:c>
      <x:c r="C352" t="str">
        <x:v>bandicoot</x:v>
      </x:c>
      <x:c r="D352" t="n">
        <x:v>120</x:v>
      </x:c>
      <x:c r="E352" t="str">
        <x:v>Intermediate</x:v>
      </x:c>
      <x:c r="F352" t="str">
        <x:v>Standard</x:v>
      </x:c>
      <x:c r="G352" t="n">
        <x:v>43995</x:v>
      </x:c>
      <x:c r="H352" t="str">
        <x:v>22988</x:v>
      </x:c>
      <x:c r="I352" t="str">
        <x:v>https://www.smwcentral.net/?a=details&amp;id=22988&amp;p=section</x:v>
      </x:c>
      <x:c r="J352" t="str">
        <x:v>https://dl.smwcentral.net/22988/CMW3_The_Finale_Update.zip</x:v>
      </x:c>
    </x:row>
    <x:row r="353">
      <x:c r="A353" t="str">
        <x:v>Classic Mario World: The Magical Crystals</x:v>
      </x:c>
      <x:c r="B353" t="str">
        <x:v>Classic Mario World: The Magical Crystals</x:v>
      </x:c>
      <x:c r="C353" t="str">
        <x:v>bandicoot</x:v>
      </x:c>
      <x:c r="D353" t="n">
        <x:v>113</x:v>
      </x:c>
      <x:c r="E353" t="str">
        <x:v>Intermediate</x:v>
      </x:c>
      <x:c r="F353" t="str">
        <x:v>Standard</x:v>
      </x:c>
      <x:c r="G353" t="n">
        <x:v>43615</x:v>
      </x:c>
      <x:c r="H353" t="str">
        <x:v>19817</x:v>
      </x:c>
      <x:c r="I353" t="str">
        <x:v>https://www.smwcentral.net/?a=details&amp;id=19817&amp;p=section</x:v>
      </x:c>
      <x:c r="J353" t="str">
        <x:v>https://dl.smwcentral.net/19817/CMW1%2005-08-2019.zip</x:v>
      </x:c>
    </x:row>
    <x:row r="354">
      <x:c r="A354" t="str">
        <x:v>Classic's Super Mario Brothers</x:v>
      </x:c>
      <x:c r="B354" t="str">
        <x:v>Classic's Super Mario Brothers</x:v>
      </x:c>
      <x:c r="C354" t="str">
        <x:v>Lunartoad</x:v>
      </x:c>
      <x:c r="D354" t="n">
        <x:v>32</x:v>
      </x:c>
      <x:c r="E354" t="str">
        <x:v>Newcomer</x:v>
      </x:c>
      <x:c r="F354" t="str">
        <x:v>Standard</x:v>
      </x:c>
      <x:c r="G354" t="n">
        <x:v>42108</x:v>
      </x:c>
      <x:c r="H354" t="str">
        <x:v>9726</x:v>
      </x:c>
      <x:c r="I354" t="str">
        <x:v>https://www.smwcentral.net/?a=details&amp;id=9726&amp;p=section</x:v>
      </x:c>
      <x:c r="J354" t="str">
        <x:v>https://dl.smwcentral.net/9726/ClassicSMB%20IPS.zip</x:v>
      </x:c>
    </x:row>
    <x:row r="355">
      <x:c r="A355" t="str">
        <x:v>Claustrophobia</x:v>
      </x:c>
      <x:c r="B355" t="str">
        <x:v>Claustrophobia</x:v>
      </x:c>
      <x:c r="C355" t="str">
        <x:v>NaroGugul</x:v>
      </x:c>
      <x:c r="D355" t="n">
        <x:v>96</x:v>
      </x:c>
      <x:c r="E355" t="str">
        <x:v>Expert</x:v>
      </x:c>
      <x:c r="F355" t="str">
        <x:v>Kaizo</x:v>
      </x:c>
      <x:c r="G355" t="n">
        <x:v>43263</x:v>
      </x:c>
      <x:c r="H355" t="str">
        <x:v>17620</x:v>
      </x:c>
      <x:c r="I355" t="str">
        <x:v>https://www.smwcentral.net/?a=details&amp;id=17620&amp;p=section</x:v>
      </x:c>
      <x:c r="J355" t="str">
        <x:v>https://dl.smwcentral.net/17620/Claustrophobia%201.2.1.zip</x:v>
      </x:c>
    </x:row>
    <x:row r="356">
      <x:c r="A356" t="str">
        <x:v>Climb The Tower</x:v>
      </x:c>
      <x:c r="B356" t="str">
        <x:v>Climb The Tower</x:v>
      </x:c>
      <x:c r="C356" t="str">
        <x:v>Sweetdude</x:v>
      </x:c>
      <x:c r="D356" t="n">
        <x:v>9</x:v>
      </x:c>
      <x:c r="E356" t="str">
        <x:v>Intermediate</x:v>
      </x:c>
      <x:c r="F356" t="str">
        <x:v>Kaizo</x:v>
      </x:c>
      <x:c r="G356" t="n">
        <x:v>43558</x:v>
      </x:c>
      <x:c r="H356" t="str">
        <x:v>19550</x:v>
      </x:c>
      <x:c r="I356" t="str">
        <x:v>https://www.smwcentral.net/?a=details&amp;id=19550&amp;p=section</x:v>
      </x:c>
      <x:c r="J356" t="str">
        <x:v>https://dl.smwcentral.net/19550/Let%27s%20Climb.zip</x:v>
      </x:c>
    </x:row>
    <x:row r="357">
      <x:c r="A357" t="str">
        <x:v>Coffee &amp; TV</x:v>
      </x:c>
      <x:c r="B357" t="str">
        <x:v>Coffee &amp; TV</x:v>
      </x:c>
      <x:c r="C357" t="str">
        <x:v>GiraffeKiller</x:v>
      </x:c>
      <x:c r="D357" t="n">
        <x:v>11</x:v>
      </x:c>
      <x:c r="E357" t="str">
        <x:v>Advanced</x:v>
      </x:c>
      <x:c r="F357" t="str">
        <x:v>Kaizo</x:v>
      </x:c>
      <x:c r="G357" t="n">
        <x:v>44822</x:v>
      </x:c>
      <x:c r="H357" t="str">
        <x:v>32102</x:v>
      </x:c>
      <x:c r="I357" t="str">
        <x:v>https://www.smwcentral.net/?a=details&amp;id=32102&amp;p=section</x:v>
      </x:c>
      <x:c r="J357" t="str">
        <x:v>https://dl.smwcentral.net/32102/Coffee%20And%20TV%201.1.zip</x:v>
      </x:c>
    </x:row>
    <x:row r="358">
      <x:c r="A358" t="str">
        <x:v>Coldsweat and Tears</x:v>
      </x:c>
      <x:c r="B358" t="str">
        <x:v>Coldsweat and Tears</x:v>
      </x:c>
      <x:c r="C358" t="str">
        <x:v>Blaagon</x:v>
      </x:c>
      <x:c r="D358" t="n">
        <x:v>10</x:v>
      </x:c>
      <x:c r="E358" t="str">
        <x:v>Master</x:v>
      </x:c>
      <x:c r="F358" t="str">
        <x:v>Kaizo</x:v>
      </x:c>
      <x:c r="G358" t="n">
        <x:v>44952</x:v>
      </x:c>
      <x:c r="H358" t="str">
        <x:v>32999</x:v>
      </x:c>
      <x:c r="I358" t="str">
        <x:v>https://www.smwcentral.net/?a=details&amp;id=32999&amp;p=section</x:v>
      </x:c>
      <x:c r="J358" t="str">
        <x:v>https://dl.smwcentral.net/32999/ColdsweatandTears.zip</x:v>
      </x:c>
    </x:row>
    <x:row r="359">
      <x:c r="A359" t="str">
        <x:v>COLLAB</x:v>
      </x:c>
      <x:c r="B359" t="str">
        <x:v>COLLAB</x:v>
      </x:c>
      <x:c r="C359" t="str">
        <x:v>Daizo Dee Von, neidoodle</x:v>
      </x:c>
      <x:c r="D359" t="n">
        <x:v>11</x:v>
      </x:c>
      <x:c r="E359" t="str">
        <x:v>Casual</x:v>
      </x:c>
      <x:c r="F359" t="str">
        <x:v>Standard</x:v>
      </x:c>
      <x:c r="G359" t="n">
        <x:v>41856</x:v>
      </x:c>
      <x:c r="H359" t="str">
        <x:v>6970</x:v>
      </x:c>
      <x:c r="I359" t="str">
        <x:v>https://www.smwcentral.net/?a=details&amp;id=6970&amp;p=section</x:v>
      </x:c>
      <x:c r="J359" t="str">
        <x:v>https://dl.smwcentral.net/6970/COLLAB%20%28Update%21%29.zip</x:v>
      </x:c>
    </x:row>
    <x:row r="360">
      <x:c r="A360" t="str">
        <x:v>Collection</x:v>
      </x:c>
      <x:c r="B360" t="str">
        <x:v>Collection</x:v>
      </x:c>
      <x:c r="C360" t="str">
        <x:v>ZMann</x:v>
      </x:c>
      <x:c r="D360" t="n">
        <x:v>15</x:v>
      </x:c>
      <x:c r="E360" t="str">
        <x:v>Casual</x:v>
      </x:c>
      <x:c r="F360" t="str">
        <x:v>Standard</x:v>
      </x:c>
      <x:c r="G360" t="n">
        <x:v>41614</x:v>
      </x:c>
      <x:c r="H360" t="str">
        <x:v>5963</x:v>
      </x:c>
      <x:c r="I360" t="str">
        <x:v>https://www.smwcentral.net/?a=details&amp;id=5963&amp;p=section</x:v>
      </x:c>
      <x:c r="J360" t="str">
        <x:v>https://dl.smwcentral.net/5963/Collection.zip</x:v>
      </x:c>
    </x:row>
    <x:row r="361">
      <x:c r="A361" t="str">
        <x:v>ColonThree</x:v>
      </x:c>
      <x:c r="B361" t="str">
        <x:v>ColonThree</x:v>
      </x:c>
      <x:c r="C361" t="str">
        <x:v>HoorayForJay, ShadowDragon121</x:v>
      </x:c>
      <x:c r="D361" t="n">
        <x:v>2</x:v>
      </x:c>
      <x:c r="E361" t="str">
        <x:v>Master</x:v>
      </x:c>
      <x:c r="F361" t="str">
        <x:v>Tool-Assisted, Pit</x:v>
      </x:c>
      <x:c r="G361" t="n">
        <x:v>42753</x:v>
      </x:c>
      <x:c r="H361" t="str">
        <x:v>14967</x:v>
      </x:c>
      <x:c r="I361" t="str">
        <x:v>https://www.smwcentral.net/?a=details&amp;id=14967&amp;p=section</x:v>
      </x:c>
      <x:c r="J361" t="str">
        <x:v>https://dl.smwcentral.net/14967/ColonThree.zip</x:v>
      </x:c>
    </x:row>
    <x:row r="362">
      <x:c r="A362" t="str">
        <x:v>COLORS 2</x:v>
      </x:c>
      <x:c r="B362" t="str">
        <x:v>COLORS 2</x:v>
      </x:c>
      <x:c r="C362" t="str">
        <x:v>MolSno</x:v>
      </x:c>
      <x:c r="D362" t="n">
        <x:v>8</x:v>
      </x:c>
      <x:c r="E362" t="str">
        <x:v>Intermediate</x:v>
      </x:c>
      <x:c r="F362" t="str">
        <x:v>Standard</x:v>
      </x:c>
      <x:c r="G362" t="n">
        <x:v>42334</x:v>
      </x:c>
      <x:c r="H362" t="str">
        <x:v>12725</x:v>
      </x:c>
      <x:c r="I362" t="str">
        <x:v>https://www.smwcentral.net/?a=details&amp;id=12725&amp;p=section</x:v>
      </x:c>
      <x:c r="J362" t="str">
        <x:v>https://dl.smwcentral.net/12725/COLORS%202.zip</x:v>
      </x:c>
    </x:row>
    <x:row r="363">
      <x:c r="A363" t="str">
        <x:v>Colors [SMWC #28250]</x:v>
      </x:c>
      <x:c r="B363" t="str">
        <x:v>Colors</x:v>
      </x:c>
      <x:c r="C363" t="str">
        <x:v>simplyawful</x:v>
      </x:c>
      <x:c r="D363" t="n">
        <x:v>22</x:v>
      </x:c>
      <x:c r="E363" t="str">
        <x:v>Master</x:v>
      </x:c>
      <x:c r="F363" t="str">
        <x:v>Kaizo</x:v>
      </x:c>
      <x:c r="G363" t="n">
        <x:v>44449</x:v>
      </x:c>
      <x:c r="H363" t="str">
        <x:v>28250</x:v>
      </x:c>
      <x:c r="I363" t="str">
        <x:v>https://www.smwcentral.net/?a=details&amp;id=28250&amp;p=section</x:v>
      </x:c>
      <x:c r="J363" t="str">
        <x:v>https://dl.smwcentral.net/28250/Colors_1.1.zip</x:v>
      </x:c>
    </x:row>
    <x:row r="364">
      <x:c r="A364" t="str">
        <x:v>COLORS [SMWC #6095]</x:v>
      </x:c>
      <x:c r="B364" t="str">
        <x:v>COLORS</x:v>
      </x:c>
      <x:c r="C364" t="str">
        <x:v>MolSno</x:v>
      </x:c>
      <x:c r="D364" t="n">
        <x:v>5</x:v>
      </x:c>
      <x:c r="E364" t="str">
        <x:v>Intermediate</x:v>
      </x:c>
      <x:c r="F364" t="str">
        <x:v>Standard</x:v>
      </x:c>
      <x:c r="G364" t="n">
        <x:v>41644</x:v>
      </x:c>
      <x:c r="H364" t="str">
        <x:v>6095</x:v>
      </x:c>
      <x:c r="I364" t="str">
        <x:v>https://www.smwcentral.net/?a=details&amp;id=6095&amp;p=section</x:v>
      </x:c>
      <x:c r="J364" t="str">
        <x:v>https://dl.smwcentral.net/6095/COLORS.zip</x:v>
      </x:c>
    </x:row>
    <x:row r="365">
      <x:c r="A365" t="str">
        <x:v>Colossus</x:v>
      </x:c>
      <x:c r="B365" t="str">
        <x:v>Colossus</x:v>
      </x:c>
      <x:c r="C365" t="str">
        <x:v>levelengine</x:v>
      </x:c>
      <x:c r="D365" t="n">
        <x:v>95</x:v>
      </x:c>
      <x:c r="E365" t="str">
        <x:v>Master</x:v>
      </x:c>
      <x:c r="F365" t="str">
        <x:v>Standard</x:v>
      </x:c>
      <x:c r="G365" t="n">
        <x:v>42211</x:v>
      </x:c>
      <x:c r="H365" t="str">
        <x:v>11776</x:v>
      </x:c>
      <x:c r="I365" t="str">
        <x:v>https://www.smwcentral.net/?a=details&amp;id=11776&amp;p=section</x:v>
      </x:c>
      <x:c r="J365" t="str">
        <x:v>https://dl.smwcentral.net/11776/Colossus%20final%203.zip</x:v>
      </x:c>
    </x:row>
    <x:row r="366">
      <x:c r="A366" t="str">
        <x:v>Combo Breaker</x:v>
      </x:c>
      <x:c r="B366" t="str">
        <x:v>Combo Breaker</x:v>
      </x:c>
      <x:c r="C366" t="str">
        <x:v>Sokobansolver</x:v>
      </x:c>
      <x:c r="D366" t="n">
        <x:v>18</x:v>
      </x:c>
      <x:c r="E366" t="str">
        <x:v>Casual</x:v>
      </x:c>
      <x:c r="F366" t="str">
        <x:v>Standard</x:v>
      </x:c>
      <x:c r="G366" t="n">
        <x:v>42288</x:v>
      </x:c>
      <x:c r="H366" t="str">
        <x:v>10248</x:v>
      </x:c>
      <x:c r="I366" t="str">
        <x:v>https://www.smwcentral.net/?a=details&amp;id=10248&amp;p=section</x:v>
      </x:c>
      <x:c r="J366" t="str">
        <x:v>https://dl.smwcentral.net/10248/Combo_Breaker_demo.zip</x:v>
      </x:c>
    </x:row>
    <x:row r="367">
      <x:c r="A367" t="str">
        <x:v>Combo Killer: Ultra Alpha Turbo HD Remix, Arcade Edition</x:v>
      </x:c>
      <x:c r="B367" t="str">
        <x:v>Combo Killer: Ultra Alpha Turbo HD Remix, Arcade Edition</x:v>
      </x:c>
      <x:c r="C367" t="str">
        <x:v>Doownayr89</x:v>
      </x:c>
      <x:c r="D367" t="n">
        <x:v>36</x:v>
      </x:c>
      <x:c r="E367" t="str">
        <x:v>Intermediate</x:v>
      </x:c>
      <x:c r="F367" t="str">
        <x:v>Kaizo, Tool-Assisted</x:v>
      </x:c>
      <x:c r="G367" t="n">
        <x:v>42654</x:v>
      </x:c>
      <x:c r="H367" t="str">
        <x:v>14289</x:v>
      </x:c>
      <x:c r="I367" t="str">
        <x:v>https://www.smwcentral.net/?a=details&amp;id=14289&amp;p=section</x:v>
      </x:c>
      <x:c r="J367" t="str">
        <x:v>https://dl.smwcentral.net/14289/Combo%20Killer%20Ultra%20Alpha%20Turbo%20HD%20Remix%2C%20Arcade%20Edition.zip</x:v>
      </x:c>
    </x:row>
    <x:row r="368">
      <x:c r="A368" t="str">
        <x:v>Comfort Zone</x:v>
      </x:c>
      <x:c r="B368" t="str">
        <x:v>Comfort Zone</x:v>
      </x:c>
      <x:c r="C368" t="str">
        <x:v>orka-bln</x:v>
      </x:c>
      <x:c r="D368" t="n">
        <x:v>18</x:v>
      </x:c>
      <x:c r="E368" t="str">
        <x:v>Expert</x:v>
      </x:c>
      <x:c r="F368" t="str">
        <x:v>Kaizo</x:v>
      </x:c>
      <x:c r="G368" t="n">
        <x:v>44156</x:v>
      </x:c>
      <x:c r="H368" t="str">
        <x:v>25095</x:v>
      </x:c>
      <x:c r="I368" t="str">
        <x:v>https://www.smwcentral.net/?a=details&amp;id=25095&amp;p=section</x:v>
      </x:c>
      <x:c r="J368" t="str">
        <x:v>https://dl.smwcentral.net/25095/Comfy1.2.zip</x:v>
      </x:c>
    </x:row>
    <x:row r="369">
      <x:c r="A369" t="str">
        <x:v>Commuter</x:v>
      </x:c>
      <x:c r="B369" t="str">
        <x:v>Commuter</x:v>
      </x:c>
      <x:c r="C369" t="str">
        <x:v>megaBC333</x:v>
      </x:c>
      <x:c r="D369" t="n">
        <x:v>13</x:v>
      </x:c>
      <x:c r="E369" t="str">
        <x:v>Advanced</x:v>
      </x:c>
      <x:c r="F369" t="str">
        <x:v>Kaizo</x:v>
      </x:c>
      <x:c r="G369" t="n">
        <x:v>45262</x:v>
      </x:c>
      <x:c r="H369" t="str">
        <x:v>35616</x:v>
      </x:c>
      <x:c r="I369" t="str">
        <x:v>https://www.smwcentral.net/?a=details&amp;id=35616&amp;p=section</x:v>
      </x:c>
      <x:c r="J369" t="str">
        <x:v>https://dl.smwcentral.net/35616/Commuter_V1.zip</x:v>
      </x:c>
    </x:row>
    <x:row r="370">
      <x:c r="A370" t="str">
        <x:v>Contest Maniac</x:v>
      </x:c>
      <x:c r="B370" t="str">
        <x:v>Contest Maniac</x:v>
      </x:c>
      <x:c r="C370" t="str">
        <x:v>RussianMan</x:v>
      </x:c>
      <x:c r="D370" t="n">
        <x:v>4</x:v>
      </x:c>
      <x:c r="E370" t="str">
        <x:v>Casual</x:v>
      </x:c>
      <x:c r="F370" t="str">
        <x:v>Standard</x:v>
      </x:c>
      <x:c r="G370" t="n">
        <x:v>43035</x:v>
      </x:c>
      <x:c r="H370" t="str">
        <x:v>16466</x:v>
      </x:c>
      <x:c r="I370" t="str">
        <x:v>https://www.smwcentral.net/?a=details&amp;id=16466&amp;p=section</x:v>
      </x:c>
      <x:c r="J370" t="str">
        <x:v>https://dl.smwcentral.net/16466/Contest%20Maniac.zip</x:v>
      </x:c>
    </x:row>
    <x:row r="371">
      <x:c r="A371" t="str">
        <x:v>Cool (Speedrun!)</x:v>
      </x:c>
      <x:c r="B371" t="str">
        <x:v>Cool (Speedrun!)</x:v>
      </x:c>
      <x:c r="C371" t="str">
        <x:v>Koll5</x:v>
      </x:c>
      <x:c r="D371" t="n">
        <x:v>8</x:v>
      </x:c>
      <x:c r="E371" t="str">
        <x:v>Intermediate</x:v>
      </x:c>
      <x:c r="F371" t="str">
        <x:v>Standard</x:v>
      </x:c>
      <x:c r="G371" t="n">
        <x:v>44724</x:v>
      </x:c>
      <x:c r="H371" t="str">
        <x:v>31137</x:v>
      </x:c>
      <x:c r="I371" t="str">
        <x:v>https://www.smwcentral.net/?a=details&amp;id=31137&amp;p=section</x:v>
      </x:c>
      <x:c r="J371" t="str">
        <x:v>https://dl.smwcentral.net/31137/Cool.zip</x:v>
      </x:c>
    </x:row>
    <x:row r="372">
      <x:c r="A372" t="str">
        <x:v>Cool or Cruel Stage 12 - Tubular</x:v>
      </x:c>
      <x:c r="B372" t="str">
        <x:v>Cool or Cruel Stage 12 - Tubular</x:v>
      </x:c>
      <x:c r="C372" t="str">
        <x:v>worldpeace</x:v>
      </x:c>
      <x:c r="D372" t="n">
        <x:v>1</x:v>
      </x:c>
      <x:c r="E372" t="str">
        <x:v>Advanced</x:v>
      </x:c>
      <x:c r="F372" t="str">
        <x:v>Kaizo, Tool-Assisted</x:v>
      </x:c>
      <x:c r="G372" t="n">
        <x:v>41710</x:v>
      </x:c>
      <x:c r="H372" t="str">
        <x:v>6085</x:v>
      </x:c>
      <x:c r="I372" t="str">
        <x:v>https://www.smwcentral.net/?a=details&amp;id=6085&amp;p=section</x:v>
      </x:c>
      <x:c r="J372" t="str">
        <x:v>https://dl.smwcentral.net/6085/tubular.zip</x:v>
      </x:c>
    </x:row>
    <x:row r="373">
      <x:c r="A373" t="str">
        <x:v>Cool Zone</x:v>
      </x:c>
      <x:c r="B373" t="str">
        <x:v>Cool Zone</x:v>
      </x:c>
      <x:c r="C373" t="str">
        <x:v>FridayFables</x:v>
      </x:c>
      <x:c r="D373" t="n">
        <x:v>16</x:v>
      </x:c>
      <x:c r="E373" t="str">
        <x:v>Advanced</x:v>
      </x:c>
      <x:c r="F373" t="str">
        <x:v>Kaizo</x:v>
      </x:c>
      <x:c r="G373" t="n">
        <x:v>43424</x:v>
      </x:c>
      <x:c r="H373" t="str">
        <x:v>18476</x:v>
      </x:c>
      <x:c r="I373" t="str">
        <x:v>https://www.smwcentral.net/?a=details&amp;id=18476&amp;p=section</x:v>
      </x:c>
      <x:c r="J373" t="str">
        <x:v>https://dl.smwcentral.net/18476/CoolZone.zip</x:v>
      </x:c>
    </x:row>
    <x:row r="374">
      <x:c r="A374" t="str">
        <x:v>Copy and Paste</x:v>
      </x:c>
      <x:c r="B374" t="str">
        <x:v>Copy and Paste</x:v>
      </x:c>
      <x:c r="C374" t="str">
        <x:v>NewPointless</x:v>
      </x:c>
      <x:c r="D374" t="n">
        <x:v>4</x:v>
      </x:c>
      <x:c r="E374" t="str">
        <x:v>Expert</x:v>
      </x:c>
      <x:c r="F374" t="str">
        <x:v>Kaizo</x:v>
      </x:c>
      <x:c r="G374" t="n">
        <x:v>45230</x:v>
      </x:c>
      <x:c r="H374" t="str">
        <x:v>35348</x:v>
      </x:c>
      <x:c r="I374" t="str">
        <x:v>https://www.smwcentral.net/?a=details&amp;id=35348&amp;p=section</x:v>
      </x:c>
      <x:c r="J374" t="str">
        <x:v>https://dl.smwcentral.net/35348/CopyAndPaste1_1.zip</x:v>
      </x:c>
    </x:row>
    <x:row r="375">
      <x:c r="A375" t="str">
        <x:v>Coriolis</x:v>
      </x:c>
      <x:c r="B375" t="str">
        <x:v>Coriolis</x:v>
      </x:c>
      <x:c r="C375" t="str">
        <x:v>D_O_M</x:v>
      </x:c>
      <x:c r="D375" t="n">
        <x:v>23</x:v>
      </x:c>
      <x:c r="E375" t="str">
        <x:v>Expert</x:v>
      </x:c>
      <x:c r="F375" t="str">
        <x:v>Kaizo</x:v>
      </x:c>
      <x:c r="G375" t="n">
        <x:v>46219</x:v>
      </x:c>
      <x:c r="H375" t="str">
        <x:v>42700</x:v>
      </x:c>
      <x:c r="I375" t="str">
        <x:v>https://www.smwcentral.net/?a=details&amp;id=42700&amp;p=section</x:v>
      </x:c>
      <x:c r="J375" t="str">
        <x:v>https://dl.smwcentral.net/42700/Coriolis.zip</x:v>
      </x:c>
    </x:row>
    <x:row r="376">
      <x:c r="A376" t="str">
        <x:v>Cornucopia of Kaizo</x:v>
      </x:c>
      <x:c r="B376" t="str">
        <x:v>Cornucopia of Kaizo</x:v>
      </x:c>
      <x:c r="C376" t="str">
        <x:v>CoozieShawn</x:v>
      </x:c>
      <x:c r="D376" t="n">
        <x:v>27</x:v>
      </x:c>
      <x:c r="E376" t="str">
        <x:v>Advanced</x:v>
      </x:c>
      <x:c r="F376" t="str">
        <x:v>Kaizo</x:v>
      </x:c>
      <x:c r="G376" t="n">
        <x:v>44413</x:v>
      </x:c>
      <x:c r="H376" t="str">
        <x:v>27923</x:v>
      </x:c>
      <x:c r="I376" t="str">
        <x:v>https://www.smwcentral.net/?a=details&amp;id=27923&amp;p=section</x:v>
      </x:c>
      <x:c r="J376" t="str">
        <x:v>https://dl.smwcentral.net/27923/Cornucopia_of_Kaizo.zip</x:v>
      </x:c>
    </x:row>
    <x:row r="377">
      <x:c r="A377" t="str">
        <x:v>Cosmic Expedition</x:v>
      </x:c>
      <x:c r="B377" t="str">
        <x:v>Cosmic Expedition</x:v>
      </x:c>
      <x:c r="C377" t="str">
        <x:v>GrenudoGames</x:v>
      </x:c>
      <x:c r="D377" t="n">
        <x:v>45</x:v>
      </x:c>
      <x:c r="E377" t="str">
        <x:v>Expert</x:v>
      </x:c>
      <x:c r="F377" t="str">
        <x:v>Kaizo</x:v>
      </x:c>
      <x:c r="G377" t="n">
        <x:v>45836</x:v>
      </x:c>
      <x:c r="H377" t="str">
        <x:v>39939</x:v>
      </x:c>
      <x:c r="I377" t="str">
        <x:v>https://www.smwcentral.net/?a=details&amp;id=39939&amp;p=section</x:v>
      </x:c>
      <x:c r="J377" t="str">
        <x:v>https://dl.smwcentral.net/39939/Cosmic%20Expedition%201.2.zip</x:v>
      </x:c>
    </x:row>
    <x:row r="378">
      <x:c r="A378" t="str">
        <x:v>CowaBunga</x:v>
      </x:c>
      <x:c r="B378" t="str">
        <x:v>CowaBunga</x:v>
      </x:c>
      <x:c r="C378" t="str">
        <x:v>Connnnair</x:v>
      </x:c>
      <x:c r="D378" t="n">
        <x:v>23</x:v>
      </x:c>
      <x:c r="E378" t="str">
        <x:v>Expert</x:v>
      </x:c>
      <x:c r="F378" t="str">
        <x:v>Kaizo</x:v>
      </x:c>
      <x:c r="G378" t="n">
        <x:v>45484</x:v>
      </x:c>
      <x:c r="H378" t="str">
        <x:v>38046</x:v>
      </x:c>
      <x:c r="I378" t="str">
        <x:v>https://www.smwcentral.net/?a=details&amp;id=38046&amp;p=section</x:v>
      </x:c>
      <x:c r="J378" t="str">
        <x:v>https://dl.smwcentral.net/38046/CowaBunga1.1.zip</x:v>
      </x:c>
    </x:row>
    <x:row r="379">
      <x:c r="A379" t="str">
        <x:v>Crab Shells</x:v>
      </x:c>
      <x:c r="B379" t="str">
        <x:v>Crab Shells</x:v>
      </x:c>
      <x:c r="C379" t="str">
        <x:v>Jaozin712</x:v>
      </x:c>
      <x:c r="D379" t="n">
        <x:v>14</x:v>
      </x:c>
      <x:c r="E379" t="str">
        <x:v>Expert</x:v>
      </x:c>
      <x:c r="F379" t="str">
        <x:v>Kaizo</x:v>
      </x:c>
      <x:c r="G379" t="n">
        <x:v>45587</x:v>
      </x:c>
      <x:c r="H379" t="str">
        <x:v>38657</x:v>
      </x:c>
      <x:c r="I379" t="str">
        <x:v>https://www.smwcentral.net/?a=details&amp;id=38657&amp;p=section</x:v>
      </x:c>
      <x:c r="J379" t="str">
        <x:v>https://dl.smwcentral.net/38657/Crab_Shells.zip</x:v>
      </x:c>
    </x:row>
    <x:row r="380">
      <x:c r="A380" t="str">
        <x:v>Crash Bandicoot and the Retro Dimension</x:v>
      </x:c>
      <x:c r="B380" t="str">
        <x:v>Crash Bandicoot and the Retro Dimension</x:v>
      </x:c>
      <x:c r="C380" t="str">
        <x:v>bandicoot</x:v>
      </x:c>
      <x:c r="D380" t="n">
        <x:v>102</x:v>
      </x:c>
      <x:c r="E380" t="str">
        <x:v>Intermediate</x:v>
      </x:c>
      <x:c r="F380" t="str">
        <x:v>Standard</x:v>
      </x:c>
      <x:c r="G380" t="n">
        <x:v>46204</x:v>
      </x:c>
      <x:c r="H380" t="str">
        <x:v>42500</x:v>
      </x:c>
      <x:c r="I380" t="str">
        <x:v>https://www.smwcentral.net/?a=details&amp;id=42500&amp;p=section</x:v>
      </x:c>
      <x:c r="J380" t="str">
        <x:v>https://dl.smwcentral.net/42500/Crash%20Bandicoot%20and%20the%20Retro%20Dimension%20Enhanced.zip</x:v>
      </x:c>
    </x:row>
    <x:row r="381">
      <x:c r="A381" t="str">
        <x:v>Crash Bandicoot and the Retro Dimension 2 - The Crystal Hunt</x:v>
      </x:c>
      <x:c r="B381" t="str">
        <x:v>Crash Bandicoot and the Retro Dimension 2 - The Crystal Hunt</x:v>
      </x:c>
      <x:c r="C381" t="str">
        <x:v>bandicoot</x:v>
      </x:c>
      <x:c r="D381" t="n">
        <x:v>120</x:v>
      </x:c>
      <x:c r="E381" t="str">
        <x:v>Intermediate</x:v>
      </x:c>
      <x:c r="F381" t="str">
        <x:v>Standard</x:v>
      </x:c>
      <x:c r="G381" t="n">
        <x:v>46215</x:v>
      </x:c>
      <x:c r="H381" t="str">
        <x:v>42541</x:v>
      </x:c>
      <x:c r="I381" t="str">
        <x:v>https://www.smwcentral.net/?a=details&amp;id=42541&amp;p=section</x:v>
      </x:c>
      <x:c r="J381" t="str">
        <x:v>https://dl.smwcentral.net/42541/Crash%20Bandicoot%20and%20The%20Retro%20Dimension%202%20-%20The%20Crystal%20Hunt.zip</x:v>
      </x:c>
    </x:row>
    <x:row r="382">
      <x:c r="A382" t="str">
        <x:v>Critter Quest</x:v>
      </x:c>
      <x:c r="B382" t="str">
        <x:v>Critter Quest</x:v>
      </x:c>
      <x:c r="C382" t="str">
        <x:v>JakesBRjust</x:v>
      </x:c>
      <x:c r="D382" t="n">
        <x:v>10</x:v>
      </x:c>
      <x:c r="E382" t="str">
        <x:v>Advanced</x:v>
      </x:c>
      <x:c r="F382" t="str">
        <x:v>Kaizo</x:v>
      </x:c>
      <x:c r="G382" t="n">
        <x:v>45867</x:v>
      </x:c>
      <x:c r="H382" t="str">
        <x:v>40194</x:v>
      </x:c>
      <x:c r="I382" t="str">
        <x:v>https://www.smwcentral.net/?a=details&amp;id=40194&amp;p=section</x:v>
      </x:c>
      <x:c r="J382" t="str">
        <x:v>https://dl.smwcentral.net/40194/Critter%20Quest%20v1.1.zip</x:v>
      </x:c>
    </x:row>
    <x:row r="383">
      <x:c r="A383" t="str">
        <x:v>Critter Quest Jr</x:v>
      </x:c>
      <x:c r="B383" t="str">
        <x:v>Critter Quest Jr</x:v>
      </x:c>
      <x:c r="C383" t="str">
        <x:v>JakesBRjust</x:v>
      </x:c>
      <x:c r="D383" t="n">
        <x:v>14</x:v>
      </x:c>
      <x:c r="E383" t="str">
        <x:v>Advanced</x:v>
      </x:c>
      <x:c r="F383" t="str">
        <x:v>Kaizo</x:v>
      </x:c>
      <x:c r="G383" t="n">
        <x:v>46007</x:v>
      </x:c>
      <x:c r="H383" t="str">
        <x:v>41278</x:v>
      </x:c>
      <x:c r="I383" t="str">
        <x:v>https://www.smwcentral.net/?a=details&amp;id=41278&amp;p=section</x:v>
      </x:c>
      <x:c r="J383" t="str">
        <x:v>https://dl.smwcentral.net/41278/Critter%20Quest%20Jr.zip</x:v>
      </x:c>
    </x:row>
    <x:row r="384">
      <x:c r="A384" t="str">
        <x:v>CroNos Trigger</x:v>
      </x:c>
      <x:c r="B384" t="str">
        <x:v>CroNos Trigger</x:v>
      </x:c>
      <x:c r="C384" t="str">
        <x:v>Justepic</x:v>
      </x:c>
      <x:c r="D384" t="n">
        <x:v>15</x:v>
      </x:c>
      <x:c r="E384" t="str">
        <x:v>Expert</x:v>
      </x:c>
      <x:c r="F384" t="str">
        <x:v>Kaizo</x:v>
      </x:c>
      <x:c r="G384" t="n">
        <x:v>45120</x:v>
      </x:c>
      <x:c r="H384" t="str">
        <x:v>33950</x:v>
      </x:c>
      <x:c r="I384" t="str">
        <x:v>https://www.smwcentral.net/?a=details&amp;id=33950&amp;p=section</x:v>
      </x:c>
      <x:c r="J384" t="str">
        <x:v>https://dl.smwcentral.net/33950/Cronos%20Trigger%20V2.zip</x:v>
      </x:c>
    </x:row>
    <x:row r="385">
      <x:c r="A385" t="str">
        <x:v>Crossfire</x:v>
      </x:c>
      <x:c r="B385" t="str">
        <x:v>Crossfire</x:v>
      </x:c>
      <x:c r="C385" t="str">
        <x:v>NeptuneNeon</x:v>
      </x:c>
      <x:c r="D385" t="n">
        <x:v>22</x:v>
      </x:c>
      <x:c r="E385" t="str">
        <x:v>Expert</x:v>
      </x:c>
      <x:c r="F385" t="str">
        <x:v>Kaizo</x:v>
      </x:c>
      <x:c r="G385" t="n">
        <x:v>44378</x:v>
      </x:c>
      <x:c r="H385" t="str">
        <x:v>27238</x:v>
      </x:c>
      <x:c r="I385" t="str">
        <x:v>https://www.smwcentral.net/?a=details&amp;id=27238&amp;p=section</x:v>
      </x:c>
      <x:c r="J385" t="str">
        <x:v>https://dl.smwcentral.net/27238/crossfire_v1.2.zip</x:v>
      </x:c>
    </x:row>
    <x:row r="386">
      <x:c r="A386" t="str">
        <x:v>Cruisy</x:v>
      </x:c>
      <x:c r="B386" t="str">
        <x:v>Cruisy</x:v>
      </x:c>
      <x:c r="C386" t="str">
        <x:v>Lush_50</x:v>
      </x:c>
      <x:c r="D386" t="n">
        <x:v>11</x:v>
      </x:c>
      <x:c r="E386" t="str">
        <x:v>Advanced</x:v>
      </x:c>
      <x:c r="F386" t="str">
        <x:v>Kaizo</x:v>
      </x:c>
      <x:c r="G386" t="n">
        <x:v>44861</x:v>
      </x:c>
      <x:c r="H386" t="str">
        <x:v>32446</x:v>
      </x:c>
      <x:c r="I386" t="str">
        <x:v>https://www.smwcentral.net/?a=details&amp;id=32446&amp;p=section</x:v>
      </x:c>
      <x:c r="J386" t="str">
        <x:v>https://dl.smwcentral.net/32446/Cruisy%20v1.1.zip</x:v>
      </x:c>
    </x:row>
    <x:row r="387">
      <x:c r="A387" t="str">
        <x:v>Cube´s Kaizo World</x:v>
      </x:c>
      <x:c r="B387" t="str">
        <x:v>Cube´s Kaizo World</x:v>
      </x:c>
      <x:c r="C387" t="str">
        <x:v>Cube</x:v>
      </x:c>
      <x:c r="D387" t="n">
        <x:v>8</x:v>
      </x:c>
      <x:c r="E387" t="str">
        <x:v>Expert</x:v>
      </x:c>
      <x:c r="F387" t="str">
        <x:v>Kaizo</x:v>
      </x:c>
      <x:c r="G387" t="n">
        <x:v>44330</x:v>
      </x:c>
      <x:c r="H387" t="str">
        <x:v>26998</x:v>
      </x:c>
      <x:c r="I387" t="str">
        <x:v>https://www.smwcentral.net/?a=details&amp;id=26998&amp;p=section</x:v>
      </x:c>
      <x:c r="J387" t="str">
        <x:v>https://dl.smwcentral.net/26998/Cubes%20Kaizo%20World1.1.zip</x:v>
      </x:c>
    </x:row>
    <x:row r="388">
      <x:c r="A388" t="str">
        <x:v>Cube´s Kaizo World 2</x:v>
      </x:c>
      <x:c r="B388" t="str">
        <x:v>Cube´s Kaizo World 2</x:v>
      </x:c>
      <x:c r="C388" t="str">
        <x:v>Cube</x:v>
      </x:c>
      <x:c r="D388" t="n">
        <x:v>9</x:v>
      </x:c>
      <x:c r="E388" t="str">
        <x:v>Expert</x:v>
      </x:c>
      <x:c r="F388" t="str">
        <x:v>Kaizo</x:v>
      </x:c>
      <x:c r="G388" t="n">
        <x:v>44373</x:v>
      </x:c>
      <x:c r="H388" t="str">
        <x:v>27355</x:v>
      </x:c>
      <x:c r="I388" t="str">
        <x:v>https://www.smwcentral.net/?a=details&amp;id=27355&amp;p=section</x:v>
      </x:c>
      <x:c r="J388" t="str">
        <x:v>https://dl.smwcentral.net/27355/Cubes%20Kaizo%20World%202.zip</x:v>
      </x:c>
    </x:row>
    <x:row r="389">
      <x:c r="A389" t="str">
        <x:v>Cube´s Kaizo World 3</x:v>
      </x:c>
      <x:c r="B389" t="str">
        <x:v>Cube´s Kaizo World 3</x:v>
      </x:c>
      <x:c r="C389" t="str">
        <x:v>Cube</x:v>
      </x:c>
      <x:c r="D389" t="n">
        <x:v>12</x:v>
      </x:c>
      <x:c r="E389" t="str">
        <x:v>Expert</x:v>
      </x:c>
      <x:c r="F389" t="str">
        <x:v>Kaizo</x:v>
      </x:c>
      <x:c r="G389" t="n">
        <x:v>44724</x:v>
      </x:c>
      <x:c r="H389" t="str">
        <x:v>31127</x:v>
      </x:c>
      <x:c r="I389" t="str">
        <x:v>https://www.smwcentral.net/?a=details&amp;id=31127&amp;p=section</x:v>
      </x:c>
      <x:c r="J389" t="str">
        <x:v>https://dl.smwcentral.net/31127/Cubes%20Kaizo%20World%203%20v1.2.zip</x:v>
      </x:c>
    </x:row>
    <x:row r="390">
      <x:c r="A390" t="str">
        <x:v>Cube´s Kaizo World 4</x:v>
      </x:c>
      <x:c r="B390" t="str">
        <x:v>Cube´s Kaizo World 4</x:v>
      </x:c>
      <x:c r="C390" t="str">
        <x:v>Cube</x:v>
      </x:c>
      <x:c r="D390" t="n">
        <x:v>13</x:v>
      </x:c>
      <x:c r="E390" t="str">
        <x:v>Expert</x:v>
      </x:c>
      <x:c r="F390" t="str">
        <x:v>Kaizo</x:v>
      </x:c>
      <x:c r="G390" t="n">
        <x:v>45150</x:v>
      </x:c>
      <x:c r="H390" t="str">
        <x:v>34784</x:v>
      </x:c>
      <x:c r="I390" t="str">
        <x:v>https://www.smwcentral.net/?a=details&amp;id=34784&amp;p=section</x:v>
      </x:c>
      <x:c r="J390" t="str">
        <x:v>https://dl.smwcentral.net/34784/CubesKaizoWorld4_1.1.zip</x:v>
      </x:c>
    </x:row>
    <x:row r="391">
      <x:c r="A391" t="str">
        <x:v>Cube´s Kaizo World 5</x:v>
      </x:c>
      <x:c r="B391" t="str">
        <x:v>Cube´s Kaizo World 5</x:v>
      </x:c>
      <x:c r="C391" t="str">
        <x:v>Cube</x:v>
      </x:c>
      <x:c r="D391" t="n">
        <x:v>23</x:v>
      </x:c>
      <x:c r="E391" t="str">
        <x:v>Master</x:v>
      </x:c>
      <x:c r="F391" t="str">
        <x:v>Kaizo</x:v>
      </x:c>
      <x:c r="G391" t="n">
        <x:v>45522</x:v>
      </x:c>
      <x:c r="H391" t="str">
        <x:v>38168</x:v>
      </x:c>
      <x:c r="I391" t="str">
        <x:v>https://www.smwcentral.net/?a=details&amp;id=38168&amp;p=section</x:v>
      </x:c>
      <x:c r="J391" t="str">
        <x:v>https://dl.smwcentral.net/38168/CubesKaizoWorld5%201.1.zip</x:v>
      </x:c>
    </x:row>
    <x:row r="392">
      <x:c r="A392" t="str">
        <x:v>Cute as Shell</x:v>
      </x:c>
      <x:c r="B392" t="str">
        <x:v>Cute as Shell</x:v>
      </x:c>
      <x:c r="C392" t="str">
        <x:v>slopcore</x:v>
      </x:c>
      <x:c r="D392" t="n">
        <x:v>10</x:v>
      </x:c>
      <x:c r="E392" t="str">
        <x:v>Advanced</x:v>
      </x:c>
      <x:c r="F392" t="str">
        <x:v>Kaizo</x:v>
      </x:c>
      <x:c r="G392" t="n">
        <x:v>45567</x:v>
      </x:c>
      <x:c r="H392" t="str">
        <x:v>38571</x:v>
      </x:c>
      <x:c r="I392" t="str">
        <x:v>https://www.smwcentral.net/?a=details&amp;id=38571&amp;p=section</x:v>
      </x:c>
      <x:c r="J392" t="str">
        <x:v>https://dl.smwcentral.net/38571/CuteAsShell1.2.zip</x:v>
      </x:c>
    </x:row>
    <x:row r="393">
      <x:c r="A393" t="str">
        <x:v>Cute Kaizo World</x:v>
      </x:c>
      <x:c r="B393" t="str">
        <x:v>Cute Kaizo World</x:v>
      </x:c>
      <x:c r="C393" t="str">
        <x:v>slopcore</x:v>
      </x:c>
      <x:c r="D393" t="n">
        <x:v>14</x:v>
      </x:c>
      <x:c r="E393" t="str">
        <x:v>Advanced</x:v>
      </x:c>
      <x:c r="F393" t="str">
        <x:v>Kaizo</x:v>
      </x:c>
      <x:c r="G393" t="n">
        <x:v>44249</x:v>
      </x:c>
      <x:c r="H393" t="str">
        <x:v>26252</x:v>
      </x:c>
      <x:c r="I393" t="str">
        <x:v>https://www.smwcentral.net/?a=details&amp;id=26252&amp;p=section</x:v>
      </x:c>
      <x:c r="J393" t="str">
        <x:v>https://dl.smwcentral.net/26252/CuteKaizoWorldv1.1.zip</x:v>
      </x:c>
    </x:row>
    <x:row r="394">
      <x:c r="A394" t="str">
        <x:v>Cuter Kaizo World</x:v>
      </x:c>
      <x:c r="B394" t="str">
        <x:v>Cuter Kaizo World</x:v>
      </x:c>
      <x:c r="C394" t="str">
        <x:v>slopcore</x:v>
      </x:c>
      <x:c r="D394" t="n">
        <x:v>15</x:v>
      </x:c>
      <x:c r="E394" t="str">
        <x:v>Advanced</x:v>
      </x:c>
      <x:c r="F394" t="str">
        <x:v>Kaizo</x:v>
      </x:c>
      <x:c r="G394" t="n">
        <x:v>44698</x:v>
      </x:c>
      <x:c r="H394" t="str">
        <x:v>30915</x:v>
      </x:c>
      <x:c r="I394" t="str">
        <x:v>https://www.smwcentral.net/?a=details&amp;id=30915&amp;p=section</x:v>
      </x:c>
      <x:c r="J394" t="str">
        <x:v>https://dl.smwcentral.net/30915/CuterKaizo.zip</x:v>
      </x:c>
    </x:row>
    <x:row r="395">
      <x:c r="A395" t="str">
        <x:v>Cygnus</x:v>
      </x:c>
      <x:c r="B395" t="str">
        <x:v>Cygnus</x:v>
      </x:c>
      <x:c r="C395" t="str">
        <x:v>oyok</x:v>
      </x:c>
      <x:c r="D395" t="n">
        <x:v>10</x:v>
      </x:c>
      <x:c r="E395" t="str">
        <x:v>Expert</x:v>
      </x:c>
      <x:c r="F395" t="str">
        <x:v>Kaizo</x:v>
      </x:c>
      <x:c r="G395" t="n">
        <x:v>45914</x:v>
      </x:c>
      <x:c r="H395" t="str">
        <x:v>40612</x:v>
      </x:c>
      <x:c r="I395" t="str">
        <x:v>https://www.smwcentral.net/?a=details&amp;id=40612&amp;p=section</x:v>
      </x:c>
      <x:c r="J395" t="str">
        <x:v>https://dl.smwcentral.net/40612/cygnus.zip</x:v>
      </x:c>
    </x:row>
    <x:row r="396">
      <x:c r="A396" t="str">
        <x:v>D.O.L.L.S.</x:v>
      </x:c>
      <x:c r="B396" t="str">
        <x:v>D.O.L.L.S.</x:v>
      </x:c>
      <x:c r="C396" t="str">
        <x:v>Jordan</x:v>
      </x:c>
      <x:c r="D396" t="n">
        <x:v>0</x:v>
      </x:c>
      <x:c r="E396" t="str">
        <x:v>Intermediate</x:v>
      </x:c>
      <x:c r="F396" t="str">
        <x:v>Standard</x:v>
      </x:c>
      <x:c r="G396" t="n">
        <x:v>45747</x:v>
      </x:c>
      <x:c r="H396" t="str">
        <x:v>39486</x:v>
      </x:c>
      <x:c r="I396" t="str">
        <x:v>https://www.smwcentral.net/?a=details&amp;id=39486&amp;p=section</x:v>
      </x:c>
      <x:c r="J396" t="str">
        <x:v>https://dl.smwcentral.net/39486/DOLLS.zip</x:v>
      </x:c>
    </x:row>
    <x:row r="397">
      <x:c r="A397" t="str">
        <x:v>DADDY</x:v>
      </x:c>
      <x:c r="B397" t="str">
        <x:v>DADDY</x:v>
      </x:c>
      <x:c r="C397" t="str">
        <x:v>Ludachrizzle</x:v>
      </x:c>
      <x:c r="D397" t="n">
        <x:v>9</x:v>
      </x:c>
      <x:c r="E397" t="str">
        <x:v>Expert</x:v>
      </x:c>
      <x:c r="F397" t="str">
        <x:v>Kaizo</x:v>
      </x:c>
      <x:c r="G397" t="n">
        <x:v>44879</x:v>
      </x:c>
      <x:c r="H397" t="str">
        <x:v>32552</x:v>
      </x:c>
      <x:c r="I397" t="str">
        <x:v>https://www.smwcentral.net/?a=details&amp;id=32552&amp;p=section</x:v>
      </x:c>
      <x:c r="J397" t="str">
        <x:v>https://dl.smwcentral.net/32552/Daddy_v1.2.zip</x:v>
      </x:c>
    </x:row>
    <x:row r="398">
      <x:c r="A398" t="str">
        <x:v>Daemon Land</x:v>
      </x:c>
      <x:c r="B398" t="str">
        <x:v>Daemon Land</x:v>
      </x:c>
      <x:c r="C398" t="str">
        <x:v>51690</x:v>
      </x:c>
      <x:c r="D398" t="n">
        <x:v>8</x:v>
      </x:c>
      <x:c r="E398" t="str">
        <x:v>Master</x:v>
      </x:c>
      <x:c r="F398" t="str">
        <x:v>Kaizo</x:v>
      </x:c>
      <x:c r="G398" t="n">
        <x:v>44729</x:v>
      </x:c>
      <x:c r="H398" t="str">
        <x:v>31117</x:v>
      </x:c>
      <x:c r="I398" t="str">
        <x:v>https://www.smwcentral.net/?a=details&amp;id=31117&amp;p=section</x:v>
      </x:c>
      <x:c r="J398" t="str">
        <x:v>https://dl.smwcentral.net/31117/daemon%20land%201.2.zip</x:v>
      </x:c>
    </x:row>
    <x:row r="399">
      <x:c r="A399" t="str">
        <x:v>Daemon Land 2</x:v>
      </x:c>
      <x:c r="B399" t="str">
        <x:v>Daemon Land 2</x:v>
      </x:c>
      <x:c r="C399" t="str">
        <x:v>51690</x:v>
      </x:c>
      <x:c r="D399" t="n">
        <x:v>10</x:v>
      </x:c>
      <x:c r="E399" t="str">
        <x:v>Master</x:v>
      </x:c>
      <x:c r="F399" t="str">
        <x:v>Kaizo</x:v>
      </x:c>
      <x:c r="G399" t="n">
        <x:v>44529</x:v>
      </x:c>
      <x:c r="H399" t="str">
        <x:v>28678</x:v>
      </x:c>
      <x:c r="I399" t="str">
        <x:v>https://www.smwcentral.net/?a=details&amp;id=28678&amp;p=section</x:v>
      </x:c>
      <x:c r="J399" t="str">
        <x:v>https://dl.smwcentral.net/28678/daemon%20land%202.zip</x:v>
      </x:c>
    </x:row>
    <x:row r="400">
      <x:c r="A400" t="str">
        <x:v>Daemon Land 3</x:v>
      </x:c>
      <x:c r="B400" t="str">
        <x:v>Daemon Land 3</x:v>
      </x:c>
      <x:c r="C400" t="str">
        <x:v>51690</x:v>
      </x:c>
      <x:c r="D400" t="n">
        <x:v>8</x:v>
      </x:c>
      <x:c r="E400" t="str">
        <x:v>Master</x:v>
      </x:c>
      <x:c r="F400" t="str">
        <x:v>Kaizo</x:v>
      </x:c>
      <x:c r="G400" t="n">
        <x:v>44832</x:v>
      </x:c>
      <x:c r="H400" t="str">
        <x:v>32105</x:v>
      </x:c>
      <x:c r="I400" t="str">
        <x:v>https://www.smwcentral.net/?a=details&amp;id=32105&amp;p=section</x:v>
      </x:c>
      <x:c r="J400" t="str">
        <x:v>https://dl.smwcentral.net/32105/daemon%20land%203.zip</x:v>
      </x:c>
    </x:row>
    <x:row r="401">
      <x:c r="A401" t="str">
        <x:v>Daisy's Crazy Adventure</x:v>
      </x:c>
      <x:c r="B401" t="str">
        <x:v>Daisy's Crazy Adventure</x:v>
      </x:c>
      <x:c r="C401" t="str">
        <x:v>BlueSheep123</x:v>
      </x:c>
      <x:c r="D401" t="n">
        <x:v>17</x:v>
      </x:c>
      <x:c r="E401" t="str">
        <x:v>Intermediate</x:v>
      </x:c>
      <x:c r="F401" t="str">
        <x:v>Standard</x:v>
      </x:c>
      <x:c r="G401" t="n">
        <x:v>45494</x:v>
      </x:c>
      <x:c r="H401" t="str">
        <x:v>38109</x:v>
      </x:c>
      <x:c r="I401" t="str">
        <x:v>https://www.smwcentral.net/?a=details&amp;id=38109&amp;p=section</x:v>
      </x:c>
      <x:c r="J401" t="str">
        <x:v>https://dl.smwcentral.net/38109/Daisy%27s_Crazy_Adventure_1.1.0.zip</x:v>
      </x:c>
    </x:row>
    <x:row r="402">
      <x:c r="A402" t="str">
        <x:v>Dancer to a Discordant System</x:v>
      </x:c>
      <x:c r="B402" t="str">
        <x:v>Dancer to a Discordant System</x:v>
      </x:c>
      <x:c r="C402" t="str">
        <x:v>slopcore</x:v>
      </x:c>
      <x:c r="D402" t="n">
        <x:v>22</x:v>
      </x:c>
      <x:c r="E402" t="str">
        <x:v>Expert</x:v>
      </x:c>
      <x:c r="F402" t="str">
        <x:v>Kaizo</x:v>
      </x:c>
      <x:c r="G402" t="n">
        <x:v>44154</x:v>
      </x:c>
      <x:c r="H402" t="str">
        <x:v>25165</x:v>
      </x:c>
      <x:c r="I402" t="str">
        <x:v>https://www.smwcentral.net/?a=details&amp;id=25165&amp;p=section</x:v>
      </x:c>
      <x:c r="J402" t="str">
        <x:v>https://dl.smwcentral.net/25165/Dancer.zip</x:v>
      </x:c>
    </x:row>
    <x:row r="403">
      <x:c r="A403" t="str">
        <x:v>Danmaku Mario World</x:v>
      </x:c>
      <x:c r="B403" t="str">
        <x:v>Danmaku Mario World</x:v>
      </x:c>
      <x:c r="C403" t="str">
        <x:v>NikSik1</x:v>
      </x:c>
      <x:c r="D403" t="n">
        <x:v>0</x:v>
      </x:c>
      <x:c r="E403" t="str">
        <x:v>Intermediate</x:v>
      </x:c>
      <x:c r="F403" t="str">
        <x:v>Standard</x:v>
      </x:c>
      <x:c r="G403" t="n">
        <x:v>44635</x:v>
      </x:c>
      <x:c r="H403" t="str">
        <x:v>29831</x:v>
      </x:c>
      <x:c r="I403" t="str">
        <x:v>https://www.smwcentral.net/?a=details&amp;id=29831&amp;p=section</x:v>
      </x:c>
      <x:c r="J403" t="str">
        <x:v>https://dl.smwcentral.net/29831/Danmaku%20Mario%20World.zip</x:v>
      </x:c>
    </x:row>
    <x:row r="404">
      <x:c r="A404" t="str">
        <x:v>Dark Shelly World</x:v>
      </x:c>
      <x:c r="B404" t="str">
        <x:v>Dark Shelly World</x:v>
      </x:c>
      <x:c r="C404" t="str">
        <x:v>redkiller</x:v>
      </x:c>
      <x:c r="D404" t="n">
        <x:v>0</x:v>
      </x:c>
      <x:c r="E404" t="str">
        <x:v>Master</x:v>
      </x:c>
      <x:c r="F404" t="str">
        <x:v>Kaizo</x:v>
      </x:c>
      <x:c r="G404" t="n">
        <x:v>44480</x:v>
      </x:c>
      <x:c r="H404" t="str">
        <x:v>28537</x:v>
      </x:c>
      <x:c r="I404" t="str">
        <x:v>https://www.smwcentral.net/?a=details&amp;id=28537&amp;p=section</x:v>
      </x:c>
      <x:c r="J404" t="str">
        <x:v>https://dl.smwcentral.net/28537/Dark%20Shelly%20World.zip</x:v>
      </x:c>
    </x:row>
    <x:row r="405">
      <x:c r="A405" t="str">
        <x:v>Darkside 2</x:v>
      </x:c>
      <x:c r="B405" t="str">
        <x:v>Darkside 2</x:v>
      </x:c>
      <x:c r="C405" t="str">
        <x:v>Insanit</x:v>
      </x:c>
      <x:c r="D405" t="n">
        <x:v>8</x:v>
      </x:c>
      <x:c r="E405" t="str">
        <x:v>Expert</x:v>
      </x:c>
      <x:c r="F405" t="str">
        <x:v>Kaizo</x:v>
      </x:c>
      <x:c r="G405" t="n">
        <x:v>45781</x:v>
      </x:c>
      <x:c r="H405" t="str">
        <x:v>39786</x:v>
      </x:c>
      <x:c r="I405" t="str">
        <x:v>https://www.smwcentral.net/?a=details&amp;id=39786&amp;p=section</x:v>
      </x:c>
      <x:c r="J405" t="str">
        <x:v>https://dl.smwcentral.net/39786/Darkside%202.41.zip</x:v>
      </x:c>
    </x:row>
    <x:row r="406">
      <x:c r="A406" t="str">
        <x:v>Darkstar</x:v>
      </x:c>
      <x:c r="B406" t="str">
        <x:v>Darkstar</x:v>
      </x:c>
      <x:c r="C406" t="str">
        <x:v>MDBattleFrog</x:v>
      </x:c>
      <x:c r="D406" t="n">
        <x:v>18</x:v>
      </x:c>
      <x:c r="E406" t="str">
        <x:v>Master</x:v>
      </x:c>
      <x:c r="F406" t="str">
        <x:v>Kaizo</x:v>
      </x:c>
      <x:c r="G406" t="n">
        <x:v>43849</x:v>
      </x:c>
      <x:c r="H406" t="str">
        <x:v>21730</x:v>
      </x:c>
      <x:c r="I406" t="str">
        <x:v>https://www.smwcentral.net/?a=details&amp;id=21730&amp;p=section</x:v>
      </x:c>
      <x:c r="J406" t="str">
        <x:v>https://dl.smwcentral.net/21730/DarkstarV1.11.zip</x:v>
      </x:c>
    </x:row>
    <x:row r="407">
      <x:c r="A407" t="str">
        <x:v>Day at the races</x:v>
      </x:c>
      <x:c r="B407" t="str">
        <x:v>Day at the races</x:v>
      </x:c>
      <x:c r="C407" t="str">
        <x:v>Lush_50</x:v>
      </x:c>
      <x:c r="D407" t="n">
        <x:v>1</x:v>
      </x:c>
      <x:c r="E407" t="str">
        <x:v>Intermediate</x:v>
      </x:c>
      <x:c r="F407" t="str">
        <x:v>Kaizo</x:v>
      </x:c>
      <x:c r="G407" t="n">
        <x:v>44885</x:v>
      </x:c>
      <x:c r="H407" t="str">
        <x:v>32591</x:v>
      </x:c>
      <x:c r="I407" t="str">
        <x:v>https://www.smwcentral.net/?a=details&amp;id=32591&amp;p=section</x:v>
      </x:c>
      <x:c r="J407" t="str">
        <x:v>https://dl.smwcentral.net/32591/Day%20at%20the%20races%20v1.zip</x:v>
      </x:c>
    </x:row>
    <x:row r="408">
      <x:c r="A408" t="str">
        <x:v>Day At The Turkey Races</x:v>
      </x:c>
      <x:c r="B408" t="str">
        <x:v>Day At The Turkey Races</x:v>
      </x:c>
      <x:c r="C408" t="str">
        <x:v>Fryinb</x:v>
      </x:c>
      <x:c r="D408" t="n">
        <x:v>12</x:v>
      </x:c>
      <x:c r="E408" t="str">
        <x:v>Expert</x:v>
      </x:c>
      <x:c r="F408" t="str">
        <x:v>Kaizo</x:v>
      </x:c>
      <x:c r="G408" t="n">
        <x:v>45021</x:v>
      </x:c>
      <x:c r="H408" t="str">
        <x:v>33684</x:v>
      </x:c>
      <x:c r="I408" t="str">
        <x:v>https://www.smwcentral.net/?a=details&amp;id=33684&amp;p=section</x:v>
      </x:c>
      <x:c r="J408" t="str">
        <x:v>https://dl.smwcentral.net/33684/Turkey.zip</x:v>
      </x:c>
    </x:row>
    <x:row r="409">
      <x:c r="A409" t="str">
        <x:v>Day In The Life</x:v>
      </x:c>
      <x:c r="B409" t="str">
        <x:v>Day In The Life</x:v>
      </x:c>
      <x:c r="C409" t="str">
        <x:v>Darkanine</x:v>
      </x:c>
      <x:c r="D409" t="n">
        <x:v>10</x:v>
      </x:c>
      <x:c r="E409" t="str">
        <x:v>Expert</x:v>
      </x:c>
      <x:c r="F409" t="str">
        <x:v>Kaizo</x:v>
      </x:c>
      <x:c r="G409" t="n">
        <x:v>44561</x:v>
      </x:c>
      <x:c r="H409" t="str">
        <x:v>29121</x:v>
      </x:c>
      <x:c r="I409" t="str">
        <x:v>https://www.smwcentral.net/?a=details&amp;id=29121&amp;p=section</x:v>
      </x:c>
      <x:c r="J409" t="str">
        <x:v>https://dl.smwcentral.net/29121/DayInTheLife.zip</x:v>
      </x:c>
    </x:row>
    <x:row r="410">
      <x:c r="A410" t="str">
        <x:v>Day of the Muncher</x:v>
      </x:c>
      <x:c r="B410" t="str">
        <x:v>Day of the Muncher</x:v>
      </x:c>
      <x:c r="C410" t="str">
        <x:v>Dark Prince, Knucklesfan</x:v>
      </x:c>
      <x:c r="D410" t="n">
        <x:v>4</x:v>
      </x:c>
      <x:c r="E410" t="str">
        <x:v>Casual</x:v>
      </x:c>
      <x:c r="F410" t="str">
        <x:v>Standard</x:v>
      </x:c>
      <x:c r="G410" t="n">
        <x:v>44007</x:v>
      </x:c>
      <x:c r="H410" t="str">
        <x:v>23431</x:v>
      </x:c>
      <x:c r="I410" t="str">
        <x:v>https://www.smwcentral.net/?a=details&amp;id=23431&amp;p=section</x:v>
      </x:c>
      <x:c r="J410" t="str">
        <x:v>https://dl.smwcentral.net/23431/DayOfTheMuncher.zip</x:v>
      </x:c>
    </x:row>
    <x:row r="411">
      <x:c r="A411" t="str">
        <x:v>Daymaker: Release From Doomsday</x:v>
      </x:c>
      <x:c r="B411" t="str">
        <x:v>Daymaker: Release From Doomsday</x:v>
      </x:c>
      <x:c r="C411" t="str">
        <x:v>Plasma303</x:v>
      </x:c>
      <x:c r="D411" t="n">
        <x:v>89</x:v>
      </x:c>
      <x:c r="E411" t="str">
        <x:v>Casual</x:v>
      </x:c>
      <x:c r="F411" t="str">
        <x:v>Standard</x:v>
      </x:c>
      <x:c r="G411" t="n">
        <x:v>45638</x:v>
      </x:c>
      <x:c r="H411" t="str">
        <x:v>38884</x:v>
      </x:c>
      <x:c r="I411" t="str">
        <x:v>https://www.smwcentral.net/?a=details&amp;id=38884&amp;p=section</x:v>
      </x:c>
      <x:c r="J411" t="str">
        <x:v>https://dl.smwcentral.net/38884/drfdv1-4-1u.zip</x:v>
      </x:c>
    </x:row>
    <x:row r="412">
      <x:c r="A412" t="str">
        <x:v>Dead Man's Quest - Vagabond to Phantlore Island</x:v>
      </x:c>
      <x:c r="B412" t="str">
        <x:v>Dead Man's Quest - Vagabond to Phantlore Island</x:v>
      </x:c>
      <x:c r="C412" t="str">
        <x:v>Vamperumbra</x:v>
      </x:c>
      <x:c r="D412" t="n">
        <x:v>18</x:v>
      </x:c>
      <x:c r="E412" t="str">
        <x:v>Intermediate</x:v>
      </x:c>
      <x:c r="F412" t="str">
        <x:v>Standard</x:v>
      </x:c>
      <x:c r="G412" t="n">
        <x:v>42615</x:v>
      </x:c>
      <x:c r="H412" t="str">
        <x:v>14329</x:v>
      </x:c>
      <x:c r="I412" t="str">
        <x:v>https://www.smwcentral.net/?a=details&amp;id=14329&amp;p=section</x:v>
      </x:c>
      <x:c r="J412" t="str">
        <x:v>https://dl.smwcentral.net/14329/DMQ.zip</x:v>
      </x:c>
    </x:row>
    <x:row r="413">
      <x:c r="A413" t="str">
        <x:v>Dead-Man Mario World</x:v>
      </x:c>
      <x:c r="B413" t="str">
        <x:v>Dead-Man Mario World</x:v>
      </x:c>
      <x:c r="C413" t="str">
        <x:v>Uncle Dumbass, gamed9x</x:v>
      </x:c>
      <x:c r="D413" t="n">
        <x:v>7</x:v>
      </x:c>
      <x:c r="E413" t="str">
        <x:v>Casual</x:v>
      </x:c>
      <x:c r="F413" t="str">
        <x:v>Standard</x:v>
      </x:c>
      <x:c r="G413" t="n">
        <x:v>42134</x:v>
      </x:c>
      <x:c r="H413" t="str">
        <x:v>11304</x:v>
      </x:c>
      <x:c r="I413" t="str">
        <x:v>https://www.smwcentral.net/?a=details&amp;id=11304&amp;p=section</x:v>
      </x:c>
      <x:c r="J413" t="str">
        <x:v>https://dl.smwcentral.net/11304/deadman_mario.zip</x:v>
      </x:c>
    </x:row>
    <x:row r="414">
      <x:c r="A414" t="str">
        <x:v>Dearly Detested</x:v>
      </x:c>
      <x:c r="B414" t="str">
        <x:v>Dearly Detested</x:v>
      </x:c>
      <x:c r="C414" t="str">
        <x:v>Lazy</x:v>
      </x:c>
      <x:c r="D414" t="n">
        <x:v>0</x:v>
      </x:c>
      <x:c r="E414" t="str">
        <x:v>Master</x:v>
      </x:c>
      <x:c r="F414" t="str">
        <x:v>Kaizo</x:v>
      </x:c>
      <x:c r="G414" t="n">
        <x:v>46072</x:v>
      </x:c>
      <x:c r="H414" t="str">
        <x:v>41540</x:v>
      </x:c>
      <x:c r="I414" t="str">
        <x:v>https://www.smwcentral.net/?a=details&amp;id=41540&amp;p=section</x:v>
      </x:c>
      <x:c r="J414" t="str">
        <x:v>https://dl.smwcentral.net/41540/Dearly%20Detested.zip</x:v>
      </x:c>
    </x:row>
    <x:row r="415">
      <x:c r="A415" t="str">
        <x:v>Death of a Plumber</x:v>
      </x:c>
      <x:c r="B415" t="str">
        <x:v>Death of a Plumber</x:v>
      </x:c>
      <x:c r="C415" t="str">
        <x:v>cur</x:v>
      </x:c>
      <x:c r="D415" t="n">
        <x:v>23</x:v>
      </x:c>
      <x:c r="E415" t="str">
        <x:v>Expert</x:v>
      </x:c>
      <x:c r="F415" t="str">
        <x:v>Kaizo</x:v>
      </x:c>
      <x:c r="G415" t="n">
        <x:v>44349</x:v>
      </x:c>
      <x:c r="H415" t="str">
        <x:v>27165</x:v>
      </x:c>
      <x:c r="I415" t="str">
        <x:v>https://www.smwcentral.net/?a=details&amp;id=27165&amp;p=section</x:v>
      </x:c>
      <x:c r="J415" t="str">
        <x:v>https://dl.smwcentral.net/27165/Death%20of%20a%20Plumber%201.2.zip</x:v>
      </x:c>
    </x:row>
    <x:row r="416">
      <x:c r="A416" t="str">
        <x:v>Death Zone</x:v>
      </x:c>
      <x:c r="B416" t="str">
        <x:v>Death Zone</x:v>
      </x:c>
      <x:c r="C416" t="str">
        <x:v>turbofa</x:v>
      </x:c>
      <x:c r="D416" t="n">
        <x:v>11</x:v>
      </x:c>
      <x:c r="E416" t="str">
        <x:v>Advanced</x:v>
      </x:c>
      <x:c r="F416" t="str">
        <x:v>Kaizo, Tool-Assisted</x:v>
      </x:c>
      <x:c r="G416" t="n">
        <x:v>42873</x:v>
      </x:c>
      <x:c r="H416" t="str">
        <x:v>15505</x:v>
      </x:c>
      <x:c r="I416" t="str">
        <x:v>https://www.smwcentral.net/?a=details&amp;id=15505&amp;p=section</x:v>
      </x:c>
      <x:c r="J416" t="str">
        <x:v>https://dl.smwcentral.net/15505/DeathZone.zip</x:v>
      </x:c>
    </x:row>
    <x:row r="417">
      <x:c r="A417" t="str">
        <x:v>Deathshredder</x:v>
      </x:c>
      <x:c r="B417" t="str">
        <x:v>Deathshredder</x:v>
      </x:c>
      <x:c r="C417" t="str">
        <x:v>Reese</x:v>
      </x:c>
      <x:c r="D417" t="n">
        <x:v>1</x:v>
      </x:c>
      <x:c r="E417" t="str">
        <x:v>Expert</x:v>
      </x:c>
      <x:c r="F417" t="str">
        <x:v>Kaizo</x:v>
      </x:c>
      <x:c r="G417" t="n">
        <x:v>45595</x:v>
      </x:c>
      <x:c r="H417" t="str">
        <x:v>38714</x:v>
      </x:c>
      <x:c r="I417" t="str">
        <x:v>https://www.smwcentral.net/?a=details&amp;id=38714&amp;p=section</x:v>
      </x:c>
      <x:c r="J417" t="str">
        <x:v>https://dl.smwcentral.net/38714/Deathshredder.zip</x:v>
      </x:c>
    </x:row>
    <x:row r="418">
      <x:c r="A418" t="str">
        <x:v>DeClock Mario World Remastered</x:v>
      </x:c>
      <x:c r="B418" t="str">
        <x:v>DeClock Mario World Remastered</x:v>
      </x:c>
      <x:c r="C418" t="str">
        <x:v>Sammmoo</x:v>
      </x:c>
      <x:c r="D418" t="n">
        <x:v>20</x:v>
      </x:c>
      <x:c r="E418" t="str">
        <x:v>Expert</x:v>
      </x:c>
      <x:c r="F418" t="str">
        <x:v>Kaizo</x:v>
      </x:c>
      <x:c r="G418" t="n">
        <x:v>44033</x:v>
      </x:c>
      <x:c r="H418" t="str">
        <x:v>23833</x:v>
      </x:c>
      <x:c r="I418" t="str">
        <x:v>https://www.smwcentral.net/?a=details&amp;id=23833&amp;p=section</x:v>
      </x:c>
      <x:c r="J418" t="str">
        <x:v>https://dl.smwcentral.net/23833/DeClock%20Mario%20World%20Remastered%201.1.zip</x:v>
      </x:c>
    </x:row>
    <x:row r="419">
      <x:c r="A419" t="str">
        <x:v>Deep In The Island</x:v>
      </x:c>
      <x:c r="B419" t="str">
        <x:v>Deep In The Island</x:v>
      </x:c>
      <x:c r="C419" t="str">
        <x:v>dashlet</x:v>
      </x:c>
      <x:c r="D419" t="n">
        <x:v>7</x:v>
      </x:c>
      <x:c r="E419" t="str">
        <x:v>Intermediate</x:v>
      </x:c>
      <x:c r="F419" t="str">
        <x:v>Standard</x:v>
      </x:c>
      <x:c r="G419" t="n">
        <x:v>44779</x:v>
      </x:c>
      <x:c r="H419" t="str">
        <x:v>31559</x:v>
      </x:c>
      <x:c r="I419" t="str">
        <x:v>https://www.smwcentral.net/?a=details&amp;id=31559&amp;p=section</x:v>
      </x:c>
      <x:c r="J419" t="str">
        <x:v>https://dl.smwcentral.net/31559/Deep%20In%20The%20Island%20%28Ver%201.1%29.zip</x:v>
      </x:c>
    </x:row>
    <x:row r="420">
      <x:c r="A420" t="str">
        <x:v>DeepDreamWorld</x:v>
      </x:c>
      <x:c r="B420" t="str">
        <x:v>DeepDreamWorld</x:v>
      </x:c>
      <x:c r="C420" t="str">
        <x:v>Dobosco</x:v>
      </x:c>
      <x:c r="D420" t="n">
        <x:v>22</x:v>
      </x:c>
      <x:c r="E420" t="str">
        <x:v>Advanced</x:v>
      </x:c>
      <x:c r="F420" t="str">
        <x:v>Kaizo</x:v>
      </x:c>
      <x:c r="G420" t="n">
        <x:v>43879</x:v>
      </x:c>
      <x:c r="H420" t="str">
        <x:v>22110</x:v>
      </x:c>
      <x:c r="I420" t="str">
        <x:v>https://www.smwcentral.net/?a=details&amp;id=22110&amp;p=section</x:v>
      </x:c>
      <x:c r="J420" t="str">
        <x:v>https://dl.smwcentral.net/22110/DeepDreamWorld.zip</x:v>
      </x:c>
    </x:row>
    <x:row r="421">
      <x:c r="A421" t="str">
        <x:v>DEEZ shells</x:v>
      </x:c>
      <x:c r="B421" t="str">
        <x:v>DEEZ shells</x:v>
      </x:c>
      <x:c r="C421" t="str">
        <x:v>Firstnamebutt</x:v>
      </x:c>
      <x:c r="D421" t="n">
        <x:v>17</x:v>
      </x:c>
      <x:c r="E421" t="str">
        <x:v>Expert</x:v>
      </x:c>
      <x:c r="F421" t="str">
        <x:v>Kaizo</x:v>
      </x:c>
      <x:c r="G421" t="n">
        <x:v>45076</x:v>
      </x:c>
      <x:c r="H421" t="str">
        <x:v>34025</x:v>
      </x:c>
      <x:c r="I421" t="str">
        <x:v>https://www.smwcentral.net/?a=details&amp;id=34025&amp;p=section</x:v>
      </x:c>
      <x:c r="J421" t="str">
        <x:v>https://dl.smwcentral.net/34025/DEEZ%20shells.zip</x:v>
      </x:c>
    </x:row>
    <x:row r="422">
      <x:c r="A422" t="str">
        <x:v>Deja Vu</x:v>
      </x:c>
      <x:c r="B422" t="str">
        <x:v>Deja Vu</x:v>
      </x:c>
      <x:c r="C422" t="str">
        <x:v>Razberry</x:v>
      </x:c>
      <x:c r="D422" t="n">
        <x:v>10</x:v>
      </x:c>
      <x:c r="E422" t="str">
        <x:v>Expert</x:v>
      </x:c>
      <x:c r="F422" t="str">
        <x:v>Kaizo</x:v>
      </x:c>
      <x:c r="G422" t="n">
        <x:v>44817</x:v>
      </x:c>
      <x:c r="H422" t="str">
        <x:v>32023</x:v>
      </x:c>
      <x:c r="I422" t="str">
        <x:v>https://www.smwcentral.net/?a=details&amp;id=32023&amp;p=section</x:v>
      </x:c>
      <x:c r="J422" t="str">
        <x:v>https://dl.smwcentral.net/32023/Deja%20Vu%201.3.zip</x:v>
      </x:c>
    </x:row>
    <x:row r="423">
      <x:c r="A423" t="str">
        <x:v>Delirious Mario</x:v>
      </x:c>
      <x:c r="B423" t="str">
        <x:v>Delirious Mario</x:v>
      </x:c>
      <x:c r="C423" t="str">
        <x:v>ageVerrly</x:v>
      </x:c>
      <x:c r="D423" t="n">
        <x:v>5</x:v>
      </x:c>
      <x:c r="E423" t="str">
        <x:v>Master</x:v>
      </x:c>
      <x:c r="F423" t="str">
        <x:v>Kaizo</x:v>
      </x:c>
      <x:c r="G423" t="n">
        <x:v>44304</x:v>
      </x:c>
      <x:c r="H423" t="str">
        <x:v>26493</x:v>
      </x:c>
      <x:c r="I423" t="str">
        <x:v>https://www.smwcentral.net/?a=details&amp;id=26493&amp;p=section</x:v>
      </x:c>
      <x:c r="J423" t="str">
        <x:v>https://dl.smwcentral.net/26493/delirious.zip</x:v>
      </x:c>
    </x:row>
    <x:row r="424">
      <x:c r="A424" t="str">
        <x:v>Delirium</x:v>
      </x:c>
      <x:c r="B424" t="str">
        <x:v>Delirium</x:v>
      </x:c>
      <x:c r="C424" t="str">
        <x:v>LightAligns</x:v>
      </x:c>
      <x:c r="D424" t="n">
        <x:v>9</x:v>
      </x:c>
      <x:c r="E424" t="str">
        <x:v>Expert</x:v>
      </x:c>
      <x:c r="F424" t="str">
        <x:v>Kaizo</x:v>
      </x:c>
      <x:c r="G424" t="n">
        <x:v>46081</x:v>
      </x:c>
      <x:c r="H424" t="str">
        <x:v>41773</x:v>
      </x:c>
      <x:c r="I424" t="str">
        <x:v>https://www.smwcentral.net/?a=details&amp;id=41773&amp;p=section</x:v>
      </x:c>
      <x:c r="J424" t="str">
        <x:v>https://dl.smwcentral.net/41773/Delirium.zip</x:v>
      </x:c>
    </x:row>
    <x:row r="425">
      <x:c r="A425" t="str">
        <x:v>Demonsul's Fortress</x:v>
      </x:c>
      <x:c r="B425" t="str">
        <x:v>Demonsul's Fortress</x:v>
      </x:c>
      <x:c r="C425" t="str">
        <x:v>Demonsul</x:v>
      </x:c>
      <x:c r="D425" t="n">
        <x:v>1</x:v>
      </x:c>
      <x:c r="E425" t="str">
        <x:v>Intermediate</x:v>
      </x:c>
      <x:c r="F425" t="str">
        <x:v>Standard</x:v>
      </x:c>
      <x:c r="G425" t="n">
        <x:v>42161</x:v>
      </x:c>
      <x:c r="H425" t="str">
        <x:v>9950</x:v>
      </x:c>
      <x:c r="I425" t="str">
        <x:v>https://www.smwcentral.net/?a=details&amp;id=9950&amp;p=section</x:v>
      </x:c>
      <x:c r="J425" t="str">
        <x:v>https://dl.smwcentral.net/9950/DemonsulsFortressDemo2W.zip</x:v>
      </x:c>
    </x:row>
    <x:row r="426">
      <x:c r="A426" t="str">
        <x:v>Denali's Tail</x:v>
      </x:c>
      <x:c r="B426" t="str">
        <x:v>Denali's Tail</x:v>
      </x:c>
      <x:c r="C426" t="str">
        <x:v>Atomic-Citrus</x:v>
      </x:c>
      <x:c r="D426" t="n">
        <x:v>10</x:v>
      </x:c>
      <x:c r="E426" t="str">
        <x:v>Expert</x:v>
      </x:c>
      <x:c r="F426" t="str">
        <x:v>Standard, Kaizo</x:v>
      </x:c>
      <x:c r="G426" t="n">
        <x:v>43817</x:v>
      </x:c>
      <x:c r="H426" t="str">
        <x:v>21639</x:v>
      </x:c>
      <x:c r="I426" t="str">
        <x:v>https://www.smwcentral.net/?a=details&amp;id=21639&amp;p=section</x:v>
      </x:c>
      <x:c r="J426" t="str">
        <x:v>https://dl.smwcentral.net/21639/Denali%27s%20Tail.zip</x:v>
      </x:c>
    </x:row>
    <x:row r="427">
      <x:c r="A427" t="str">
        <x:v>Desert Traveling</x:v>
      </x:c>
      <x:c r="B427" t="str">
        <x:v>Desert Traveling</x:v>
      </x:c>
      <x:c r="C427" t="str">
        <x:v>2362</x:v>
      </x:c>
      <x:c r="D427" t="n">
        <x:v>1</x:v>
      </x:c>
      <x:c r="E427" t="str">
        <x:v>Newcomer</x:v>
      </x:c>
      <x:c r="F427" t="str">
        <x:v>Standard</x:v>
      </x:c>
      <x:c r="G427" t="n">
        <x:v>42339</x:v>
      </x:c>
      <x:c r="H427" t="str">
        <x:v>10541</x:v>
      </x:c>
      <x:c r="I427" t="str">
        <x:v>https://www.smwcentral.net/?a=details&amp;id=10541&amp;p=section</x:v>
      </x:c>
      <x:c r="J427" t="str">
        <x:v>https://dl.smwcentral.net/10541/DesertTraveling.zip</x:v>
      </x:c>
    </x:row>
    <x:row r="428">
      <x:c r="A428" t="str">
        <x:v>Devil's Asylum</x:v>
      </x:c>
      <x:c r="B428" t="str">
        <x:v>Devil's Asylum</x:v>
      </x:c>
      <x:c r="C428" t="str">
        <x:v>TheMorganah</x:v>
      </x:c>
      <x:c r="D428" t="n">
        <x:v>2</x:v>
      </x:c>
      <x:c r="E428" t="str">
        <x:v>Intermediate</x:v>
      </x:c>
      <x:c r="F428" t="str">
        <x:v>Standard</x:v>
      </x:c>
      <x:c r="G428" t="n">
        <x:v>45957</x:v>
      </x:c>
      <x:c r="H428" t="str">
        <x:v>40873</x:v>
      </x:c>
      <x:c r="I428" t="str">
        <x:v>https://www.smwcentral.net/?a=details&amp;id=40873&amp;p=section</x:v>
      </x:c>
      <x:c r="J428" t="str">
        <x:v>https://dl.smwcentral.net/40873/%5B2021%5D%20Devil%27s%20Asylum%20DEMO.zip</x:v>
      </x:c>
    </x:row>
    <x:row r="429">
      <x:c r="A429" t="str">
        <x:v>Diffidence</x:v>
      </x:c>
      <x:c r="B429" t="str">
        <x:v>Diffidence</x:v>
      </x:c>
      <x:c r="C429" t="str">
        <x:v>Firstnamebutt</x:v>
      </x:c>
      <x:c r="D429" t="n">
        <x:v>20</x:v>
      </x:c>
      <x:c r="E429" t="str">
        <x:v>Expert</x:v>
      </x:c>
      <x:c r="F429" t="str">
        <x:v>Kaizo</x:v>
      </x:c>
      <x:c r="G429" t="n">
        <x:v>45463</x:v>
      </x:c>
      <x:c r="H429" t="str">
        <x:v>37981</x:v>
      </x:c>
      <x:c r="I429" t="str">
        <x:v>https://www.smwcentral.net/?a=details&amp;id=37981&amp;p=section</x:v>
      </x:c>
      <x:c r="J429" t="str">
        <x:v>https://dl.smwcentral.net/37981/Diffidence.zip</x:v>
      </x:c>
    </x:row>
    <x:row r="430">
      <x:c r="A430" t="str">
        <x:v>Digital Rage World</x:v>
      </x:c>
      <x:c r="B430" t="str">
        <x:v>Digital Rage World</x:v>
      </x:c>
      <x:c r="C430" t="str">
        <x:v>MarioFan1337</x:v>
      </x:c>
      <x:c r="D430" t="n">
        <x:v>15</x:v>
      </x:c>
      <x:c r="E430" t="str">
        <x:v>Advanced</x:v>
      </x:c>
      <x:c r="F430" t="str">
        <x:v>Kaizo</x:v>
      </x:c>
      <x:c r="G430" t="n">
        <x:v>45635</x:v>
      </x:c>
      <x:c r="H430" t="str">
        <x:v>38888</x:v>
      </x:c>
      <x:c r="I430" t="str">
        <x:v>https://www.smwcentral.net/?a=details&amp;id=38888&amp;p=section</x:v>
      </x:c>
      <x:c r="J430" t="str">
        <x:v>https://dl.smwcentral.net/38888/Digital_Rage_World.zip</x:v>
      </x:c>
    </x:row>
    <x:row r="431">
      <x:c r="A431" t="str">
        <x:v>Dim Spirits: In-Blood - Complete Edition</x:v>
      </x:c>
      <x:c r="B431" t="str">
        <x:v>Dim Spirits: In-Blood - Complete Edition</x:v>
      </x:c>
      <x:c r="C431" t="str">
        <x:v>blackhart</x:v>
      </x:c>
      <x:c r="D431" t="n">
        <x:v>5</x:v>
      </x:c>
      <x:c r="E431" t="str">
        <x:v>Expert</x:v>
      </x:c>
      <x:c r="F431" t="str">
        <x:v>Kaizo</x:v>
      </x:c>
      <x:c r="G431" t="n">
        <x:v>44536</x:v>
      </x:c>
      <x:c r="H431" t="str">
        <x:v>28925</x:v>
      </x:c>
      <x:c r="I431" t="str">
        <x:v>https://www.smwcentral.net/?a=details&amp;id=28925&amp;p=section</x:v>
      </x:c>
      <x:c r="J431" t="str">
        <x:v>https://dl.smwcentral.net/28925/Dim%20Spirits.zip</x:v>
      </x:c>
    </x:row>
    <x:row r="432">
      <x:c r="A432" t="str">
        <x:v>DINGS</x:v>
      </x:c>
      <x:c r="B432" t="str">
        <x:v>DINGS</x:v>
      </x:c>
      <x:c r="C432" t="str">
        <x:v>neidoodle</x:v>
      </x:c>
      <x:c r="D432" t="n">
        <x:v>3</x:v>
      </x:c>
      <x:c r="E432" t="str">
        <x:v>Casual</x:v>
      </x:c>
      <x:c r="F432" t="str">
        <x:v>Standard</x:v>
      </x:c>
      <x:c r="G432" t="n">
        <x:v>42270</x:v>
      </x:c>
      <x:c r="H432" t="str">
        <x:v>12147</x:v>
      </x:c>
      <x:c r="I432" t="str">
        <x:v>https://www.smwcentral.net/?a=details&amp;id=12147&amp;p=section</x:v>
      </x:c>
      <x:c r="J432" t="str">
        <x:v>https://dl.smwcentral.net/12147/DINGS.zip</x:v>
      </x:c>
    </x:row>
    <x:row r="433">
      <x:c r="A433" t="str">
        <x:v>Dininho World</x:v>
      </x:c>
      <x:c r="B433" t="str">
        <x:v>Dininho World</x:v>
      </x:c>
      <x:c r="C433" t="str">
        <x:v>MIRANHA</x:v>
      </x:c>
      <x:c r="D433" t="n">
        <x:v>9</x:v>
      </x:c>
      <x:c r="E433" t="str">
        <x:v>Expert</x:v>
      </x:c>
      <x:c r="F433" t="str">
        <x:v>Kaizo</x:v>
      </x:c>
      <x:c r="G433" t="n">
        <x:v>43860</x:v>
      </x:c>
      <x:c r="H433" t="str">
        <x:v>22036</x:v>
      </x:c>
      <x:c r="I433" t="str">
        <x:v>https://www.smwcentral.net/?a=details&amp;id=22036&amp;p=section</x:v>
      </x:c>
      <x:c r="J433" t="str">
        <x:v>https://dl.smwcentral.net/22036/dininhoworld.zip</x:v>
      </x:c>
    </x:row>
    <x:row r="434">
      <x:c r="A434" t="str">
        <x:v>Dinomar: Adventure of a SMWCentral User</x:v>
      </x:c>
      <x:c r="B434" t="str">
        <x:v>Dinomar: Adventure of a SMWCentral User</x:v>
      </x:c>
      <x:c r="C434" t="str">
        <x:v>Saturn the Donkey</x:v>
      </x:c>
      <x:c r="D434" t="n">
        <x:v>20</x:v>
      </x:c>
      <x:c r="E434" t="str">
        <x:v>Casual</x:v>
      </x:c>
      <x:c r="F434" t="str">
        <x:v>Standard</x:v>
      </x:c>
      <x:c r="G434" t="n">
        <x:v>42276</x:v>
      </x:c>
      <x:c r="H434" t="str">
        <x:v>10087</x:v>
      </x:c>
      <x:c r="I434" t="str">
        <x:v>https://www.smwcentral.net/?a=details&amp;id=10087&amp;p=section</x:v>
      </x:c>
      <x:c r="J434" t="str">
        <x:v>https://dl.smwcentral.net/10087/Dinomar.zip</x:v>
      </x:c>
    </x:row>
    <x:row r="435">
      <x:c r="A435" t="str">
        <x:v>Disk Defrag</x:v>
      </x:c>
      <x:c r="B435" t="str">
        <x:v>Disk Defrag</x:v>
      </x:c>
      <x:c r="C435" t="str">
        <x:v>levelengine</x:v>
      </x:c>
      <x:c r="D435" t="n">
        <x:v>12</x:v>
      </x:c>
      <x:c r="E435" t="str">
        <x:v>Advanced</x:v>
      </x:c>
      <x:c r="F435" t="str">
        <x:v>Standard</x:v>
      </x:c>
      <x:c r="G435" t="n">
        <x:v>44317</x:v>
      </x:c>
      <x:c r="H435" t="str">
        <x:v>25772</x:v>
      </x:c>
      <x:c r="I435" t="str">
        <x:v>https://www.smwcentral.net/?a=details&amp;id=25772&amp;p=section</x:v>
      </x:c>
      <x:c r="J435" t="str">
        <x:v>https://dl.smwcentral.net/25772/DiskDefrag.zip</x:v>
      </x:c>
    </x:row>
    <x:row r="436">
      <x:c r="A436" t="str">
        <x:v>Do The Mario</x:v>
      </x:c>
      <x:c r="B436" t="str">
        <x:v>Do The Mario</x:v>
      </x:c>
      <x:c r="C436" t="str">
        <x:v>Tob</x:v>
      </x:c>
      <x:c r="D436" t="n">
        <x:v>8</x:v>
      </x:c>
      <x:c r="E436" t="str">
        <x:v>Intermediate</x:v>
      </x:c>
      <x:c r="F436" t="str">
        <x:v>Standard</x:v>
      </x:c>
      <x:c r="G436" t="n">
        <x:v>42694</x:v>
      </x:c>
      <x:c r="H436" t="str">
        <x:v>14675</x:v>
      </x:c>
      <x:c r="I436" t="str">
        <x:v>https://www.smwcentral.net/?a=details&amp;id=14675&amp;p=section</x:v>
      </x:c>
      <x:c r="J436" t="str">
        <x:v>https://dl.smwcentral.net/14675/Do%20The%20Mario%20Demo%201.2.2.1.zip</x:v>
      </x:c>
    </x:row>
    <x:row r="437">
      <x:c r="A437" t="str">
        <x:v>domenyX Christmas</x:v>
      </x:c>
      <x:c r="B437" t="str">
        <x:v>domenyX Christmas</x:v>
      </x:c>
      <x:c r="C437" t="str">
        <x:v>LucasMegaStriker, domenyX</x:v>
      </x:c>
      <x:c r="D437" t="n">
        <x:v>8</x:v>
      </x:c>
      <x:c r="E437" t="str">
        <x:v>Casual</x:v>
      </x:c>
      <x:c r="F437" t="str">
        <x:v>Standard</x:v>
      </x:c>
      <x:c r="G437" t="n">
        <x:v>43827</x:v>
      </x:c>
      <x:c r="H437" t="str">
        <x:v>21689</x:v>
      </x:c>
      <x:c r="I437" t="str">
        <x:v>https://www.smwcentral.net/?a=details&amp;id=21689&amp;p=section</x:v>
      </x:c>
      <x:c r="J437" t="str">
        <x:v>https://dl.smwcentral.net/21689/domenyXChristmas.zip</x:v>
      </x:c>
    </x:row>
    <x:row r="438">
      <x:c r="A438" t="str">
        <x:v>domenyX Generations</x:v>
      </x:c>
      <x:c r="B438" t="str">
        <x:v>domenyX Generations</x:v>
      </x:c>
      <x:c r="C438" t="str">
        <x:v>LucasMegaStriker</x:v>
      </x:c>
      <x:c r="D438" t="n">
        <x:v>30</x:v>
      </x:c>
      <x:c r="E438" t="str">
        <x:v>Intermediate</x:v>
      </x:c>
      <x:c r="F438" t="str">
        <x:v>Standard</x:v>
      </x:c>
      <x:c r="G438" t="n">
        <x:v>44617</x:v>
      </x:c>
      <x:c r="H438" t="str">
        <x:v>29956</x:v>
      </x:c>
      <x:c r="I438" t="str">
        <x:v>https://www.smwcentral.net/?a=details&amp;id=29956&amp;p=section</x:v>
      </x:c>
      <x:c r="J438" t="str">
        <x:v>https://dl.smwcentral.net/29956/domenyXGenerations.zip</x:v>
      </x:c>
    </x:row>
    <x:row r="439">
      <x:c r="A439" t="str">
        <x:v>domenyX vs Coronavirus</x:v>
      </x:c>
      <x:c r="B439" t="str">
        <x:v>domenyX vs Coronavirus</x:v>
      </x:c>
      <x:c r="C439" t="str">
        <x:v>LucasMegaStriker</x:v>
      </x:c>
      <x:c r="D439" t="n">
        <x:v>21</x:v>
      </x:c>
      <x:c r="E439" t="str">
        <x:v>Intermediate</x:v>
      </x:c>
      <x:c r="F439" t="str">
        <x:v>Standard</x:v>
      </x:c>
      <x:c r="G439" t="n">
        <x:v>43949</x:v>
      </x:c>
      <x:c r="H439" t="str">
        <x:v>22814</x:v>
      </x:c>
      <x:c r="I439" t="str">
        <x:v>https://www.smwcentral.net/?a=details&amp;id=22814&amp;p=section</x:v>
      </x:c>
      <x:c r="J439" t="str">
        <x:v>https://dl.smwcentral.net/22814/domenyXvsCorona.zip</x:v>
      </x:c>
    </x:row>
    <x:row r="440">
      <x:c r="A440" t="str">
        <x:v>domenyX: Trouble in Paradise</x:v>
      </x:c>
      <x:c r="B440" t="str">
        <x:v>domenyX: Trouble in Paradise</x:v>
      </x:c>
      <x:c r="C440" t="str">
        <x:v>LucasMegaStriker, Mpereira</x:v>
      </x:c>
      <x:c r="D440" t="n">
        <x:v>12</x:v>
      </x:c>
      <x:c r="E440" t="str">
        <x:v>Intermediate</x:v>
      </x:c>
      <x:c r="F440" t="str">
        <x:v>Standard</x:v>
      </x:c>
      <x:c r="G440" t="n">
        <x:v>44414</x:v>
      </x:c>
      <x:c r="H440" t="str">
        <x:v>27847</x:v>
      </x:c>
      <x:c r="I440" t="str">
        <x:v>https://www.smwcentral.net/?a=details&amp;id=27847&amp;p=section</x:v>
      </x:c>
      <x:c r="J440" t="str">
        <x:v>https://dl.smwcentral.net/27847/domenyX_Paradise.zip</x:v>
      </x:c>
    </x:row>
    <x:row r="441">
      <x:c r="A441" t="str">
        <x:v>Don't Dig Down</x:v>
      </x:c>
      <x:c r="B441" t="str">
        <x:v>Don't Dig Down</x:v>
      </x:c>
      <x:c r="C441" t="str">
        <x:v>TheGremlin</x:v>
      </x:c>
      <x:c r="D441" t="n">
        <x:v>2</x:v>
      </x:c>
      <x:c r="E441" t="str">
        <x:v>Intermediate</x:v>
      </x:c>
      <x:c r="F441" t="str">
        <x:v>Standard, Kaizo</x:v>
      </x:c>
      <x:c r="G441" t="n">
        <x:v>45174</x:v>
      </x:c>
      <x:c r="H441" t="str">
        <x:v>34952</x:v>
      </x:c>
      <x:c r="I441" t="str">
        <x:v>https://www.smwcentral.net/?a=details&amp;id=34952&amp;p=section</x:v>
      </x:c>
      <x:c r="J441" t="str">
        <x:v>https://dl.smwcentral.net/34952/DontDigDown%20v7.zip</x:v>
      </x:c>
    </x:row>
    <x:row r="442">
      <x:c r="A442" t="str">
        <x:v>Don't Panic</x:v>
      </x:c>
      <x:c r="B442" t="str">
        <x:v>Don't Panic</x:v>
      </x:c>
      <x:c r="C442" t="str">
        <x:v>Nicoke42</x:v>
      </x:c>
      <x:c r="D442" t="n">
        <x:v>11</x:v>
      </x:c>
      <x:c r="E442" t="str">
        <x:v>Expert</x:v>
      </x:c>
      <x:c r="F442" t="str">
        <x:v>Kaizo</x:v>
      </x:c>
      <x:c r="G442" t="n">
        <x:v>44252</x:v>
      </x:c>
      <x:c r="H442" t="str">
        <x:v>26179</x:v>
      </x:c>
      <x:c r="I442" t="str">
        <x:v>https://www.smwcentral.net/?a=details&amp;id=26179&amp;p=section</x:v>
      </x:c>
      <x:c r="J442" t="str">
        <x:v>https://dl.smwcentral.net/26179/DontPanic.zip</x:v>
      </x:c>
    </x:row>
    <x:row r="443">
      <x:c r="A443" t="str">
        <x:v>Don't Spare the Horses</x:v>
      </x:c>
      <x:c r="B443" t="str">
        <x:v>Don't Spare the Horses</x:v>
      </x:c>
      <x:c r="C443" t="str">
        <x:v>Morsel</x:v>
      </x:c>
      <x:c r="D443" t="n">
        <x:v>8</x:v>
      </x:c>
      <x:c r="E443" t="str">
        <x:v>Master</x:v>
      </x:c>
      <x:c r="F443" t="str">
        <x:v>Kaizo</x:v>
      </x:c>
      <x:c r="G443" t="n">
        <x:v>44420</x:v>
      </x:c>
      <x:c r="H443" t="str">
        <x:v>27833</x:v>
      </x:c>
      <x:c r="I443" t="str">
        <x:v>https://www.smwcentral.net/?a=details&amp;id=27833&amp;p=section</x:v>
      </x:c>
      <x:c r="J443" t="str">
        <x:v>https://dl.smwcentral.net/27833/horses1.2.zip</x:v>
      </x:c>
    </x:row>
    <x:row r="444">
      <x:c r="A444" t="str">
        <x:v>Dongs! The Hack</x:v>
      </x:c>
      <x:c r="B444" t="str">
        <x:v>Dongs! The Hack</x:v>
      </x:c>
      <x:c r="C444" t="str">
        <x:v>The Kins</x:v>
      </x:c>
      <x:c r="D444" t="n">
        <x:v>5</x:v>
      </x:c>
      <x:c r="E444" t="str">
        <x:v>Newcomer</x:v>
      </x:c>
      <x:c r="F444" t="str">
        <x:v>Standard</x:v>
      </x:c>
      <x:c r="G444" t="n">
        <x:v>41462</x:v>
      </x:c>
      <x:c r="H444" t="str">
        <x:v>5224</x:v>
      </x:c>
      <x:c r="I444" t="str">
        <x:v>https://www.smwcentral.net/?a=details&amp;id=5224&amp;p=section</x:v>
      </x:c>
      <x:c r="J444" t="str">
        <x:v>https://dl.smwcentral.net/5224/dongs.zip</x:v>
      </x:c>
    </x:row>
    <x:row r="445">
      <x:c r="A445" t="str">
        <x:v>Donkey Kong 2: The Rise of Jumpman!</x:v>
      </x:c>
      <x:c r="B445" t="str">
        <x:v>Donkey Kong 2: The Rise of Jumpman!</x:v>
      </x:c>
      <x:c r="C445" t="str">
        <x:v>Big Brawler</x:v>
      </x:c>
      <x:c r="D445" t="n">
        <x:v>4</x:v>
      </x:c>
      <x:c r="E445" t="str">
        <x:v>Intermediate</x:v>
      </x:c>
      <x:c r="F445" t="str">
        <x:v>Standard</x:v>
      </x:c>
      <x:c r="G445" t="n">
        <x:v>42933</x:v>
      </x:c>
      <x:c r="H445" t="str">
        <x:v>15853</x:v>
      </x:c>
      <x:c r="I445" t="str">
        <x:v>https://www.smwcentral.net/?a=details&amp;id=15853&amp;p=section</x:v>
      </x:c>
      <x:c r="J445" t="str">
        <x:v>https://dl.smwcentral.net/15853/DK2%20-%20The%20Rise%20of%20Jumpman.zip</x:v>
      </x:c>
    </x:row>
    <x:row r="446">
      <x:c r="A446" t="str">
        <x:v>Donkey Kong 3: Another Rise!</x:v>
      </x:c>
      <x:c r="B446" t="str">
        <x:v>Donkey Kong 3: Another Rise!</x:v>
      </x:c>
      <x:c r="C446" t="str">
        <x:v>Big Brawler</x:v>
      </x:c>
      <x:c r="D446" t="n">
        <x:v>4</x:v>
      </x:c>
      <x:c r="E446" t="str">
        <x:v>Intermediate</x:v>
      </x:c>
      <x:c r="F446" t="str">
        <x:v>Standard</x:v>
      </x:c>
      <x:c r="G446" t="n">
        <x:v>43305</x:v>
      </x:c>
      <x:c r="H446" t="str">
        <x:v>17934</x:v>
      </x:c>
      <x:c r="I446" t="str">
        <x:v>https://www.smwcentral.net/?a=details&amp;id=17934&amp;p=section</x:v>
      </x:c>
      <x:c r="J446" t="str">
        <x:v>https://dl.smwcentral.net/17934/Donkey%20Kong%203%20Another%20Rise%21%20Ver1.3.zip</x:v>
      </x:c>
    </x:row>
    <x:row r="447">
      <x:c r="A447" t="str">
        <x:v>Donkey Kong 4: Rise and Repeat</x:v>
      </x:c>
      <x:c r="B447" t="str">
        <x:v>Donkey Kong 4: Rise and Repeat</x:v>
      </x:c>
      <x:c r="C447" t="str">
        <x:v>Big Brawler</x:v>
      </x:c>
      <x:c r="D447" t="n">
        <x:v>4</x:v>
      </x:c>
      <x:c r="E447" t="str">
        <x:v>Intermediate</x:v>
      </x:c>
      <x:c r="F447" t="str">
        <x:v>Standard</x:v>
      </x:c>
      <x:c r="G447" t="n">
        <x:v>45710</x:v>
      </x:c>
      <x:c r="H447" t="str">
        <x:v>39212</x:v>
      </x:c>
      <x:c r="I447" t="str">
        <x:v>https://www.smwcentral.net/?a=details&amp;id=39212&amp;p=section</x:v>
      </x:c>
      <x:c r="J447" t="str">
        <x:v>https://dl.smwcentral.net/39212/DK4%20Rise%20and%20Repeat.zip</x:v>
      </x:c>
    </x:row>
    <x:row r="448">
      <x:c r="A448" t="str">
        <x:v>Doodlebob's Revenge</x:v>
      </x:c>
      <x:c r="B448" t="str">
        <x:v>Doodlebob's Revenge</x:v>
      </x:c>
      <x:c r="C448" t="str">
        <x:v>Boosius</x:v>
      </x:c>
      <x:c r="D448" t="n">
        <x:v>1</x:v>
      </x:c>
      <x:c r="E448" t="str">
        <x:v>Intermediate</x:v>
      </x:c>
      <x:c r="F448" t="str">
        <x:v>Standard</x:v>
      </x:c>
      <x:c r="G448" t="n">
        <x:v>44362</x:v>
      </x:c>
      <x:c r="H448" t="str">
        <x:v>27143</x:v>
      </x:c>
      <x:c r="I448" t="str">
        <x:v>https://www.smwcentral.net/?a=details&amp;id=27143&amp;p=section</x:v>
      </x:c>
      <x:c r="J448" t="str">
        <x:v>https://dl.smwcentral.net/27143/doodlebob%27s%20revenge.zip</x:v>
      </x:c>
    </x:row>
    <x:row r="449">
      <x:c r="A449" t="str">
        <x:v>Doomscroll</x:v>
      </x:c>
      <x:c r="B449" t="str">
        <x:v>Doomscroll</x:v>
      </x:c>
      <x:c r="C449" t="str">
        <x:v>VLSkoot</x:v>
      </x:c>
      <x:c r="D449" t="n">
        <x:v>19</x:v>
      </x:c>
      <x:c r="E449" t="str">
        <x:v>Expert</x:v>
      </x:c>
      <x:c r="F449" t="str">
        <x:v>Kaizo</x:v>
      </x:c>
      <x:c r="G449" t="n">
        <x:v>46046</x:v>
      </x:c>
      <x:c r="H449" t="str">
        <x:v>41481</x:v>
      </x:c>
      <x:c r="I449" t="str">
        <x:v>https://www.smwcentral.net/?a=details&amp;id=41481&amp;p=section</x:v>
      </x:c>
      <x:c r="J449" t="str">
        <x:v>https://dl.smwcentral.net/41481/Doomscroll.zip</x:v>
      </x:c>
    </x:row>
    <x:row r="450">
      <x:c r="A450" t="str">
        <x:v>Dooooors</x:v>
      </x:c>
      <x:c r="B450" t="str">
        <x:v>Dooooors</x:v>
      </x:c>
      <x:c r="C450" t="str">
        <x:v>Stairkase</x:v>
      </x:c>
      <x:c r="D450" t="n">
        <x:v>21</x:v>
      </x:c>
      <x:c r="E450" t="str">
        <x:v>Advanced</x:v>
      </x:c>
      <x:c r="F450" t="str">
        <x:v>Kaizo</x:v>
      </x:c>
      <x:c r="G450" t="n">
        <x:v>43658</x:v>
      </x:c>
      <x:c r="H450" t="str">
        <x:v>20577</x:v>
      </x:c>
      <x:c r="I450" t="str">
        <x:v>https://www.smwcentral.net/?a=details&amp;id=20577&amp;p=section</x:v>
      </x:c>
      <x:c r="J450" t="str">
        <x:v>https://dl.smwcentral.net/20577/Dooooors.zip</x:v>
      </x:c>
    </x:row>
    <x:row r="451">
      <x:c r="A451" t="str">
        <x:v>Doopliss Revenge</x:v>
      </x:c>
      <x:c r="B451" t="str">
        <x:v>Doopliss Revenge</x:v>
      </x:c>
      <x:c r="C451" t="str">
        <x:v>kirbydavy</x:v>
      </x:c>
      <x:c r="D451" t="n">
        <x:v>4</x:v>
      </x:c>
      <x:c r="E451" t="str">
        <x:v>Casual</x:v>
      </x:c>
      <x:c r="F451" t="str">
        <x:v>Standard</x:v>
      </x:c>
      <x:c r="G451" t="n">
        <x:v>42108</x:v>
      </x:c>
      <x:c r="H451" t="str">
        <x:v>9655</x:v>
      </x:c>
      <x:c r="I451" t="str">
        <x:v>https://www.smwcentral.net/?a=details&amp;id=9655&amp;p=section</x:v>
      </x:c>
      <x:c r="J451" t="str">
        <x:v>https://dl.smwcentral.net/9655/Doopliss%20Revenge.zip</x:v>
      </x:c>
    </x:row>
    <x:row r="452">
      <x:c r="A452" t="str">
        <x:v>Doro Chill</x:v>
      </x:c>
      <x:c r="B452" t="str">
        <x:v>Doro Chill</x:v>
      </x:c>
      <x:c r="C452" t="str">
        <x:v>xLyfu</x:v>
      </x:c>
      <x:c r="D452" t="n">
        <x:v>17</x:v>
      </x:c>
      <x:c r="E452" t="str">
        <x:v>Intermediate</x:v>
      </x:c>
      <x:c r="F452" t="str">
        <x:v>Kaizo</x:v>
      </x:c>
      <x:c r="G452" t="n">
        <x:v>45349</x:v>
      </x:c>
      <x:c r="H452" t="str">
        <x:v>37065</x:v>
      </x:c>
      <x:c r="I452" t="str">
        <x:v>https://www.smwcentral.net/?a=details&amp;id=37065&amp;p=section</x:v>
      </x:c>
      <x:c r="J452" t="str">
        <x:v>https://dl.smwcentral.net/37065/Doro%20Chill.zip</x:v>
      </x:c>
    </x:row>
    <x:row r="453">
      <x:c r="A453" t="str">
        <x:v>Doro Kaizo</x:v>
      </x:c>
      <x:c r="B453" t="str">
        <x:v>Doro Kaizo</x:v>
      </x:c>
      <x:c r="C453" t="str">
        <x:v>Lyfah</x:v>
      </x:c>
      <x:c r="D453" t="n">
        <x:v>20</x:v>
      </x:c>
      <x:c r="E453" t="str">
        <x:v>Expert</x:v>
      </x:c>
      <x:c r="F453" t="str">
        <x:v>Kaizo</x:v>
      </x:c>
      <x:c r="G453" t="n">
        <x:v>44937</x:v>
      </x:c>
      <x:c r="H453" t="str">
        <x:v>32883</x:v>
      </x:c>
      <x:c r="I453" t="str">
        <x:v>https://www.smwcentral.net/?a=details&amp;id=32883&amp;p=section</x:v>
      </x:c>
      <x:c r="J453" t="str">
        <x:v>https://dl.smwcentral.net/32883/Doro%20Kaizo.zip</x:v>
      </x:c>
    </x:row>
    <x:row r="454">
      <x:c r="A454" t="str">
        <x:v>Double Jump Man</x:v>
      </x:c>
      <x:c r="B454" t="str">
        <x:v>Double Jump Man</x:v>
      </x:c>
      <x:c r="C454" t="str">
        <x:v>Morsel</x:v>
      </x:c>
      <x:c r="D454" t="n">
        <x:v>16</x:v>
      </x:c>
      <x:c r="E454" t="str">
        <x:v>Master</x:v>
      </x:c>
      <x:c r="F454" t="str">
        <x:v>Kaizo</x:v>
      </x:c>
      <x:c r="G454" t="n">
        <x:v>44218</x:v>
      </x:c>
      <x:c r="H454" t="str">
        <x:v>26004</x:v>
      </x:c>
      <x:c r="I454" t="str">
        <x:v>https://www.smwcentral.net/?a=details&amp;id=26004&amp;p=section</x:v>
      </x:c>
      <x:c r="J454" t="str">
        <x:v>https://dl.smwcentral.net/26004/double.zip</x:v>
      </x:c>
    </x:row>
    <x:row r="455">
      <x:c r="A455" t="str">
        <x:v>Dr. Mario World Redrawn</x:v>
      </x:c>
      <x:c r="B455" t="str">
        <x:v>Dr. Mario World Redrawn</x:v>
      </x:c>
      <x:c r="C455" t="str">
        <x:v>B.B.Link</x:v>
      </x:c>
      <x:c r="D455" t="n">
        <x:v>60</x:v>
      </x:c>
      <x:c r="E455" t="str">
        <x:v>Casual</x:v>
      </x:c>
      <x:c r="F455" t="str">
        <x:v>Standard</x:v>
      </x:c>
      <x:c r="G455" t="n">
        <x:v>41673</x:v>
      </x:c>
      <x:c r="H455" t="str">
        <x:v>6255</x:v>
      </x:c>
      <x:c r="I455" t="str">
        <x:v>https://www.smwcentral.net/?a=details&amp;id=6255&amp;p=section</x:v>
      </x:c>
      <x:c r="J455" t="str">
        <x:v>https://dl.smwcentral.net/6255/Dr.%20Mario%20World%20Redrawn%20SMWC.zip</x:v>
      </x:c>
    </x:row>
    <x:row r="456">
      <x:c r="A456" t="str">
        <x:v>Dreadshredder</x:v>
      </x:c>
      <x:c r="B456" t="str">
        <x:v>Dreadshredder</x:v>
      </x:c>
      <x:c r="C456" t="str">
        <x:v>Reese</x:v>
      </x:c>
      <x:c r="D456" t="n">
        <x:v>5</x:v>
      </x:c>
      <x:c r="E456" t="str">
        <x:v>Master</x:v>
      </x:c>
      <x:c r="F456" t="str">
        <x:v>Kaizo</x:v>
      </x:c>
      <x:c r="G456" t="n">
        <x:v>45613</x:v>
      </x:c>
      <x:c r="H456" t="str">
        <x:v>38795</x:v>
      </x:c>
      <x:c r="I456" t="str">
        <x:v>https://www.smwcentral.net/?a=details&amp;id=38795&amp;p=section</x:v>
      </x:c>
      <x:c r="J456" t="str">
        <x:v>https://dl.smwcentral.net/38795/Dreadshredder%20v1.01.zip</x:v>
      </x:c>
    </x:row>
    <x:row r="457">
      <x:c r="A457" t="str">
        <x:v>Dream Collider</x:v>
      </x:c>
      <x:c r="B457" t="str">
        <x:v>Dream Collider</x:v>
      </x:c>
      <x:c r="C457" t="str">
        <x:v>VLSkoot</x:v>
      </x:c>
      <x:c r="D457" t="n">
        <x:v>0</x:v>
      </x:c>
      <x:c r="E457" t="str">
        <x:v>Expert</x:v>
      </x:c>
      <x:c r="F457" t="str">
        <x:v>Kaizo</x:v>
      </x:c>
      <x:c r="G457" t="n">
        <x:v>44963</x:v>
      </x:c>
      <x:c r="H457" t="str">
        <x:v>33031</x:v>
      </x:c>
      <x:c r="I457" t="str">
        <x:v>https://www.smwcentral.net/?a=details&amp;id=33031&amp;p=section</x:v>
      </x:c>
      <x:c r="J457" t="str">
        <x:v>https://dl.smwcentral.net/33031/Dream%20Collider.zip</x:v>
      </x:c>
    </x:row>
    <x:row r="458">
      <x:c r="A458" t="str">
        <x:v>Dream Eater</x:v>
      </x:c>
      <x:c r="B458" t="str">
        <x:v>Dream Eater</x:v>
      </x:c>
      <x:c r="C458" t="str">
        <x:v>Sleppy</x:v>
      </x:c>
      <x:c r="D458" t="n">
        <x:v>11</x:v>
      </x:c>
      <x:c r="E458" t="str">
        <x:v>Expert</x:v>
      </x:c>
      <x:c r="F458" t="str">
        <x:v>Kaizo</x:v>
      </x:c>
      <x:c r="G458" t="n">
        <x:v>46105</x:v>
      </x:c>
      <x:c r="H458" t="str">
        <x:v>42023</x:v>
      </x:c>
      <x:c r="I458" t="str">
        <x:v>https://www.smwcentral.net/?a=details&amp;id=42023&amp;p=section</x:v>
      </x:c>
      <x:c r="J458" t="str">
        <x:v>https://dl.smwcentral.net/42023/Dream%20Eater.zip</x:v>
      </x:c>
    </x:row>
    <x:row r="459">
      <x:c r="A459" t="str">
        <x:v>Dreams</x:v>
      </x:c>
      <x:c r="B459" t="str">
        <x:v>Dreams</x:v>
      </x:c>
      <x:c r="C459" t="str">
        <x:v>Panicdream1</x:v>
      </x:c>
      <x:c r="D459" t="n">
        <x:v>15</x:v>
      </x:c>
      <x:c r="E459" t="str">
        <x:v>Advanced</x:v>
      </x:c>
      <x:c r="F459" t="str">
        <x:v>Kaizo</x:v>
      </x:c>
      <x:c r="G459" t="n">
        <x:v>44522</x:v>
      </x:c>
      <x:c r="H459" t="str">
        <x:v>28857</x:v>
      </x:c>
      <x:c r="I459" t="str">
        <x:v>https://www.smwcentral.net/?a=details&amp;id=28857&amp;p=section</x:v>
      </x:c>
      <x:c r="J459" t="str">
        <x:v>https://dl.smwcentral.net/28857/Dreams.zip</x:v>
      </x:c>
    </x:row>
    <x:row r="460">
      <x:c r="A460" t="str">
        <x:v>Dreza Demo 1st Public Release</x:v>
      </x:c>
      <x:c r="B460" t="str">
        <x:v>Dreza Demo 1st Public Release</x:v>
      </x:c>
      <x:c r="C460" t="str">
        <x:v>ADAMEI5TER</x:v>
      </x:c>
      <x:c r="D460" t="n">
        <x:v>5</x:v>
      </x:c>
      <x:c r="E460" t="str">
        <x:v>Expert</x:v>
      </x:c>
      <x:c r="F460" t="str">
        <x:v>Kaizo</x:v>
      </x:c>
      <x:c r="G460" t="n">
        <x:v>45931</x:v>
      </x:c>
      <x:c r="H460" t="str">
        <x:v>40261</x:v>
      </x:c>
      <x:c r="I460" t="str">
        <x:v>https://www.smwcentral.net/?a=details&amp;id=40261&amp;p=section</x:v>
      </x:c>
      <x:c r="J460" t="str">
        <x:v>https://dl.smwcentral.net/40261/drezademo.zip</x:v>
      </x:c>
    </x:row>
    <x:row r="461">
      <x:c r="A461" t="str">
        <x:v>Drive the Desert Bus</x:v>
      </x:c>
      <x:c r="B461" t="str">
        <x:v>Drive the Desert Bus</x:v>
      </x:c>
      <x:c r="C461" t="str">
        <x:v>HuFlungDu</x:v>
      </x:c>
      <x:c r="D461" t="n">
        <x:v>2</x:v>
      </x:c>
      <x:c r="E461" t="str">
        <x:v>Intermediate</x:v>
      </x:c>
      <x:c r="F461" t="str">
        <x:v>Standard</x:v>
      </x:c>
      <x:c r="G461" t="n">
        <x:v>42003</x:v>
      </x:c>
      <x:c r="H461" t="str">
        <x:v>9978</x:v>
      </x:c>
      <x:c r="I461" t="str">
        <x:v>https://www.smwcentral.net/?a=details&amp;id=9978&amp;p=section</x:v>
      </x:c>
      <x:c r="J461" t="str">
        <x:v>https://dl.smwcentral.net/9978/DriveTheDesertBus.zip</x:v>
      </x:c>
    </x:row>
    <x:row r="462">
      <x:c r="A462" t="str">
        <x:v>Drkrdnk World</x:v>
      </x:c>
      <x:c r="B462" t="str">
        <x:v>Drkrdnk World</x:v>
      </x:c>
      <x:c r="C462" t="str">
        <x:v>Desert</x:v>
      </x:c>
      <x:c r="D462" t="n">
        <x:v>25</x:v>
      </x:c>
      <x:c r="E462" t="str">
        <x:v>Advanced</x:v>
      </x:c>
      <x:c r="F462" t="str">
        <x:v>Kaizo</x:v>
      </x:c>
      <x:c r="G462" t="n">
        <x:v>44417</x:v>
      </x:c>
      <x:c r="H462" t="str">
        <x:v>27931</x:v>
      </x:c>
      <x:c r="I462" t="str">
        <x:v>https://www.smwcentral.net/?a=details&amp;id=27931&amp;p=section</x:v>
      </x:c>
      <x:c r="J462" t="str">
        <x:v>https://dl.smwcentral.net/27931/Drkrdnk%20World.zip</x:v>
      </x:c>
    </x:row>
    <x:row r="463">
      <x:c r="A463" t="str">
        <x:v>Duck Island</x:v>
      </x:c>
      <x:c r="B463" t="str">
        <x:v>Duck Island</x:v>
      </x:c>
      <x:c r="C463" t="str">
        <x:v>decentduck</x:v>
      </x:c>
      <x:c r="D463" t="n">
        <x:v>4</x:v>
      </x:c>
      <x:c r="E463" t="str">
        <x:v>Advanced</x:v>
      </x:c>
      <x:c r="F463" t="str">
        <x:v>Kaizo</x:v>
      </x:c>
      <x:c r="G463" t="n">
        <x:v>43534</x:v>
      </x:c>
      <x:c r="H463" t="str">
        <x:v>19263</x:v>
      </x:c>
      <x:c r="I463" t="str">
        <x:v>https://www.smwcentral.net/?a=details&amp;id=19263&amp;p=section</x:v>
      </x:c>
      <x:c r="J463" t="str">
        <x:v>https://dl.smwcentral.net/19263/Duck%20Island.zip</x:v>
      </x:c>
    </x:row>
    <x:row r="464">
      <x:c r="A464" t="str">
        <x:v>Duck Season</x:v>
      </x:c>
      <x:c r="B464" t="str">
        <x:v>Duck Season</x:v>
      </x:c>
      <x:c r="C464" t="str">
        <x:v>2dareduck</x:v>
      </x:c>
      <x:c r="D464" t="n">
        <x:v>11</x:v>
      </x:c>
      <x:c r="E464" t="str">
        <x:v>Master</x:v>
      </x:c>
      <x:c r="F464" t="str">
        <x:v>Kaizo</x:v>
      </x:c>
      <x:c r="G464" t="n">
        <x:v>42124</x:v>
      </x:c>
      <x:c r="H464" t="str">
        <x:v>10895</x:v>
      </x:c>
      <x:c r="I464" t="str">
        <x:v>https://www.smwcentral.net/?a=details&amp;id=10895&amp;p=section</x:v>
      </x:c>
      <x:c r="J464" t="str">
        <x:v>https://dl.smwcentral.net/10895/Duck%20Season.zip</x:v>
      </x:c>
    </x:row>
    <x:row r="465">
      <x:c r="A465" t="str">
        <x:v>dumb</x:v>
      </x:c>
      <x:c r="B465" t="str">
        <x:v>dumb</x:v>
      </x:c>
      <x:c r="C465" t="str">
        <x:v>OEO6</x:v>
      </x:c>
      <x:c r="D465" t="n">
        <x:v>38</x:v>
      </x:c>
      <x:c r="E465" t="str">
        <x:v>Advanced</x:v>
      </x:c>
      <x:c r="F465" t="str">
        <x:v>Standard</x:v>
      </x:c>
      <x:c r="G465" t="n">
        <x:v>43892</x:v>
      </x:c>
      <x:c r="H465" t="str">
        <x:v>22132</x:v>
      </x:c>
      <x:c r="I465" t="str">
        <x:v>https://www.smwcentral.net/?a=details&amp;id=22132&amp;p=section</x:v>
      </x:c>
      <x:c r="J465" t="str">
        <x:v>https://dl.smwcentral.net/22132/dumb.zip</x:v>
      </x:c>
    </x:row>
    <x:row r="466">
      <x:c r="A466" t="str">
        <x:v>Dusty Shells</x:v>
      </x:c>
      <x:c r="B466" t="str">
        <x:v>Dusty Shells</x:v>
      </x:c>
      <x:c r="C466" t="str">
        <x:v>BielDusty</x:v>
      </x:c>
      <x:c r="D466" t="n">
        <x:v>10</x:v>
      </x:c>
      <x:c r="E466" t="str">
        <x:v>Master</x:v>
      </x:c>
      <x:c r="F466" t="str">
        <x:v>Kaizo</x:v>
      </x:c>
      <x:c r="G466" t="n">
        <x:v>45967</x:v>
      </x:c>
      <x:c r="H466" t="str">
        <x:v>40965</x:v>
      </x:c>
      <x:c r="I466" t="str">
        <x:v>https://www.smwcentral.net/?a=details&amp;id=40965&amp;p=section</x:v>
      </x:c>
      <x:c r="J466" t="str">
        <x:v>https://dl.smwcentral.net/40965/Dusty%20Shells.zip</x:v>
      </x:c>
    </x:row>
    <x:row r="467">
      <x:c r="A467" t="str">
        <x:v>Dynamic Mario</x:v>
      </x:c>
      <x:c r="B467" t="str">
        <x:v>Dynamic Mario</x:v>
      </x:c>
      <x:c r="C467" t="str">
        <x:v>Maw</x:v>
      </x:c>
      <x:c r="D467" t="n">
        <x:v>10</x:v>
      </x:c>
      <x:c r="E467" t="str">
        <x:v>Advanced</x:v>
      </x:c>
      <x:c r="F467" t="str">
        <x:v>Kaizo</x:v>
      </x:c>
      <x:c r="G467" t="n">
        <x:v>44677</x:v>
      </x:c>
      <x:c r="H467" t="str">
        <x:v>30589</x:v>
      </x:c>
      <x:c r="I467" t="str">
        <x:v>https://www.smwcentral.net/?a=details&amp;id=30589&amp;p=section</x:v>
      </x:c>
      <x:c r="J467" t="str">
        <x:v>https://dl.smwcentral.net/30589/Dynamic%20Mario1.1.zip</x:v>
      </x:c>
    </x:row>
    <x:row r="468">
      <x:c r="A468" t="str">
        <x:v>Dynasty's Choconilla Seasons Hack</x:v>
      </x:c>
      <x:c r="B468" t="str">
        <x:v>Dynasty's Choconilla Seasons Hack</x:v>
      </x:c>
      <x:c r="C468" t="str">
        <x:v>DynastyLobster</x:v>
      </x:c>
      <x:c r="D468" t="n">
        <x:v>4</x:v>
      </x:c>
      <x:c r="E468" t="str">
        <x:v>Casual</x:v>
      </x:c>
      <x:c r="F468" t="str">
        <x:v>Standard</x:v>
      </x:c>
      <x:c r="G468" t="n">
        <x:v>44493</x:v>
      </x:c>
      <x:c r="H468" t="str">
        <x:v>28586</x:v>
      </x:c>
      <x:c r="I468" t="str">
        <x:v>https://www.smwcentral.net/?a=details&amp;id=28586&amp;p=section</x:v>
      </x:c>
      <x:c r="J468" t="str">
        <x:v>https://dl.smwcentral.net/28586/dynasty_vanilla_hack_1.zip</x:v>
      </x:c>
    </x:row>
    <x:row r="469">
      <x:c r="A469" t="str">
        <x:v>Dysphoria</x:v>
      </x:c>
      <x:c r="B469" t="str">
        <x:v>Dysphoria</x:v>
      </x:c>
      <x:c r="C469" t="str">
        <x:v>shovda</x:v>
      </x:c>
      <x:c r="D469" t="n">
        <x:v>7</x:v>
      </x:c>
      <x:c r="E469" t="str">
        <x:v>Expert</x:v>
      </x:c>
      <x:c r="F469" t="str">
        <x:v>Kaizo</x:v>
      </x:c>
      <x:c r="G469" t="n">
        <x:v>45144</x:v>
      </x:c>
      <x:c r="H469" t="str">
        <x:v>34492</x:v>
      </x:c>
      <x:c r="I469" t="str">
        <x:v>https://www.smwcentral.net/?a=details&amp;id=34492&amp;p=section</x:v>
      </x:c>
      <x:c r="J469" t="str">
        <x:v>https://dl.smwcentral.net/34492/Dysphoria.zip</x:v>
      </x:c>
    </x:row>
    <x:row r="470">
      <x:c r="A470" t="str">
        <x:v>Easy One Screen Puzzle</x:v>
      </x:c>
      <x:c r="B470" t="str">
        <x:v>Easy One Screen Puzzle</x:v>
      </x:c>
      <x:c r="C470" t="str">
        <x:v>Magikey</x:v>
      </x:c>
      <x:c r="D470" t="n">
        <x:v>1</x:v>
      </x:c>
      <x:c r="E470" t="str">
        <x:v>Master</x:v>
      </x:c>
      <x:c r="F470" t="str">
        <x:v>Tool-Assisted, Pit</x:v>
      </x:c>
      <x:c r="G470" t="n">
        <x:v>44087</x:v>
      </x:c>
      <x:c r="H470" t="str">
        <x:v>24535</x:v>
      </x:c>
      <x:c r="I470" t="str">
        <x:v>https://www.smwcentral.net/?a=details&amp;id=24535&amp;p=section</x:v>
      </x:c>
      <x:c r="J470" t="str">
        <x:v>https://dl.smwcentral.net/24535/EasyOneScreenPuzzle.zip</x:v>
      </x:c>
    </x:row>
    <x:row r="471">
      <x:c r="A471" t="str">
        <x:v>Easy Two Screen Puzzle</x:v>
      </x:c>
      <x:c r="B471" t="str">
        <x:v>Easy Two Screen Puzzle</x:v>
      </x:c>
      <x:c r="C471" t="str">
        <x:v>Magikey</x:v>
      </x:c>
      <x:c r="D471" t="n">
        <x:v>3</x:v>
      </x:c>
      <x:c r="E471" t="str">
        <x:v>Grandmaster</x:v>
      </x:c>
      <x:c r="F471" t="str">
        <x:v>Tool-Assisted, Pit</x:v>
      </x:c>
      <x:c r="G471" t="n">
        <x:v>45816</x:v>
      </x:c>
      <x:c r="H471" t="str">
        <x:v>39699</x:v>
      </x:c>
      <x:c r="I471" t="str">
        <x:v>https://www.smwcentral.net/?a=details&amp;id=39699&amp;p=section</x:v>
      </x:c>
      <x:c r="J471" t="str">
        <x:v>https://dl.smwcentral.net/39699/EasyTwoScreenPuzzle.zip</x:v>
      </x:c>
    </x:row>
    <x:row r="472">
      <x:c r="A472" t="str">
        <x:v>Easyland</x:v>
      </x:c>
      <x:c r="B472" t="str">
        <x:v>Easyland</x:v>
      </x:c>
      <x:c r="C472" t="str">
        <x:v>RicardoDeMelo</x:v>
      </x:c>
      <x:c r="D472" t="n">
        <x:v>14</x:v>
      </x:c>
      <x:c r="E472" t="str">
        <x:v>Intermediate</x:v>
      </x:c>
      <x:c r="F472" t="str">
        <x:v>Kaizo</x:v>
      </x:c>
      <x:c r="G472" t="n">
        <x:v>45386</x:v>
      </x:c>
      <x:c r="H472" t="str">
        <x:v>37583</x:v>
      </x:c>
      <x:c r="I472" t="str">
        <x:v>https://www.smwcentral.net/?a=details&amp;id=37583&amp;p=section</x:v>
      </x:c>
      <x:c r="J472" t="str">
        <x:v>https://dl.smwcentral.net/37583/Easyland.zip</x:v>
      </x:c>
    </x:row>
    <x:row r="473">
      <x:c r="A473" t="str">
        <x:v>Easyland 2</x:v>
      </x:c>
      <x:c r="B473" t="str">
        <x:v>Easyland 2</x:v>
      </x:c>
      <x:c r="C473" t="str">
        <x:v>RicardoDeMelo</x:v>
      </x:c>
      <x:c r="D473" t="n">
        <x:v>16</x:v>
      </x:c>
      <x:c r="E473" t="str">
        <x:v>Intermediate</x:v>
      </x:c>
      <x:c r="F473" t="str">
        <x:v>Kaizo</x:v>
      </x:c>
      <x:c r="G473" t="n">
        <x:v>45572</x:v>
      </x:c>
      <x:c r="H473" t="str">
        <x:v>38528</x:v>
      </x:c>
      <x:c r="I473" t="str">
        <x:v>https://www.smwcentral.net/?a=details&amp;id=38528&amp;p=section</x:v>
      </x:c>
      <x:c r="J473" t="str">
        <x:v>https://dl.smwcentral.net/38528/Easyland%202.zip</x:v>
      </x:c>
    </x:row>
    <x:row r="474">
      <x:c r="A474" t="str">
        <x:v>Easyland 3</x:v>
      </x:c>
      <x:c r="B474" t="str">
        <x:v>Easyland 3</x:v>
      </x:c>
      <x:c r="C474" t="str">
        <x:v>RicardoDeMelo</x:v>
      </x:c>
      <x:c r="D474" t="n">
        <x:v>19</x:v>
      </x:c>
      <x:c r="E474" t="str">
        <x:v>Advanced</x:v>
      </x:c>
      <x:c r="F474" t="str">
        <x:v>Kaizo</x:v>
      </x:c>
      <x:c r="G474" t="n">
        <x:v>45996</x:v>
      </x:c>
      <x:c r="H474" t="str">
        <x:v>41159</x:v>
      </x:c>
      <x:c r="I474" t="str">
        <x:v>https://www.smwcentral.net/?a=details&amp;id=41159&amp;p=section</x:v>
      </x:c>
      <x:c r="J474" t="str">
        <x:v>https://dl.smwcentral.net/41159/Easyland%203.zip</x:v>
      </x:c>
    </x:row>
    <x:row r="475">
      <x:c r="A475" t="str">
        <x:v>echoestopia</x:v>
      </x:c>
      <x:c r="B475" t="str">
        <x:v>echoestopia</x:v>
      </x:c>
      <x:c r="C475" t="str">
        <x:v>elwawa</x:v>
      </x:c>
      <x:c r="D475" t="n">
        <x:v>0</x:v>
      </x:c>
      <x:c r="E475" t="str">
        <x:v>Intermediate</x:v>
      </x:c>
      <x:c r="F475" t="str">
        <x:v>Kaizo</x:v>
      </x:c>
      <x:c r="G475" t="n">
        <x:v>46093</x:v>
      </x:c>
      <x:c r="H475" t="str">
        <x:v>41895</x:v>
      </x:c>
      <x:c r="I475" t="str">
        <x:v>https://www.smwcentral.net/?a=details&amp;id=41895&amp;p=section</x:v>
      </x:c>
      <x:c r="J475" t="str">
        <x:v>https://dl.smwcentral.net/41895/echoesto%20topia.zip</x:v>
      </x:c>
    </x:row>
    <x:row r="476">
      <x:c r="A476" t="str">
        <x:v>Eclectic Shell</x:v>
      </x:c>
      <x:c r="B476" t="str">
        <x:v>Eclectic Shell</x:v>
      </x:c>
      <x:c r="C476" t="str">
        <x:v>Firstnamebutt</x:v>
      </x:c>
      <x:c r="D476" t="n">
        <x:v>12</x:v>
      </x:c>
      <x:c r="E476" t="str">
        <x:v>Intermediate</x:v>
      </x:c>
      <x:c r="F476" t="str">
        <x:v>Kaizo</x:v>
      </x:c>
      <x:c r="G476" t="n">
        <x:v>45394</x:v>
      </x:c>
      <x:c r="H476" t="str">
        <x:v>37611</x:v>
      </x:c>
      <x:c r="I476" t="str">
        <x:v>https://www.smwcentral.net/?a=details&amp;id=37611&amp;p=section</x:v>
      </x:c>
      <x:c r="J476" t="str">
        <x:v>https://dl.smwcentral.net/37611/EclecticShellv2.zip</x:v>
      </x:c>
    </x:row>
    <x:row r="477">
      <x:c r="A477" t="str">
        <x:v>EF Land</x:v>
      </x:c>
      <x:c r="B477" t="str">
        <x:v>EF Land</x:v>
      </x:c>
      <x:c r="C477" t="str">
        <x:v>Electrofire</x:v>
      </x:c>
      <x:c r="D477" t="n">
        <x:v>6</x:v>
      </x:c>
      <x:c r="E477" t="str">
        <x:v>Newcomer</x:v>
      </x:c>
      <x:c r="F477" t="str">
        <x:v>Standard</x:v>
      </x:c>
      <x:c r="G477" t="n">
        <x:v>42093</x:v>
      </x:c>
      <x:c r="H477" t="str">
        <x:v>9784</x:v>
      </x:c>
      <x:c r="I477" t="str">
        <x:v>https://www.smwcentral.net/?a=details&amp;id=9784&amp;p=section</x:v>
      </x:c>
      <x:c r="J477" t="str">
        <x:v>https://dl.smwcentral.net/9784/EF_Land.zip</x:v>
      </x:c>
    </x:row>
    <x:row r="478">
      <x:c r="A478" t="str">
        <x:v>Effortworld</x:v>
      </x:c>
      <x:c r="B478" t="str">
        <x:v>Effortworld</x:v>
      </x:c>
      <x:c r="C478" t="str">
        <x:v>JUMP Team</x:v>
      </x:c>
      <x:c r="D478" t="n">
        <x:v>57</x:v>
      </x:c>
      <x:c r="E478" t="str">
        <x:v>Expert</x:v>
      </x:c>
      <x:c r="F478" t="str">
        <x:v>Standard</x:v>
      </x:c>
      <x:c r="G478" t="n">
        <x:v>45151</x:v>
      </x:c>
      <x:c r="H478" t="str">
        <x:v>34383</x:v>
      </x:c>
      <x:c r="I478" t="str">
        <x:v>https://www.smwcentral.net/?a=details&amp;id=34383&amp;p=section</x:v>
      </x:c>
      <x:c r="J478" t="str">
        <x:v>https://dl.smwcentral.net/34383/effortworld.zip</x:v>
      </x:c>
    </x:row>
    <x:row r="479">
      <x:c r="A479" t="str">
        <x:v>EGO WORLD</x:v>
      </x:c>
      <x:c r="B479" t="str">
        <x:v>EGO WORLD</x:v>
      </x:c>
      <x:c r="C479" t="str">
        <x:v>mmmdoggy</x:v>
      </x:c>
      <x:c r="D479" t="n">
        <x:v>10</x:v>
      </x:c>
      <x:c r="E479" t="str">
        <x:v>Advanced</x:v>
      </x:c>
      <x:c r="F479" t="str">
        <x:v>Kaizo</x:v>
      </x:c>
      <x:c r="G479" t="n">
        <x:v>45534</x:v>
      </x:c>
      <x:c r="H479" t="str">
        <x:v>38298</x:v>
      </x:c>
      <x:c r="I479" t="str">
        <x:v>https://www.smwcentral.net/?a=details&amp;id=38298&amp;p=section</x:v>
      </x:c>
      <x:c r="J479" t="str">
        <x:v>https://dl.smwcentral.net/38298/EGO%20WORLD.zip</x:v>
      </x:c>
    </x:row>
    <x:row r="480">
      <x:c r="A480" t="str">
        <x:v>Eh</x:v>
      </x:c>
      <x:c r="B480" t="str">
        <x:v>Eh</x:v>
      </x:c>
      <x:c r="C480" t="str">
        <x:v>RussianMan</x:v>
      </x:c>
      <x:c r="D480" t="n">
        <x:v>8</x:v>
      </x:c>
      <x:c r="E480" t="str">
        <x:v>Expert</x:v>
      </x:c>
      <x:c r="F480" t="str">
        <x:v>Kaizo</x:v>
      </x:c>
      <x:c r="G480" t="n">
        <x:v>45883</x:v>
      </x:c>
      <x:c r="H480" t="str">
        <x:v>40018</x:v>
      </x:c>
      <x:c r="I480" t="str">
        <x:v>https://www.smwcentral.net/?a=details&amp;id=40018&amp;p=section</x:v>
      </x:c>
      <x:c r="J480" t="str">
        <x:v>https://dl.smwcentral.net/40018/Eh%20v1.2.zip</x:v>
      </x:c>
    </x:row>
    <x:row r="481">
      <x:c r="A481" t="str">
        <x:v>Eidolon</x:v>
      </x:c>
      <x:c r="B481" t="str">
        <x:v>Eidolon</x:v>
      </x:c>
      <x:c r="C481" t="str">
        <x:v>ageVerrly</x:v>
      </x:c>
      <x:c r="D481" t="n">
        <x:v>50</x:v>
      </x:c>
      <x:c r="E481" t="str">
        <x:v>Master</x:v>
      </x:c>
      <x:c r="F481" t="str">
        <x:v>Standard, Kaizo</x:v>
      </x:c>
      <x:c r="G481" t="n">
        <x:v>45457</x:v>
      </x:c>
      <x:c r="H481" t="str">
        <x:v>35343</x:v>
      </x:c>
      <x:c r="I481" t="str">
        <x:v>https://www.smwcentral.net/?a=details&amp;id=35343&amp;p=section</x:v>
      </x:c>
      <x:c r="J481" t="str">
        <x:v>https://dl.smwcentral.net/35343/hack.zip</x:v>
      </x:c>
    </x:row>
    <x:row r="482">
      <x:c r="A482" t="str">
        <x:v>Eikro: The Children of Darloum</x:v>
      </x:c>
      <x:c r="B482" t="str">
        <x:v>Eikro: The Children of Darloum</x:v>
      </x:c>
      <x:c r="C482" t="str">
        <x:v>Jordan</x:v>
      </x:c>
      <x:c r="D482" t="n">
        <x:v>19</x:v>
      </x:c>
      <x:c r="E482" t="str">
        <x:v>Expert</x:v>
      </x:c>
      <x:c r="F482" t="str">
        <x:v>Kaizo</x:v>
      </x:c>
      <x:c r="G482" t="n">
        <x:v>44940</x:v>
      </x:c>
      <x:c r="H482" t="str">
        <x:v>32913</x:v>
      </x:c>
      <x:c r="I482" t="str">
        <x:v>https://www.smwcentral.net/?a=details&amp;id=32913&amp;p=section</x:v>
      </x:c>
      <x:c r="J482" t="str">
        <x:v>https://dl.smwcentral.net/32913/Eikro%20-%20The%20Children%20of%20Darloum.zip</x:v>
      </x:c>
    </x:row>
    <x:row r="483">
      <x:c r="A483" t="str">
        <x:v>El Dorado</x:v>
      </x:c>
      <x:c r="B483" t="str">
        <x:v>El Dorado</x:v>
      </x:c>
      <x:c r="C483" t="str">
        <x:v>mmBeefStew</x:v>
      </x:c>
      <x:c r="D483" t="n">
        <x:v>10</x:v>
      </x:c>
      <x:c r="E483" t="str">
        <x:v>Expert</x:v>
      </x:c>
      <x:c r="F483" t="str">
        <x:v>Kaizo</x:v>
      </x:c>
      <x:c r="G483" t="n">
        <x:v>44291</x:v>
      </x:c>
      <x:c r="H483" t="str">
        <x:v>26644</x:v>
      </x:c>
      <x:c r="I483" t="str">
        <x:v>https://www.smwcentral.net/?a=details&amp;id=26644&amp;p=section</x:v>
      </x:c>
      <x:c r="J483" t="str">
        <x:v>https://dl.smwcentral.net/26644/El%20Dorado.zip</x:v>
      </x:c>
    </x:row>
    <x:row r="484">
      <x:c r="A484" t="str">
        <x:v>Electra</x:v>
      </x:c>
      <x:c r="B484" t="str">
        <x:v>Electra</x:v>
      </x:c>
      <x:c r="C484" t="str">
        <x:v>WeegeeBen</x:v>
      </x:c>
      <x:c r="D484" t="n">
        <x:v>8</x:v>
      </x:c>
      <x:c r="E484" t="str">
        <x:v>Casual</x:v>
      </x:c>
      <x:c r="F484" t="str">
        <x:v>Standard</x:v>
      </x:c>
      <x:c r="G484" t="n">
        <x:v>41856</x:v>
      </x:c>
      <x:c r="H484" t="str">
        <x:v>6983</x:v>
      </x:c>
      <x:c r="I484" t="str">
        <x:v>https://www.smwcentral.net/?a=details&amp;id=6983&amp;p=section</x:v>
      </x:c>
      <x:c r="J484" t="str">
        <x:v>https://dl.smwcentral.net/6983/Electra%20Demo%20C3.zip</x:v>
      </x:c>
    </x:row>
    <x:row r="485">
      <x:c r="A485" t="str">
        <x:v>Elephants and Snakes and Crocodiles</x:v>
      </x:c>
      <x:c r="B485" t="str">
        <x:v>Elephants and Snakes and Crocodiles</x:v>
      </x:c>
      <x:c r="C485" t="str">
        <x:v>Morsel</x:v>
      </x:c>
      <x:c r="D485" t="n">
        <x:v>13</x:v>
      </x:c>
      <x:c r="E485" t="str">
        <x:v>Master</x:v>
      </x:c>
      <x:c r="F485" t="str">
        <x:v>Kaizo</x:v>
      </x:c>
      <x:c r="G485" t="n">
        <x:v>43538</x:v>
      </x:c>
      <x:c r="H485" t="str">
        <x:v>19167</x:v>
      </x:c>
      <x:c r="I485" t="str">
        <x:v>https://www.smwcentral.net/?a=details&amp;id=19167&amp;p=section</x:v>
      </x:c>
      <x:c r="J485" t="str">
        <x:v>https://dl.smwcentral.net/19167/snakes1.05.zip</x:v>
      </x:c>
    </x:row>
    <x:row r="486">
      <x:c r="A486" t="str">
        <x:v>Elysium Shells</x:v>
      </x:c>
      <x:c r="B486" t="str">
        <x:v>Elysium Shells</x:v>
      </x:c>
      <x:c r="C486" t="str">
        <x:v>Eryck</x:v>
      </x:c>
      <x:c r="D486" t="n">
        <x:v>11</x:v>
      </x:c>
      <x:c r="E486" t="str">
        <x:v>Expert</x:v>
      </x:c>
      <x:c r="F486" t="str">
        <x:v>Kaizo</x:v>
      </x:c>
      <x:c r="G486" t="n">
        <x:v>44694</x:v>
      </x:c>
      <x:c r="H486" t="str">
        <x:v>30888</x:v>
      </x:c>
      <x:c r="I486" t="str">
        <x:v>https://www.smwcentral.net/?a=details&amp;id=30888&amp;p=section</x:v>
      </x:c>
      <x:c r="J486" t="str">
        <x:v>https://dl.smwcentral.net/30888/Elysium%20Shells%20v2.0.zip</x:v>
      </x:c>
    </x:row>
    <x:row r="487">
      <x:c r="A487" t="str">
        <x:v>Empyrean</x:v>
      </x:c>
      <x:c r="B487" t="str">
        <x:v>Empyrean</x:v>
      </x:c>
      <x:c r="C487" t="str">
        <x:v>swissy</x:v>
      </x:c>
      <x:c r="D487" t="n">
        <x:v>12</x:v>
      </x:c>
      <x:c r="E487" t="str">
        <x:v>Expert</x:v>
      </x:c>
      <x:c r="F487" t="str">
        <x:v>Kaizo</x:v>
      </x:c>
      <x:c r="G487" t="n">
        <x:v>44462</x:v>
      </x:c>
      <x:c r="H487" t="str">
        <x:v>28338</x:v>
      </x:c>
      <x:c r="I487" t="str">
        <x:v>https://www.smwcentral.net/?a=details&amp;id=28338&amp;p=section</x:v>
      </x:c>
      <x:c r="J487" t="str">
        <x:v>https://dl.smwcentral.net/28338/Empyrean_v1.0.zip</x:v>
      </x:c>
    </x:row>
    <x:row r="488">
      <x:c r="A488" t="str">
        <x:v>Endeavor</x:v>
      </x:c>
      <x:c r="B488" t="str">
        <x:v>Endeavor</x:v>
      </x:c>
      <x:c r="C488" t="str">
        <x:v>NixKillsMyths</x:v>
      </x:c>
      <x:c r="D488" t="n">
        <x:v>12</x:v>
      </x:c>
      <x:c r="E488" t="str">
        <x:v>Expert</x:v>
      </x:c>
      <x:c r="F488" t="str">
        <x:v>Kaizo</x:v>
      </x:c>
      <x:c r="G488" t="n">
        <x:v>44913</x:v>
      </x:c>
      <x:c r="H488" t="str">
        <x:v>32749</x:v>
      </x:c>
      <x:c r="I488" t="str">
        <x:v>https://www.smwcentral.net/?a=details&amp;id=32749&amp;p=section</x:v>
      </x:c>
      <x:c r="J488" t="str">
        <x:v>https://dl.smwcentral.net/32749/Endeavor%20%281.0%29.zip</x:v>
      </x:c>
    </x:row>
    <x:row r="489">
      <x:c r="A489" t="str">
        <x:v>Enter the Gizzverse</x:v>
      </x:c>
      <x:c r="B489" t="str">
        <x:v>Enter the Gizzverse</x:v>
      </x:c>
      <x:c r="C489" t="str">
        <x:v>kaigem</x:v>
      </x:c>
      <x:c r="D489" t="n">
        <x:v>9</x:v>
      </x:c>
      <x:c r="E489" t="str">
        <x:v>Expert</x:v>
      </x:c>
      <x:c r="F489" t="str">
        <x:v>Kaizo</x:v>
      </x:c>
      <x:c r="G489" t="n">
        <x:v>45337</x:v>
      </x:c>
      <x:c r="H489" t="str">
        <x:v>36871</x:v>
      </x:c>
      <x:c r="I489" t="str">
        <x:v>https://www.smwcentral.net/?a=details&amp;id=36871&amp;p=section</x:v>
      </x:c>
      <x:c r="J489" t="str">
        <x:v>https://dl.smwcentral.net/36871/Enter%20the%20Gizzverse.zip</x:v>
      </x:c>
    </x:row>
    <x:row r="490">
      <x:c r="A490" t="str">
        <x:v>Enter the Void</x:v>
      </x:c>
      <x:c r="B490" t="str">
        <x:v>Enter the Void</x:v>
      </x:c>
      <x:c r="C490" t="str">
        <x:v>Saela</x:v>
      </x:c>
      <x:c r="D490" t="n">
        <x:v>10</x:v>
      </x:c>
      <x:c r="E490" t="str">
        <x:v>Expert</x:v>
      </x:c>
      <x:c r="F490" t="str">
        <x:v>Kaizo</x:v>
      </x:c>
      <x:c r="G490" t="n">
        <x:v>44602</x:v>
      </x:c>
      <x:c r="H490" t="str">
        <x:v>29699</x:v>
      </x:c>
      <x:c r="I490" t="str">
        <x:v>https://www.smwcentral.net/?a=details&amp;id=29699&amp;p=section</x:v>
      </x:c>
      <x:c r="J490" t="str">
        <x:v>https://dl.smwcentral.net/29699/Enter%20the%20Void.zip</x:v>
      </x:c>
    </x:row>
    <x:row r="491">
      <x:c r="A491" t="str">
        <x:v>Entropy</x:v>
      </x:c>
      <x:c r="B491" t="str">
        <x:v>Entropy</x:v>
      </x:c>
      <x:c r="C491" t="str">
        <x:v>drkrdnk</x:v>
      </x:c>
      <x:c r="D491" t="n">
        <x:v>16</x:v>
      </x:c>
      <x:c r="E491" t="str">
        <x:v>Expert</x:v>
      </x:c>
      <x:c r="F491" t="str">
        <x:v>Kaizo</x:v>
      </x:c>
      <x:c r="G491" t="n">
        <x:v>45143</x:v>
      </x:c>
      <x:c r="H491" t="str">
        <x:v>34714</x:v>
      </x:c>
      <x:c r="I491" t="str">
        <x:v>https://www.smwcentral.net/?a=details&amp;id=34714&amp;p=section</x:v>
      </x:c>
      <x:c r="J491" t="str">
        <x:v>https://dl.smwcentral.net/34714/entropy_v101.zip</x:v>
      </x:c>
    </x:row>
    <x:row r="492">
      <x:c r="A492" t="str">
        <x:v>EP</x:v>
      </x:c>
      <x:c r="B492" t="str">
        <x:v>EP</x:v>
      </x:c>
      <x:c r="C492" t="str">
        <x:v>Egadd</x:v>
      </x:c>
      <x:c r="D492" t="n">
        <x:v>7</x:v>
      </x:c>
      <x:c r="E492" t="str">
        <x:v>Casual</x:v>
      </x:c>
      <x:c r="F492" t="str">
        <x:v>Standard</x:v>
      </x:c>
      <x:c r="G492" t="n">
        <x:v>41667</x:v>
      </x:c>
      <x:c r="H492" t="str">
        <x:v>6208</x:v>
      </x:c>
      <x:c r="I492" t="str">
        <x:v>https://www.smwcentral.net/?a=details&amp;id=6208&amp;p=section</x:v>
      </x:c>
      <x:c r="J492" t="str">
        <x:v>https://dl.smwcentral.net/6208/EP.zip</x:v>
      </x:c>
    </x:row>
    <x:row r="493">
      <x:c r="A493" t="str">
        <x:v>Epic Gamer World</x:v>
      </x:c>
      <x:c r="B493" t="str">
        <x:v>Epic Gamer World</x:v>
      </x:c>
      <x:c r="C493" t="str">
        <x:v>Yetibucca</x:v>
      </x:c>
      <x:c r="D493" t="n">
        <x:v>8</x:v>
      </x:c>
      <x:c r="E493" t="str">
        <x:v>Expert</x:v>
      </x:c>
      <x:c r="F493" t="str">
        <x:v>Kaizo</x:v>
      </x:c>
      <x:c r="G493" t="n">
        <x:v>43999</x:v>
      </x:c>
      <x:c r="H493" t="str">
        <x:v>23363</x:v>
      </x:c>
      <x:c r="I493" t="str">
        <x:v>https://www.smwcentral.net/?a=details&amp;id=23363&amp;p=section</x:v>
      </x:c>
      <x:c r="J493" t="str">
        <x:v>https://dl.smwcentral.net/23363/EGW%20V1.1.zip</x:v>
      </x:c>
    </x:row>
    <x:row r="494">
      <x:c r="A494" t="str">
        <x:v>Epiphany</x:v>
      </x:c>
      <x:c r="B494" t="str">
        <x:v>Epiphany</x:v>
      </x:c>
      <x:c r="C494" t="str">
        <x:v>Saela</x:v>
      </x:c>
      <x:c r="D494" t="n">
        <x:v>21</x:v>
      </x:c>
      <x:c r="E494" t="str">
        <x:v>Expert</x:v>
      </x:c>
      <x:c r="F494" t="str">
        <x:v>Kaizo</x:v>
      </x:c>
      <x:c r="G494" t="n">
        <x:v>45654</x:v>
      </x:c>
      <x:c r="H494" t="str">
        <x:v>38966</x:v>
      </x:c>
      <x:c r="I494" t="str">
        <x:v>https://www.smwcentral.net/?a=details&amp;id=38966&amp;p=section</x:v>
      </x:c>
      <x:c r="J494" t="str">
        <x:v>https://dl.smwcentral.net/38966/Epiphany.zip</x:v>
      </x:c>
    </x:row>
    <x:row r="495">
      <x:c r="A495" t="str">
        <x:v>Eroi del passato</x:v>
      </x:c>
      <x:c r="B495" t="str">
        <x:v>Eroi del passato</x:v>
      </x:c>
      <x:c r="C495" t="str">
        <x:v>bluesaint</x:v>
      </x:c>
      <x:c r="D495" t="n">
        <x:v>8</x:v>
      </x:c>
      <x:c r="E495" t="str">
        <x:v>Expert</x:v>
      </x:c>
      <x:c r="F495" t="str">
        <x:v>Kaizo</x:v>
      </x:c>
      <x:c r="G495" t="n">
        <x:v>43789</x:v>
      </x:c>
      <x:c r="H495" t="str">
        <x:v>21512</x:v>
      </x:c>
      <x:c r="I495" t="str">
        <x:v>https://www.smwcentral.net/?a=details&amp;id=21512&amp;p=section</x:v>
      </x:c>
      <x:c r="J495" t="str">
        <x:v>https://dl.smwcentral.net/21512/eroi%20del%20passato.zip</x:v>
      </x:c>
    </x:row>
    <x:row r="496">
      <x:c r="A496" t="str">
        <x:v>Escape from Kudzu Planet</x:v>
      </x:c>
      <x:c r="B496" t="str">
        <x:v>Escape from Kudzu Planet</x:v>
      </x:c>
      <x:c r="C496" t="str">
        <x:v>JudithPrietht</x:v>
      </x:c>
      <x:c r="D496" t="n">
        <x:v>13</x:v>
      </x:c>
      <x:c r="E496" t="str">
        <x:v>Advanced</x:v>
      </x:c>
      <x:c r="F496" t="str">
        <x:v>Kaizo</x:v>
      </x:c>
      <x:c r="G496" t="n">
        <x:v>45126</x:v>
      </x:c>
      <x:c r="H496" t="str">
        <x:v>34176</x:v>
      </x:c>
      <x:c r="I496" t="str">
        <x:v>https://www.smwcentral.net/?a=details&amp;id=34176&amp;p=section</x:v>
      </x:c>
      <x:c r="J496" t="str">
        <x:v>https://dl.smwcentral.net/34176/Escape%20from%20Kudzu%20Planet%201.1.zip</x:v>
      </x:c>
    </x:row>
    <x:row r="497">
      <x:c r="A497" t="str">
        <x:v>ESCAPE FROM LA PLUME</x:v>
      </x:c>
      <x:c r="B497" t="str">
        <x:v>ESCAPE FROM LA PLUME</x:v>
      </x:c>
      <x:c r="C497" t="str">
        <x:v>bonjoursauce, uriel2k3</x:v>
      </x:c>
      <x:c r="D497" t="n">
        <x:v>9</x:v>
      </x:c>
      <x:c r="E497" t="str">
        <x:v>Advanced</x:v>
      </x:c>
      <x:c r="F497" t="str">
        <x:v>Kaizo</x:v>
      </x:c>
      <x:c r="G497" t="n">
        <x:v>46071</x:v>
      </x:c>
      <x:c r="H497" t="str">
        <x:v>41609</x:v>
      </x:c>
      <x:c r="I497" t="str">
        <x:v>https://www.smwcentral.net/?a=details&amp;id=41609&amp;p=section</x:v>
      </x:c>
      <x:c r="J497" t="str">
        <x:v>https://dl.smwcentral.net/41609/Escape%20from%20La%20Plume.zip</x:v>
      </x:c>
    </x:row>
    <x:row r="498">
      <x:c r="A498" t="str">
        <x:v>Eternal Mario World</x:v>
      </x:c>
      <x:c r="B498" t="str">
        <x:v>Eternal Mario World</x:v>
      </x:c>
      <x:c r="C498" t="str">
        <x:v>Aguni_</x:v>
      </x:c>
      <x:c r="D498" t="n">
        <x:v>4</x:v>
      </x:c>
      <x:c r="E498" t="str">
        <x:v>Expert</x:v>
      </x:c>
      <x:c r="F498" t="str">
        <x:v>Kaizo</x:v>
      </x:c>
      <x:c r="G498" t="n">
        <x:v>42950</x:v>
      </x:c>
      <x:c r="H498" t="str">
        <x:v>15985</x:v>
      </x:c>
      <x:c r="I498" t="str">
        <x:v>https://www.smwcentral.net/?a=details&amp;id=15985&amp;p=section</x:v>
      </x:c>
      <x:c r="J498" t="str">
        <x:v>https://dl.smwcentral.net/15985/Eternal%20Mario%20World.zip</x:v>
      </x:c>
    </x:row>
    <x:row r="499">
      <x:c r="A499" t="str">
        <x:v>Eternal Nightfall</x:v>
      </x:c>
      <x:c r="B499" t="str">
        <x:v>Eternal Nightfall</x:v>
      </x:c>
      <x:c r="C499" t="str">
        <x:v>superwiidude</x:v>
      </x:c>
      <x:c r="D499" t="n">
        <x:v>5</x:v>
      </x:c>
      <x:c r="E499" t="str">
        <x:v>Casual</x:v>
      </x:c>
      <x:c r="F499" t="str">
        <x:v>Standard</x:v>
      </x:c>
      <x:c r="G499" t="n">
        <x:v>42657</x:v>
      </x:c>
      <x:c r="H499" t="str">
        <x:v>14533</x:v>
      </x:c>
      <x:c r="I499" t="str">
        <x:v>https://www.smwcentral.net/?a=details&amp;id=14533&amp;p=section</x:v>
      </x:c>
      <x:c r="J499" t="str">
        <x:v>https://dl.smwcentral.net/14533/eternal%20nightfall.zip</x:v>
      </x:c>
    </x:row>
    <x:row r="500">
      <x:c r="A500" t="str">
        <x:v>Eudaimonia</x:v>
      </x:c>
      <x:c r="B500" t="str">
        <x:v>Eudaimonia</x:v>
      </x:c>
      <x:c r="C500" t="str">
        <x:v>NerDose</x:v>
      </x:c>
      <x:c r="D500" t="n">
        <x:v>10</x:v>
      </x:c>
      <x:c r="E500" t="str">
        <x:v>Expert</x:v>
      </x:c>
      <x:c r="F500" t="str">
        <x:v>Kaizo</x:v>
      </x:c>
      <x:c r="G500" t="n">
        <x:v>44755</x:v>
      </x:c>
      <x:c r="H500" t="str">
        <x:v>31318</x:v>
      </x:c>
      <x:c r="I500" t="str">
        <x:v>https://www.smwcentral.net/?a=details&amp;id=31318&amp;p=section</x:v>
      </x:c>
      <x:c r="J500" t="str">
        <x:v>https://dl.smwcentral.net/31318/Eudaimonia.zip</x:v>
      </x:c>
    </x:row>
    <x:row r="501">
      <x:c r="A501" t="str">
        <x:v>Euphoria Isle</x:v>
      </x:c>
      <x:c r="B501" t="str">
        <x:v>Euphoria Isle</x:v>
      </x:c>
      <x:c r="C501" t="str">
        <x:v>Caracc, Crispy, NoelYoshi, Spud Alpha, SyStemkraSh, Zildjian</x:v>
      </x:c>
      <x:c r="D501" t="n">
        <x:v>12</x:v>
      </x:c>
      <x:c r="E501" t="str">
        <x:v>Casual</x:v>
      </x:c>
      <x:c r="F501" t="str">
        <x:v>Standard</x:v>
      </x:c>
      <x:c r="G501" t="n">
        <x:v>41535</x:v>
      </x:c>
      <x:c r="H501" t="str">
        <x:v>5499</x:v>
      </x:c>
      <x:c r="I501" t="str">
        <x:v>https://www.smwcentral.net/?a=details&amp;id=5499&amp;p=section</x:v>
      </x:c>
      <x:c r="J501" t="str">
        <x:v>https://dl.smwcentral.net/5499/Euphoria%20Isle.zip</x:v>
      </x:c>
    </x:row>
    <x:row r="502">
      <x:c r="A502" t="str">
        <x:v>EVERY LEVEL IGGY!</x:v>
      </x:c>
      <x:c r="B502" t="str">
        <x:v>EVERY LEVEL IGGY!</x:v>
      </x:c>
      <x:c r="C502" t="str">
        <x:v>Nimono</x:v>
      </x:c>
      <x:c r="D502" t="n">
        <x:v>7</x:v>
      </x:c>
      <x:c r="E502" t="str">
        <x:v>Casual</x:v>
      </x:c>
      <x:c r="F502" t="str">
        <x:v>Standard</x:v>
      </x:c>
      <x:c r="G502" t="n">
        <x:v>42058</x:v>
      </x:c>
      <x:c r="H502" t="str">
        <x:v>9734</x:v>
      </x:c>
      <x:c r="I502" t="str">
        <x:v>https://www.smwcentral.net/?a=details&amp;id=9734&amp;p=section</x:v>
      </x:c>
      <x:c r="J502" t="str">
        <x:v>https://dl.smwcentral.net/9734/EVERY%20LEVEL%20IGGY%21.zip</x:v>
      </x:c>
    </x:row>
    <x:row r="503">
      <x:c r="A503" t="str">
        <x:v>EVERY LEVEL LEMMY!</x:v>
      </x:c>
      <x:c r="B503" t="str">
        <x:v>EVERY LEVEL LEMMY!</x:v>
      </x:c>
      <x:c r="C503" t="str">
        <x:v>mario and luigi</x:v>
      </x:c>
      <x:c r="D503" t="n">
        <x:v>10</x:v>
      </x:c>
      <x:c r="E503" t="str">
        <x:v>Casual</x:v>
      </x:c>
      <x:c r="F503" t="str">
        <x:v>Standard</x:v>
      </x:c>
      <x:c r="G503" t="n">
        <x:v>41885</x:v>
      </x:c>
      <x:c r="H503" t="str">
        <x:v>9038</x:v>
      </x:c>
      <x:c r="I503" t="str">
        <x:v>https://www.smwcentral.net/?a=details&amp;id=9038&amp;p=section</x:v>
      </x:c>
      <x:c r="J503" t="str">
        <x:v>https://dl.smwcentral.net/9038/every%20level%20lemmy%20-%20version%203.zip</x:v>
      </x:c>
    </x:row>
    <x:row r="504">
      <x:c r="A504" t="str">
        <x:v>EVERY LEVEL LUDWIG!</x:v>
      </x:c>
      <x:c r="B504" t="str">
        <x:v>EVERY LEVEL LUDWIG!</x:v>
      </x:c>
      <x:c r="C504" t="str">
        <x:v>Green Jerry</x:v>
      </x:c>
      <x:c r="D504" t="n">
        <x:v>9</x:v>
      </x:c>
      <x:c r="E504" t="str">
        <x:v>Intermediate</x:v>
      </x:c>
      <x:c r="F504" t="str">
        <x:v>Standard</x:v>
      </x:c>
      <x:c r="G504" t="n">
        <x:v>45004</x:v>
      </x:c>
      <x:c r="H504" t="str">
        <x:v>33233</x:v>
      </x:c>
      <x:c r="I504" t="str">
        <x:v>https://www.smwcentral.net/?a=details&amp;id=33233&amp;p=section</x:v>
      </x:c>
      <x:c r="J504" t="str">
        <x:v>https://dl.smwcentral.net/33233/EVERY%20LEVEL%20LUDWIG%21%20%28V1.0.2%29.zip</x:v>
      </x:c>
    </x:row>
    <x:row r="505">
      <x:c r="A505" t="str">
        <x:v>EVERY LEVEL MORTON!</x:v>
      </x:c>
      <x:c r="B505" t="str">
        <x:v>EVERY LEVEL MORTON!</x:v>
      </x:c>
      <x:c r="C505" t="str">
        <x:v>Nimono</x:v>
      </x:c>
      <x:c r="D505" t="n">
        <x:v>9</x:v>
      </x:c>
      <x:c r="E505" t="str">
        <x:v>Casual</x:v>
      </x:c>
      <x:c r="F505" t="str">
        <x:v>Standard</x:v>
      </x:c>
      <x:c r="G505" t="n">
        <x:v>42233</x:v>
      </x:c>
      <x:c r="H505" t="str">
        <x:v>9911</x:v>
      </x:c>
      <x:c r="I505" t="str">
        <x:v>https://www.smwcentral.net/?a=details&amp;id=9911&amp;p=section</x:v>
      </x:c>
      <x:c r="J505" t="str">
        <x:v>https://dl.smwcentral.net/9911/EVERY%20LEVEL%20MORTON%21.zip</x:v>
      </x:c>
    </x:row>
    <x:row r="506">
      <x:c r="A506" t="str">
        <x:v>Everyone's Gone</x:v>
      </x:c>
      <x:c r="B506" t="str">
        <x:v>Everyone's Gone</x:v>
      </x:c>
      <x:c r="C506" t="str">
        <x:v>GamesInTweed</x:v>
      </x:c>
      <x:c r="D506" t="n">
        <x:v>3</x:v>
      </x:c>
      <x:c r="E506" t="str">
        <x:v>Casual</x:v>
      </x:c>
      <x:c r="F506" t="str">
        <x:v>Standard, Puzzle</x:v>
      </x:c>
      <x:c r="G506" t="n">
        <x:v>45958</x:v>
      </x:c>
      <x:c r="H506" t="str">
        <x:v>40892</x:v>
      </x:c>
      <x:c r="I506" t="str">
        <x:v>https://www.smwcentral.net/?a=details&amp;id=40892&amp;p=section</x:v>
      </x:c>
      <x:c r="J506" t="str">
        <x:v>https://dl.smwcentral.net/40892/Everyone%27s%20Gone%20v1.1.zip</x:v>
      </x:c>
    </x:row>
    <x:row r="507">
      <x:c r="A507" t="str">
        <x:v>Everything Is Not All Right</x:v>
      </x:c>
      <x:c r="B507" t="str">
        <x:v>Everything Is Not All Right</x:v>
      </x:c>
      <x:c r="C507" t="str">
        <x:v>Jordan</x:v>
      </x:c>
      <x:c r="D507" t="n">
        <x:v>11</x:v>
      </x:c>
      <x:c r="E507" t="str">
        <x:v>Advanced</x:v>
      </x:c>
      <x:c r="F507" t="str">
        <x:v>Kaizo</x:v>
      </x:c>
      <x:c r="G507" t="n">
        <x:v>44763</x:v>
      </x:c>
      <x:c r="H507" t="str">
        <x:v>31571</x:v>
      </x:c>
      <x:c r="I507" t="str">
        <x:v>https://www.smwcentral.net/?a=details&amp;id=31571&amp;p=section</x:v>
      </x:c>
      <x:c r="J507" t="str">
        <x:v>https://dl.smwcentral.net/31571/Everything%20Is%20Not%20All%20Right.zip</x:v>
      </x:c>
    </x:row>
    <x:row r="508">
      <x:c r="A508" t="str">
        <x:v>Evil Conquest</x:v>
      </x:c>
      <x:c r="B508" t="str">
        <x:v>Evil Conquest</x:v>
      </x:c>
      <x:c r="C508" t="str">
        <x:v>Darkdlp02, Luks</x:v>
      </x:c>
      <x:c r="D508" t="n">
        <x:v>63</x:v>
      </x:c>
      <x:c r="E508" t="str">
        <x:v>Expert</x:v>
      </x:c>
      <x:c r="F508" t="str">
        <x:v>Standard</x:v>
      </x:c>
      <x:c r="G508" t="n">
        <x:v>42230</x:v>
      </x:c>
      <x:c r="H508" t="str">
        <x:v>11946</x:v>
      </x:c>
      <x:c r="I508" t="str">
        <x:v>https://www.smwcentral.net/?a=details&amp;id=11946&amp;p=section</x:v>
      </x:c>
      <x:c r="J508" t="str">
        <x:v>https://dl.smwcentral.net/11946/Evil%20Conquest%20Release%201.9.zip</x:v>
      </x:c>
    </x:row>
    <x:row r="509">
      <x:c r="A509" t="str">
        <x:v>Evil Doopu World</x:v>
      </x:c>
      <x:c r="B509" t="str">
        <x:v>Evil Doopu World</x:v>
      </x:c>
      <x:c r="C509" t="str">
        <x:v>EvilAdmiralKivi</x:v>
      </x:c>
      <x:c r="D509" t="n">
        <x:v>6</x:v>
      </x:c>
      <x:c r="E509" t="str">
        <x:v>Expert</x:v>
      </x:c>
      <x:c r="F509" t="str">
        <x:v>Kaizo</x:v>
      </x:c>
      <x:c r="G509" t="n">
        <x:v>44861</x:v>
      </x:c>
      <x:c r="H509" t="str">
        <x:v>32358</x:v>
      </x:c>
      <x:c r="I509" t="str">
        <x:v>https://www.smwcentral.net/?a=details&amp;id=32358&amp;p=section</x:v>
      </x:c>
      <x:c r="J509" t="str">
        <x:v>https://dl.smwcentral.net/32358/EvilDoopuWorld_v1.0.0.zip</x:v>
      </x:c>
    </x:row>
    <x:row r="510">
      <x:c r="A510" t="str">
        <x:v>Evil Doopu World 2</x:v>
      </x:c>
      <x:c r="B510" t="str">
        <x:v>Evil Doopu World 2</x:v>
      </x:c>
      <x:c r="C510" t="str">
        <x:v>EvilAdmiralKivi</x:v>
      </x:c>
      <x:c r="D510" t="n">
        <x:v>7</x:v>
      </x:c>
      <x:c r="E510" t="str">
        <x:v>Master</x:v>
      </x:c>
      <x:c r="F510" t="str">
        <x:v>Kaizo</x:v>
      </x:c>
      <x:c r="G510" t="n">
        <x:v>45389</x:v>
      </x:c>
      <x:c r="H510" t="str">
        <x:v>37571</x:v>
      </x:c>
      <x:c r="I510" t="str">
        <x:v>https://www.smwcentral.net/?a=details&amp;id=37571&amp;p=section</x:v>
      </x:c>
      <x:c r="J510" t="str">
        <x:v>https://dl.smwcentral.net/37571/evil-doopu-world-2_v1.0.6.zip</x:v>
      </x:c>
    </x:row>
    <x:row r="511">
      <x:c r="A511" t="str">
        <x:v>Evolve or Die</x:v>
      </x:c>
      <x:c r="B511" t="str">
        <x:v>Evolve or Die</x:v>
      </x:c>
      <x:c r="C511" t="str">
        <x:v>MarsAmPear</x:v>
      </x:c>
      <x:c r="D511" t="n">
        <x:v>3</x:v>
      </x:c>
      <x:c r="E511" t="str">
        <x:v>Advanced</x:v>
      </x:c>
      <x:c r="F511" t="str">
        <x:v>Standard, Kaizo</x:v>
      </x:c>
      <x:c r="G511" t="n">
        <x:v>45915</x:v>
      </x:c>
      <x:c r="H511" t="str">
        <x:v>40635</x:v>
      </x:c>
      <x:c r="I511" t="str">
        <x:v>https://www.smwcentral.net/?a=details&amp;id=40635&amp;p=section</x:v>
      </x:c>
      <x:c r="J511" t="str">
        <x:v>https://dl.smwcentral.net/40635/Evolve%20or%20Die.zip</x:v>
      </x:c>
    </x:row>
    <x:row r="512">
      <x:c r="A512" t="str">
        <x:v>EVW</x:v>
      </x:c>
      <x:c r="B512" t="str">
        <x:v>EVW</x:v>
      </x:c>
      <x:c r="C512" t="str">
        <x:v>Snifit</x:v>
      </x:c>
      <x:c r="D512" t="n">
        <x:v>15</x:v>
      </x:c>
      <x:c r="E512" t="str">
        <x:v>Intermediate</x:v>
      </x:c>
      <x:c r="F512" t="str">
        <x:v>Standard</x:v>
      </x:c>
      <x:c r="G512" t="n">
        <x:v>42225</x:v>
      </x:c>
      <x:c r="H512" t="str">
        <x:v>10001</x:v>
      </x:c>
      <x:c r="I512" t="str">
        <x:v>https://www.smwcentral.net/?a=details&amp;id=10001&amp;p=section</x:v>
      </x:c>
      <x:c r="J512" t="str">
        <x:v>https://dl.smwcentral.net/10001/EVW_Updated.zip</x:v>
      </x:c>
    </x:row>
    <x:row r="513">
      <x:c r="A513" t="str">
        <x:v>Exodius</x:v>
      </x:c>
      <x:c r="B513" t="str">
        <x:v>Exodius</x:v>
      </x:c>
      <x:c r="C513" t="str">
        <x:v>Nint</x:v>
      </x:c>
      <x:c r="D513" t="n">
        <x:v>21</x:v>
      </x:c>
      <x:c r="E513" t="str">
        <x:v>Expert</x:v>
      </x:c>
      <x:c r="F513" t="str">
        <x:v>Kaizo</x:v>
      </x:c>
      <x:c r="G513" t="n">
        <x:v>43830</x:v>
      </x:c>
      <x:c r="H513" t="str">
        <x:v>21563</x:v>
      </x:c>
      <x:c r="I513" t="str">
        <x:v>https://www.smwcentral.net/?a=details&amp;id=21563&amp;p=section</x:v>
      </x:c>
      <x:c r="J513" t="str">
        <x:v>https://dl.smwcentral.net/21563/Exodius%201.1.zip</x:v>
      </x:c>
    </x:row>
    <x:row r="514">
      <x:c r="A514" t="str">
        <x:v>Exshellsior</x:v>
      </x:c>
      <x:c r="B514" t="str">
        <x:v>Exshellsior</x:v>
      </x:c>
      <x:c r="C514" t="str">
        <x:v>xLyfu</x:v>
      </x:c>
      <x:c r="D514" t="n">
        <x:v>9</x:v>
      </x:c>
      <x:c r="E514" t="str">
        <x:v>Expert</x:v>
      </x:c>
      <x:c r="F514" t="str">
        <x:v>Kaizo</x:v>
      </x:c>
      <x:c r="G514" t="n">
        <x:v>46014</x:v>
      </x:c>
      <x:c r="H514" t="str">
        <x:v>41309</x:v>
      </x:c>
      <x:c r="I514" t="str">
        <x:v>https://www.smwcentral.net/?a=details&amp;id=41309&amp;p=section</x:v>
      </x:c>
      <x:c r="J514" t="str">
        <x:v>https://dl.smwcentral.net/41309/Exshellsior.zip</x:v>
      </x:c>
    </x:row>
    <x:row r="515">
      <x:c r="A515" t="str">
        <x:v>Extended Interactions</x:v>
      </x:c>
      <x:c r="B515" t="str">
        <x:v>Extended Interactions</x:v>
      </x:c>
      <x:c r="C515" t="str">
        <x:v>GbreezeSunset</x:v>
      </x:c>
      <x:c r="D515" t="n">
        <x:v>24</x:v>
      </x:c>
      <x:c r="E515" t="str">
        <x:v>Expert</x:v>
      </x:c>
      <x:c r="F515" t="str">
        <x:v>Kaizo</x:v>
      </x:c>
      <x:c r="G515" t="n">
        <x:v>45713</x:v>
      </x:c>
      <x:c r="H515" t="str">
        <x:v>39342</x:v>
      </x:c>
      <x:c r="I515" t="str">
        <x:v>https://www.smwcentral.net/?a=details&amp;id=39342&amp;p=section</x:v>
      </x:c>
      <x:c r="J515" t="str">
        <x:v>https://dl.smwcentral.net/39342/Extended%20Interactions%20V1.1.1.zip</x:v>
      </x:c>
    </x:row>
    <x:row r="516">
      <x:c r="A516" t="str">
        <x:v>Extinction Rebellion</x:v>
      </x:c>
      <x:c r="B516" t="str">
        <x:v>Extinction Rebellion</x:v>
      </x:c>
      <x:c r="C516" t="str">
        <x:v>xamen81x</x:v>
      </x:c>
      <x:c r="D516" t="n">
        <x:v>10</x:v>
      </x:c>
      <x:c r="E516" t="str">
        <x:v>Advanced</x:v>
      </x:c>
      <x:c r="F516" t="str">
        <x:v>Kaizo</x:v>
      </x:c>
      <x:c r="G516" t="n">
        <x:v>44439</x:v>
      </x:c>
      <x:c r="H516" t="str">
        <x:v>28119</x:v>
      </x:c>
      <x:c r="I516" t="str">
        <x:v>https://www.smwcentral.net/?a=details&amp;id=28119&amp;p=section</x:v>
      </x:c>
      <x:c r="J516" t="str">
        <x:v>https://dl.smwcentral.net/28119/WinRAR-ZIP-Archiv%20%28neu%29.zip</x:v>
      </x:c>
    </x:row>
    <x:row r="517">
      <x:c r="A517" t="str">
        <x:v>Extreme One-Screen Puzzle</x:v>
      </x:c>
      <x:c r="B517" t="str">
        <x:v>Extreme One-Screen Puzzle</x:v>
      </x:c>
      <x:c r="C517" t="str">
        <x:v>7 up</x:v>
      </x:c>
      <x:c r="D517" t="n">
        <x:v>1</x:v>
      </x:c>
      <x:c r="E517" t="str">
        <x:v>Advanced</x:v>
      </x:c>
      <x:c r="F517" t="str">
        <x:v>Kaizo, Tool-Assisted</x:v>
      </x:c>
      <x:c r="G517" t="n">
        <x:v>43290</x:v>
      </x:c>
      <x:c r="H517" t="str">
        <x:v>17732</x:v>
      </x:c>
      <x:c r="I517" t="str">
        <x:v>https://www.smwcentral.net/?a=details&amp;id=17732&amp;p=section</x:v>
      </x:c>
      <x:c r="J517" t="str">
        <x:v>https://dl.smwcentral.net/17732/Extreme_One_Screen_Puzzle_V1.4.zip</x:v>
      </x:c>
    </x:row>
    <x:row r="518">
      <x:c r="A518" t="str">
        <x:v>EY JUICE</x:v>
      </x:c>
      <x:c r="B518" t="str">
        <x:v>EY JUICE</x:v>
      </x:c>
      <x:c r="C518" t="str">
        <x:v>goosedajuice</x:v>
      </x:c>
      <x:c r="D518" t="n">
        <x:v>29</x:v>
      </x:c>
      <x:c r="E518" t="str">
        <x:v>Advanced</x:v>
      </x:c>
      <x:c r="F518" t="str">
        <x:v>Kaizo</x:v>
      </x:c>
      <x:c r="G518" t="n">
        <x:v>44016</x:v>
      </x:c>
      <x:c r="H518" t="str">
        <x:v>23330</x:v>
      </x:c>
      <x:c r="I518" t="str">
        <x:v>https://www.smwcentral.net/?a=details&amp;id=23330&amp;p=section</x:v>
      </x:c>
      <x:c r="J518" t="str">
        <x:v>https://dl.smwcentral.net/23330/EY_JUICEv1.2.zip</x:v>
      </x:c>
    </x:row>
    <x:row r="519">
      <x:c r="A519" t="str">
        <x:v>Eyeless: Director's Cut + Original</x:v>
      </x:c>
      <x:c r="B519" t="str">
        <x:v>Eyeless: Director's Cut + Original</x:v>
      </x:c>
      <x:c r="C519" t="str">
        <x:v>lolyoshi</x:v>
      </x:c>
      <x:c r="D519" t="n">
        <x:v>5</x:v>
      </x:c>
      <x:c r="E519" t="str">
        <x:v>Casual</x:v>
      </x:c>
      <x:c r="F519" t="str">
        <x:v>Standard</x:v>
      </x:c>
      <x:c r="G519" t="n">
        <x:v>42658</x:v>
      </x:c>
      <x:c r="H519" t="str">
        <x:v>14531</x:v>
      </x:c>
      <x:c r="I519" t="str">
        <x:v>https://www.smwcentral.net/?a=details&amp;id=14531&amp;p=section</x:v>
      </x:c>
      <x:c r="J519" t="str">
        <x:v>https://dl.smwcentral.net/14531/Eyeless.zip</x:v>
      </x:c>
    </x:row>
    <x:row r="520">
      <x:c r="A520" t="str">
        <x:v>EZ Kaizo</x:v>
      </x:c>
      <x:c r="B520" t="str">
        <x:v>EZ Kaizo</x:v>
      </x:c>
      <x:c r="C520" t="str">
        <x:v>blueribbonhighlife</x:v>
      </x:c>
      <x:c r="D520" t="n">
        <x:v>15</x:v>
      </x:c>
      <x:c r="E520" t="str">
        <x:v>Intermediate</x:v>
      </x:c>
      <x:c r="F520" t="str">
        <x:v>Kaizo</x:v>
      </x:c>
      <x:c r="G520" t="n">
        <x:v>44510</x:v>
      </x:c>
      <x:c r="H520" t="str">
        <x:v>28771</x:v>
      </x:c>
      <x:c r="I520" t="str">
        <x:v>https://www.smwcentral.net/?a=details&amp;id=28771&amp;p=section</x:v>
      </x:c>
      <x:c r="J520" t="str">
        <x:v>https://dl.smwcentral.net/28771/EZ%20Kaizo%201.0.zip</x:v>
      </x:c>
    </x:row>
    <x:row r="521">
      <x:c r="A521" t="str">
        <x:v>F-Mario: Galaxy Cup</x:v>
      </x:c>
      <x:c r="B521" t="str">
        <x:v>F-Mario: Galaxy Cup</x:v>
      </x:c>
      <x:c r="C521" t="str">
        <x:v>X-King</x:v>
      </x:c>
      <x:c r="D521" t="n">
        <x:v>12</x:v>
      </x:c>
      <x:c r="E521" t="str">
        <x:v>Intermediate</x:v>
      </x:c>
      <x:c r="F521" t="str">
        <x:v>Standard</x:v>
      </x:c>
      <x:c r="G521" t="n">
        <x:v>42104</x:v>
      </x:c>
      <x:c r="H521" t="str">
        <x:v>9724</x:v>
      </x:c>
      <x:c r="I521" t="str">
        <x:v>https://www.smwcentral.net/?a=details&amp;id=9724&amp;p=section</x:v>
      </x:c>
      <x:c r="J521" t="str">
        <x:v>https://dl.smwcentral.net/9724/F-Mario.zip</x:v>
      </x:c>
    </x:row>
    <x:row r="522">
      <x:c r="A522" t="str">
        <x:v>Facedesk!</x:v>
      </x:c>
      <x:c r="B522" t="str">
        <x:v>Facedesk!</x:v>
      </x:c>
      <x:c r="C522" t="str">
        <x:v>Katerpie</x:v>
      </x:c>
      <x:c r="D522" t="n">
        <x:v>9</x:v>
      </x:c>
      <x:c r="E522" t="str">
        <x:v>Advanced</x:v>
      </x:c>
      <x:c r="F522" t="str">
        <x:v>Kaizo, Tool-Assisted</x:v>
      </x:c>
      <x:c r="G522" t="n">
        <x:v>43514</x:v>
      </x:c>
      <x:c r="H522" t="str">
        <x:v>18823</x:v>
      </x:c>
      <x:c r="I522" t="str">
        <x:v>https://www.smwcentral.net/?a=details&amp;id=18823&amp;p=section</x:v>
      </x:c>
      <x:c r="J522" t="str">
        <x:v>https://dl.smwcentral.net/18823/Facedesk.zip</x:v>
      </x:c>
    </x:row>
    <x:row r="523">
      <x:c r="A523" t="str">
        <x:v>Fail World</x:v>
      </x:c>
      <x:c r="B523" t="str">
        <x:v>Fail World</x:v>
      </x:c>
      <x:c r="C523" t="str">
        <x:v>Fyre150, Goon Nation</x:v>
      </x:c>
      <x:c r="D523" t="n">
        <x:v>27</x:v>
      </x:c>
      <x:c r="E523" t="str">
        <x:v>Master</x:v>
      </x:c>
      <x:c r="F523" t="str">
        <x:v>Kaizo</x:v>
      </x:c>
      <x:c r="G523" t="n">
        <x:v>44916</x:v>
      </x:c>
      <x:c r="H523" t="str">
        <x:v>32733</x:v>
      </x:c>
      <x:c r="I523" t="str">
        <x:v>https://www.smwcentral.net/?a=details&amp;id=32733&amp;p=section</x:v>
      </x:c>
      <x:c r="J523" t="str">
        <x:v>https://dl.smwcentral.net/32733/FailWorld.zip</x:v>
      </x:c>
    </x:row>
    <x:row r="524">
      <x:c r="A524" t="str">
        <x:v>Fall Guys World</x:v>
      </x:c>
      <x:c r="B524" t="str">
        <x:v>Fall Guys World</x:v>
      </x:c>
      <x:c r="C524" t="str">
        <x:v>LucasMegaStriker</x:v>
      </x:c>
      <x:c r="D524" t="n">
        <x:v>19</x:v>
      </x:c>
      <x:c r="E524" t="str">
        <x:v>Intermediate</x:v>
      </x:c>
      <x:c r="F524" t="str">
        <x:v>Standard</x:v>
      </x:c>
      <x:c r="G524" t="n">
        <x:v>44120</x:v>
      </x:c>
      <x:c r="H524" t="str">
        <x:v>24854</x:v>
      </x:c>
      <x:c r="I524" t="str">
        <x:v>https://www.smwcentral.net/?a=details&amp;id=24854&amp;p=section</x:v>
      </x:c>
      <x:c r="J524" t="str">
        <x:v>https://dl.smwcentral.net/24854/FallGuysWorld.zip</x:v>
      </x:c>
    </x:row>
    <x:row r="525">
      <x:c r="A525" t="str">
        <x:v>Fantasia</x:v>
      </x:c>
      <x:c r="B525" t="str">
        <x:v>Fantasia</x:v>
      </x:c>
      <x:c r="C525" t="str">
        <x:v>Jukeboxi_</x:v>
      </x:c>
      <x:c r="D525" t="n">
        <x:v>21</x:v>
      </x:c>
      <x:c r="E525" t="str">
        <x:v>Master</x:v>
      </x:c>
      <x:c r="F525" t="str">
        <x:v>Kaizo</x:v>
      </x:c>
      <x:c r="G525" t="n">
        <x:v>45447</x:v>
      </x:c>
      <x:c r="H525" t="str">
        <x:v>37848</x:v>
      </x:c>
      <x:c r="I525" t="str">
        <x:v>https://www.smwcentral.net/?a=details&amp;id=37848&amp;p=section</x:v>
      </x:c>
      <x:c r="J525" t="str">
        <x:v>https://dl.smwcentral.net/37848/Fantasia.zip</x:v>
      </x:c>
    </x:row>
    <x:row r="526">
      <x:c r="A526" t="str">
        <x:v>Far a day, near dismay</x:v>
      </x:c>
      <x:c r="B526" t="str">
        <x:v>Far a day, near dismay</x:v>
      </x:c>
      <x:c r="C526" t="str">
        <x:v>cozyduck</x:v>
      </x:c>
      <x:c r="D526" t="n">
        <x:v>10</x:v>
      </x:c>
      <x:c r="E526" t="str">
        <x:v>Master</x:v>
      </x:c>
      <x:c r="F526" t="str">
        <x:v>Kaizo</x:v>
      </x:c>
      <x:c r="G526" t="n">
        <x:v>45071</x:v>
      </x:c>
      <x:c r="H526" t="str">
        <x:v>33932</x:v>
      </x:c>
      <x:c r="I526" t="str">
        <x:v>https://www.smwcentral.net/?a=details&amp;id=33932&amp;p=section</x:v>
      </x:c>
      <x:c r="J526" t="str">
        <x:v>https://dl.smwcentral.net/33932/faraday.zip</x:v>
      </x:c>
    </x:row>
    <x:row r="527">
      <x:c r="A527" t="str">
        <x:v>Fast Food Kaizo</x:v>
      </x:c>
      <x:c r="B527" t="str">
        <x:v>Fast Food Kaizo</x:v>
      </x:c>
      <x:c r="C527" t="str">
        <x:v>gui</x:v>
      </x:c>
      <x:c r="D527" t="n">
        <x:v>5</x:v>
      </x:c>
      <x:c r="E527" t="str">
        <x:v>Expert</x:v>
      </x:c>
      <x:c r="F527" t="str">
        <x:v>Kaizo</x:v>
      </x:c>
      <x:c r="G527" t="n">
        <x:v>44398</x:v>
      </x:c>
      <x:c r="H527" t="str">
        <x:v>27706</x:v>
      </x:c>
      <x:c r="I527" t="str">
        <x:v>https://www.smwcentral.net/?a=details&amp;id=27706&amp;p=section</x:v>
      </x:c>
      <x:c r="J527" t="str">
        <x:v>https://dl.smwcentral.net/27706/fastfoodkaizov1.1.zip</x:v>
      </x:c>
    </x:row>
    <x:row r="528">
      <x:c r="A528" t="str">
        <x:v>Father's Gift</x:v>
      </x:c>
      <x:c r="B528" t="str">
        <x:v>Father's Gift</x:v>
      </x:c>
      <x:c r="C528" t="str">
        <x:v>fanfan21</x:v>
      </x:c>
      <x:c r="D528" t="n">
        <x:v>24</x:v>
      </x:c>
      <x:c r="E528" t="str">
        <x:v>Intermediate</x:v>
      </x:c>
      <x:c r="F528" t="str">
        <x:v>Kaizo</x:v>
      </x:c>
      <x:c r="G528" t="n">
        <x:v>45664</x:v>
      </x:c>
      <x:c r="H528" t="str">
        <x:v>38986</x:v>
      </x:c>
      <x:c r="I528" t="str">
        <x:v>https://www.smwcentral.net/?a=details&amp;id=38986&amp;p=section</x:v>
      </x:c>
      <x:c r="J528" t="str">
        <x:v>https://dl.smwcentral.net/38986/Hack%20for%20Father.zip</x:v>
      </x:c>
    </x:row>
    <x:row r="529">
      <x:c r="A529" t="str">
        <x:v>Fedora</x:v>
      </x:c>
      <x:c r="B529" t="str">
        <x:v>Fedora</x:v>
      </x:c>
      <x:c r="C529" t="str">
        <x:v>AFH</x:v>
      </x:c>
      <x:c r="D529" t="n">
        <x:v>1</x:v>
      </x:c>
      <x:c r="E529" t="str">
        <x:v>Expert</x:v>
      </x:c>
      <x:c r="F529" t="str">
        <x:v>Kaizo</x:v>
      </x:c>
      <x:c r="G529" t="n">
        <x:v>44302</x:v>
      </x:c>
      <x:c r="H529" t="str">
        <x:v>26571</x:v>
      </x:c>
      <x:c r="I529" t="str">
        <x:v>https://www.smwcentral.net/?a=details&amp;id=26571&amp;p=section</x:v>
      </x:c>
      <x:c r="J529" t="str">
        <x:v>https://dl.smwcentral.net/26571/fedora.zip</x:v>
      </x:c>
    </x:row>
    <x:row r="530">
      <x:c r="A530" t="str">
        <x:v>Feginner</x:v>
      </x:c>
      <x:c r="B530" t="str">
        <x:v>Feginner</x:v>
      </x:c>
      <x:c r="C530" t="str">
        <x:v>CroNo486, mikeeeeee83</x:v>
      </x:c>
      <x:c r="D530" t="n">
        <x:v>11</x:v>
      </x:c>
      <x:c r="E530" t="str">
        <x:v>Advanced</x:v>
      </x:c>
      <x:c r="F530" t="str">
        <x:v>Kaizo</x:v>
      </x:c>
      <x:c r="G530" t="n">
        <x:v>45244</x:v>
      </x:c>
      <x:c r="H530" t="str">
        <x:v>35429</x:v>
      </x:c>
      <x:c r="I530" t="str">
        <x:v>https://www.smwcentral.net/?a=details&amp;id=35429&amp;p=section</x:v>
      </x:c>
      <x:c r="J530" t="str">
        <x:v>https://dl.smwcentral.net/35429/Feginner_v1.2.zip</x:v>
      </x:c>
    </x:row>
    <x:row r="531">
      <x:c r="A531" t="str">
        <x:v>Final Fantasy: Super Moogle World</x:v>
      </x:c>
      <x:c r="B531" t="str">
        <x:v>Final Fantasy: Super Moogle World</x:v>
      </x:c>
      <x:c r="C531" t="str">
        <x:v>Furdabip</x:v>
      </x:c>
      <x:c r="D531" t="n">
        <x:v>60</x:v>
      </x:c>
      <x:c r="E531" t="str">
        <x:v>Casual</x:v>
      </x:c>
      <x:c r="F531" t="str">
        <x:v>Standard</x:v>
      </x:c>
      <x:c r="G531" t="n">
        <x:v>42217</x:v>
      </x:c>
      <x:c r="H531" t="str">
        <x:v>9807</x:v>
      </x:c>
      <x:c r="I531" t="str">
        <x:v>https://www.smwcentral.net/?a=details&amp;id=9807&amp;p=section</x:v>
      </x:c>
      <x:c r="J531" t="str">
        <x:v>https://dl.smwcentral.net/9807/FF-SMW.zip</x:v>
      </x:c>
    </x:row>
    <x:row r="532">
      <x:c r="A532" t="str">
        <x:v>Fire and Ice</x:v>
      </x:c>
      <x:c r="B532" t="str">
        <x:v>Fire and Ice</x:v>
      </x:c>
      <x:c r="C532" t="str">
        <x:v>mason</x:v>
      </x:c>
      <x:c r="D532" t="n">
        <x:v>19</x:v>
      </x:c>
      <x:c r="E532" t="str">
        <x:v>Master</x:v>
      </x:c>
      <x:c r="F532" t="str">
        <x:v>Kaizo</x:v>
      </x:c>
      <x:c r="G532" t="n">
        <x:v>44320</x:v>
      </x:c>
      <x:c r="H532" t="str">
        <x:v>26828</x:v>
      </x:c>
      <x:c r="I532" t="str">
        <x:v>https://www.smwcentral.net/?a=details&amp;id=26828&amp;p=section</x:v>
      </x:c>
      <x:c r="J532" t="str">
        <x:v>https://dl.smwcentral.net/26828/fireandice.zip</x:v>
      </x:c>
    </x:row>
    <x:row r="533">
      <x:c r="A533" t="str">
        <x:v>First Foray</x:v>
      </x:c>
      <x:c r="B533" t="str">
        <x:v>First Foray</x:v>
      </x:c>
      <x:c r="C533" t="str">
        <x:v>15925</x:v>
      </x:c>
      <x:c r="D533" t="n">
        <x:v>5</x:v>
      </x:c>
      <x:c r="E533" t="str">
        <x:v>Casual</x:v>
      </x:c>
      <x:c r="F533" t="str">
        <x:v>Standard</x:v>
      </x:c>
      <x:c r="G533" t="n">
        <x:v>43470</x:v>
      </x:c>
      <x:c r="H533" t="str">
        <x:v>18831</x:v>
      </x:c>
      <x:c r="I533" t="str">
        <x:v>https://www.smwcentral.net/?a=details&amp;id=18831&amp;p=section</x:v>
      </x:c>
      <x:c r="J533" t="str">
        <x:v>https://dl.smwcentral.net/18831/First%20Foray%20C3%20Demo%20v1.1.zip</x:v>
      </x:c>
    </x:row>
    <x:row r="534">
      <x:c r="A534" t="str">
        <x:v>First Step Forward</x:v>
      </x:c>
      <x:c r="B534" t="str">
        <x:v>First Step Forward</x:v>
      </x:c>
      <x:c r="C534" t="str">
        <x:v>LightAligns, Saela</x:v>
      </x:c>
      <x:c r="D534" t="n">
        <x:v>11</x:v>
      </x:c>
      <x:c r="E534" t="str">
        <x:v>Advanced</x:v>
      </x:c>
      <x:c r="F534" t="str">
        <x:v>Kaizo</x:v>
      </x:c>
      <x:c r="G534" t="n">
        <x:v>45603</x:v>
      </x:c>
      <x:c r="H534" t="str">
        <x:v>38728</x:v>
      </x:c>
      <x:c r="I534" t="str">
        <x:v>https://www.smwcentral.net/?a=details&amp;id=38728&amp;p=section</x:v>
      </x:c>
      <x:c r="J534" t="str">
        <x:v>https://dl.smwcentral.net/38728/First%20Step%20Forward.zip</x:v>
      </x:c>
    </x:row>
    <x:row r="535">
      <x:c r="A535" t="str">
        <x:v>Fishing Season 2</x:v>
      </x:c>
      <x:c r="B535" t="str">
        <x:v>Fishing Season 2</x:v>
      </x:c>
      <x:c r="C535" t="str">
        <x:v>MellyMellouange</x:v>
      </x:c>
      <x:c r="D535" t="n">
        <x:v>14</x:v>
      </x:c>
      <x:c r="E535" t="str">
        <x:v>Casual</x:v>
      </x:c>
      <x:c r="F535" t="str">
        <x:v>Standard</x:v>
      </x:c>
      <x:c r="G535" t="n">
        <x:v>42914</x:v>
      </x:c>
      <x:c r="H535" t="str">
        <x:v>15713</x:v>
      </x:c>
      <x:c r="I535" t="str">
        <x:v>https://www.smwcentral.net/?a=details&amp;id=15713&amp;p=section</x:v>
      </x:c>
      <x:c r="J535" t="str">
        <x:v>https://dl.smwcentral.net/15713/Fishing_Season_2.zip</x:v>
      </x:c>
    </x:row>
    <x:row r="536">
      <x:c r="A536" t="str">
        <x:v>Flip The Switch</x:v>
      </x:c>
      <x:c r="B536" t="str">
        <x:v>Flip The Switch</x:v>
      </x:c>
      <x:c r="C536" t="str">
        <x:v>ThirdWall</x:v>
      </x:c>
      <x:c r="D536" t="n">
        <x:v>7</x:v>
      </x:c>
      <x:c r="E536" t="str">
        <x:v>Master</x:v>
      </x:c>
      <x:c r="F536" t="str">
        <x:v>Kaizo</x:v>
      </x:c>
      <x:c r="G536" t="n">
        <x:v>44460</x:v>
      </x:c>
      <x:c r="H536" t="str">
        <x:v>28341</x:v>
      </x:c>
      <x:c r="I536" t="str">
        <x:v>https://www.smwcentral.net/?a=details&amp;id=28341&amp;p=section</x:v>
      </x:c>
      <x:c r="J536" t="str">
        <x:v>https://dl.smwcentral.net/28341/Flip%20The%20Switch.bps.zip</x:v>
      </x:c>
    </x:row>
    <x:row r="537">
      <x:c r="A537" t="str">
        <x:v>FLOATING MUNCHERS SERIES?</x:v>
      </x:c>
      <x:c r="B537" t="str">
        <x:v>FLOATING MUNCHERS SERIES?</x:v>
      </x:c>
      <x:c r="C537" t="str">
        <x:v>Alcaro, Koopster</x:v>
      </x:c>
      <x:c r="D537" t="n">
        <x:v>2</x:v>
      </x:c>
      <x:c r="E537" t="str">
        <x:v>Advanced</x:v>
      </x:c>
      <x:c r="F537" t="str">
        <x:v>Standard</x:v>
      </x:c>
      <x:c r="G537" t="n">
        <x:v>42519</x:v>
      </x:c>
      <x:c r="H537" t="str">
        <x:v>13745</x:v>
      </x:c>
      <x:c r="I537" t="str">
        <x:v>https://www.smwcentral.net/?a=details&amp;id=13745&amp;p=section</x:v>
      </x:c>
      <x:c r="J537" t="str">
        <x:v>https://dl.smwcentral.net/13745/FLOATING%20MUNCHERS.zip</x:v>
      </x:c>
    </x:row>
    <x:row r="538">
      <x:c r="A538" t="str">
        <x:v>FloMcNasty World</x:v>
      </x:c>
      <x:c r="B538" t="str">
        <x:v>FloMcNasty World</x:v>
      </x:c>
      <x:c r="C538" t="str">
        <x:v>AiSnake</x:v>
      </x:c>
      <x:c r="D538" t="n">
        <x:v>11</x:v>
      </x:c>
      <x:c r="E538" t="str">
        <x:v>Advanced</x:v>
      </x:c>
      <x:c r="F538" t="str">
        <x:v>Kaizo</x:v>
      </x:c>
      <x:c r="G538" t="n">
        <x:v>45153</x:v>
      </x:c>
      <x:c r="H538" t="str">
        <x:v>34838</x:v>
      </x:c>
      <x:c r="I538" t="str">
        <x:v>https://www.smwcentral.net/?a=details&amp;id=34838&amp;p=section</x:v>
      </x:c>
      <x:c r="J538" t="str">
        <x:v>https://dl.smwcentral.net/34838/FloMcNastyWorld%20v1.1.bps.zip</x:v>
      </x:c>
    </x:row>
    <x:row r="539">
      <x:c r="A539" t="str">
        <x:v>Fly Me To The Stars</x:v>
      </x:c>
      <x:c r="B539" t="str">
        <x:v>Fly Me To The Stars</x:v>
      </x:c>
      <x:c r="C539" t="str">
        <x:v>CarlSagan42</x:v>
      </x:c>
      <x:c r="D539" t="n">
        <x:v>6</x:v>
      </x:c>
      <x:c r="E539" t="str">
        <x:v>Master</x:v>
      </x:c>
      <x:c r="F539" t="str">
        <x:v>Kaizo</x:v>
      </x:c>
      <x:c r="G539" t="n">
        <x:v>43468</x:v>
      </x:c>
      <x:c r="H539" t="str">
        <x:v>18791</x:v>
      </x:c>
      <x:c r="I539" t="str">
        <x:v>https://www.smwcentral.net/?a=details&amp;id=18791&amp;p=section</x:v>
      </x:c>
      <x:c r="J539" t="str">
        <x:v>https://dl.smwcentral.net/18791/Fly%20Me%20To%20The%20Stars.zip</x:v>
      </x:c>
    </x:row>
    <x:row r="540">
      <x:c r="A540" t="str">
        <x:v>Flying With Style</x:v>
      </x:c>
      <x:c r="B540" t="str">
        <x:v>Flying With Style</x:v>
      </x:c>
      <x:c r="C540" t="str">
        <x:v>DJLocks, LouisDoucet, MassPunishment, gui, mason</x:v>
      </x:c>
      <x:c r="D540" t="n">
        <x:v>7</x:v>
      </x:c>
      <x:c r="E540" t="str">
        <x:v>Master</x:v>
      </x:c>
      <x:c r="F540" t="str">
        <x:v>Kaizo</x:v>
      </x:c>
      <x:c r="G540" t="n">
        <x:v>44587</x:v>
      </x:c>
      <x:c r="H540" t="str">
        <x:v>29600</x:v>
      </x:c>
      <x:c r="I540" t="str">
        <x:v>https://www.smwcentral.net/?a=details&amp;id=29600&amp;p=section</x:v>
      </x:c>
      <x:c r="J540" t="str">
        <x:v>https://dl.smwcentral.net/29600/FWS.zip</x:v>
      </x:c>
    </x:row>
    <x:row r="541">
      <x:c r="A541" t="str">
        <x:v>For Dan</x:v>
      </x:c>
      <x:c r="B541" t="str">
        <x:v>For Dan</x:v>
      </x:c>
      <x:c r="C541" t="str">
        <x:v>GrumpyWalrus</x:v>
      </x:c>
      <x:c r="D541" t="n">
        <x:v>25</x:v>
      </x:c>
      <x:c r="E541" t="str">
        <x:v>Advanced</x:v>
      </x:c>
      <x:c r="F541" t="str">
        <x:v>Kaizo</x:v>
      </x:c>
      <x:c r="G541" t="n">
        <x:v>44687</x:v>
      </x:c>
      <x:c r="H541" t="str">
        <x:v>30756</x:v>
      </x:c>
      <x:c r="I541" t="str">
        <x:v>https://www.smwcentral.net/?a=details&amp;id=30756&amp;p=section</x:v>
      </x:c>
      <x:c r="J541" t="str">
        <x:v>https://dl.smwcentral.net/30756/For%20Dan%20v2.zip</x:v>
      </x:c>
    </x:row>
    <x:row r="542">
      <x:c r="A542" t="str">
        <x:v>Forer - Barnum</x:v>
      </x:c>
      <x:c r="B542" t="str">
        <x:v>Forer - Barnum</x:v>
      </x:c>
      <x:c r="C542" t="str">
        <x:v>OEO6</x:v>
      </x:c>
      <x:c r="D542" t="n">
        <x:v>13</x:v>
      </x:c>
      <x:c r="E542" t="str">
        <x:v>Expert</x:v>
      </x:c>
      <x:c r="F542" t="str">
        <x:v>Kaizo</x:v>
      </x:c>
      <x:c r="G542" t="n">
        <x:v>45166</x:v>
      </x:c>
      <x:c r="H542" t="str">
        <x:v>34953</x:v>
      </x:c>
      <x:c r="I542" t="str">
        <x:v>https://www.smwcentral.net/?a=details&amp;id=34953&amp;p=section</x:v>
      </x:c>
      <x:c r="J542" t="str">
        <x:v>https://dl.smwcentral.net/34953/Forer%20-%20Barnum%20v1.40.zip</x:v>
      </x:c>
    </x:row>
    <x:row r="543">
      <x:c r="A543" t="str">
        <x:v>forest of illusion 4</x:v>
      </x:c>
      <x:c r="B543" t="str">
        <x:v>forest of illusion 4</x:v>
      </x:c>
      <x:c r="C543" t="str">
        <x:v>ageVerrly</x:v>
      </x:c>
      <x:c r="D543" t="n">
        <x:v>0</x:v>
      </x:c>
      <x:c r="E543" t="str">
        <x:v>Master</x:v>
      </x:c>
      <x:c r="F543" t="str">
        <x:v>Kaizo</x:v>
      </x:c>
      <x:c r="G543" t="n">
        <x:v>44581</x:v>
      </x:c>
      <x:c r="H543" t="str">
        <x:v>28842</x:v>
      </x:c>
      <x:c r="I543" t="str">
        <x:v>https://www.smwcentral.net/?a=details&amp;id=28842&amp;p=section</x:v>
      </x:c>
      <x:c r="J543" t="str">
        <x:v>https://dl.smwcentral.net/28842/foi4V1.1.zip</x:v>
      </x:c>
    </x:row>
    <x:row r="544">
      <x:c r="A544" t="str">
        <x:v>Forever</x:v>
      </x:c>
      <x:c r="B544" t="str">
        <x:v>Forever</x:v>
      </x:c>
      <x:c r="C544" t="str">
        <x:v>Lush_50</x:v>
      </x:c>
      <x:c r="D544" t="n">
        <x:v>11</x:v>
      </x:c>
      <x:c r="E544" t="str">
        <x:v>Advanced</x:v>
      </x:c>
      <x:c r="F544" t="str">
        <x:v>Kaizo</x:v>
      </x:c>
      <x:c r="G544" t="n">
        <x:v>44921</x:v>
      </x:c>
      <x:c r="H544" t="str">
        <x:v>32790</x:v>
      </x:c>
      <x:c r="I544" t="str">
        <x:v>https://www.smwcentral.net/?a=details&amp;id=32790&amp;p=section</x:v>
      </x:c>
      <x:c r="J544" t="str">
        <x:v>https://dl.smwcentral.net/32790/Forever%20v1.1a.zip</x:v>
      </x:c>
    </x:row>
    <x:row r="545">
      <x:c r="A545" t="str">
        <x:v>Forgotten Town</x:v>
      </x:c>
      <x:c r="B545" t="str">
        <x:v>Forgotten Town</x:v>
      </x:c>
      <x:c r="C545" t="str">
        <x:v>NattCaat</x:v>
      </x:c>
      <x:c r="D545" t="n">
        <x:v>9</x:v>
      </x:c>
      <x:c r="E545" t="str">
        <x:v>Intermediate</x:v>
      </x:c>
      <x:c r="F545" t="str">
        <x:v>Standard</x:v>
      </x:c>
      <x:c r="G545" t="n">
        <x:v>44436</x:v>
      </x:c>
      <x:c r="H545" t="str">
        <x:v>28063</x:v>
      </x:c>
      <x:c r="I545" t="str">
        <x:v>https://www.smwcentral.net/?a=details&amp;id=28063&amp;p=section</x:v>
      </x:c>
      <x:c r="J545" t="str">
        <x:v>https://dl.smwcentral.net/28063/Forgotten-Town.zip</x:v>
      </x:c>
    </x:row>
    <x:row r="546">
      <x:c r="A546" t="str">
        <x:v>ForgottenWorld</x:v>
      </x:c>
      <x:c r="B546" t="str">
        <x:v>ForgottenWorld</x:v>
      </x:c>
      <x:c r="C546" t="str">
        <x:v>Hannes37</x:v>
      </x:c>
      <x:c r="D546" t="n">
        <x:v>10</x:v>
      </x:c>
      <x:c r="E546" t="str">
        <x:v>Advanced</x:v>
      </x:c>
      <x:c r="F546" t="str">
        <x:v>Kaizo</x:v>
      </x:c>
      <x:c r="G546" t="n">
        <x:v>43950</x:v>
      </x:c>
      <x:c r="H546" t="str">
        <x:v>22753</x:v>
      </x:c>
      <x:c r="I546" t="str">
        <x:v>https://www.smwcentral.net/?a=details&amp;id=22753&amp;p=section</x:v>
      </x:c>
      <x:c r="J546" t="str">
        <x:v>https://dl.smwcentral.net/22753/ForgottenWorld.zip</x:v>
      </x:c>
    </x:row>
    <x:row r="547">
      <x:c r="A547" t="str">
        <x:v>Foxx BGG World - KSD Edition</x:v>
      </x:c>
      <x:c r="B547" t="str">
        <x:v>Foxx BGG World - KSD Edition</x:v>
      </x:c>
      <x:c r="C547" t="str">
        <x:v>thefoxx87</x:v>
      </x:c>
      <x:c r="D547" t="n">
        <x:v>17</x:v>
      </x:c>
      <x:c r="E547" t="str">
        <x:v>Advanced</x:v>
      </x:c>
      <x:c r="F547" t="str">
        <x:v>Kaizo</x:v>
      </x:c>
      <x:c r="G547" t="n">
        <x:v>45531</x:v>
      </x:c>
      <x:c r="H547" t="str">
        <x:v>38315</x:v>
      </x:c>
      <x:c r="I547" t="str">
        <x:v>https://www.smwcentral.net/?a=details&amp;id=38315&amp;p=section</x:v>
      </x:c>
      <x:c r="J547" t="str">
        <x:v>https://dl.smwcentral.net/38315/Foxx%20BGG%20World%20KSD%20Edition.zip</x:v>
      </x:c>
    </x:row>
    <x:row r="548">
      <x:c r="A548" t="str">
        <x:v>Foxx BGN World</x:v>
      </x:c>
      <x:c r="B548" t="str">
        <x:v>Foxx BGN World</x:v>
      </x:c>
      <x:c r="C548" t="str">
        <x:v>thefoxx87</x:v>
      </x:c>
      <x:c r="D548" t="n">
        <x:v>17</x:v>
      </x:c>
      <x:c r="E548" t="str">
        <x:v>Intermediate</x:v>
      </x:c>
      <x:c r="F548" t="str">
        <x:v>Kaizo</x:v>
      </x:c>
      <x:c r="G548" t="n">
        <x:v>45531</x:v>
      </x:c>
      <x:c r="H548" t="str">
        <x:v>38316</x:v>
      </x:c>
      <x:c r="I548" t="str">
        <x:v>https://www.smwcentral.net/?a=details&amp;id=38316&amp;p=section</x:v>
      </x:c>
      <x:c r="J548" t="str">
        <x:v>https://dl.smwcentral.net/38316/Foxx%20BGN%20World.zip</x:v>
      </x:c>
    </x:row>
    <x:row r="549">
      <x:c r="A549" t="str">
        <x:v>Fragaria 🍓</x:v>
      </x:c>
      <x:c r="B549" t="str">
        <x:v>Fragaria 🍓</x:v>
      </x:c>
      <x:c r="C549" t="str">
        <x:v>neidoodle</x:v>
      </x:c>
      <x:c r="D549" t="n">
        <x:v>15</x:v>
      </x:c>
      <x:c r="E549" t="str">
        <x:v>Advanced</x:v>
      </x:c>
      <x:c r="F549" t="str">
        <x:v>Kaizo</x:v>
      </x:c>
      <x:c r="G549" t="n">
        <x:v>45716</x:v>
      </x:c>
      <x:c r="H549" t="str">
        <x:v>39475</x:v>
      </x:c>
      <x:c r="I549" t="str">
        <x:v>https://www.smwcentral.net/?a=details&amp;id=39475&amp;p=section</x:v>
      </x:c>
      <x:c r="J549" t="str">
        <x:v>https://dl.smwcentral.net/39475/Fragaria%20V1.2.zip</x:v>
      </x:c>
    </x:row>
    <x:row r="550">
      <x:c r="A550" t="str">
        <x:v>Freak City</x:v>
      </x:c>
      <x:c r="B550" t="str">
        <x:v>Freak City</x:v>
      </x:c>
      <x:c r="C550" t="str">
        <x:v>Boosius</x:v>
      </x:c>
      <x:c r="D550" t="n">
        <x:v>92</x:v>
      </x:c>
      <x:c r="E550" t="str">
        <x:v>Advanced</x:v>
      </x:c>
      <x:c r="F550" t="str">
        <x:v>Standard</x:v>
      </x:c>
      <x:c r="G550" t="n">
        <x:v>46104</x:v>
      </x:c>
      <x:c r="H550" t="str">
        <x:v>41980</x:v>
      </x:c>
      <x:c r="I550" t="str">
        <x:v>https://www.smwcentral.net/?a=details&amp;id=41980&amp;p=section</x:v>
      </x:c>
      <x:c r="J550" t="str">
        <x:v>https://dl.smwcentral.net/41980/Freak%20City.zip</x:v>
      </x:c>
    </x:row>
    <x:row r="551">
      <x:c r="A551" t="str">
        <x:v>Free Luigi</x:v>
      </x:c>
      <x:c r="B551" t="str">
        <x:v>Free Luigi</x:v>
      </x:c>
      <x:c r="C551" t="str">
        <x:v>MarsAmPear</x:v>
      </x:c>
      <x:c r="D551" t="n">
        <x:v>9</x:v>
      </x:c>
      <x:c r="E551" t="str">
        <x:v>Intermediate</x:v>
      </x:c>
      <x:c r="F551" t="str">
        <x:v>Standard, Kaizo</x:v>
      </x:c>
      <x:c r="G551" t="n">
        <x:v>45780</x:v>
      </x:c>
      <x:c r="H551" t="str">
        <x:v>39759</x:v>
      </x:c>
      <x:c r="I551" t="str">
        <x:v>https://www.smwcentral.net/?a=details&amp;id=39759&amp;p=section</x:v>
      </x:c>
      <x:c r="J551" t="str">
        <x:v>https://dl.smwcentral.net/39759/Free%20Luigi.zip</x:v>
      </x:c>
    </x:row>
    <x:row r="552">
      <x:c r="A552" t="str">
        <x:v>Free Verse For Sara</x:v>
      </x:c>
      <x:c r="B552" t="str">
        <x:v>Free Verse For Sara</x:v>
      </x:c>
      <x:c r="C552" t="str">
        <x:v>flips_bad</x:v>
      </x:c>
      <x:c r="D552" t="n">
        <x:v>1</x:v>
      </x:c>
      <x:c r="E552" t="str">
        <x:v>Master</x:v>
      </x:c>
      <x:c r="F552" t="str">
        <x:v>Kaizo</x:v>
      </x:c>
      <x:c r="G552" t="n">
        <x:v>45299</x:v>
      </x:c>
      <x:c r="H552" t="str">
        <x:v>35861</x:v>
      </x:c>
      <x:c r="I552" t="str">
        <x:v>https://www.smwcentral.net/?a=details&amp;id=35861&amp;p=section</x:v>
      </x:c>
      <x:c r="J552" t="str">
        <x:v>https://dl.smwcentral.net/35861/Free%20Verse%20For%20Sara.zip</x:v>
      </x:c>
    </x:row>
    <x:row r="553">
      <x:c r="A553" t="str">
        <x:v>French Fries &amp; French Toast</x:v>
      </x:c>
      <x:c r="B553" t="str">
        <x:v>French Fries &amp; French Toast</x:v>
      </x:c>
      <x:c r="C553" t="str">
        <x:v>Fyre150</x:v>
      </x:c>
      <x:c r="D553" t="n">
        <x:v>15</x:v>
      </x:c>
      <x:c r="E553" t="str">
        <x:v>Expert</x:v>
      </x:c>
      <x:c r="F553" t="str">
        <x:v>Kaizo</x:v>
      </x:c>
      <x:c r="G553" t="n">
        <x:v>44795</x:v>
      </x:c>
      <x:c r="H553" t="str">
        <x:v>31830</x:v>
      </x:c>
      <x:c r="I553" t="str">
        <x:v>https://www.smwcentral.net/?a=details&amp;id=31830&amp;p=section</x:v>
      </x:c>
      <x:c r="J553" t="str">
        <x:v>https://dl.smwcentral.net/31830/Fries%26Toast~.zip</x:v>
      </x:c>
    </x:row>
    <x:row r="554">
      <x:c r="A554" t="str">
        <x:v>French SMW Hacking Contest 2008</x:v>
      </x:c>
      <x:c r="B554" t="str">
        <x:v>French SMW Hacking Contest 2008</x:v>
      </x:c>
      <x:c r="C554" t="str">
        <x:v>Lexator, Lunartoad, SLBros., Sylvain, Yocha, bulle34500, yogui</x:v>
      </x:c>
      <x:c r="D554" t="n">
        <x:v>11</x:v>
      </x:c>
      <x:c r="E554" t="str">
        <x:v>Casual</x:v>
      </x:c>
      <x:c r="F554" t="str">
        <x:v>Standard</x:v>
      </x:c>
      <x:c r="G554" t="n">
        <x:v>42093</x:v>
      </x:c>
      <x:c r="H554" t="str">
        <x:v>9819</x:v>
      </x:c>
      <x:c r="I554" t="str">
        <x:v>https://www.smwcentral.net/?a=details&amp;id=9819&amp;p=section</x:v>
      </x:c>
      <x:c r="J554" t="str">
        <x:v>https://dl.smwcentral.net/9819/SMW%20concours%202008.zip</x:v>
      </x:c>
    </x:row>
    <x:row r="555">
      <x:c r="A555" t="str">
        <x:v>Fresh Hops</x:v>
      </x:c>
      <x:c r="B555" t="str">
        <x:v>Fresh Hops</x:v>
      </x:c>
      <x:c r="C555" t="str">
        <x:v>MorrieTheMagpie</x:v>
      </x:c>
      <x:c r="D555" t="n">
        <x:v>14</x:v>
      </x:c>
      <x:c r="E555" t="str">
        <x:v>Advanced</x:v>
      </x:c>
      <x:c r="F555" t="str">
        <x:v>Kaizo</x:v>
      </x:c>
      <x:c r="G555" t="n">
        <x:v>45448</x:v>
      </x:c>
      <x:c r="H555" t="str">
        <x:v>37897</x:v>
      </x:c>
      <x:c r="I555" t="str">
        <x:v>https://www.smwcentral.net/?a=details&amp;id=37897&amp;p=section</x:v>
      </x:c>
      <x:c r="J555" t="str">
        <x:v>https://dl.smwcentral.net/37897/Fresh%20Hops%20v1.1.zip</x:v>
      </x:c>
    </x:row>
    <x:row r="556">
      <x:c r="A556" t="str">
        <x:v>Fresh Hops 2</x:v>
      </x:c>
      <x:c r="B556" t="str">
        <x:v>Fresh Hops 2</x:v>
      </x:c>
      <x:c r="C556" t="str">
        <x:v>MorrieTheMagpie</x:v>
      </x:c>
      <x:c r="D556" t="n">
        <x:v>36</x:v>
      </x:c>
      <x:c r="E556" t="str">
        <x:v>Expert</x:v>
      </x:c>
      <x:c r="F556" t="str">
        <x:v>Kaizo</x:v>
      </x:c>
      <x:c r="G556" t="n">
        <x:v>46050</x:v>
      </x:c>
      <x:c r="H556" t="str">
        <x:v>41460</x:v>
      </x:c>
      <x:c r="I556" t="str">
        <x:v>https://www.smwcentral.net/?a=details&amp;id=41460&amp;p=section</x:v>
      </x:c>
      <x:c r="J556" t="str">
        <x:v>https://dl.smwcentral.net/41460/Fresh%20Hops%202.zip</x:v>
      </x:c>
    </x:row>
    <x:row r="557">
      <x:c r="A557" t="str">
        <x:v>Friday Mario World</x:v>
      </x:c>
      <x:c r="B557" t="str">
        <x:v>Friday Mario World</x:v>
      </x:c>
      <x:c r="C557" t="str">
        <x:v>strizer86</x:v>
      </x:c>
      <x:c r="D557" t="n">
        <x:v>11</x:v>
      </x:c>
      <x:c r="E557" t="str">
        <x:v>Expert</x:v>
      </x:c>
      <x:c r="F557" t="str">
        <x:v>Kaizo</x:v>
      </x:c>
      <x:c r="G557" t="n">
        <x:v>43892</x:v>
      </x:c>
      <x:c r="H557" t="str">
        <x:v>22299</x:v>
      </x:c>
      <x:c r="I557" t="str">
        <x:v>https://www.smwcentral.net/?a=details&amp;id=22299&amp;p=section</x:v>
      </x:c>
      <x:c r="J557" t="str">
        <x:v>https://dl.smwcentral.net/22299/FridayMarioWorld_v1.22.zip</x:v>
      </x:c>
    </x:row>
    <x:row r="558">
      <x:c r="A558" t="str">
        <x:v>From Heaven To Hell</x:v>
      </x:c>
      <x:c r="B558" t="str">
        <x:v>From Heaven To Hell</x:v>
      </x:c>
      <x:c r="C558" t="str">
        <x:v>HousemeisterHD, Inflagrandy</x:v>
      </x:c>
      <x:c r="D558" t="n">
        <x:v>14</x:v>
      </x:c>
      <x:c r="E558" t="str">
        <x:v>Expert</x:v>
      </x:c>
      <x:c r="F558" t="str">
        <x:v>Kaizo</x:v>
      </x:c>
      <x:c r="G558" t="n">
        <x:v>45898</x:v>
      </x:c>
      <x:c r="H558" t="str">
        <x:v>40494</x:v>
      </x:c>
      <x:c r="I558" t="str">
        <x:v>https://www.smwcentral.net/?a=details&amp;id=40494&amp;p=section</x:v>
      </x:c>
      <x:c r="J558" t="str">
        <x:v>https://dl.smwcentral.net/40494/From_Heaven_To_Hell.zip</x:v>
      </x:c>
    </x:row>
    <x:row r="559">
      <x:c r="A559" t="str">
        <x:v>From World to World</x:v>
      </x:c>
      <x:c r="B559" t="str">
        <x:v>From World to World</x:v>
      </x:c>
      <x:c r="C559" t="str">
        <x:v>Paperdomo101</x:v>
      </x:c>
      <x:c r="D559" t="n">
        <x:v>5</x:v>
      </x:c>
      <x:c r="E559" t="str">
        <x:v>Casual</x:v>
      </x:c>
      <x:c r="F559" t="str">
        <x:v>Standard</x:v>
      </x:c>
      <x:c r="G559" t="n">
        <x:v>42441</x:v>
      </x:c>
      <x:c r="H559" t="str">
        <x:v>13445</x:v>
      </x:c>
      <x:c r="I559" t="str">
        <x:v>https://www.smwcentral.net/?a=details&amp;id=13445&amp;p=section</x:v>
      </x:c>
      <x:c r="J559" t="str">
        <x:v>https://dl.smwcentral.net/13445/FWTW_Demo_1.ips.zip</x:v>
      </x:c>
    </x:row>
    <x:row r="560">
      <x:c r="A560" t="str">
        <x:v>Fulfill the Dream</x:v>
      </x:c>
      <x:c r="B560" t="str">
        <x:v>Fulfill the Dream</x:v>
      </x:c>
      <x:c r="C560" t="str">
        <x:v>Abstract</x:v>
      </x:c>
      <x:c r="D560" t="n">
        <x:v>22</x:v>
      </x:c>
      <x:c r="E560" t="str">
        <x:v>Expert</x:v>
      </x:c>
      <x:c r="F560" t="str">
        <x:v>Kaizo</x:v>
      </x:c>
      <x:c r="G560" t="n">
        <x:v>45450</x:v>
      </x:c>
      <x:c r="H560" t="str">
        <x:v>37900</x:v>
      </x:c>
      <x:c r="I560" t="str">
        <x:v>https://www.smwcentral.net/?a=details&amp;id=37900&amp;p=section</x:v>
      </x:c>
      <x:c r="J560" t="str">
        <x:v>https://dl.smwcentral.net/37900/FulfillTheDream.zip</x:v>
      </x:c>
    </x:row>
    <x:row r="561">
      <x:c r="A561" t="str">
        <x:v>Full Bloom</x:v>
      </x:c>
      <x:c r="B561" t="str">
        <x:v>Full Bloom</x:v>
      </x:c>
      <x:c r="C561" t="str">
        <x:v>Chondontore</x:v>
      </x:c>
      <x:c r="D561" t="n">
        <x:v>13</x:v>
      </x:c>
      <x:c r="E561" t="str">
        <x:v>Advanced</x:v>
      </x:c>
      <x:c r="F561" t="str">
        <x:v>Kaizo</x:v>
      </x:c>
      <x:c r="G561" t="n">
        <x:v>44388</x:v>
      </x:c>
      <x:c r="H561" t="str">
        <x:v>27569</x:v>
      </x:c>
      <x:c r="I561" t="str">
        <x:v>https://www.smwcentral.net/?a=details&amp;id=27569&amp;p=section</x:v>
      </x:c>
      <x:c r="J561" t="str">
        <x:v>https://dl.smwcentral.net/27569/Full%20Bloom%201.1.zip</x:v>
      </x:c>
    </x:row>
    <x:row r="562">
      <x:c r="A562" t="str">
        <x:v>Future Elliotto World</x:v>
      </x:c>
      <x:c r="B562" t="str">
        <x:v>Future Elliotto World</x:v>
      </x:c>
      <x:c r="C562" t="str">
        <x:v>Cliff_Spab</x:v>
      </x:c>
      <x:c r="D562" t="n">
        <x:v>19</x:v>
      </x:c>
      <x:c r="E562" t="str">
        <x:v>Expert</x:v>
      </x:c>
      <x:c r="F562" t="str">
        <x:v>Kaizo</x:v>
      </x:c>
      <x:c r="G562" t="n">
        <x:v>45539</x:v>
      </x:c>
      <x:c r="H562" t="str">
        <x:v>38371</x:v>
      </x:c>
      <x:c r="I562" t="str">
        <x:v>https://www.smwcentral.net/?a=details&amp;id=38371&amp;p=section</x:v>
      </x:c>
      <x:c r="J562" t="str">
        <x:v>https://dl.smwcentral.net/38371/FEW%20090124.zip</x:v>
      </x:c>
    </x:row>
    <x:row r="563">
      <x:c r="A563" t="str">
        <x:v>G-FazO</x:v>
      </x:c>
      <x:c r="B563" t="str">
        <x:v>G-FazO</x:v>
      </x:c>
      <x:c r="C563" t="str">
        <x:v>Kazefbr</x:v>
      </x:c>
      <x:c r="D563" t="n">
        <x:v>7</x:v>
      </x:c>
      <x:c r="E563" t="str">
        <x:v>Expert</x:v>
      </x:c>
      <x:c r="F563" t="str">
        <x:v>Kaizo</x:v>
      </x:c>
      <x:c r="G563" t="n">
        <x:v>44363</x:v>
      </x:c>
      <x:c r="H563" t="str">
        <x:v>27158</x:v>
      </x:c>
      <x:c r="I563" t="str">
        <x:v>https://www.smwcentral.net/?a=details&amp;id=27158&amp;p=section</x:v>
      </x:c>
      <x:c r="J563" t="str">
        <x:v>https://dl.smwcentral.net/27158/G-Fazo%202.0.zip</x:v>
      </x:c>
    </x:row>
    <x:row r="564">
      <x:c r="A564" t="str">
        <x:v>GADZOOKS</x:v>
      </x:c>
      <x:c r="B564" t="str">
        <x:v>GADZOOKS</x:v>
      </x:c>
      <x:c r="C564" t="str">
        <x:v>1mslakingoff</x:v>
      </x:c>
      <x:c r="D564" t="n">
        <x:v>30</x:v>
      </x:c>
      <x:c r="E564" t="str">
        <x:v>Expert</x:v>
      </x:c>
      <x:c r="F564" t="str">
        <x:v>Kaizo</x:v>
      </x:c>
      <x:c r="G564" t="n">
        <x:v>45984</x:v>
      </x:c>
      <x:c r="H564" t="str">
        <x:v>41041</x:v>
      </x:c>
      <x:c r="I564" t="str">
        <x:v>https://www.smwcentral.net/?a=details&amp;id=41041&amp;p=section</x:v>
      </x:c>
      <x:c r="J564" t="str">
        <x:v>https://dl.smwcentral.net/41041/GADZOOKS.zip</x:v>
      </x:c>
    </x:row>
    <x:row r="565">
      <x:c r="A565" t="str">
        <x:v>Gaia</x:v>
      </x:c>
      <x:c r="B565" t="str">
        <x:v>Gaia</x:v>
      </x:c>
      <x:c r="C565" t="str">
        <x:v>Edidoo</x:v>
      </x:c>
      <x:c r="D565" t="n">
        <x:v>23</x:v>
      </x:c>
      <x:c r="E565" t="str">
        <x:v>Advanced</x:v>
      </x:c>
      <x:c r="F565" t="str">
        <x:v>Kaizo</x:v>
      </x:c>
      <x:c r="G565" t="n">
        <x:v>44133</x:v>
      </x:c>
      <x:c r="H565" t="str">
        <x:v>24981</x:v>
      </x:c>
      <x:c r="I565" t="str">
        <x:v>https://www.smwcentral.net/?a=details&amp;id=24981&amp;p=section</x:v>
      </x:c>
      <x:c r="J565" t="str">
        <x:v>https://dl.smwcentral.net/24981/Gaia%20v1.2.zip</x:v>
      </x:c>
    </x:row>
    <x:row r="566">
      <x:c r="A566" t="str">
        <x:v>Gaijin Mario</x:v>
      </x:c>
      <x:c r="B566" t="str">
        <x:v>Gaijin Mario</x:v>
      </x:c>
      <x:c r="C566" t="str">
        <x:v>Morsel</x:v>
      </x:c>
      <x:c r="D566" t="n">
        <x:v>8</x:v>
      </x:c>
      <x:c r="E566" t="str">
        <x:v>Master</x:v>
      </x:c>
      <x:c r="F566" t="str">
        <x:v>Kaizo</x:v>
      </x:c>
      <x:c r="G566" t="n">
        <x:v>43348</x:v>
      </x:c>
      <x:c r="H566" t="str">
        <x:v>18101</x:v>
      </x:c>
      <x:c r="I566" t="str">
        <x:v>https://www.smwcentral.net/?a=details&amp;id=18101&amp;p=section</x:v>
      </x:c>
      <x:c r="J566" t="str">
        <x:v>https://dl.smwcentral.net/18101/gaijin1.02.zip</x:v>
      </x:c>
    </x:row>
    <x:row r="567">
      <x:c r="A567" t="str">
        <x:v>Gambit</x:v>
      </x:c>
      <x:c r="B567" t="str">
        <x:v>Gambit</x:v>
      </x:c>
      <x:c r="C567" t="str">
        <x:v>Serge</x:v>
      </x:c>
      <x:c r="D567" t="n">
        <x:v>21</x:v>
      </x:c>
      <x:c r="E567" t="str">
        <x:v>Expert</x:v>
      </x:c>
      <x:c r="F567" t="str">
        <x:v>Kaizo</x:v>
      </x:c>
      <x:c r="G567" t="n">
        <x:v>44923</x:v>
      </x:c>
      <x:c r="H567" t="str">
        <x:v>32819</x:v>
      </x:c>
      <x:c r="I567" t="str">
        <x:v>https://www.smwcentral.net/?a=details&amp;id=32819&amp;p=section</x:v>
      </x:c>
      <x:c r="J567" t="str">
        <x:v>https://dl.smwcentral.net/32819/Gambit.zip</x:v>
      </x:c>
    </x:row>
    <x:row r="568">
      <x:c r="A568" t="str">
        <x:v>Gambol</x:v>
      </x:c>
      <x:c r="B568" t="str">
        <x:v>Gambol</x:v>
      </x:c>
      <x:c r="C568" t="str">
        <x:v>JezJitzu</x:v>
      </x:c>
      <x:c r="D568" t="n">
        <x:v>11</x:v>
      </x:c>
      <x:c r="E568" t="str">
        <x:v>Advanced</x:v>
      </x:c>
      <x:c r="F568" t="str">
        <x:v>Kaizo</x:v>
      </x:c>
      <x:c r="G568" t="n">
        <x:v>44964</x:v>
      </x:c>
      <x:c r="H568" t="str">
        <x:v>33054</x:v>
      </x:c>
      <x:c r="I568" t="str">
        <x:v>https://www.smwcentral.net/?a=details&amp;id=33054&amp;p=section</x:v>
      </x:c>
      <x:c r="J568" t="str">
        <x:v>https://dl.smwcentral.net/33054/Gambol_v1.1_.zip</x:v>
      </x:c>
    </x:row>
    <x:row r="569">
      <x:c r="A569" t="str">
        <x:v>Gambol 2</x:v>
      </x:c>
      <x:c r="B569" t="str">
        <x:v>Gambol 2</x:v>
      </x:c>
      <x:c r="C569" t="str">
        <x:v>JezJitzu</x:v>
      </x:c>
      <x:c r="D569" t="n">
        <x:v>18</x:v>
      </x:c>
      <x:c r="E569" t="str">
        <x:v>Expert</x:v>
      </x:c>
      <x:c r="F569" t="str">
        <x:v>Kaizo</x:v>
      </x:c>
      <x:c r="G569" t="n">
        <x:v>45398</x:v>
      </x:c>
      <x:c r="H569" t="str">
        <x:v>37652</x:v>
      </x:c>
      <x:c r="I569" t="str">
        <x:v>https://www.smwcentral.net/?a=details&amp;id=37652&amp;p=section</x:v>
      </x:c>
      <x:c r="J569" t="str">
        <x:v>https://dl.smwcentral.net/37652/Gambol_2_v1.1.zip</x:v>
      </x:c>
    </x:row>
    <x:row r="570">
      <x:c r="A570" t="str">
        <x:v>game.bps</x:v>
      </x:c>
      <x:c r="B570" t="str">
        <x:v>game.bps</x:v>
      </x:c>
      <x:c r="C570" t="str">
        <x:v>Wakana</x:v>
      </x:c>
      <x:c r="D570" t="n">
        <x:v>0</x:v>
      </x:c>
      <x:c r="E570" t="str">
        <x:v>Advanced</x:v>
      </x:c>
      <x:c r="F570" t="str">
        <x:v>Standard</x:v>
      </x:c>
      <x:c r="G570" t="n">
        <x:v>42686</x:v>
      </x:c>
      <x:c r="H570" t="str">
        <x:v>14607</x:v>
      </x:c>
      <x:c r="I570" t="str">
        <x:v>https://www.smwcentral.net/?a=details&amp;id=14607&amp;p=section</x:v>
      </x:c>
      <x:c r="J570" t="str">
        <x:v>https://dl.smwcentral.net/14607/game.zip</x:v>
      </x:c>
    </x:row>
    <x:row r="571">
      <x:c r="A571" t="str">
        <x:v>Gameboy Bros. 3!</x:v>
      </x:c>
      <x:c r="B571" t="str">
        <x:v>Gameboy Bros. 3!</x:v>
      </x:c>
      <x:c r="C571" t="str">
        <x:v>gameboyjeremy</x:v>
      </x:c>
      <x:c r="D571" t="n">
        <x:v>7</x:v>
      </x:c>
      <x:c r="E571" t="str">
        <x:v>Intermediate</x:v>
      </x:c>
      <x:c r="F571" t="str">
        <x:v>Standard</x:v>
      </x:c>
      <x:c r="G571" t="n">
        <x:v>42426</x:v>
      </x:c>
      <x:c r="H571" t="str">
        <x:v>13313</x:v>
      </x:c>
      <x:c r="I571" t="str">
        <x:v>https://www.smwcentral.net/?a=details&amp;id=13313&amp;p=section</x:v>
      </x:c>
      <x:c r="J571" t="str">
        <x:v>https://dl.smwcentral.net/13313/GBB3.zip</x:v>
      </x:c>
    </x:row>
    <x:row r="572">
      <x:c r="A572" t="str">
        <x:v>Ganja World</x:v>
      </x:c>
      <x:c r="B572" t="str">
        <x:v>Ganja World</x:v>
      </x:c>
      <x:c r="C572" t="str">
        <x:v>Yoshioshi59_</x:v>
      </x:c>
      <x:c r="D572" t="n">
        <x:v>0</x:v>
      </x:c>
      <x:c r="E572" t="str">
        <x:v>Expert</x:v>
      </x:c>
      <x:c r="F572" t="str">
        <x:v>Kaizo</x:v>
      </x:c>
      <x:c r="G572" t="n">
        <x:v>45161</x:v>
      </x:c>
      <x:c r="H572" t="str">
        <x:v>34928</x:v>
      </x:c>
      <x:c r="I572" t="str">
        <x:v>https://www.smwcentral.net/?a=details&amp;id=34928&amp;p=section</x:v>
      </x:c>
      <x:c r="J572" t="str">
        <x:v>https://dl.smwcentral.net/34928/GanjaWorld.zip</x:v>
      </x:c>
    </x:row>
    <x:row r="573">
      <x:c r="A573" t="str">
        <x:v>GARLIC</x:v>
      </x:c>
      <x:c r="B573" t="str">
        <x:v>GARLIC</x:v>
      </x:c>
      <x:c r="C573" t="str">
        <x:v>Aguni_</x:v>
      </x:c>
      <x:c r="D573" t="n">
        <x:v>12</x:v>
      </x:c>
      <x:c r="E573" t="str">
        <x:v>Master</x:v>
      </x:c>
      <x:c r="F573" t="str">
        <x:v>Kaizo</x:v>
      </x:c>
      <x:c r="G573" t="n">
        <x:v>44013</x:v>
      </x:c>
      <x:c r="H573" t="str">
        <x:v>23229</x:v>
      </x:c>
      <x:c r="I573" t="str">
        <x:v>https://www.smwcentral.net/?a=details&amp;id=23229&amp;p=section</x:v>
      </x:c>
      <x:c r="J573" t="str">
        <x:v>https://dl.smwcentral.net/23229/Garlic%201.1.zip</x:v>
      </x:c>
    </x:row>
    <x:row r="574">
      <x:c r="A574" t="str">
        <x:v>Gas Pack</x:v>
      </x:c>
      <x:c r="B574" t="str">
        <x:v>Gas Pack</x:v>
      </x:c>
      <x:c r="C574" t="str">
        <x:v>Firstnamebutt</x:v>
      </x:c>
      <x:c r="D574" t="n">
        <x:v>0</x:v>
      </x:c>
      <x:c r="E574" t="str">
        <x:v>Advanced</x:v>
      </x:c>
      <x:c r="F574" t="str">
        <x:v>Kaizo</x:v>
      </x:c>
      <x:c r="G574" t="n">
        <x:v>45662</x:v>
      </x:c>
      <x:c r="H574" t="str">
        <x:v>38992</x:v>
      </x:c>
      <x:c r="I574" t="str">
        <x:v>https://www.smwcentral.net/?a=details&amp;id=38992&amp;p=section</x:v>
      </x:c>
      <x:c r="J574" t="str">
        <x:v>https://dl.smwcentral.net/38992/GasPackV1.zip</x:v>
      </x:c>
    </x:row>
    <x:row r="575">
      <x:c r="A575" t="str">
        <x:v>Gauntlet</x:v>
      </x:c>
      <x:c r="B575" t="str">
        <x:v>Gauntlet</x:v>
      </x:c>
      <x:c r="C575" t="str">
        <x:v>Easy Difficulty</x:v>
      </x:c>
      <x:c r="D575" t="n">
        <x:v>7</x:v>
      </x:c>
      <x:c r="E575" t="str">
        <x:v>Intermediate</x:v>
      </x:c>
      <x:c r="F575" t="str">
        <x:v>Standard</x:v>
      </x:c>
      <x:c r="G575" t="n">
        <x:v>45020</x:v>
      </x:c>
      <x:c r="H575" t="str">
        <x:v>33615</x:v>
      </x:c>
      <x:c r="I575" t="str">
        <x:v>https://www.smwcentral.net/?a=details&amp;id=33615&amp;p=section</x:v>
      </x:c>
      <x:c r="J575" t="str">
        <x:v>https://dl.smwcentral.net/33615/Gauntlet.zip</x:v>
      </x:c>
    </x:row>
    <x:row r="576">
      <x:c r="A576" t="str">
        <x:v>Gauntlet 2</x:v>
      </x:c>
      <x:c r="B576" t="str">
        <x:v>Gauntlet 2</x:v>
      </x:c>
      <x:c r="C576" t="str">
        <x:v>Easy Difficulty</x:v>
      </x:c>
      <x:c r="D576" t="n">
        <x:v>7</x:v>
      </x:c>
      <x:c r="E576" t="str">
        <x:v>Intermediate</x:v>
      </x:c>
      <x:c r="F576" t="str">
        <x:v>Standard</x:v>
      </x:c>
      <x:c r="G576" t="n">
        <x:v>45076</x:v>
      </x:c>
      <x:c r="H576" t="str">
        <x:v>33990</x:v>
      </x:c>
      <x:c r="I576" t="str">
        <x:v>https://www.smwcentral.net/?a=details&amp;id=33990&amp;p=section</x:v>
      </x:c>
      <x:c r="J576" t="str">
        <x:v>https://dl.smwcentral.net/33990/Gauntlet%202.zip</x:v>
      </x:c>
    </x:row>
    <x:row r="577">
      <x:c r="A577" t="str">
        <x:v>Gemstones</x:v>
      </x:c>
      <x:c r="B577" t="str">
        <x:v>Gemstones</x:v>
      </x:c>
      <x:c r="C577" t="str">
        <x:v>flips_bad</x:v>
      </x:c>
      <x:c r="D577" t="n">
        <x:v>2</x:v>
      </x:c>
      <x:c r="E577" t="str">
        <x:v>Grandmaster</x:v>
      </x:c>
      <x:c r="F577" t="str">
        <x:v>Kaizo</x:v>
      </x:c>
      <x:c r="G577" t="n">
        <x:v>45637</x:v>
      </x:c>
      <x:c r="H577" t="str">
        <x:v>38899</x:v>
      </x:c>
      <x:c r="I577" t="str">
        <x:v>https://www.smwcentral.net/?a=details&amp;id=38899&amp;p=section</x:v>
      </x:c>
      <x:c r="J577" t="str">
        <x:v>https://dl.smwcentral.net/38899/gemstones.zip</x:v>
      </x:c>
    </x:row>
    <x:row r="578">
      <x:c r="A578" t="str">
        <x:v>Get Busy Jumping Or Get Busy Dying</x:v>
      </x:c>
      <x:c r="B578" t="str">
        <x:v>Get Busy Jumping Or Get Busy Dying</x:v>
      </x:c>
      <x:c r="C578" t="str">
        <x:v>FalseCircus</x:v>
      </x:c>
      <x:c r="D578" t="n">
        <x:v>12</x:v>
      </x:c>
      <x:c r="E578" t="str">
        <x:v>Expert</x:v>
      </x:c>
      <x:c r="F578" t="str">
        <x:v>Kaizo</x:v>
      </x:c>
      <x:c r="G578" t="n">
        <x:v>44721</x:v>
      </x:c>
      <x:c r="H578" t="str">
        <x:v>30995</x:v>
      </x:c>
      <x:c r="I578" t="str">
        <x:v>https://www.smwcentral.net/?a=details&amp;id=30995&amp;p=section</x:v>
      </x:c>
      <x:c r="J578" t="str">
        <x:v>https://dl.smwcentral.net/30995/Get%20Busy%20Jumping%20Or%20Get%20Busy%20Dying.zip</x:v>
      </x:c>
    </x:row>
    <x:row r="579">
      <x:c r="A579" t="str">
        <x:v>Get On Up!</x:v>
      </x:c>
      <x:c r="B579" t="str">
        <x:v>Get On Up!</x:v>
      </x:c>
      <x:c r="C579" t="str">
        <x:v>MorrieTheMagpie</x:v>
      </x:c>
      <x:c r="D579" t="n">
        <x:v>19</x:v>
      </x:c>
      <x:c r="E579" t="str">
        <x:v>Expert</x:v>
      </x:c>
      <x:c r="F579" t="str">
        <x:v>Kaizo</x:v>
      </x:c>
      <x:c r="G579" t="n">
        <x:v>44942</x:v>
      </x:c>
      <x:c r="H579" t="str">
        <x:v>32925</x:v>
      </x:c>
      <x:c r="I579" t="str">
        <x:v>https://www.smwcentral.net/?a=details&amp;id=32925&amp;p=section</x:v>
      </x:c>
      <x:c r="J579" t="str">
        <x:v>https://dl.smwcentral.net/32925/Get%20On%20Up%21%201.3.zip</x:v>
      </x:c>
    </x:row>
    <x:row r="580">
      <x:c r="A580" t="str">
        <x:v>Get Rich Quick</x:v>
      </x:c>
      <x:c r="B580" t="str">
        <x:v>Get Rich Quick</x:v>
      </x:c>
      <x:c r="C580" t="str">
        <x:v>Selicre</x:v>
      </x:c>
      <x:c r="D580" t="n">
        <x:v>32</x:v>
      </x:c>
      <x:c r="E580" t="str">
        <x:v>Advanced</x:v>
      </x:c>
      <x:c r="F580" t="str">
        <x:v>Standard, Kaizo</x:v>
      </x:c>
      <x:c r="G580" t="n">
        <x:v>45797</x:v>
      </x:c>
      <x:c r="H580" t="str">
        <x:v>39837</x:v>
      </x:c>
      <x:c r="I580" t="str">
        <x:v>https://www.smwcentral.net/?a=details&amp;id=39837&amp;p=section</x:v>
      </x:c>
      <x:c r="J580" t="str">
        <x:v>https://dl.smwcentral.net/39837/get-rich-quick.zip</x:v>
      </x:c>
    </x:row>
    <x:row r="581">
      <x:c r="A581" t="str">
        <x:v>Giggle world</x:v>
      </x:c>
      <x:c r="B581" t="str">
        <x:v>Giggle world</x:v>
      </x:c>
      <x:c r="C581" t="str">
        <x:v>PphoenixX</x:v>
      </x:c>
      <x:c r="D581" t="n">
        <x:v>27</x:v>
      </x:c>
      <x:c r="E581" t="str">
        <x:v>Intermediate</x:v>
      </x:c>
      <x:c r="F581" t="str">
        <x:v>Standard</x:v>
      </x:c>
      <x:c r="G581" t="n">
        <x:v>42807</x:v>
      </x:c>
      <x:c r="H581" t="str">
        <x:v>15302</x:v>
      </x:c>
      <x:c r="I581" t="str">
        <x:v>https://www.smwcentral.net/?a=details&amp;id=15302&amp;p=section</x:v>
      </x:c>
      <x:c r="J581" t="str">
        <x:v>https://dl.smwcentral.net/15302/Giggle%20world%20%28demo%203%29.zip</x:v>
      </x:c>
    </x:row>
    <x:row r="582">
      <x:c r="A582" t="str">
        <x:v>Glow</x:v>
      </x:c>
      <x:c r="B582" t="str">
        <x:v>Glow</x:v>
      </x:c>
      <x:c r="C582" t="str">
        <x:v>Idunno</x:v>
      </x:c>
      <x:c r="D582" t="n">
        <x:v>28</x:v>
      </x:c>
      <x:c r="E582" t="str">
        <x:v>Advanced</x:v>
      </x:c>
      <x:c r="F582" t="str">
        <x:v>Standard</x:v>
      </x:c>
      <x:c r="G582" t="n">
        <x:v>45895</x:v>
      </x:c>
      <x:c r="H582" t="str">
        <x:v>40458</x:v>
      </x:c>
      <x:c r="I582" t="str">
        <x:v>https://www.smwcentral.net/?a=details&amp;id=40458&amp;p=section</x:v>
      </x:c>
      <x:c r="J582" t="str">
        <x:v>https://dl.smwcentral.net/40458/Glow.zip</x:v>
      </x:c>
    </x:row>
    <x:row r="583">
      <x:c r="A583" t="str">
        <x:v>God do Shell</x:v>
      </x:c>
      <x:c r="B583" t="str">
        <x:v>God do Shell</x:v>
      </x:c>
      <x:c r="C583" t="str">
        <x:v>Deivid Borba</x:v>
      </x:c>
      <x:c r="D583" t="n">
        <x:v>11</x:v>
      </x:c>
      <x:c r="E583" t="str">
        <x:v>Expert</x:v>
      </x:c>
      <x:c r="F583" t="str">
        <x:v>Kaizo</x:v>
      </x:c>
      <x:c r="G583" t="n">
        <x:v>44198</x:v>
      </x:c>
      <x:c r="H583" t="str">
        <x:v>25591</x:v>
      </x:c>
      <x:c r="I583" t="str">
        <x:v>https://www.smwcentral.net/?a=details&amp;id=25591&amp;p=section</x:v>
      </x:c>
      <x:c r="J583" t="str">
        <x:v>https://dl.smwcentral.net/25591/God%20do%20Shell%20v1.3.zip</x:v>
      </x:c>
    </x:row>
    <x:row r="584">
      <x:c r="A584" t="str">
        <x:v>Goku86</x:v>
      </x:c>
      <x:c r="B584" t="str">
        <x:v>Goku86</x:v>
      </x:c>
      <x:c r="C584" t="str">
        <x:v>Phyll</x:v>
      </x:c>
      <x:c r="D584" t="n">
        <x:v>20</x:v>
      </x:c>
      <x:c r="E584" t="str">
        <x:v>Expert</x:v>
      </x:c>
      <x:c r="F584" t="str">
        <x:v>Kaizo</x:v>
      </x:c>
      <x:c r="G584" t="n">
        <x:v>44311</x:v>
      </x:c>
      <x:c r="H584" t="str">
        <x:v>26791</x:v>
      </x:c>
      <x:c r="I584" t="str">
        <x:v>https://www.smwcentral.net/?a=details&amp;id=26791&amp;p=section</x:v>
      </x:c>
      <x:c r="J584" t="str">
        <x:v>https://dl.smwcentral.net/26791/Goku86.zip</x:v>
      </x:c>
    </x:row>
    <x:row r="585">
      <x:c r="A585" t="str">
        <x:v>GOMBA and stuff</x:v>
      </x:c>
      <x:c r="B585" t="str">
        <x:v>GOMBA and stuff</x:v>
      </x:c>
      <x:c r="C585" t="str">
        <x:v>mason</x:v>
      </x:c>
      <x:c r="D585" t="n">
        <x:v>14</x:v>
      </x:c>
      <x:c r="E585" t="str">
        <x:v>Grandmaster</x:v>
      </x:c>
      <x:c r="F585" t="str">
        <x:v>Kaizo</x:v>
      </x:c>
      <x:c r="G585" t="n">
        <x:v>45723</x:v>
      </x:c>
      <x:c r="H585" t="str">
        <x:v>39080</x:v>
      </x:c>
      <x:c r="I585" t="str">
        <x:v>https://www.smwcentral.net/?a=details&amp;id=39080&amp;p=section</x:v>
      </x:c>
      <x:c r="J585" t="str">
        <x:v>https://dl.smwcentral.net/39080/gomba.zip</x:v>
      </x:c>
    </x:row>
    <x:row r="586">
      <x:c r="A586" t="str">
        <x:v>good old days</x:v>
      </x:c>
      <x:c r="B586" t="str">
        <x:v>good old days</x:v>
      </x:c>
      <x:c r="C586" t="str">
        <x:v>OEO6</x:v>
      </x:c>
      <x:c r="D586" t="n">
        <x:v>10</x:v>
      </x:c>
      <x:c r="E586" t="str">
        <x:v>Advanced</x:v>
      </x:c>
      <x:c r="F586" t="str">
        <x:v>Standard</x:v>
      </x:c>
      <x:c r="G586" t="n">
        <x:v>44831</x:v>
      </x:c>
      <x:c r="H586" t="str">
        <x:v>32216</x:v>
      </x:c>
      <x:c r="I586" t="str">
        <x:v>https://www.smwcentral.net/?a=details&amp;id=32216&amp;p=section</x:v>
      </x:c>
      <x:c r="J586" t="str">
        <x:v>https://dl.smwcentral.net/32216/good%20old%20days%20v1.10.zip</x:v>
      </x:c>
    </x:row>
    <x:row r="587">
      <x:c r="A587" t="str">
        <x:v>good old days 2</x:v>
      </x:c>
      <x:c r="B587" t="str">
        <x:v>good old days 2</x:v>
      </x:c>
      <x:c r="C587" t="str">
        <x:v>OEO6</x:v>
      </x:c>
      <x:c r="D587" t="n">
        <x:v>9</x:v>
      </x:c>
      <x:c r="E587" t="str">
        <x:v>Advanced</x:v>
      </x:c>
      <x:c r="F587" t="str">
        <x:v>Standard</x:v>
      </x:c>
      <x:c r="G587" t="n">
        <x:v>44982</x:v>
      </x:c>
      <x:c r="H587" t="str">
        <x:v>33276</x:v>
      </x:c>
      <x:c r="I587" t="str">
        <x:v>https://www.smwcentral.net/?a=details&amp;id=33276&amp;p=section</x:v>
      </x:c>
      <x:c r="J587" t="str">
        <x:v>https://dl.smwcentral.net/33276/good%20old%20days%202.zip</x:v>
      </x:c>
    </x:row>
    <x:row r="588">
      <x:c r="A588" t="str">
        <x:v>good old days 3</x:v>
      </x:c>
      <x:c r="B588" t="str">
        <x:v>good old days 3</x:v>
      </x:c>
      <x:c r="C588" t="str">
        <x:v>OEO6</x:v>
      </x:c>
      <x:c r="D588" t="n">
        <x:v>19</x:v>
      </x:c>
      <x:c r="E588" t="str">
        <x:v>Expert</x:v>
      </x:c>
      <x:c r="F588" t="str">
        <x:v>Standard, Kaizo</x:v>
      </x:c>
      <x:c r="G588" t="n">
        <x:v>45141</x:v>
      </x:c>
      <x:c r="H588" t="str">
        <x:v>34422</x:v>
      </x:c>
      <x:c r="I588" t="str">
        <x:v>https://www.smwcentral.net/?a=details&amp;id=34422&amp;p=section</x:v>
      </x:c>
      <x:c r="J588" t="str">
        <x:v>https://dl.smwcentral.net/34422/good%20old%20days%203%20v1.40.zip</x:v>
      </x:c>
    </x:row>
    <x:row r="589">
      <x:c r="A589" t="str">
        <x:v>good old days 4</x:v>
      </x:c>
      <x:c r="B589" t="str">
        <x:v>good old days 4</x:v>
      </x:c>
      <x:c r="C589" t="str">
        <x:v>OEO6</x:v>
      </x:c>
      <x:c r="D589" t="n">
        <x:v>42</x:v>
      </x:c>
      <x:c r="E589" t="str">
        <x:v>Expert</x:v>
      </x:c>
      <x:c r="F589" t="str">
        <x:v>Standard, Kaizo</x:v>
      </x:c>
      <x:c r="G589" t="n">
        <x:v>45607</x:v>
      </x:c>
      <x:c r="H589" t="str">
        <x:v>38711</x:v>
      </x:c>
      <x:c r="I589" t="str">
        <x:v>https://www.smwcentral.net/?a=details&amp;id=38711&amp;p=section</x:v>
      </x:c>
      <x:c r="J589" t="str">
        <x:v>https://dl.smwcentral.net/38711/good%20old%20days%204.00.zip</x:v>
      </x:c>
    </x:row>
    <x:row r="590">
      <x:c r="A590" t="str">
        <x:v>good old days: recycle bin</x:v>
      </x:c>
      <x:c r="B590" t="str">
        <x:v>good old days: recycle bin</x:v>
      </x:c>
      <x:c r="C590" t="str">
        <x:v>OEO6</x:v>
      </x:c>
      <x:c r="D590" t="n">
        <x:v>18</x:v>
      </x:c>
      <x:c r="E590" t="str">
        <x:v>Advanced</x:v>
      </x:c>
      <x:c r="F590" t="str">
        <x:v>Standard</x:v>
      </x:c>
      <x:c r="G590" t="n">
        <x:v>45939</x:v>
      </x:c>
      <x:c r="H590" t="str">
        <x:v>40683</x:v>
      </x:c>
      <x:c r="I590" t="str">
        <x:v>https://www.smwcentral.net/?a=details&amp;id=40683&amp;p=section</x:v>
      </x:c>
      <x:c r="J590" t="str">
        <x:v>https://dl.smwcentral.net/40683/good%20old%20days%20-%20recycle%20bin%20v1.11.zip</x:v>
      </x:c>
    </x:row>
    <x:row r="591">
      <x:c r="A591" t="str">
        <x:v>Good Question!</x:v>
      </x:c>
      <x:c r="B591" t="str">
        <x:v>Good Question!</x:v>
      </x:c>
      <x:c r="C591" t="str">
        <x:v>MercuryPenny</x:v>
      </x:c>
      <x:c r="D591" t="n">
        <x:v>6</x:v>
      </x:c>
      <x:c r="E591" t="str">
        <x:v>Intermediate</x:v>
      </x:c>
      <x:c r="F591" t="str">
        <x:v>Standard</x:v>
      </x:c>
      <x:c r="G591" t="n">
        <x:v>41781</x:v>
      </x:c>
      <x:c r="H591" t="str">
        <x:v>6548</x:v>
      </x:c>
      <x:c r="I591" t="str">
        <x:v>https://www.smwcentral.net/?a=details&amp;id=6548&amp;p=section</x:v>
      </x:c>
      <x:c r="J591" t="str">
        <x:v>https://dl.smwcentral.net/6548/Good%20Question%21.zip</x:v>
      </x:c>
    </x:row>
    <x:row r="592">
      <x:c r="A592" t="str">
        <x:v>Goombario's World</x:v>
      </x:c>
      <x:c r="B592" t="str">
        <x:v>Goombario's World</x:v>
      </x:c>
      <x:c r="C592" t="str">
        <x:v>Cellcen</x:v>
      </x:c>
      <x:c r="D592" t="n">
        <x:v>8</x:v>
      </x:c>
      <x:c r="E592" t="str">
        <x:v>Newcomer</x:v>
      </x:c>
      <x:c r="F592" t="str">
        <x:v>Standard</x:v>
      </x:c>
      <x:c r="G592" t="n">
        <x:v>41479</x:v>
      </x:c>
      <x:c r="H592" t="str">
        <x:v>5002</x:v>
      </x:c>
      <x:c r="I592" t="str">
        <x:v>https://www.smwcentral.net/?a=details&amp;id=5002&amp;p=section</x:v>
      </x:c>
      <x:c r="J592" t="str">
        <x:v>https://dl.smwcentral.net/5002/Goombario%27s%20World.zip</x:v>
      </x:c>
    </x:row>
    <x:row r="593">
      <x:c r="A593" t="str">
        <x:v>Goukie's Palace</x:v>
      </x:c>
      <x:c r="B593" t="str">
        <x:v>Goukie's Palace</x:v>
      </x:c>
      <x:c r="C593" t="str">
        <x:v>Wieus96</x:v>
      </x:c>
      <x:c r="D593" t="n">
        <x:v>1</x:v>
      </x:c>
      <x:c r="E593" t="str">
        <x:v>Intermediate</x:v>
      </x:c>
      <x:c r="F593" t="str">
        <x:v>Kaizo, Tool-Assisted</x:v>
      </x:c>
      <x:c r="G593" t="n">
        <x:v>43054</x:v>
      </x:c>
      <x:c r="H593" t="str">
        <x:v>16406</x:v>
      </x:c>
      <x:c r="I593" t="str">
        <x:v>https://www.smwcentral.net/?a=details&amp;id=16406&amp;p=section</x:v>
      </x:c>
      <x:c r="J593" t="str">
        <x:v>https://dl.smwcentral.net/16406/GP%20v1.1.zip</x:v>
      </x:c>
    </x:row>
    <x:row r="594">
      <x:c r="A594" t="str">
        <x:v>Grand Poo World</x:v>
      </x:c>
      <x:c r="B594" t="str">
        <x:v>Grand Poo World</x:v>
      </x:c>
      <x:c r="C594" t="str">
        <x:v>Barbarian</x:v>
      </x:c>
      <x:c r="D594" t="n">
        <x:v>21</x:v>
      </x:c>
      <x:c r="E594" t="str">
        <x:v>Master</x:v>
      </x:c>
      <x:c r="F594" t="str">
        <x:v>Kaizo</x:v>
      </x:c>
      <x:c r="G594" t="n">
        <x:v>43198</x:v>
      </x:c>
      <x:c r="H594" t="str">
        <x:v>17289</x:v>
      </x:c>
      <x:c r="I594" t="str">
        <x:v>https://www.smwcentral.net/?a=details&amp;id=17289&amp;p=section</x:v>
      </x:c>
      <x:c r="J594" t="str">
        <x:v>https://dl.smwcentral.net/17289/GPW1.2.zip</x:v>
      </x:c>
    </x:row>
    <x:row r="595">
      <x:c r="A595" t="str">
        <x:v>Grand Poo World 2</x:v>
      </x:c>
      <x:c r="B595" t="str">
        <x:v>Grand Poo World 2</x:v>
      </x:c>
      <x:c r="C595" t="str">
        <x:v>Barbarian</x:v>
      </x:c>
      <x:c r="D595" t="n">
        <x:v>23</x:v>
      </x:c>
      <x:c r="E595" t="str">
        <x:v>Master</x:v>
      </x:c>
      <x:c r="F595" t="str">
        <x:v>Kaizo</x:v>
      </x:c>
      <x:c r="G595" t="n">
        <x:v>43559</x:v>
      </x:c>
      <x:c r="H595" t="str">
        <x:v>19541</x:v>
      </x:c>
      <x:c r="I595" t="str">
        <x:v>https://www.smwcentral.net/?a=details&amp;id=19541&amp;p=section</x:v>
      </x:c>
      <x:c r="J595" t="str">
        <x:v>https://dl.smwcentral.net/19541/Grand%20Poo%20World%202%201.1.zip</x:v>
      </x:c>
    </x:row>
    <x:row r="596">
      <x:c r="A596" t="str">
        <x:v>Grand Troll World 1</x:v>
      </x:c>
      <x:c r="B596" t="str">
        <x:v>Grand Troll World 1</x:v>
      </x:c>
      <x:c r="C596" t="str">
        <x:v>MoghedienNinek</x:v>
      </x:c>
      <x:c r="D596" t="n">
        <x:v>6</x:v>
      </x:c>
      <x:c r="E596" t="str">
        <x:v>Intermediate</x:v>
      </x:c>
      <x:c r="F596" t="str">
        <x:v>Kaizo</x:v>
      </x:c>
      <x:c r="G596" t="n">
        <x:v>44044</x:v>
      </x:c>
      <x:c r="H596" t="str">
        <x:v>22880</x:v>
      </x:c>
      <x:c r="I596" t="str">
        <x:v>https://www.smwcentral.net/?a=details&amp;id=22880&amp;p=section</x:v>
      </x:c>
      <x:c r="J596" t="str">
        <x:v>https://dl.smwcentral.net/22880/Grand%20Troll%20World%201.zip</x:v>
      </x:c>
    </x:row>
    <x:row r="597">
      <x:c r="A597" t="str">
        <x:v>GrandChaos' Mario World</x:v>
      </x:c>
      <x:c r="B597" t="str">
        <x:v>GrandChaos' Mario World</x:v>
      </x:c>
      <x:c r="C597" t="str">
        <x:v>HarvettFox96</x:v>
      </x:c>
      <x:c r="D597" t="n">
        <x:v>13</x:v>
      </x:c>
      <x:c r="E597" t="str">
        <x:v>Newcomer</x:v>
      </x:c>
      <x:c r="F597" t="str">
        <x:v>Standard</x:v>
      </x:c>
      <x:c r="G597" t="n">
        <x:v>41626</x:v>
      </x:c>
      <x:c r="H597" t="str">
        <x:v>5981</x:v>
      </x:c>
      <x:c r="I597" t="str">
        <x:v>https://www.smwcentral.net/?a=details&amp;id=5981&amp;p=section</x:v>
      </x:c>
      <x:c r="J597" t="str">
        <x:v>https://dl.smwcentral.net/5981/GrandChaos%27%20Mario%20World%20%28v0.25%20Alpha%20-%20Demo%202%29.zip</x:v>
      </x:c>
    </x:row>
    <x:row r="598">
      <x:c r="A598" t="str">
        <x:v>Gratitude</x:v>
      </x:c>
      <x:c r="B598" t="str">
        <x:v>Gratitude</x:v>
      </x:c>
      <x:c r="C598" t="str">
        <x:v>Fransen86</x:v>
      </x:c>
      <x:c r="D598" t="n">
        <x:v>16</x:v>
      </x:c>
      <x:c r="E598" t="str">
        <x:v>Expert</x:v>
      </x:c>
      <x:c r="F598" t="str">
        <x:v>Kaizo</x:v>
      </x:c>
      <x:c r="G598" t="n">
        <x:v>45741</x:v>
      </x:c>
      <x:c r="H598" t="str">
        <x:v>39587</x:v>
      </x:c>
      <x:c r="I598" t="str">
        <x:v>https://www.smwcentral.net/?a=details&amp;id=39587&amp;p=section</x:v>
      </x:c>
      <x:c r="J598" t="str">
        <x:v>https://dl.smwcentral.net/39587/Gratitude%201_1.zip</x:v>
      </x:c>
    </x:row>
    <x:row r="599">
      <x:c r="A599" t="str">
        <x:v>Green Cavern</x:v>
      </x:c>
      <x:c r="B599" t="str">
        <x:v>Green Cavern</x:v>
      </x:c>
      <x:c r="C599" t="str">
        <x:v>TheBiob</x:v>
      </x:c>
      <x:c r="D599" t="n">
        <x:v>3</x:v>
      </x:c>
      <x:c r="E599" t="str">
        <x:v>Grandmaster</x:v>
      </x:c>
      <x:c r="F599" t="str">
        <x:v>Kaizo, Tool-Assisted</x:v>
      </x:c>
      <x:c r="G599" t="n">
        <x:v>45386</x:v>
      </x:c>
      <x:c r="H599" t="str">
        <x:v>37071</x:v>
      </x:c>
      <x:c r="I599" t="str">
        <x:v>https://www.smwcentral.net/?a=details&amp;id=37071&amp;p=section</x:v>
      </x:c>
      <x:c r="J599" t="str">
        <x:v>https://dl.smwcentral.net/37071/Green%20Cavern-yoshi_1.0.zip</x:v>
      </x:c>
    </x:row>
    <x:row r="600">
      <x:c r="A600" t="str">
        <x:v>Gregor's New Super Mario World</x:v>
      </x:c>
      <x:c r="B600" t="str">
        <x:v>Gregor's New Super Mario World</x:v>
      </x:c>
      <x:c r="C600" t="str">
        <x:v>Gregor</x:v>
      </x:c>
      <x:c r="D600" t="n">
        <x:v>15</x:v>
      </x:c>
      <x:c r="E600" t="str">
        <x:v>Casual</x:v>
      </x:c>
      <x:c r="F600" t="str">
        <x:v>Standard</x:v>
      </x:c>
      <x:c r="G600" t="n">
        <x:v>42010</x:v>
      </x:c>
      <x:c r="H600" t="str">
        <x:v>10342</x:v>
      </x:c>
      <x:c r="I600" t="str">
        <x:v>https://www.smwcentral.net/?a=details&amp;id=10342&amp;p=section</x:v>
      </x:c>
      <x:c r="J600" t="str">
        <x:v>https://dl.smwcentral.net/10342/nsmw%20d2.zip</x:v>
      </x:c>
    </x:row>
    <x:row r="601">
      <x:c r="A601" t="str">
        <x:v>Grenudo Planet 3</x:v>
      </x:c>
      <x:c r="B601" t="str">
        <x:v>Grenudo Planet 3</x:v>
      </x:c>
      <x:c r="C601" t="str">
        <x:v>elwawa</x:v>
      </x:c>
      <x:c r="D601" t="n">
        <x:v>21</x:v>
      </x:c>
      <x:c r="E601" t="str">
        <x:v>Advanced</x:v>
      </x:c>
      <x:c r="F601" t="str">
        <x:v>Kaizo</x:v>
      </x:c>
      <x:c r="G601" t="n">
        <x:v>46035</x:v>
      </x:c>
      <x:c r="H601" t="str">
        <x:v>41387</x:v>
      </x:c>
      <x:c r="I601" t="str">
        <x:v>https://www.smwcentral.net/?a=details&amp;id=41387&amp;p=section</x:v>
      </x:c>
      <x:c r="J601" t="str">
        <x:v>https://dl.smwcentral.net/41387/grenudo.zip</x:v>
      </x:c>
    </x:row>
    <x:row r="602">
      <x:c r="A602" t="str">
        <x:v>Grey Eminence</x:v>
      </x:c>
      <x:c r="B602" t="str">
        <x:v>Grey Eminence</x:v>
      </x:c>
      <x:c r="C602" t="str">
        <x:v>kebabchilla</x:v>
      </x:c>
      <x:c r="D602" t="n">
        <x:v>34</x:v>
      </x:c>
      <x:c r="E602" t="str">
        <x:v>Advanced</x:v>
      </x:c>
      <x:c r="F602" t="str">
        <x:v>Standard</x:v>
      </x:c>
      <x:c r="G602" t="n">
        <x:v>44082</x:v>
      </x:c>
      <x:c r="H602" t="str">
        <x:v>24481</x:v>
      </x:c>
      <x:c r="I602" t="str">
        <x:v>https://www.smwcentral.net/?a=details&amp;id=24481&amp;p=section</x:v>
      </x:c>
      <x:c r="J602" t="str">
        <x:v>https://dl.smwcentral.net/24481/greyeminence.zip</x:v>
      </x:c>
    </x:row>
    <x:row r="603">
      <x:c r="A603" t="str">
        <x:v>Greñudo planet2 Lucas´s revenge</x:v>
      </x:c>
      <x:c r="B603" t="str">
        <x:v>Greñudo planet2 Lucas´s revenge</x:v>
      </x:c>
      <x:c r="C603" t="str">
        <x:v>magianegra21</x:v>
      </x:c>
      <x:c r="D603" t="n">
        <x:v>15</x:v>
      </x:c>
      <x:c r="E603" t="str">
        <x:v>Expert</x:v>
      </x:c>
      <x:c r="F603" t="str">
        <x:v>Kaizo</x:v>
      </x:c>
      <x:c r="G603" t="n">
        <x:v>45117</x:v>
      </x:c>
      <x:c r="H603" t="str">
        <x:v>34307</x:v>
      </x:c>
      <x:c r="I603" t="str">
        <x:v>https://www.smwcentral.net/?a=details&amp;id=34307&amp;p=section</x:v>
      </x:c>
      <x:c r="J603" t="str">
        <x:v>https://dl.smwcentral.net/34307/grenudo%20planet%202.zip</x:v>
      </x:c>
    </x:row>
    <x:row r="604">
      <x:c r="A604" t="str">
        <x:v>GREÑUDOS PLANET</x:v>
      </x:c>
      <x:c r="B604" t="str">
        <x:v>GREÑUDOS PLANET</x:v>
      </x:c>
      <x:c r="C604" t="str">
        <x:v>alvinluis</x:v>
      </x:c>
      <x:c r="D604" t="n">
        <x:v>10</x:v>
      </x:c>
      <x:c r="E604" t="str">
        <x:v>Advanced</x:v>
      </x:c>
      <x:c r="F604" t="str">
        <x:v>Kaizo</x:v>
      </x:c>
      <x:c r="G604" t="n">
        <x:v>44843</x:v>
      </x:c>
      <x:c r="H604" t="str">
        <x:v>32301</x:v>
      </x:c>
      <x:c r="I604" t="str">
        <x:v>https://www.smwcentral.net/?a=details&amp;id=32301&amp;p=section</x:v>
      </x:c>
      <x:c r="J604" t="str">
        <x:v>https://dl.smwcentral.net/32301/gre%C3%B1udos%20planet.zip</x:v>
      </x:c>
    </x:row>
    <x:row r="605">
      <x:c r="A605" t="str">
        <x:v>Griffy World</x:v>
      </x:c>
      <x:c r="B605" t="str">
        <x:v>Griffy World</x:v>
      </x:c>
      <x:c r="C605" t="str">
        <x:v>Remalis</x:v>
      </x:c>
      <x:c r="D605" t="n">
        <x:v>19</x:v>
      </x:c>
      <x:c r="E605" t="str">
        <x:v>Expert</x:v>
      </x:c>
      <x:c r="F605" t="str">
        <x:v>Kaizo</x:v>
      </x:c>
      <x:c r="G605" t="n">
        <x:v>44711</x:v>
      </x:c>
      <x:c r="H605" t="str">
        <x:v>30987</x:v>
      </x:c>
      <x:c r="I605" t="str">
        <x:v>https://www.smwcentral.net/?a=details&amp;id=30987&amp;p=section</x:v>
      </x:c>
      <x:c r="J605" t="str">
        <x:v>https://dl.smwcentral.net/30987/GriffyWorld_v1.12.zip</x:v>
      </x:c>
    </x:row>
    <x:row r="606">
      <x:c r="A606" t="str">
        <x:v>Groovy</x:v>
      </x:c>
      <x:c r="B606" t="str">
        <x:v>Groovy</x:v>
      </x:c>
      <x:c r="C606" t="str">
        <x:v>Lush_50</x:v>
      </x:c>
      <x:c r="D606" t="n">
        <x:v>1</x:v>
      </x:c>
      <x:c r="E606" t="str">
        <x:v>Advanced</x:v>
      </x:c>
      <x:c r="F606" t="str">
        <x:v>Kaizo</x:v>
      </x:c>
      <x:c r="G606" t="n">
        <x:v>44543</x:v>
      </x:c>
      <x:c r="H606" t="str">
        <x:v>28970</x:v>
      </x:c>
      <x:c r="I606" t="str">
        <x:v>https://www.smwcentral.net/?a=details&amp;id=28970&amp;p=section</x:v>
      </x:c>
      <x:c r="J606" t="str">
        <x:v>https://dl.smwcentral.net/28970/Groovy%20%20v1.1.zip</x:v>
      </x:c>
    </x:row>
    <x:row r="607">
      <x:c r="A607" t="str">
        <x:v>Gynura</x:v>
      </x:c>
      <x:c r="B607" t="str">
        <x:v>Gynura</x:v>
      </x:c>
      <x:c r="C607" t="str">
        <x:v>neidoodle</x:v>
      </x:c>
      <x:c r="D607" t="n">
        <x:v>16</x:v>
      </x:c>
      <x:c r="E607" t="str">
        <x:v>Advanced</x:v>
      </x:c>
      <x:c r="F607" t="str">
        <x:v>Kaizo</x:v>
      </x:c>
      <x:c r="G607" t="n">
        <x:v>45791</x:v>
      </x:c>
      <x:c r="H607" t="str">
        <x:v>39832</x:v>
      </x:c>
      <x:c r="I607" t="str">
        <x:v>https://www.smwcentral.net/?a=details&amp;id=39832&amp;p=section</x:v>
      </x:c>
      <x:c r="J607" t="str">
        <x:v>https://dl.smwcentral.net/39832/Gynura.zip</x:v>
      </x:c>
    </x:row>
    <x:row r="608">
      <x:c r="A608" t="str">
        <x:v>H&amp;SB2 - Twilight Gem:  Hunter's Quest</x:v>
      </x:c>
      <x:c r="B608" t="str">
        <x:v>H&amp;SB2 - Twilight Gem:  Hunter's Quest</x:v>
      </x:c>
      <x:c r="C608" t="str">
        <x:v>amhunter</x:v>
      </x:c>
      <x:c r="D608" t="n">
        <x:v>43</x:v>
      </x:c>
      <x:c r="E608" t="str">
        <x:v>Intermediate</x:v>
      </x:c>
      <x:c r="F608" t="str">
        <x:v>Standard</x:v>
      </x:c>
      <x:c r="G608" t="n">
        <x:v>42297</x:v>
      </x:c>
      <x:c r="H608" t="str">
        <x:v>10226</x:v>
      </x:c>
      <x:c r="I608" t="str">
        <x:v>https://www.smwcentral.net/?a=details&amp;id=10226&amp;p=section</x:v>
      </x:c>
      <x:c r="J608" t="str">
        <x:v>https://dl.smwcentral.net/10226/Hunter%27s_Quest_Demo2.zip</x:v>
      </x:c>
    </x:row>
    <x:row r="609">
      <x:c r="A609" t="str">
        <x:v>H&amp;SB2 - Twilight Gem: Scorpion's Hunt</x:v>
      </x:c>
      <x:c r="B609" t="str">
        <x:v>H&amp;SB2 - Twilight Gem: Scorpion's Hunt</x:v>
      </x:c>
      <x:c r="C609" t="str">
        <x:v>Skewer</x:v>
      </x:c>
      <x:c r="D609" t="n">
        <x:v>53</x:v>
      </x:c>
      <x:c r="E609" t="str">
        <x:v>Intermediate</x:v>
      </x:c>
      <x:c r="F609" t="str">
        <x:v>Standard</x:v>
      </x:c>
      <x:c r="G609" t="n">
        <x:v>42291</x:v>
      </x:c>
      <x:c r="H609" t="str">
        <x:v>10236</x:v>
      </x:c>
      <x:c r="I609" t="str">
        <x:v>https://www.smwcentral.net/?a=details&amp;id=10236&amp;p=section</x:v>
      </x:c>
      <x:c r="J609" t="str">
        <x:v>https://dl.smwcentral.net/10236/Twilight%20Demo%202%20%283%29.zip</x:v>
      </x:c>
    </x:row>
    <x:row r="610">
      <x:c r="A610" t="str">
        <x:v>Hack</x:v>
      </x:c>
      <x:c r="B610" t="str">
        <x:v>Hack</x:v>
      </x:c>
      <x:c r="C610" t="str">
        <x:v>Golden Yoshi</x:v>
      </x:c>
      <x:c r="D610" t="n">
        <x:v>9</x:v>
      </x:c>
      <x:c r="E610" t="str">
        <x:v>Casual</x:v>
      </x:c>
      <x:c r="F610" t="str">
        <x:v>Standard</x:v>
      </x:c>
      <x:c r="G610" t="n">
        <x:v>41539</x:v>
      </x:c>
      <x:c r="H610" t="str">
        <x:v>5428</x:v>
      </x:c>
      <x:c r="I610" t="str">
        <x:v>https://www.smwcentral.net/?a=details&amp;id=5428&amp;p=section</x:v>
      </x:c>
      <x:c r="J610" t="str">
        <x:v>https://dl.smwcentral.net/5428/Hack.zip</x:v>
      </x:c>
    </x:row>
    <x:row r="611">
      <x:c r="A611" t="str">
        <x:v>Hack -1</x:v>
      </x:c>
      <x:c r="B611" t="str">
        <x:v>Hack -1</x:v>
      </x:c>
      <x:c r="C611" t="str">
        <x:v>Golden Yoshi</x:v>
      </x:c>
      <x:c r="D611" t="n">
        <x:v>9</x:v>
      </x:c>
      <x:c r="E611" t="str">
        <x:v>Intermediate</x:v>
      </x:c>
      <x:c r="F611" t="str">
        <x:v>Standard</x:v>
      </x:c>
      <x:c r="G611" t="n">
        <x:v>44215</x:v>
      </x:c>
      <x:c r="H611" t="str">
        <x:v>25869</x:v>
      </x:c>
      <x:c r="I611" t="str">
        <x:v>https://www.smwcentral.net/?a=details&amp;id=25869&amp;p=section</x:v>
      </x:c>
      <x:c r="J611" t="str">
        <x:v>https://dl.smwcentral.net/25869/Hack%20-1.zip</x:v>
      </x:c>
    </x:row>
    <x:row r="612">
      <x:c r="A612" t="str">
        <x:v>Hack -1 2</x:v>
      </x:c>
      <x:c r="B612" t="str">
        <x:v>Hack -1 2</x:v>
      </x:c>
      <x:c r="C612" t="str">
        <x:v>Golden Yoshi</x:v>
      </x:c>
      <x:c r="D612" t="n">
        <x:v>7</x:v>
      </x:c>
      <x:c r="E612" t="str">
        <x:v>Casual</x:v>
      </x:c>
      <x:c r="F612" t="str">
        <x:v>Standard</x:v>
      </x:c>
      <x:c r="G612" t="n">
        <x:v>45295</x:v>
      </x:c>
      <x:c r="H612" t="str">
        <x:v>35730</x:v>
      </x:c>
      <x:c r="I612" t="str">
        <x:v>https://www.smwcentral.net/?a=details&amp;id=35730&amp;p=section</x:v>
      </x:c>
      <x:c r="J612" t="str">
        <x:v>https://dl.smwcentral.net/35730/HackNegative12.zip</x:v>
      </x:c>
    </x:row>
    <x:row r="613">
      <x:c r="A613" t="str">
        <x:v>Hack 0</x:v>
      </x:c>
      <x:c r="B613" t="str">
        <x:v>Hack 0</x:v>
      </x:c>
      <x:c r="C613" t="str">
        <x:v>Golden Yoshi</x:v>
      </x:c>
      <x:c r="D613" t="n">
        <x:v>7</x:v>
      </x:c>
      <x:c r="E613" t="str">
        <x:v>Advanced</x:v>
      </x:c>
      <x:c r="F613" t="str">
        <x:v>Standard</x:v>
      </x:c>
      <x:c r="G613" t="n">
        <x:v>44148</x:v>
      </x:c>
      <x:c r="H613" t="str">
        <x:v>24991</x:v>
      </x:c>
      <x:c r="I613" t="str">
        <x:v>https://www.smwcentral.net/?a=details&amp;id=24991&amp;p=section</x:v>
      </x:c>
      <x:c r="J613" t="str">
        <x:v>https://dl.smwcentral.net/24991/Hack%200.zip</x:v>
      </x:c>
    </x:row>
    <x:row r="614">
      <x:c r="A614" t="str">
        <x:v>Hack 0 2</x:v>
      </x:c>
      <x:c r="B614" t="str">
        <x:v>Hack 0 2</x:v>
      </x:c>
      <x:c r="C614" t="str">
        <x:v>Golden Yoshi</x:v>
      </x:c>
      <x:c r="D614" t="n">
        <x:v>5</x:v>
      </x:c>
      <x:c r="E614" t="str">
        <x:v>Intermediate</x:v>
      </x:c>
      <x:c r="F614" t="str">
        <x:v>Standard</x:v>
      </x:c>
      <x:c r="G614" t="n">
        <x:v>45608</x:v>
      </x:c>
      <x:c r="H614" t="str">
        <x:v>38745</x:v>
      </x:c>
      <x:c r="I614" t="str">
        <x:v>https://www.smwcentral.net/?a=details&amp;id=38745&amp;p=section</x:v>
      </x:c>
      <x:c r="J614" t="str">
        <x:v>https://dl.smwcentral.net/38745/Hack%200%202%20v1.1.zip</x:v>
      </x:c>
    </x:row>
    <x:row r="615">
      <x:c r="A615" t="str">
        <x:v>Hack 0 3</x:v>
      </x:c>
      <x:c r="B615" t="str">
        <x:v>Hack 0 3</x:v>
      </x:c>
      <x:c r="C615" t="str">
        <x:v>Golden Yoshi</x:v>
      </x:c>
      <x:c r="D615" t="n">
        <x:v>12</x:v>
      </x:c>
      <x:c r="E615" t="str">
        <x:v>Intermediate</x:v>
      </x:c>
      <x:c r="F615" t="str">
        <x:v>Standard</x:v>
      </x:c>
      <x:c r="G615" t="n">
        <x:v>45834</x:v>
      </x:c>
      <x:c r="H615" t="str">
        <x:v>40017</x:v>
      </x:c>
      <x:c r="I615" t="str">
        <x:v>https://www.smwcentral.net/?a=details&amp;id=40017&amp;p=section</x:v>
      </x:c>
      <x:c r="J615" t="str">
        <x:v>https://dl.smwcentral.net/40017/Hack03Releasev1.1.zip</x:v>
      </x:c>
    </x:row>
    <x:row r="616">
      <x:c r="A616" t="str">
        <x:v>Hack 1 2</x:v>
      </x:c>
      <x:c r="B616" t="str">
        <x:v>Hack 1 2</x:v>
      </x:c>
      <x:c r="C616" t="str">
        <x:v>Golden Yoshi</x:v>
      </x:c>
      <x:c r="D616" t="n">
        <x:v>10</x:v>
      </x:c>
      <x:c r="E616" t="str">
        <x:v>Intermediate</x:v>
      </x:c>
      <x:c r="F616" t="str">
        <x:v>Standard</x:v>
      </x:c>
      <x:c r="G616" t="n">
        <x:v>44185</x:v>
      </x:c>
      <x:c r="H616" t="str">
        <x:v>25268</x:v>
      </x:c>
      <x:c r="I616" t="str">
        <x:v>https://www.smwcentral.net/?a=details&amp;id=25268&amp;p=section</x:v>
      </x:c>
      <x:c r="J616" t="str">
        <x:v>https://dl.smwcentral.net/25268/Hack%201%202.zip</x:v>
      </x:c>
    </x:row>
    <x:row r="617">
      <x:c r="A617" t="str">
        <x:v>Hack 1 2 2</x:v>
      </x:c>
      <x:c r="B617" t="str">
        <x:v>Hack 1 2 2</x:v>
      </x:c>
      <x:c r="C617" t="str">
        <x:v>Golden Yoshi</x:v>
      </x:c>
      <x:c r="D617" t="n">
        <x:v>10</x:v>
      </x:c>
      <x:c r="E617" t="str">
        <x:v>Intermediate</x:v>
      </x:c>
      <x:c r="F617" t="str">
        <x:v>Standard</x:v>
      </x:c>
      <x:c r="G617" t="n">
        <x:v>44169</x:v>
      </x:c>
      <x:c r="H617" t="str">
        <x:v>25269</x:v>
      </x:c>
      <x:c r="I617" t="str">
        <x:v>https://www.smwcentral.net/?a=details&amp;id=25269&amp;p=section</x:v>
      </x:c>
      <x:c r="J617" t="str">
        <x:v>https://dl.smwcentral.net/25269/Hack%201%202%202.zip</x:v>
      </x:c>
    </x:row>
    <x:row r="618">
      <x:c r="A618" t="str">
        <x:v>Hack 1 2 3</x:v>
      </x:c>
      <x:c r="B618" t="str">
        <x:v>Hack 1 2 3</x:v>
      </x:c>
      <x:c r="C618" t="str">
        <x:v>Golden Yoshi</x:v>
      </x:c>
      <x:c r="D618" t="n">
        <x:v>10</x:v>
      </x:c>
      <x:c r="E618" t="str">
        <x:v>Intermediate</x:v>
      </x:c>
      <x:c r="F618" t="str">
        <x:v>Standard</x:v>
      </x:c>
      <x:c r="G618" t="n">
        <x:v>44279</x:v>
      </x:c>
      <x:c r="H618" t="str">
        <x:v>26367</x:v>
      </x:c>
      <x:c r="I618" t="str">
        <x:v>https://www.smwcentral.net/?a=details&amp;id=26367&amp;p=section</x:v>
      </x:c>
      <x:c r="J618" t="str">
        <x:v>https://dl.smwcentral.net/26367/Hack%201%202%203.zip</x:v>
      </x:c>
    </x:row>
    <x:row r="619">
      <x:c r="A619" t="str">
        <x:v>Hack 2</x:v>
      </x:c>
      <x:c r="B619" t="str">
        <x:v>Hack 2</x:v>
      </x:c>
      <x:c r="C619" t="str">
        <x:v>Golden Yoshi</x:v>
      </x:c>
      <x:c r="D619" t="n">
        <x:v>20</x:v>
      </x:c>
      <x:c r="E619" t="str">
        <x:v>Intermediate</x:v>
      </x:c>
      <x:c r="F619" t="str">
        <x:v>Standard</x:v>
      </x:c>
      <x:c r="G619" t="n">
        <x:v>41627</x:v>
      </x:c>
      <x:c r="H619" t="str">
        <x:v>5987</x:v>
      </x:c>
      <x:c r="I619" t="str">
        <x:v>https://www.smwcentral.net/?a=details&amp;id=5987&amp;p=section</x:v>
      </x:c>
      <x:c r="J619" t="str">
        <x:v>https://dl.smwcentral.net/5987/Hack%202.zip</x:v>
      </x:c>
    </x:row>
    <x:row r="620">
      <x:c r="A620" t="str">
        <x:v>Hack 25</x:v>
      </x:c>
      <x:c r="B620" t="str">
        <x:v>Hack 25</x:v>
      </x:c>
      <x:c r="C620" t="str">
        <x:v>Golden Yoshi</x:v>
      </x:c>
      <x:c r="D620" t="n">
        <x:v>6</x:v>
      </x:c>
      <x:c r="E620" t="str">
        <x:v>Intermediate</x:v>
      </x:c>
      <x:c r="F620" t="str">
        <x:v>Standard</x:v>
      </x:c>
      <x:c r="G620" t="n">
        <x:v>46143</x:v>
      </x:c>
      <x:c r="H620" t="str">
        <x:v>42289</x:v>
      </x:c>
      <x:c r="I620" t="str">
        <x:v>https://www.smwcentral.net/?a=details&amp;id=42289&amp;p=section</x:v>
      </x:c>
      <x:c r="J620" t="str">
        <x:v>https://dl.smwcentral.net/42289/Hack%2025.zip</x:v>
      </x:c>
    </x:row>
    <x:row r="621">
      <x:c r="A621" t="str">
        <x:v>Hack 3</x:v>
      </x:c>
      <x:c r="B621" t="str">
        <x:v>Hack 3</x:v>
      </x:c>
      <x:c r="C621" t="str">
        <x:v>Golden Yoshi</x:v>
      </x:c>
      <x:c r="D621" t="n">
        <x:v>15</x:v>
      </x:c>
      <x:c r="E621" t="str">
        <x:v>Casual</x:v>
      </x:c>
      <x:c r="F621" t="str">
        <x:v>Standard</x:v>
      </x:c>
      <x:c r="G621" t="n">
        <x:v>42178</x:v>
      </x:c>
      <x:c r="H621" t="str">
        <x:v>11495</x:v>
      </x:c>
      <x:c r="I621" t="str">
        <x:v>https://www.smwcentral.net/?a=details&amp;id=11495&amp;p=section</x:v>
      </x:c>
      <x:c r="J621" t="str">
        <x:v>https://dl.smwcentral.net/11495/Hack%203%20Release.zip</x:v>
      </x:c>
    </x:row>
    <x:row r="622">
      <x:c r="A622" t="str">
        <x:v>Hack 4</x:v>
      </x:c>
      <x:c r="B622" t="str">
        <x:v>Hack 4</x:v>
      </x:c>
      <x:c r="C622" t="str">
        <x:v>Golden Yoshi</x:v>
      </x:c>
      <x:c r="D622" t="n">
        <x:v>11</x:v>
      </x:c>
      <x:c r="E622" t="str">
        <x:v>Casual</x:v>
      </x:c>
      <x:c r="F622" t="str">
        <x:v>Standard</x:v>
      </x:c>
      <x:c r="G622" t="n">
        <x:v>42952</x:v>
      </x:c>
      <x:c r="H622" t="str">
        <x:v>15993</x:v>
      </x:c>
      <x:c r="I622" t="str">
        <x:v>https://www.smwcentral.net/?a=details&amp;id=15993&amp;p=section</x:v>
      </x:c>
      <x:c r="J622" t="str">
        <x:v>https://dl.smwcentral.net/15993/Hack%204.zip</x:v>
      </x:c>
    </x:row>
    <x:row r="623">
      <x:c r="A623" t="str">
        <x:v>Hack 5</x:v>
      </x:c>
      <x:c r="B623" t="str">
        <x:v>Hack 5</x:v>
      </x:c>
      <x:c r="C623" t="str">
        <x:v>Golden Yoshi</x:v>
      </x:c>
      <x:c r="D623" t="n">
        <x:v>14</x:v>
      </x:c>
      <x:c r="E623" t="str">
        <x:v>Casual</x:v>
      </x:c>
      <x:c r="F623" t="str">
        <x:v>Standard</x:v>
      </x:c>
      <x:c r="G623" t="n">
        <x:v>43561</x:v>
      </x:c>
      <x:c r="H623" t="str">
        <x:v>19588</x:v>
      </x:c>
      <x:c r="I623" t="str">
        <x:v>https://www.smwcentral.net/?a=details&amp;id=19588&amp;p=section</x:v>
      </x:c>
      <x:c r="J623" t="str">
        <x:v>https://dl.smwcentral.net/19588/Hack%205.zip</x:v>
      </x:c>
    </x:row>
    <x:row r="624">
      <x:c r="A624" t="str">
        <x:v>Hack 6</x:v>
      </x:c>
      <x:c r="B624" t="str">
        <x:v>Hack 6</x:v>
      </x:c>
      <x:c r="C624" t="str">
        <x:v>Golden Yoshi</x:v>
      </x:c>
      <x:c r="D624" t="n">
        <x:v>11</x:v>
      </x:c>
      <x:c r="E624" t="str">
        <x:v>Intermediate</x:v>
      </x:c>
      <x:c r="F624" t="str">
        <x:v>Standard</x:v>
      </x:c>
      <x:c r="G624" t="n">
        <x:v>44170</x:v>
      </x:c>
      <x:c r="H624" t="str">
        <x:v>25350</x:v>
      </x:c>
      <x:c r="I624" t="str">
        <x:v>https://www.smwcentral.net/?a=details&amp;id=25350&amp;p=section</x:v>
      </x:c>
      <x:c r="J624" t="str">
        <x:v>https://dl.smwcentral.net/25350/Hack%206.zip</x:v>
      </x:c>
    </x:row>
    <x:row r="625">
      <x:c r="A625" t="str">
        <x:v>Hack 7</x:v>
      </x:c>
      <x:c r="B625" t="str">
        <x:v>Hack 7</x:v>
      </x:c>
      <x:c r="C625" t="str">
        <x:v>Golden Yoshi</x:v>
      </x:c>
      <x:c r="D625" t="n">
        <x:v>10</x:v>
      </x:c>
      <x:c r="E625" t="str">
        <x:v>Intermediate</x:v>
      </x:c>
      <x:c r="F625" t="str">
        <x:v>Standard</x:v>
      </x:c>
      <x:c r="G625" t="n">
        <x:v>45386</x:v>
      </x:c>
      <x:c r="H625" t="str">
        <x:v>37570</x:v>
      </x:c>
      <x:c r="I625" t="str">
        <x:v>https://www.smwcentral.net/?a=details&amp;id=37570&amp;p=section</x:v>
      </x:c>
      <x:c r="J625" t="str">
        <x:v>https://dl.smwcentral.net/37570/Hack%207.zip</x:v>
      </x:c>
    </x:row>
    <x:row r="626">
      <x:c r="A626" t="str">
        <x:v>Hack 8</x:v>
      </x:c>
      <x:c r="B626" t="str">
        <x:v>Hack 8</x:v>
      </x:c>
      <x:c r="C626" t="str">
        <x:v>Golden Yoshi</x:v>
      </x:c>
      <x:c r="D626" t="n">
        <x:v>10</x:v>
      </x:c>
      <x:c r="E626" t="str">
        <x:v>Intermediate</x:v>
      </x:c>
      <x:c r="F626" t="str">
        <x:v>Standard</x:v>
      </x:c>
      <x:c r="G626" t="n">
        <x:v>45917</x:v>
      </x:c>
      <x:c r="H626" t="str">
        <x:v>40619</x:v>
      </x:c>
      <x:c r="I626" t="str">
        <x:v>https://www.smwcentral.net/?a=details&amp;id=40619&amp;p=section</x:v>
      </x:c>
      <x:c r="J626" t="str">
        <x:v>https://dl.smwcentral.net/40619/Hack8Release.zip</x:v>
      </x:c>
    </x:row>
    <x:row r="627">
      <x:c r="A627" t="str">
        <x:v>Hack for a dying culture</x:v>
      </x:c>
      <x:c r="B627" t="str">
        <x:v>Hack for a dying culture</x:v>
      </x:c>
      <x:c r="C627" t="str">
        <x:v>Anonymous</x:v>
      </x:c>
      <x:c r="D627" t="n">
        <x:v>7</x:v>
      </x:c>
      <x:c r="E627" t="str">
        <x:v>Master</x:v>
      </x:c>
      <x:c r="F627" t="str">
        <x:v>Kaizo</x:v>
      </x:c>
      <x:c r="G627" t="n">
        <x:v>44187</x:v>
      </x:c>
      <x:c r="H627" t="str">
        <x:v>25061</x:v>
      </x:c>
      <x:c r="I627" t="str">
        <x:v>https://www.smwcentral.net/?a=details&amp;id=25061&amp;p=section</x:v>
      </x:c>
      <x:c r="J627" t="str">
        <x:v>https://dl.smwcentral.net/25061/hfadc.zip</x:v>
      </x:c>
    </x:row>
    <x:row r="628">
      <x:c r="A628" t="str">
        <x:v>Hack: Greatest Hits</x:v>
      </x:c>
      <x:c r="B628" t="str">
        <x:v>Hack: Greatest Hits</x:v>
      </x:c>
      <x:c r="C628" t="str">
        <x:v>Golden Yoshi</x:v>
      </x:c>
      <x:c r="D628" t="n">
        <x:v>27</x:v>
      </x:c>
      <x:c r="E628" t="str">
        <x:v>Intermediate</x:v>
      </x:c>
      <x:c r="F628" t="str">
        <x:v>Standard, Kaizo</x:v>
      </x:c>
      <x:c r="G628" t="n">
        <x:v>45732</x:v>
      </x:c>
      <x:c r="H628" t="str">
        <x:v>39521</x:v>
      </x:c>
      <x:c r="I628" t="str">
        <x:v>https://www.smwcentral.net/?a=details&amp;id=39521&amp;p=section</x:v>
      </x:c>
      <x:c r="J628" t="str">
        <x:v>https://dl.smwcentral.net/39521/HackGreatestHitsReleasev1.2.zip</x:v>
      </x:c>
    </x:row>
    <x:row r="629">
      <x:c r="A629" t="str">
        <x:v>Hack: Greatest Hits Xtreme!</x:v>
      </x:c>
      <x:c r="B629" t="str">
        <x:v>Hack: Greatest Hits Xtreme!</x:v>
      </x:c>
      <x:c r="C629" t="str">
        <x:v>Golden Yoshi</x:v>
      </x:c>
      <x:c r="D629" t="n">
        <x:v>20</x:v>
      </x:c>
      <x:c r="E629" t="str">
        <x:v>Intermediate</x:v>
      </x:c>
      <x:c r="F629" t="str">
        <x:v>Kaizo</x:v>
      </x:c>
      <x:c r="G629" t="n">
        <x:v>45739</x:v>
      </x:c>
      <x:c r="H629" t="str">
        <x:v>39600</x:v>
      </x:c>
      <x:c r="I629" t="str">
        <x:v>https://www.smwcentral.net/?a=details&amp;id=39600&amp;p=section</x:v>
      </x:c>
      <x:c r="J629" t="str">
        <x:v>https://dl.smwcentral.net/39600/HackGHXRelease.zip</x:v>
      </x:c>
    </x:row>
    <x:row r="630">
      <x:c r="A630" t="str">
        <x:v>Hackers Dreams : Going Too Far</x:v>
      </x:c>
      <x:c r="B630" t="str">
        <x:v>Hackers Dreams : Going Too Far</x:v>
      </x:c>
      <x:c r="C630" t="str">
        <x:v>anonymousbl00dlust</x:v>
      </x:c>
      <x:c r="D630" t="n">
        <x:v>1</x:v>
      </x:c>
      <x:c r="E630" t="str">
        <x:v>Master</x:v>
      </x:c>
      <x:c r="F630" t="str">
        <x:v>Kaizo</x:v>
      </x:c>
      <x:c r="G630" t="n">
        <x:v>42938</x:v>
      </x:c>
      <x:c r="H630" t="str">
        <x:v>15918</x:v>
      </x:c>
      <x:c r="I630" t="str">
        <x:v>https://www.smwcentral.net/?a=details&amp;id=15918&amp;p=section</x:v>
      </x:c>
      <x:c r="J630" t="str">
        <x:v>https://dl.smwcentral.net/15918/GoingTooFar.zip</x:v>
      </x:c>
    </x:row>
    <x:row r="631">
      <x:c r="A631" t="str">
        <x:v>Hackers Dreams : Pipe Dream</x:v>
      </x:c>
      <x:c r="B631" t="str">
        <x:v>Hackers Dreams : Pipe Dream</x:v>
      </x:c>
      <x:c r="C631" t="str">
        <x:v>anonymousbl00dlust</x:v>
      </x:c>
      <x:c r="D631" t="n">
        <x:v>1</x:v>
      </x:c>
      <x:c r="E631" t="str">
        <x:v>Master</x:v>
      </x:c>
      <x:c r="F631" t="str">
        <x:v>Kaizo</x:v>
      </x:c>
      <x:c r="G631" t="n">
        <x:v>43287</x:v>
      </x:c>
      <x:c r="H631" t="str">
        <x:v>17741</x:v>
      </x:c>
      <x:c r="I631" t="str">
        <x:v>https://www.smwcentral.net/?a=details&amp;id=17741&amp;p=section</x:v>
      </x:c>
      <x:c r="J631" t="str">
        <x:v>https://dl.smwcentral.net/17741/Hackers%20Dreams%20Pipe%20Dream.zip</x:v>
      </x:c>
    </x:row>
    <x:row r="632">
      <x:c r="A632" t="str">
        <x:v>Hage World</x:v>
      </x:c>
      <x:c r="B632" t="str">
        <x:v>Hage World</x:v>
      </x:c>
      <x:c r="C632" t="str">
        <x:v>bald_ridge</x:v>
      </x:c>
      <x:c r="D632" t="n">
        <x:v>13</x:v>
      </x:c>
      <x:c r="E632" t="str">
        <x:v>Expert</x:v>
      </x:c>
      <x:c r="F632" t="str">
        <x:v>Kaizo</x:v>
      </x:c>
      <x:c r="G632" t="n">
        <x:v>45760</x:v>
      </x:c>
      <x:c r="H632" t="str">
        <x:v>39722</x:v>
      </x:c>
      <x:c r="I632" t="str">
        <x:v>https://www.smwcentral.net/?a=details&amp;id=39722&amp;p=section</x:v>
      </x:c>
      <x:c r="J632" t="str">
        <x:v>https://dl.smwcentral.net/39722/Hage%20World.zip</x:v>
      </x:c>
    </x:row>
    <x:row r="633">
      <x:c r="A633" t="str">
        <x:v>Hage World 2</x:v>
      </x:c>
      <x:c r="B633" t="str">
        <x:v>Hage World 2</x:v>
      </x:c>
      <x:c r="C633" t="str">
        <x:v>bald_ridge</x:v>
      </x:c>
      <x:c r="D633" t="n">
        <x:v>23</x:v>
      </x:c>
      <x:c r="E633" t="str">
        <x:v>Expert</x:v>
      </x:c>
      <x:c r="F633" t="str">
        <x:v>Kaizo</x:v>
      </x:c>
      <x:c r="G633" t="n">
        <x:v>46087</x:v>
      </x:c>
      <x:c r="H633" t="str">
        <x:v>41815</x:v>
      </x:c>
      <x:c r="I633" t="str">
        <x:v>https://www.smwcentral.net/?a=details&amp;id=41815&amp;p=section</x:v>
      </x:c>
      <x:c r="J633" t="str">
        <x:v>https://dl.smwcentral.net/41815/Hage%20World%202.zip</x:v>
      </x:c>
    </x:row>
    <x:row r="634">
      <x:c r="A634" t="str">
        <x:v>Hakurankai Mario</x:v>
      </x:c>
      <x:c r="B634" t="str">
        <x:v>Hakurankai Mario</x:v>
      </x:c>
      <x:c r="C634" t="str">
        <x:v>CoinBandit, Kiki-mewmew</x:v>
      </x:c>
      <x:c r="D634" t="n">
        <x:v>5</x:v>
      </x:c>
      <x:c r="E634" t="str">
        <x:v>Casual</x:v>
      </x:c>
      <x:c r="F634" t="str">
        <x:v>Standard</x:v>
      </x:c>
      <x:c r="G634" t="n">
        <x:v>42213</x:v>
      </x:c>
      <x:c r="H634" t="str">
        <x:v>9859</x:v>
      </x:c>
      <x:c r="I634" t="str">
        <x:v>https://www.smwcentral.net/?a=details&amp;id=9859&amp;p=section</x:v>
      </x:c>
      <x:c r="J634" t="str">
        <x:v>https://dl.smwcentral.net/9859/HAKURANKAI%20DEMO.zip</x:v>
      </x:c>
    </x:row>
    <x:row r="635">
      <x:c r="A635" t="str">
        <x:v>Hallowed Ground</x:v>
      </x:c>
      <x:c r="B635" t="str">
        <x:v>Hallowed Ground</x:v>
      </x:c>
      <x:c r="C635" t="str">
        <x:v>nanec</x:v>
      </x:c>
      <x:c r="D635" t="n">
        <x:v>14</x:v>
      </x:c>
      <x:c r="E635" t="str">
        <x:v>Expert</x:v>
      </x:c>
      <x:c r="F635" t="str">
        <x:v>Kaizo</x:v>
      </x:c>
      <x:c r="G635" t="n">
        <x:v>44606</x:v>
      </x:c>
      <x:c r="H635" t="str">
        <x:v>29667</x:v>
      </x:c>
      <x:c r="I635" t="str">
        <x:v>https://www.smwcentral.net/?a=details&amp;id=29667&amp;p=section</x:v>
      </x:c>
      <x:c r="J635" t="str">
        <x:v>https://dl.smwcentral.net/29667/HGnanec.zip</x:v>
      </x:c>
    </x:row>
    <x:row r="636">
      <x:c r="A636" t="str">
        <x:v>Halloween Hack</x:v>
      </x:c>
      <x:c r="B636" t="str">
        <x:v>Halloween Hack</x:v>
      </x:c>
      <x:c r="C636" t="str">
        <x:v>Golden Yoshi</x:v>
      </x:c>
      <x:c r="D636" t="n">
        <x:v>7</x:v>
      </x:c>
      <x:c r="E636" t="str">
        <x:v>Intermediate</x:v>
      </x:c>
      <x:c r="F636" t="str">
        <x:v>Standard</x:v>
      </x:c>
      <x:c r="G636" t="n">
        <x:v>45825</x:v>
      </x:c>
      <x:c r="H636" t="str">
        <x:v>39974</x:v>
      </x:c>
      <x:c r="I636" t="str">
        <x:v>https://www.smwcentral.net/?a=details&amp;id=39974&amp;p=section</x:v>
      </x:c>
      <x:c r="J636" t="str">
        <x:v>https://dl.smwcentral.net/39974/Halloween%20Hack.zip</x:v>
      </x:c>
    </x:row>
    <x:row r="637">
      <x:c r="A637" t="str">
        <x:v>Halloween in the Mushroom Kingdom</x:v>
      </x:c>
      <x:c r="B637" t="str">
        <x:v>Halloween in the Mushroom Kingdom</x:v>
      </x:c>
      <x:c r="C637" t="str">
        <x:v>AuraDee</x:v>
      </x:c>
      <x:c r="D637" t="n">
        <x:v>3</x:v>
      </x:c>
      <x:c r="E637" t="str">
        <x:v>Casual</x:v>
      </x:c>
      <x:c r="F637" t="str">
        <x:v>Standard</x:v>
      </x:c>
      <x:c r="G637" t="n">
        <x:v>43871</x:v>
      </x:c>
      <x:c r="H637" t="str">
        <x:v>22080</x:v>
      </x:c>
      <x:c r="I637" t="str">
        <x:v>https://www.smwcentral.net/?a=details&amp;id=22080&amp;p=section</x:v>
      </x:c>
      <x:c r="J637" t="str">
        <x:v>https://dl.smwcentral.net/22080/HITMK%20%28Music%20Fixed%29.zip</x:v>
      </x:c>
    </x:row>
    <x:row r="638">
      <x:c r="A638" t="str">
        <x:v>Halloween Islands</x:v>
      </x:c>
      <x:c r="B638" t="str">
        <x:v>Halloween Islands</x:v>
      </x:c>
      <x:c r="C638" t="str">
        <x:v>grisu</x:v>
      </x:c>
      <x:c r="D638" t="n">
        <x:v>8</x:v>
      </x:c>
      <x:c r="E638" t="str">
        <x:v>Intermediate</x:v>
      </x:c>
      <x:c r="F638" t="str">
        <x:v>Kaizo</x:v>
      </x:c>
      <x:c r="G638" t="n">
        <x:v>44489</x:v>
      </x:c>
      <x:c r="H638" t="str">
        <x:v>28590</x:v>
      </x:c>
      <x:c r="I638" t="str">
        <x:v>https://www.smwcentral.net/?a=details&amp;id=28590&amp;p=section</x:v>
      </x:c>
      <x:c r="J638" t="str">
        <x:v>https://dl.smwcentral.net/28590/Halloween%20Islands.zip</x:v>
      </x:c>
    </x:row>
    <x:row r="639">
      <x:c r="A639" t="str">
        <x:v>Halloween Kaizo World</x:v>
      </x:c>
      <x:c r="B639" t="str">
        <x:v>Halloween Kaizo World</x:v>
      </x:c>
      <x:c r="C639" t="str">
        <x:v>Green Jerry</x:v>
      </x:c>
      <x:c r="D639" t="n">
        <x:v>5</x:v>
      </x:c>
      <x:c r="E639" t="str">
        <x:v>Advanced</x:v>
      </x:c>
      <x:c r="F639" t="str">
        <x:v>Kaizo</x:v>
      </x:c>
      <x:c r="G639" t="n">
        <x:v>46173</x:v>
      </x:c>
      <x:c r="H639" t="str">
        <x:v>42450</x:v>
      </x:c>
      <x:c r="I639" t="str">
        <x:v>https://www.smwcentral.net/?a=details&amp;id=42450&amp;p=section</x:v>
      </x:c>
      <x:c r="J639" t="str">
        <x:v>https://dl.smwcentral.net/42450/Halloween%20Kaizo%20World%20v1.2.zip</x:v>
      </x:c>
    </x:row>
    <x:row r="640">
      <x:c r="A640" t="str">
        <x:v>Halo 14 - Definitive Edition</x:v>
      </x:c>
      <x:c r="B640" t="str">
        <x:v>Halo 14 - Definitive Edition</x:v>
      </x:c>
      <x:c r="C640" t="str">
        <x:v>LightAligns, Saela</x:v>
      </x:c>
      <x:c r="D640" t="n">
        <x:v>23</x:v>
      </x:c>
      <x:c r="E640" t="str">
        <x:v>Expert</x:v>
      </x:c>
      <x:c r="F640" t="str">
        <x:v>Kaizo</x:v>
      </x:c>
      <x:c r="G640" t="n">
        <x:v>46062</x:v>
      </x:c>
      <x:c r="H640" t="str">
        <x:v>41546</x:v>
      </x:c>
      <x:c r="I640" t="str">
        <x:v>https://www.smwcentral.net/?a=details&amp;id=41546&amp;p=section</x:v>
      </x:c>
      <x:c r="J640" t="str">
        <x:v>https://dl.smwcentral.net/41546/Halo%2014%20-%20Definitive%20Edition.zip</x:v>
      </x:c>
    </x:row>
    <x:row r="641">
      <x:c r="A641" t="str">
        <x:v>Halo 14 - Side A</x:v>
      </x:c>
      <x:c r="B641" t="str">
        <x:v>Halo 14 - Side A</x:v>
      </x:c>
      <x:c r="C641" t="str">
        <x:v>LightAligns, Saela</x:v>
      </x:c>
      <x:c r="D641" t="n">
        <x:v>12</x:v>
      </x:c>
      <x:c r="E641" t="str">
        <x:v>Expert</x:v>
      </x:c>
      <x:c r="F641" t="str">
        <x:v>Kaizo</x:v>
      </x:c>
      <x:c r="G641" t="n">
        <x:v>44832</x:v>
      </x:c>
      <x:c r="H641" t="str">
        <x:v>32170</x:v>
      </x:c>
      <x:c r="I641" t="str">
        <x:v>https://www.smwcentral.net/?a=details&amp;id=32170&amp;p=section</x:v>
      </x:c>
      <x:c r="J641" t="str">
        <x:v>https://dl.smwcentral.net/32170/Halo%2014%20Side%20A.zip</x:v>
      </x:c>
    </x:row>
    <x:row r="642">
      <x:c r="A642" t="str">
        <x:v>Halo 14 - Side B</x:v>
      </x:c>
      <x:c r="B642" t="str">
        <x:v>Halo 14 - Side B</x:v>
      </x:c>
      <x:c r="C642" t="str">
        <x:v>LightAligns, Saela</x:v>
      </x:c>
      <x:c r="D642" t="n">
        <x:v>11</x:v>
      </x:c>
      <x:c r="E642" t="str">
        <x:v>Expert</x:v>
      </x:c>
      <x:c r="F642" t="str">
        <x:v>Kaizo</x:v>
      </x:c>
      <x:c r="G642" t="n">
        <x:v>44916</x:v>
      </x:c>
      <x:c r="H642" t="str">
        <x:v>32774</x:v>
      </x:c>
      <x:c r="I642" t="str">
        <x:v>https://www.smwcentral.net/?a=details&amp;id=32774&amp;p=section</x:v>
      </x:c>
      <x:c r="J642" t="str">
        <x:v>https://dl.smwcentral.net/32774/Halo%2014%20Side%20B.zip</x:v>
      </x:c>
    </x:row>
    <x:row r="643">
      <x:c r="A643" t="str">
        <x:v>Hammer Time</x:v>
      </x:c>
      <x:c r="B643" t="str">
        <x:v>Hammer Time</x:v>
      </x:c>
      <x:c r="C643" t="str">
        <x:v>xDropTheHammer</x:v>
      </x:c>
      <x:c r="D643" t="n">
        <x:v>23</x:v>
      </x:c>
      <x:c r="E643" t="str">
        <x:v>Advanced</x:v>
      </x:c>
      <x:c r="F643" t="str">
        <x:v>Kaizo</x:v>
      </x:c>
      <x:c r="G643" t="n">
        <x:v>44942</x:v>
      </x:c>
      <x:c r="H643" t="str">
        <x:v>32937</x:v>
      </x:c>
      <x:c r="I643" t="str">
        <x:v>https://www.smwcentral.net/?a=details&amp;id=32937&amp;p=section</x:v>
      </x:c>
      <x:c r="J643" t="str">
        <x:v>https://dl.smwcentral.net/32937/HammerTime%20V1.5.zip</x:v>
      </x:c>
    </x:row>
    <x:row r="644">
      <x:c r="A644" t="str">
        <x:v>Hangin With Mr. Koopa</x:v>
      </x:c>
      <x:c r="B644" t="str">
        <x:v>Hangin With Mr. Koopa</x:v>
      </x:c>
      <x:c r="C644" t="str">
        <x:v>Miscalc</x:v>
      </x:c>
      <x:c r="D644" t="n">
        <x:v>10</x:v>
      </x:c>
      <x:c r="E644" t="str">
        <x:v>Advanced</x:v>
      </x:c>
      <x:c r="F644" t="str">
        <x:v>Kaizo</x:v>
      </x:c>
      <x:c r="G644" t="n">
        <x:v>44092</x:v>
      </x:c>
      <x:c r="H644" t="str">
        <x:v>24257</x:v>
      </x:c>
      <x:c r="I644" t="str">
        <x:v>https://www.smwcentral.net/?a=details&amp;id=24257&amp;p=section</x:v>
      </x:c>
      <x:c r="J644" t="str">
        <x:v>https://dl.smwcentral.net/24257/Hangin_With_Mr_Koopa_1.1.zip</x:v>
      </x:c>
    </x:row>
    <x:row r="645">
      <x:c r="A645" t="str">
        <x:v>Hangin With Mr. Koopa 2: All Vanilla No Filla</x:v>
      </x:c>
      <x:c r="B645" t="str">
        <x:v>Hangin With Mr. Koopa 2: All Vanilla No Filla</x:v>
      </x:c>
      <x:c r="C645" t="str">
        <x:v>Miscalc</x:v>
      </x:c>
      <x:c r="D645" t="n">
        <x:v>9</x:v>
      </x:c>
      <x:c r="E645" t="str">
        <x:v>Advanced</x:v>
      </x:c>
      <x:c r="F645" t="str">
        <x:v>Kaizo</x:v>
      </x:c>
      <x:c r="G645" t="n">
        <x:v>44757</x:v>
      </x:c>
      <x:c r="H645" t="str">
        <x:v>31460</x:v>
      </x:c>
      <x:c r="I645" t="str">
        <x:v>https://www.smwcentral.net/?a=details&amp;id=31460&amp;p=section</x:v>
      </x:c>
      <x:c r="J645" t="str">
        <x:v>https://dl.smwcentral.net/31460/hangin-with-mr-koopa-2.zip</x:v>
      </x:c>
    </x:row>
    <x:row r="646">
      <x:c r="A646" t="str">
        <x:v>Hardcore Mario</x:v>
      </x:c>
      <x:c r="B646" t="str">
        <x:v>Hardcore Mario</x:v>
      </x:c>
      <x:c r="C646" t="str">
        <x:v>51690</x:v>
      </x:c>
      <x:c r="D646" t="n">
        <x:v>5</x:v>
      </x:c>
      <x:c r="E646" t="str">
        <x:v>Grandmaster</x:v>
      </x:c>
      <x:c r="F646" t="str">
        <x:v>Kaizo</x:v>
      </x:c>
      <x:c r="G646" t="n">
        <x:v>44904</x:v>
      </x:c>
      <x:c r="H646" t="str">
        <x:v>32655</x:v>
      </x:c>
      <x:c r="I646" t="str">
        <x:v>https://www.smwcentral.net/?a=details&amp;id=32655&amp;p=section</x:v>
      </x:c>
      <x:c r="J646" t="str">
        <x:v>https://dl.smwcentral.net/32655/Hardcore_Mario.zip</x:v>
      </x:c>
    </x:row>
    <x:row r="647">
      <x:c r="A647" t="str">
        <x:v>Harmful</x:v>
      </x:c>
      <x:c r="B647" t="str">
        <x:v>Harmful</x:v>
      </x:c>
      <x:c r="C647" t="str">
        <x:v>LiamBLOL</x:v>
      </x:c>
      <x:c r="D647" t="n">
        <x:v>17</x:v>
      </x:c>
      <x:c r="E647" t="str">
        <x:v>Master</x:v>
      </x:c>
      <x:c r="F647" t="str">
        <x:v>Kaizo</x:v>
      </x:c>
      <x:c r="G647" t="n">
        <x:v>45012</x:v>
      </x:c>
      <x:c r="H647" t="str">
        <x:v>33450</x:v>
      </x:c>
      <x:c r="I647" t="str">
        <x:v>https://www.smwcentral.net/?a=details&amp;id=33450&amp;p=section</x:v>
      </x:c>
      <x:c r="J647" t="str">
        <x:v>https://dl.smwcentral.net/33450/Harmful.zip</x:v>
      </x:c>
    </x:row>
    <x:row r="648">
      <x:c r="A648" t="str">
        <x:v>Hazuka World</x:v>
      </x:c>
      <x:c r="B648" t="str">
        <x:v>Hazuka World</x:v>
      </x:c>
      <x:c r="C648" t="str">
        <x:v>Foxy McCloud</x:v>
      </x:c>
      <x:c r="D648" t="n">
        <x:v>5</x:v>
      </x:c>
      <x:c r="E648" t="str">
        <x:v>Advanced</x:v>
      </x:c>
      <x:c r="F648" t="str">
        <x:v>Kaizo</x:v>
      </x:c>
      <x:c r="G648" t="n">
        <x:v>43950</x:v>
      </x:c>
      <x:c r="H648" t="str">
        <x:v>22581</x:v>
      </x:c>
      <x:c r="I648" t="str">
        <x:v>https://www.smwcentral.net/?a=details&amp;id=22581&amp;p=section</x:v>
      </x:c>
      <x:c r="J648" t="str">
        <x:v>https://dl.smwcentral.net/22581/HazukaWorld1.55.zip</x:v>
      </x:c>
    </x:row>
    <x:row r="649">
      <x:c r="A649" t="str">
        <x:v>Heat Wave</x:v>
      </x:c>
      <x:c r="B649" t="str">
        <x:v>Heat Wave</x:v>
      </x:c>
      <x:c r="C649" t="str">
        <x:v>will___</x:v>
      </x:c>
      <x:c r="D649" t="n">
        <x:v>19</x:v>
      </x:c>
      <x:c r="E649" t="str">
        <x:v>Advanced</x:v>
      </x:c>
      <x:c r="F649" t="str">
        <x:v>Kaizo</x:v>
      </x:c>
      <x:c r="G649" t="n">
        <x:v>46029</x:v>
      </x:c>
      <x:c r="H649" t="str">
        <x:v>41380</x:v>
      </x:c>
      <x:c r="I649" t="str">
        <x:v>https://www.smwcentral.net/?a=details&amp;id=41380&amp;p=section</x:v>
      </x:c>
      <x:c r="J649" t="str">
        <x:v>https://dl.smwcentral.net/41380/HeatWave.zip</x:v>
      </x:c>
    </x:row>
    <x:row r="650">
      <x:c r="A650" t="str">
        <x:v>Heavenly Host</x:v>
      </x:c>
      <x:c r="B650" t="str">
        <x:v>Heavenly Host</x:v>
      </x:c>
      <x:c r="C650" t="str">
        <x:v>Lush_50</x:v>
      </x:c>
      <x:c r="D650" t="n">
        <x:v>0</x:v>
      </x:c>
      <x:c r="E650" t="str">
        <x:v>Advanced</x:v>
      </x:c>
      <x:c r="F650" t="str">
        <x:v>Kaizo</x:v>
      </x:c>
      <x:c r="G650" t="n">
        <x:v>44409</x:v>
      </x:c>
      <x:c r="H650" t="str">
        <x:v>27872</x:v>
      </x:c>
      <x:c r="I650" t="str">
        <x:v>https://www.smwcentral.net/?a=details&amp;id=27872&amp;p=section</x:v>
      </x:c>
      <x:c r="J650" t="str">
        <x:v>https://dl.smwcentral.net/27872/Heavenly_Host_V1.1.zip</x:v>
      </x:c>
    </x:row>
    <x:row r="651">
      <x:c r="A651" t="str">
        <x:v>Heavenly host 2 : Master class</x:v>
      </x:c>
      <x:c r="B651" t="str">
        <x:v>Heavenly host 2 : Master class</x:v>
      </x:c>
      <x:c r="C651" t="str">
        <x:v>Lush_50</x:v>
      </x:c>
      <x:c r="D651" t="n">
        <x:v>0</x:v>
      </x:c>
      <x:c r="E651" t="str">
        <x:v>Advanced</x:v>
      </x:c>
      <x:c r="F651" t="str">
        <x:v>Kaizo</x:v>
      </x:c>
      <x:c r="G651" t="n">
        <x:v>44460</x:v>
      </x:c>
      <x:c r="H651" t="str">
        <x:v>28326</x:v>
      </x:c>
      <x:c r="I651" t="str">
        <x:v>https://www.smwcentral.net/?a=details&amp;id=28326&amp;p=section</x:v>
      </x:c>
      <x:c r="J651" t="str">
        <x:v>https://dl.smwcentral.net/28326/Heavenly%20host%20II%20v1.1.zip</x:v>
      </x:c>
    </x:row>
    <x:row r="652">
      <x:c r="A652" t="str">
        <x:v>Heavenly host 3 : Forever faithful</x:v>
      </x:c>
      <x:c r="B652" t="str">
        <x:v>Heavenly host 3 : Forever faithful</x:v>
      </x:c>
      <x:c r="C652" t="str">
        <x:v>Lush_50</x:v>
      </x:c>
      <x:c r="D652" t="n">
        <x:v>0</x:v>
      </x:c>
      <x:c r="E652" t="str">
        <x:v>Advanced</x:v>
      </x:c>
      <x:c r="F652" t="str">
        <x:v>Kaizo</x:v>
      </x:c>
      <x:c r="G652" t="n">
        <x:v>44463</x:v>
      </x:c>
      <x:c r="H652" t="str">
        <x:v>28394</x:v>
      </x:c>
      <x:c r="I652" t="str">
        <x:v>https://www.smwcentral.net/?a=details&amp;id=28394&amp;p=section</x:v>
      </x:c>
      <x:c r="J652" t="str">
        <x:v>https://dl.smwcentral.net/28394/Heavenly%20host%203%20v1.1.zip</x:v>
      </x:c>
    </x:row>
    <x:row r="653">
      <x:c r="A653" t="str">
        <x:v>Heckin' Spoop World</x:v>
      </x:c>
      <x:c r="B653" t="str">
        <x:v>Heckin' Spoop World</x:v>
      </x:c>
      <x:c r="C653" t="str">
        <x:v>Koopenstein</x:v>
      </x:c>
      <x:c r="D653" t="n">
        <x:v>13</x:v>
      </x:c>
      <x:c r="E653" t="str">
        <x:v>Advanced</x:v>
      </x:c>
      <x:c r="F653" t="str">
        <x:v>Standard</x:v>
      </x:c>
      <x:c r="G653" t="n">
        <x:v>45944</x:v>
      </x:c>
      <x:c r="H653" t="str">
        <x:v>40743</x:v>
      </x:c>
      <x:c r="I653" t="str">
        <x:v>https://www.smwcentral.net/?a=details&amp;id=40743&amp;p=section</x:v>
      </x:c>
      <x:c r="J653" t="str">
        <x:v>https://dl.smwcentral.net/40743/Heckin%20Spoop%20World%20v1.3.zip</x:v>
      </x:c>
    </x:row>
    <x:row r="654">
      <x:c r="A654" t="str">
        <x:v>Hell Wizardry: functional overworld edition</x:v>
      </x:c>
      <x:c r="B654" t="str">
        <x:v>Hell Wizardry: functional overworld edition</x:v>
      </x:c>
      <x:c r="C654" t="str">
        <x:v>ageVerrly</x:v>
      </x:c>
      <x:c r="D654" t="n">
        <x:v>16</x:v>
      </x:c>
      <x:c r="E654" t="str">
        <x:v>Expert</x:v>
      </x:c>
      <x:c r="F654" t="str">
        <x:v>Kaizo</x:v>
      </x:c>
      <x:c r="G654" t="n">
        <x:v>44110</x:v>
      </x:c>
      <x:c r="H654" t="str">
        <x:v>24549</x:v>
      </x:c>
      <x:c r="I654" t="str">
        <x:v>https://www.smwcentral.net/?a=details&amp;id=24549&amp;p=section</x:v>
      </x:c>
      <x:c r="J654" t="str">
        <x:v>https://dl.smwcentral.net/24549/HellWizardry1.4.zip</x:v>
      </x:c>
    </x:row>
    <x:row r="655">
      <x:c r="A655" t="str">
        <x:v>Hertz Donut</x:v>
      </x:c>
      <x:c r="B655" t="str">
        <x:v>Hertz Donut</x:v>
      </x:c>
      <x:c r="C655" t="str">
        <x:v>Sokobansolver</x:v>
      </x:c>
      <x:c r="D655" t="n">
        <x:v>16</x:v>
      </x:c>
      <x:c r="E655" t="str">
        <x:v>Intermediate</x:v>
      </x:c>
      <x:c r="F655" t="str">
        <x:v>Kaizo, Tool-Assisted</x:v>
      </x:c>
      <x:c r="G655" t="n">
        <x:v>41724</x:v>
      </x:c>
      <x:c r="H655" t="str">
        <x:v>6069</x:v>
      </x:c>
      <x:c r="I655" t="str">
        <x:v>https://www.smwcentral.net/?a=details&amp;id=6069&amp;p=section</x:v>
      </x:c>
      <x:c r="J655" t="str">
        <x:v>https://dl.smwcentral.net/6069/Hertz%20Donut.zip</x:v>
      </x:c>
    </x:row>
    <x:row r="656">
      <x:c r="A656" t="str">
        <x:v>Hi!</x:v>
      </x:c>
      <x:c r="B656" t="str">
        <x:v>Hi!</x:v>
      </x:c>
      <x:c r="C656" t="str">
        <x:v>3dsalmon</x:v>
      </x:c>
      <x:c r="D656" t="n">
        <x:v>14</x:v>
      </x:c>
      <x:c r="E656" t="str">
        <x:v>Master</x:v>
      </x:c>
      <x:c r="F656" t="str">
        <x:v>Kaizo</x:v>
      </x:c>
      <x:c r="G656" t="n">
        <x:v>45970</x:v>
      </x:c>
      <x:c r="H656" t="str">
        <x:v>40840</x:v>
      </x:c>
      <x:c r="I656" t="str">
        <x:v>https://www.smwcentral.net/?a=details&amp;id=40840&amp;p=section</x:v>
      </x:c>
      <x:c r="J656" t="str">
        <x:v>https://dl.smwcentral.net/40840/Hi%21%20v1.1.zip</x:v>
      </x:c>
    </x:row>
    <x:row r="657">
      <x:c r="A657" t="str">
        <x:v>Hidden Dream in the Deep Time</x:v>
      </x:c>
      <x:c r="B657" t="str">
        <x:v>Hidden Dream in the Deep Time</x:v>
      </x:c>
      <x:c r="C657" t="str">
        <x:v>GbreezeSunset</x:v>
      </x:c>
      <x:c r="D657" t="n">
        <x:v>12</x:v>
      </x:c>
      <x:c r="E657" t="str">
        <x:v>Expert</x:v>
      </x:c>
      <x:c r="F657" t="str">
        <x:v>Kaizo</x:v>
      </x:c>
      <x:c r="G657" t="n">
        <x:v>46130</x:v>
      </x:c>
      <x:c r="H657" t="str">
        <x:v>42212</x:v>
      </x:c>
      <x:c r="I657" t="str">
        <x:v>https://www.smwcentral.net/?a=details&amp;id=42212&amp;p=section</x:v>
      </x:c>
      <x:c r="J657" t="str">
        <x:v>https://dl.smwcentral.net/42212/Hidden%20Dream%20in%20the%20Deep%20Time%20%28v1.1%29.zip</x:v>
      </x:c>
    </x:row>
    <x:row r="658">
      <x:c r="A658" t="str">
        <x:v>Home</x:v>
      </x:c>
      <x:c r="B658" t="str">
        <x:v>Home</x:v>
      </x:c>
      <x:c r="C658" t="str">
        <x:v>Lush_50</x:v>
      </x:c>
      <x:c r="D658" t="n">
        <x:v>6</x:v>
      </x:c>
      <x:c r="E658" t="str">
        <x:v>Expert</x:v>
      </x:c>
      <x:c r="F658" t="str">
        <x:v>Kaizo</x:v>
      </x:c>
      <x:c r="G658" t="n">
        <x:v>45634</x:v>
      </x:c>
      <x:c r="H658" t="str">
        <x:v>38890</x:v>
      </x:c>
      <x:c r="I658" t="str">
        <x:v>https://www.smwcentral.net/?a=details&amp;id=38890&amp;p=section</x:v>
      </x:c>
      <x:c r="J658" t="str">
        <x:v>https://dl.smwcentral.net/38890/Home%20v1.0%20Lush_50.zip</x:v>
      </x:c>
    </x:row>
    <x:row r="659">
      <x:c r="A659" t="str">
        <x:v>Hope's Wind</x:v>
      </x:c>
      <x:c r="B659" t="str">
        <x:v>Hope's Wind</x:v>
      </x:c>
      <x:c r="C659" t="str">
        <x:v>Nint</x:v>
      </x:c>
      <x:c r="D659" t="n">
        <x:v>13</x:v>
      </x:c>
      <x:c r="E659" t="str">
        <x:v>Advanced</x:v>
      </x:c>
      <x:c r="F659" t="str">
        <x:v>Kaizo</x:v>
      </x:c>
      <x:c r="G659" t="n">
        <x:v>43876</x:v>
      </x:c>
      <x:c r="H659" t="str">
        <x:v>22131</x:v>
      </x:c>
      <x:c r="I659" t="str">
        <x:v>https://www.smwcentral.net/?a=details&amp;id=22131&amp;p=section</x:v>
      </x:c>
      <x:c r="J659" t="str">
        <x:v>https://dl.smwcentral.net/22131/Hope%27s%20Wind.zip</x:v>
      </x:c>
    </x:row>
    <x:row r="660">
      <x:c r="A660" t="str">
        <x:v>Hops' Great Adventure</x:v>
      </x:c>
      <x:c r="B660" t="str">
        <x:v>Hops' Great Adventure</x:v>
      </x:c>
      <x:c r="C660" t="str">
        <x:v>bucketofwetsocks</x:v>
      </x:c>
      <x:c r="D660" t="n">
        <x:v>11</x:v>
      </x:c>
      <x:c r="E660" t="str">
        <x:v>Master</x:v>
      </x:c>
      <x:c r="F660" t="str">
        <x:v>Kaizo</x:v>
      </x:c>
      <x:c r="G660" t="n">
        <x:v>44663</x:v>
      </x:c>
      <x:c r="H660" t="str">
        <x:v>30172</x:v>
      </x:c>
      <x:c r="I660" t="str">
        <x:v>https://www.smwcentral.net/?a=details&amp;id=30172&amp;p=section</x:v>
      </x:c>
      <x:c r="J660" t="str">
        <x:v>https://dl.smwcentral.net/30172/hops.r.2.0.bps.zip</x:v>
      </x:c>
    </x:row>
    <x:row r="661">
      <x:c r="A661" t="str">
        <x:v>Horrifying Mario World</x:v>
      </x:c>
      <x:c r="B661" t="str">
        <x:v>Horrifying Mario World</x:v>
      </x:c>
      <x:c r="C661" t="str">
        <x:v>GbreezeSunset</x:v>
      </x:c>
      <x:c r="D661" t="n">
        <x:v>20</x:v>
      </x:c>
      <x:c r="E661" t="str">
        <x:v>Intermediate</x:v>
      </x:c>
      <x:c r="F661" t="str">
        <x:v>Kaizo, Tool-Assisted</x:v>
      </x:c>
      <x:c r="G661" t="n">
        <x:v>41956</x:v>
      </x:c>
      <x:c r="H661" t="str">
        <x:v>9273</x:v>
      </x:c>
      <x:c r="I661" t="str">
        <x:v>https://www.smwcentral.net/?a=details&amp;id=9273&amp;p=section</x:v>
      </x:c>
      <x:c r="J661" t="str">
        <x:v>https://dl.smwcentral.net/9273/Horrifying%20Mario%20World.zip</x:v>
      </x:c>
    </x:row>
    <x:row r="662">
      <x:c r="A662" t="str">
        <x:v>HotHead Heights</x:v>
      </x:c>
      <x:c r="B662" t="str">
        <x:v>HotHead Heights</x:v>
      </x:c>
      <x:c r="C662" t="str">
        <x:v>BlooberryPi</x:v>
      </x:c>
      <x:c r="D662" t="n">
        <x:v>7</x:v>
      </x:c>
      <x:c r="E662" t="str">
        <x:v>Advanced</x:v>
      </x:c>
      <x:c r="F662" t="str">
        <x:v>Kaizo</x:v>
      </x:c>
      <x:c r="G662" t="n">
        <x:v>43551</x:v>
      </x:c>
      <x:c r="H662" t="str">
        <x:v>19402</x:v>
      </x:c>
      <x:c r="I662" t="str">
        <x:v>https://www.smwcentral.net/?a=details&amp;id=19402&amp;p=section</x:v>
      </x:c>
      <x:c r="J662" t="str">
        <x:v>https://dl.smwcentral.net/19402/HotHead%20Heights.zip</x:v>
      </x:c>
    </x:row>
    <x:row r="663">
      <x:c r="A663" t="str">
        <x:v>Hourglass Twist</x:v>
      </x:c>
      <x:c r="B663" t="str">
        <x:v>Hourglass Twist</x:v>
      </x:c>
      <x:c r="C663" t="str">
        <x:v>Alex</x:v>
      </x:c>
      <x:c r="D663" t="n">
        <x:v>13</x:v>
      </x:c>
      <x:c r="E663" t="str">
        <x:v>Master</x:v>
      </x:c>
      <x:c r="F663" t="str">
        <x:v>Kaizo, Puzzle</x:v>
      </x:c>
      <x:c r="G663" t="n">
        <x:v>44484</x:v>
      </x:c>
      <x:c r="H663" t="str">
        <x:v>28538</x:v>
      </x:c>
      <x:c r="I663" t="str">
        <x:v>https://www.smwcentral.net/?a=details&amp;id=28538&amp;p=section</x:v>
      </x:c>
      <x:c r="J663" t="str">
        <x:v>https://dl.smwcentral.net/28538/Hourglass%20Twist.zip</x:v>
      </x:c>
    </x:row>
    <x:row r="664">
      <x:c r="A664" t="str">
        <x:v>House of King Boo</x:v>
      </x:c>
      <x:c r="B664" t="str">
        <x:v>House of King Boo</x:v>
      </x:c>
      <x:c r="C664" t="str">
        <x:v>Parahax</x:v>
      </x:c>
      <x:c r="D664" t="n">
        <x:v>1</x:v>
      </x:c>
      <x:c r="E664" t="str">
        <x:v>Expert</x:v>
      </x:c>
      <x:c r="F664" t="str">
        <x:v>Kaizo</x:v>
      </x:c>
      <x:c r="G664" t="n">
        <x:v>44503</x:v>
      </x:c>
      <x:c r="H664" t="str">
        <x:v>28688</x:v>
      </x:c>
      <x:c r="I664" t="str">
        <x:v>https://www.smwcentral.net/?a=details&amp;id=28688&amp;p=section</x:v>
      </x:c>
      <x:c r="J664" t="str">
        <x:v>https://dl.smwcentral.net/28688/House%20of%20King%20Boo%201.06.zip</x:v>
      </x:c>
    </x:row>
    <x:row r="665">
      <x:c r="A665" t="str">
        <x:v>How I Learned to Stop Worrying and Love the Bob-omb</x:v>
      </x:c>
      <x:c r="B665" t="str">
        <x:v>How I Learned to Stop Worrying and Love the Bob-omb</x:v>
      </x:c>
      <x:c r="C665" t="str">
        <x:v>Zildjian</x:v>
      </x:c>
      <x:c r="D665" t="n">
        <x:v>5</x:v>
      </x:c>
      <x:c r="E665" t="str">
        <x:v>Casual</x:v>
      </x:c>
      <x:c r="F665" t="str">
        <x:v>Standard</x:v>
      </x:c>
      <x:c r="G665" t="n">
        <x:v>42218</x:v>
      </x:c>
      <x:c r="H665" t="str">
        <x:v>9956</x:v>
      </x:c>
      <x:c r="I665" t="str">
        <x:v>https://www.smwcentral.net/?a=details&amp;id=9956&amp;p=section</x:v>
      </x:c>
      <x:c r="J665" t="str">
        <x:v>https://dl.smwcentral.net/9956/HILTSWALTB.zip</x:v>
      </x:c>
    </x:row>
    <x:row r="666">
      <x:c r="A666" t="str">
        <x:v>how long do snails sleep (vanilla)</x:v>
      </x:c>
      <x:c r="B666" t="str">
        <x:v>how long do snails sleep (vanilla)</x:v>
      </x:c>
      <x:c r="C666" t="str">
        <x:v>Somebody for sure</x:v>
      </x:c>
      <x:c r="D666" t="n">
        <x:v>0</x:v>
      </x:c>
      <x:c r="E666" t="str">
        <x:v>Advanced</x:v>
      </x:c>
      <x:c r="F666" t="str">
        <x:v>Kaizo</x:v>
      </x:c>
      <x:c r="G666" t="n">
        <x:v>45426</x:v>
      </x:c>
      <x:c r="H666" t="str">
        <x:v>37692</x:v>
      </x:c>
      <x:c r="I666" t="str">
        <x:v>https://www.smwcentral.net/?a=details&amp;id=37692&amp;p=section</x:v>
      </x:c>
      <x:c r="J666" t="str">
        <x:v>https://dl.smwcentral.net/37692/how%20long%20do%20snails%20sleep%20%28vanilla%2C%20finalhopefully%29.zip</x:v>
      </x:c>
    </x:row>
    <x:row r="667">
      <x:c r="A667" t="str">
        <x:v>How NOT to Kaizo</x:v>
      </x:c>
      <x:c r="B667" t="str">
        <x:v>How NOT to Kaizo</x:v>
      </x:c>
      <x:c r="C667" t="str">
        <x:v>Skirdus</x:v>
      </x:c>
      <x:c r="D667" t="n">
        <x:v>8</x:v>
      </x:c>
      <x:c r="E667" t="str">
        <x:v>Intermediate</x:v>
      </x:c>
      <x:c r="F667" t="str">
        <x:v>Kaizo, Tool-Assisted</x:v>
      </x:c>
      <x:c r="G667" t="n">
        <x:v>43833</x:v>
      </x:c>
      <x:c r="H667" t="str">
        <x:v>21700</x:v>
      </x:c>
      <x:c r="I667" t="str">
        <x:v>https://www.smwcentral.net/?a=details&amp;id=21700&amp;p=section</x:v>
      </x:c>
      <x:c r="J667" t="str">
        <x:v>https://dl.smwcentral.net/21700/How%20NOT%20to%20Kaizo.zip</x:v>
      </x:c>
    </x:row>
    <x:row r="668">
      <x:c r="A668" t="str">
        <x:v>Hummer Super Mario World</x:v>
      </x:c>
      <x:c r="B668" t="str">
        <x:v>Hummer Super Mario World</x:v>
      </x:c>
      <x:c r="C668" t="str">
        <x:v>King Mayro</x:v>
      </x:c>
      <x:c r="D668" t="n">
        <x:v>28</x:v>
      </x:c>
      <x:c r="E668" t="str">
        <x:v>Casual</x:v>
      </x:c>
      <x:c r="F668" t="str">
        <x:v>Standard</x:v>
      </x:c>
      <x:c r="G668" t="n">
        <x:v>44836</x:v>
      </x:c>
      <x:c r="H668" t="str">
        <x:v>32158</x:v>
      </x:c>
      <x:c r="I668" t="str">
        <x:v>https://www.smwcentral.net/?a=details&amp;id=32158&amp;p=section</x:v>
      </x:c>
      <x:c r="J668" t="str">
        <x:v>https://dl.smwcentral.net/32158/HummerSMW%20VER7.8.zip</x:v>
      </x:c>
    </x:row>
    <x:row r="669">
      <x:c r="A669" t="str">
        <x:v>Hunter &amp; SCORPION's Bet Saga - SCORPION's Ravage</x:v>
      </x:c>
      <x:c r="B669" t="str">
        <x:v>Hunter &amp; SCORPION's Bet Saga - SCORPION's Ravage</x:v>
      </x:c>
      <x:c r="C669" t="str">
        <x:v>Skewer</x:v>
      </x:c>
      <x:c r="D669" t="n">
        <x:v>62</x:v>
      </x:c>
      <x:c r="E669" t="str">
        <x:v>Intermediate</x:v>
      </x:c>
      <x:c r="F669" t="str">
        <x:v>Standard</x:v>
      </x:c>
      <x:c r="G669" t="n">
        <x:v>42245</x:v>
      </x:c>
      <x:c r="H669" t="str">
        <x:v>9965</x:v>
      </x:c>
      <x:c r="I669" t="str">
        <x:v>https://www.smwcentral.net/?a=details&amp;id=9965&amp;p=section</x:v>
      </x:c>
      <x:c r="J669" t="str">
        <x:v>https://dl.smwcentral.net/9965/H%26SB-SCORPION%27sRavage%20FULL.zip</x:v>
      </x:c>
    </x:row>
    <x:row r="670">
      <x:c r="A670" t="str">
        <x:v>Hunter and Scorpion's Bet ReVised - Hunter's Path</x:v>
      </x:c>
      <x:c r="B670" t="str">
        <x:v>Hunter and Scorpion's Bet ReVised - Hunter's Path</x:v>
      </x:c>
      <x:c r="C670" t="str">
        <x:v>amhunter</x:v>
      </x:c>
      <x:c r="D670" t="n">
        <x:v>27</x:v>
      </x:c>
      <x:c r="E670" t="str">
        <x:v>Intermediate</x:v>
      </x:c>
      <x:c r="F670" t="str">
        <x:v>Standard</x:v>
      </x:c>
      <x:c r="G670" t="n">
        <x:v>42618</x:v>
      </x:c>
      <x:c r="H670" t="str">
        <x:v>14166</x:v>
      </x:c>
      <x:c r="I670" t="str">
        <x:v>https://www.smwcentral.net/?a=details&amp;id=14166&amp;p=section</x:v>
      </x:c>
      <x:c r="J670" t="str">
        <x:v>https://dl.smwcentral.net/14166/HunterPath_V1_1.zip</x:v>
      </x:c>
    </x:row>
    <x:row r="671">
      <x:c r="A671" t="str">
        <x:v>Hydro</x:v>
      </x:c>
      <x:c r="B671" t="str">
        <x:v>Hydro</x:v>
      </x:c>
      <x:c r="C671" t="str">
        <x:v>Edidoo</x:v>
      </x:c>
      <x:c r="D671" t="n">
        <x:v>17</x:v>
      </x:c>
      <x:c r="E671" t="str">
        <x:v>Expert</x:v>
      </x:c>
      <x:c r="F671" t="str">
        <x:v>Kaizo</x:v>
      </x:c>
      <x:c r="G671" t="n">
        <x:v>44445</x:v>
      </x:c>
      <x:c r="H671" t="str">
        <x:v>28174</x:v>
      </x:c>
      <x:c r="I671" t="str">
        <x:v>https://www.smwcentral.net/?a=details&amp;id=28174&amp;p=section</x:v>
      </x:c>
      <x:c r="J671" t="str">
        <x:v>https://dl.smwcentral.net/28174/Hydro.zip</x:v>
      </x:c>
    </x:row>
    <x:row r="672">
      <x:c r="A672" t="str">
        <x:v>Hyper Hentai Hotties</x:v>
      </x:c>
      <x:c r="B672" t="str">
        <x:v>Hyper Hentai Hotties</x:v>
      </x:c>
      <x:c r="C672" t="str">
        <x:v>scrimpy</x:v>
      </x:c>
      <x:c r="D672" t="n">
        <x:v>7</x:v>
      </x:c>
      <x:c r="E672" t="str">
        <x:v>Casual</x:v>
      </x:c>
      <x:c r="F672" t="str">
        <x:v>Standard</x:v>
      </x:c>
      <x:c r="G672" t="n">
        <x:v>42215</x:v>
      </x:c>
      <x:c r="H672" t="str">
        <x:v>9952</x:v>
      </x:c>
      <x:c r="I672" t="str">
        <x:v>https://www.smwcentral.net/?a=details&amp;id=9952&amp;p=section</x:v>
      </x:c>
      <x:c r="J672" t="str">
        <x:v>https://dl.smwcentral.net/9952/Hyper%20Hentai%20Hotties.zip</x:v>
      </x:c>
    </x:row>
    <x:row r="673">
      <x:c r="A673" t="str">
        <x:v>Hyperexcitability</x:v>
      </x:c>
      <x:c r="B673" t="str">
        <x:v>Hyperexcitability</x:v>
      </x:c>
      <x:c r="C673" t="str">
        <x:v>AFH</x:v>
      </x:c>
      <x:c r="D673" t="n">
        <x:v>1</x:v>
      </x:c>
      <x:c r="E673" t="str">
        <x:v>Master</x:v>
      </x:c>
      <x:c r="F673" t="str">
        <x:v>Kaizo</x:v>
      </x:c>
      <x:c r="G673" t="n">
        <x:v>41976</x:v>
      </x:c>
      <x:c r="H673" t="str">
        <x:v>9489</x:v>
      </x:c>
      <x:c r="I673" t="str">
        <x:v>https://www.smwcentral.net/?a=details&amp;id=9489&amp;p=section</x:v>
      </x:c>
      <x:c r="J673" t="str">
        <x:v>https://dl.smwcentral.net/9489/Hyperexcitability%201%20Level%20demo.zip</x:v>
      </x:c>
    </x:row>
    <x:row r="674">
      <x:c r="A674" t="str">
        <x:v>HYPERION</x:v>
      </x:c>
      <x:c r="B674" t="str">
        <x:v>HYPERION</x:v>
      </x:c>
      <x:c r="C674" t="str">
        <x:v>AmperSam</x:v>
      </x:c>
      <x:c r="D674" t="n">
        <x:v>28</x:v>
      </x:c>
      <x:c r="E674" t="str">
        <x:v>Advanced</x:v>
      </x:c>
      <x:c r="F674" t="str">
        <x:v>Kaizo</x:v>
      </x:c>
      <x:c r="G674" t="n">
        <x:v>44642</x:v>
      </x:c>
      <x:c r="H674" t="str">
        <x:v>30143</x:v>
      </x:c>
      <x:c r="I674" t="str">
        <x:v>https://www.smwcentral.net/?a=details&amp;id=30143&amp;p=section</x:v>
      </x:c>
      <x:c r="J674" t="str">
        <x:v>https://dl.smwcentral.net/30143/HYPERION_2.0.1.zip</x:v>
      </x:c>
    </x:row>
    <x:row r="675">
      <x:c r="A675" t="str">
        <x:v>Hypnagogia</x:v>
      </x:c>
      <x:c r="B675" t="str">
        <x:v>Hypnagogia</x:v>
      </x:c>
      <x:c r="C675" t="str">
        <x:v>Blaagon</x:v>
      </x:c>
      <x:c r="D675" t="n">
        <x:v>3</x:v>
      </x:c>
      <x:c r="E675" t="str">
        <x:v>Master</x:v>
      </x:c>
      <x:c r="F675" t="str">
        <x:v>Kaizo</x:v>
      </x:c>
      <x:c r="G675" t="n">
        <x:v>45671</x:v>
      </x:c>
      <x:c r="H675" t="str">
        <x:v>39041</x:v>
      </x:c>
      <x:c r="I675" t="str">
        <x:v>https://www.smwcentral.net/?a=details&amp;id=39041&amp;p=section</x:v>
      </x:c>
      <x:c r="J675" t="str">
        <x:v>https://dl.smwcentral.net/39041/hypnagogia.zip</x:v>
      </x:c>
    </x:row>
    <x:row r="676">
      <x:c r="A676" t="str">
        <x:v>HYSTERIA</x:v>
      </x:c>
      <x:c r="B676" t="str">
        <x:v>HYSTERIA</x:v>
      </x:c>
      <x:c r="C676" t="str">
        <x:v>magianegra21</x:v>
      </x:c>
      <x:c r="D676" t="n">
        <x:v>14</x:v>
      </x:c>
      <x:c r="E676" t="str">
        <x:v>Advanced</x:v>
      </x:c>
      <x:c r="F676" t="str">
        <x:v>Kaizo</x:v>
      </x:c>
      <x:c r="G676" t="n">
        <x:v>45246</x:v>
      </x:c>
      <x:c r="H676" t="str">
        <x:v>35470</x:v>
      </x:c>
      <x:c r="I676" t="str">
        <x:v>https://www.smwcentral.net/?a=details&amp;id=35470&amp;p=section</x:v>
      </x:c>
      <x:c r="J676" t="str">
        <x:v>https://dl.smwcentral.net/35470/HYSTERIA.zip</x:v>
      </x:c>
    </x:row>
    <x:row r="677">
      <x:c r="A677" t="str">
        <x:v>Häschen [hɛʃn̩]</x:v>
      </x:c>
      <x:c r="B677" t="str">
        <x:v>Häschen [hɛʃn̩]</x:v>
      </x:c>
      <x:c r="C677" t="str">
        <x:v>Darkdlp02, EliteBellic, FazeMeisterMauch, Luks, Mauls, Reggiamoto, Stinky</x:v>
      </x:c>
      <x:c r="D677" t="n">
        <x:v>28</x:v>
      </x:c>
      <x:c r="E677" t="str">
        <x:v>Intermediate</x:v>
      </x:c>
      <x:c r="F677" t="str">
        <x:v>Standard</x:v>
      </x:c>
      <x:c r="G677" t="n">
        <x:v>45334</x:v>
      </x:c>
      <x:c r="H677" t="str">
        <x:v>36778</x:v>
      </x:c>
      <x:c r="I677" t="str">
        <x:v>https://www.smwcentral.net/?a=details&amp;id=36778&amp;p=section</x:v>
      </x:c>
      <x:c r="J677" t="str">
        <x:v>https://dl.smwcentral.net/36778/haeschen1.1.zip</x:v>
      </x:c>
    </x:row>
    <x:row r="678">
      <x:c r="A678" t="str">
        <x:v>I Come In Peace</x:v>
      </x:c>
      <x:c r="B678" t="str">
        <x:v>I Come In Peace</x:v>
      </x:c>
      <x:c r="C678" t="str">
        <x:v>levelengine</x:v>
      </x:c>
      <x:c r="D678" t="n">
        <x:v>22</x:v>
      </x:c>
      <x:c r="E678" t="str">
        <x:v>Casual</x:v>
      </x:c>
      <x:c r="F678" t="str">
        <x:v>Standard</x:v>
      </x:c>
      <x:c r="G678" t="n">
        <x:v>42384</x:v>
      </x:c>
      <x:c r="H678" t="str">
        <x:v>12916</x:v>
      </x:c>
      <x:c r="I678" t="str">
        <x:v>https://www.smwcentral.net/?a=details&amp;id=12916&amp;p=section</x:v>
      </x:c>
      <x:c r="J678" t="str">
        <x:v>https://dl.smwcentral.net/12916/I%20Come%20In%20Peace.zip</x:v>
      </x:c>
    </x:row>
    <x:row r="679">
      <x:c r="A679" t="str">
        <x:v>I HATE YOU</x:v>
      </x:c>
      <x:c r="B679" t="str">
        <x:v>I HATE YOU</x:v>
      </x:c>
      <x:c r="C679" t="str">
        <x:v>Ersanio</x:v>
      </x:c>
      <x:c r="D679" t="n">
        <x:v>2</x:v>
      </x:c>
      <x:c r="E679" t="str">
        <x:v>Newcomer</x:v>
      </x:c>
      <x:c r="F679" t="str">
        <x:v>Standard</x:v>
      </x:c>
      <x:c r="G679" t="n">
        <x:v>42560</x:v>
      </x:c>
      <x:c r="H679" t="str">
        <x:v>13943</x:v>
      </x:c>
      <x:c r="I679" t="str">
        <x:v>https://www.smwcentral.net/?a=details&amp;id=13943&amp;p=section</x:v>
      </x:c>
      <x:c r="J679" t="str">
        <x:v>https://dl.smwcentral.net/13943/I%20HATE%20YOU.zip</x:v>
      </x:c>
    </x:row>
    <x:row r="680">
      <x:c r="A680" t="str">
        <x:v>I Wanna Be The ROM Hack: Prototype</x:v>
      </x:c>
      <x:c r="B680" t="str">
        <x:v>I Wanna Be The ROM Hack: Prototype</x:v>
      </x:c>
      <x:c r="C680" t="str">
        <x:v>Stivi</x:v>
      </x:c>
      <x:c r="D680" t="n">
        <x:v>1</x:v>
      </x:c>
      <x:c r="E680" t="str">
        <x:v>Advanced</x:v>
      </x:c>
      <x:c r="F680" t="str">
        <x:v>Standard, Kaizo</x:v>
      </x:c>
      <x:c r="G680" t="n">
        <x:v>45544</x:v>
      </x:c>
      <x:c r="H680" t="str">
        <x:v>38270</x:v>
      </x:c>
      <x:c r="I680" t="str">
        <x:v>https://www.smwcentral.net/?a=details&amp;id=38270&amp;p=section</x:v>
      </x:c>
      <x:c r="J680" t="str">
        <x:v>https://dl.smwcentral.net/38270/IWBTRH%20Prototype%20v1.01.zip</x:v>
      </x:c>
    </x:row>
    <x:row r="681">
      <x:c r="A681" t="str">
        <x:v>Icarus</x:v>
      </x:c>
      <x:c r="B681" t="str">
        <x:v>Icarus</x:v>
      </x:c>
      <x:c r="C681" t="str">
        <x:v>CircleFriendo</x:v>
      </x:c>
      <x:c r="D681" t="n">
        <x:v>8</x:v>
      </x:c>
      <x:c r="E681" t="str">
        <x:v>Expert</x:v>
      </x:c>
      <x:c r="F681" t="str">
        <x:v>Kaizo</x:v>
      </x:c>
      <x:c r="G681" t="n">
        <x:v>45446</x:v>
      </x:c>
      <x:c r="H681" t="str">
        <x:v>37866</x:v>
      </x:c>
      <x:c r="I681" t="str">
        <x:v>https://www.smwcentral.net/?a=details&amp;id=37866&amp;p=section</x:v>
      </x:c>
      <x:c r="J681" t="str">
        <x:v>https://dl.smwcentral.net/37866/Icarus.zip</x:v>
      </x:c>
    </x:row>
    <x:row r="682">
      <x:c r="A682" t="str">
        <x:v>Ides of March</x:v>
      </x:c>
      <x:c r="B682" t="str">
        <x:v>Ides of March</x:v>
      </x:c>
      <x:c r="C682" t="str">
        <x:v>shaoshao</x:v>
      </x:c>
      <x:c r="D682" t="n">
        <x:v>20</x:v>
      </x:c>
      <x:c r="E682" t="str">
        <x:v>Expert</x:v>
      </x:c>
      <x:c r="F682" t="str">
        <x:v>Kaizo</x:v>
      </x:c>
      <x:c r="G682" t="n">
        <x:v>44317</x:v>
      </x:c>
      <x:c r="H682" t="str">
        <x:v>26890</x:v>
      </x:c>
      <x:c r="I682" t="str">
        <x:v>https://www.smwcentral.net/?a=details&amp;id=26890&amp;p=section</x:v>
      </x:c>
      <x:c r="J682" t="str">
        <x:v>https://dl.smwcentral.net/26890/ides_of_march1.1.zip</x:v>
      </x:c>
    </x:row>
    <x:row r="683">
      <x:c r="A683" t="str">
        <x:v>Ides of March 2: Dogs of War</x:v>
      </x:c>
      <x:c r="B683" t="str">
        <x:v>Ides of March 2: Dogs of War</x:v>
      </x:c>
      <x:c r="C683" t="str">
        <x:v>shaoshao</x:v>
      </x:c>
      <x:c r="D683" t="n">
        <x:v>21</x:v>
      </x:c>
      <x:c r="E683" t="str">
        <x:v>Expert</x:v>
      </x:c>
      <x:c r="F683" t="str">
        <x:v>Kaizo</x:v>
      </x:c>
      <x:c r="G683" t="n">
        <x:v>46114</x:v>
      </x:c>
      <x:c r="H683" t="str">
        <x:v>42072</x:v>
      </x:c>
      <x:c r="I683" t="str">
        <x:v>https://www.smwcentral.net/?a=details&amp;id=42072&amp;p=section</x:v>
      </x:c>
      <x:c r="J683" t="str">
        <x:v>https://dl.smwcentral.net/42072/dogs_of_war.zip</x:v>
      </x:c>
    </x:row>
    <x:row r="684">
      <x:c r="A684" t="str">
        <x:v>Ieo</x:v>
      </x:c>
      <x:c r="B684" t="str">
        <x:v>Ieo</x:v>
      </x:c>
      <x:c r="C684" t="str">
        <x:v>Delta</x:v>
      </x:c>
      <x:c r="D684" t="n">
        <x:v>9</x:v>
      </x:c>
      <x:c r="E684" t="str">
        <x:v>Casual</x:v>
      </x:c>
      <x:c r="F684" t="str">
        <x:v>Standard</x:v>
      </x:c>
      <x:c r="G684" t="n">
        <x:v>41452</x:v>
      </x:c>
      <x:c r="H684" t="str">
        <x:v>5539</x:v>
      </x:c>
      <x:c r="I684" t="str">
        <x:v>https://www.smwcentral.net/?a=details&amp;id=5539&amp;p=section</x:v>
      </x:c>
      <x:c r="J684" t="str">
        <x:v>https://dl.smwcentral.net/5539/Ieo.zip</x:v>
      </x:c>
    </x:row>
    <x:row r="685">
      <x:c r="A685" t="str">
        <x:v>Iggy's Island</x:v>
      </x:c>
      <x:c r="B685" t="str">
        <x:v>Iggy's Island</x:v>
      </x:c>
      <x:c r="C685" t="str">
        <x:v>surfiin' bird</x:v>
      </x:c>
      <x:c r="D685" t="n">
        <x:v>6</x:v>
      </x:c>
      <x:c r="E685" t="str">
        <x:v>Newcomer</x:v>
      </x:c>
      <x:c r="F685" t="str">
        <x:v>Standard</x:v>
      </x:c>
      <x:c r="G685" t="n">
        <x:v>42228</x:v>
      </x:c>
      <x:c r="H685" t="str">
        <x:v>9860</x:v>
      </x:c>
      <x:c r="I685" t="str">
        <x:v>https://www.smwcentral.net/?a=details&amp;id=9860&amp;p=section</x:v>
      </x:c>
      <x:c r="J685" t="str">
        <x:v>https://dl.smwcentral.net/9860/Iggy%27s%20Island%20%28fixed%29.zip</x:v>
      </x:c>
    </x:row>
    <x:row r="686">
      <x:c r="A686" t="str">
        <x:v>Il Maniero Spettrale (Halloween 2018 Version)</x:v>
      </x:c>
      <x:c r="B686" t="str">
        <x:v>Il Maniero Spettrale (Halloween 2018 Version)</x:v>
      </x:c>
      <x:c r="C686" t="str">
        <x:v>Duraner Hawkeye, RednGreen, Stormkyleis</x:v>
      </x:c>
      <x:c r="D686" t="n">
        <x:v>1</x:v>
      </x:c>
      <x:c r="E686" t="str">
        <x:v>Casual</x:v>
      </x:c>
      <x:c r="F686" t="str">
        <x:v>Standard</x:v>
      </x:c>
      <x:c r="G686" t="n">
        <x:v>43409</x:v>
      </x:c>
      <x:c r="H686" t="str">
        <x:v>18391</x:v>
      </x:c>
      <x:c r="I686" t="str">
        <x:v>https://www.smwcentral.net/?a=details&amp;id=18391&amp;p=section</x:v>
      </x:c>
      <x:c r="J686" t="str">
        <x:v>https://dl.smwcentral.net/18391/Il%20Maniero%20Spettrale.zip</x:v>
      </x:c>
    </x:row>
    <x:row r="687">
      <x:c r="A687" t="str">
        <x:v>Illuminati</x:v>
      </x:c>
      <x:c r="B687" t="str">
        <x:v>Illuminati</x:v>
      </x:c>
      <x:c r="C687" t="str">
        <x:v>bulti</x:v>
      </x:c>
      <x:c r="D687" t="n">
        <x:v>6</x:v>
      </x:c>
      <x:c r="E687" t="str">
        <x:v>Expert</x:v>
      </x:c>
      <x:c r="F687" t="str">
        <x:v>Kaizo</x:v>
      </x:c>
      <x:c r="G687" t="n">
        <x:v>45747</x:v>
      </x:c>
      <x:c r="H687" t="str">
        <x:v>39650</x:v>
      </x:c>
      <x:c r="I687" t="str">
        <x:v>https://www.smwcentral.net/?a=details&amp;id=39650&amp;p=section</x:v>
      </x:c>
      <x:c r="J687" t="str">
        <x:v>https://dl.smwcentral.net/39650/Illuminati.zip</x:v>
      </x:c>
    </x:row>
    <x:row r="688">
      <x:c r="A688" t="str">
        <x:v>Ilusiyellow?</x:v>
      </x:c>
      <x:c r="B688" t="str">
        <x:v>Ilusiyellow?</x:v>
      </x:c>
      <x:c r="C688" t="str">
        <x:v>Leo137</x:v>
      </x:c>
      <x:c r="D688" t="n">
        <x:v>1</x:v>
      </x:c>
      <x:c r="E688" t="str">
        <x:v>Casual</x:v>
      </x:c>
      <x:c r="F688" t="str">
        <x:v>Standard</x:v>
      </x:c>
      <x:c r="G688" t="n">
        <x:v>42166</x:v>
      </x:c>
      <x:c r="H688" t="str">
        <x:v>11386</x:v>
      </x:c>
      <x:c r="I688" t="str">
        <x:v>https://www.smwcentral.net/?a=details&amp;id=11386&amp;p=section</x:v>
      </x:c>
      <x:c r="J688" t="str">
        <x:v>https://dl.smwcentral.net/11386/ilusiyellow.zip</x:v>
      </x:c>
    </x:row>
    <x:row r="689">
      <x:c r="A689" t="str">
        <x:v>Immitis</x:v>
      </x:c>
      <x:c r="B689" t="str">
        <x:v>Immitis</x:v>
      </x:c>
      <x:c r="C689" t="str">
        <x:v>Pikush_</x:v>
      </x:c>
      <x:c r="D689" t="n">
        <x:v>6</x:v>
      </x:c>
      <x:c r="E689" t="str">
        <x:v>Expert</x:v>
      </x:c>
      <x:c r="F689" t="str">
        <x:v>Kaizo</x:v>
      </x:c>
      <x:c r="G689" t="n">
        <x:v>44664</x:v>
      </x:c>
      <x:c r="H689" t="str">
        <x:v>30330</x:v>
      </x:c>
      <x:c r="I689" t="str">
        <x:v>https://www.smwcentral.net/?a=details&amp;id=30330&amp;p=section</x:v>
      </x:c>
      <x:c r="J689" t="str">
        <x:v>https://dl.smwcentral.net/30330/Immitis.zip</x:v>
      </x:c>
    </x:row>
    <x:row r="690">
      <x:c r="A690" t="str">
        <x:v>In A Random Adventure</x:v>
      </x:c>
      <x:c r="B690" t="str">
        <x:v>In A Random Adventure</x:v>
      </x:c>
      <x:c r="C690" t="str">
        <x:v>Mr. MS</x:v>
      </x:c>
      <x:c r="D690" t="n">
        <x:v>6</x:v>
      </x:c>
      <x:c r="E690" t="str">
        <x:v>Casual</x:v>
      </x:c>
      <x:c r="F690" t="str">
        <x:v>Standard</x:v>
      </x:c>
      <x:c r="G690" t="n">
        <x:v>44554</x:v>
      </x:c>
      <x:c r="H690" t="str">
        <x:v>29046</x:v>
      </x:c>
      <x:c r="I690" t="str">
        <x:v>https://www.smwcentral.net/?a=details&amp;id=29046&amp;p=section</x:v>
      </x:c>
      <x:c r="J690" t="str">
        <x:v>https://dl.smwcentral.net/29046/In%20A%20Random%20Adventure.zip</x:v>
      </x:c>
    </x:row>
    <x:row r="691">
      <x:c r="A691" t="str">
        <x:v>In Absentia of Knowing</x:v>
      </x:c>
      <x:c r="B691" t="str">
        <x:v>In Absentia of Knowing</x:v>
      </x:c>
      <x:c r="C691" t="str">
        <x:v>NixKillsMyths</x:v>
      </x:c>
      <x:c r="D691" t="n">
        <x:v>1</x:v>
      </x:c>
      <x:c r="E691" t="str">
        <x:v>Grandmaster</x:v>
      </x:c>
      <x:c r="F691" t="str">
        <x:v>Kaizo</x:v>
      </x:c>
      <x:c r="G691" t="n">
        <x:v>45679</x:v>
      </x:c>
      <x:c r="H691" t="str">
        <x:v>38900</x:v>
      </x:c>
      <x:c r="I691" t="str">
        <x:v>https://www.smwcentral.net/?a=details&amp;id=38900&amp;p=section</x:v>
      </x:c>
      <x:c r="J691" t="str">
        <x:v>https://dl.smwcentral.net/38900/In%20Absentia%20of%20Knowing%20%281.0%29.zip</x:v>
      </x:c>
    </x:row>
    <x:row r="692">
      <x:c r="A692" t="str">
        <x:v>In Memoriam Hack Pack</x:v>
      </x:c>
      <x:c r="B692" t="str">
        <x:v>In Memoriam Hack Pack</x:v>
      </x:c>
      <x:c r="C692" t="str">
        <x:v>Spud Alpha</x:v>
      </x:c>
      <x:c r="D692" t="n">
        <x:v>11</x:v>
      </x:c>
      <x:c r="E692" t="str">
        <x:v>Casual</x:v>
      </x:c>
      <x:c r="F692" t="str">
        <x:v>Standard</x:v>
      </x:c>
      <x:c r="G692" t="n">
        <x:v>42221</x:v>
      </x:c>
      <x:c r="H692" t="str">
        <x:v>10167</x:v>
      </x:c>
      <x:c r="I692" t="str">
        <x:v>https://www.smwcentral.net/?a=details&amp;id=10167&amp;p=section</x:v>
      </x:c>
      <x:c r="J692" t="str">
        <x:v>https://dl.smwcentral.net/10167/In%20Memoriam%20Hack%20Pack.zip</x:v>
      </x:c>
    </x:row>
    <x:row r="693">
      <x:c r="A693" t="str">
        <x:v>In the Pocket</x:v>
      </x:c>
      <x:c r="B693" t="str">
        <x:v>In the Pocket</x:v>
      </x:c>
      <x:c r="C693" t="str">
        <x:v>Overcrow03</x:v>
      </x:c>
      <x:c r="D693" t="n">
        <x:v>25</x:v>
      </x:c>
      <x:c r="E693" t="str">
        <x:v>Expert</x:v>
      </x:c>
      <x:c r="F693" t="str">
        <x:v>Kaizo</x:v>
      </x:c>
      <x:c r="G693" t="n">
        <x:v>45147</x:v>
      </x:c>
      <x:c r="H693" t="str">
        <x:v>34720</x:v>
      </x:c>
      <x:c r="I693" t="str">
        <x:v>https://www.smwcentral.net/?a=details&amp;id=34720&amp;p=section</x:v>
      </x:c>
      <x:c r="J693" t="str">
        <x:v>https://dl.smwcentral.net/34720/In%20the%20Pocket%201.01.zip</x:v>
      </x:c>
    </x:row>
    <x:row r="694">
      <x:c r="A694" t="str">
        <x:v>In Triplicate</x:v>
      </x:c>
      <x:c r="B694" t="str">
        <x:v>In Triplicate</x:v>
      </x:c>
      <x:c r="C694" t="str">
        <x:v>ponypowerboi</x:v>
      </x:c>
      <x:c r="D694" t="n">
        <x:v>10</x:v>
      </x:c>
      <x:c r="E694" t="str">
        <x:v>Expert</x:v>
      </x:c>
      <x:c r="F694" t="str">
        <x:v>Kaizo</x:v>
      </x:c>
      <x:c r="G694" t="n">
        <x:v>45785</x:v>
      </x:c>
      <x:c r="H694" t="str">
        <x:v>39816</x:v>
      </x:c>
      <x:c r="I694" t="str">
        <x:v>https://www.smwcentral.net/?a=details&amp;id=39816&amp;p=section</x:v>
      </x:c>
      <x:c r="J694" t="str">
        <x:v>https://dl.smwcentral.net/39816/InTriplicate.zip</x:v>
      </x:c>
    </x:row>
    <x:row r="695">
      <x:c r="A695" t="str">
        <x:v>Inane Mario World</x:v>
      </x:c>
      <x:c r="B695" t="str">
        <x:v>Inane Mario World</x:v>
      </x:c>
      <x:c r="C695" t="str">
        <x:v>ageVerrly</x:v>
      </x:c>
      <x:c r="D695" t="n">
        <x:v>19</x:v>
      </x:c>
      <x:c r="E695" t="str">
        <x:v>Master</x:v>
      </x:c>
      <x:c r="F695" t="str">
        <x:v>Kaizo</x:v>
      </x:c>
      <x:c r="G695" t="n">
        <x:v>44252</x:v>
      </x:c>
      <x:c r="H695" t="str">
        <x:v>26202</x:v>
      </x:c>
      <x:c r="I695" t="str">
        <x:v>https://www.smwcentral.net/?a=details&amp;id=26202&amp;p=section</x:v>
      </x:c>
      <x:c r="J695" t="str">
        <x:v>https://dl.smwcentral.net/26202/inane.zip</x:v>
      </x:c>
    </x:row>
    <x:row r="696">
      <x:c r="A696" t="str">
        <x:v>Inappropriate Jetski 19</x:v>
      </x:c>
      <x:c r="B696" t="str">
        <x:v>Inappropriate Jetski 19</x:v>
      </x:c>
      <x:c r="C696" t="str">
        <x:v>Multibella</x:v>
      </x:c>
      <x:c r="D696" t="n">
        <x:v>12</x:v>
      </x:c>
      <x:c r="E696" t="str">
        <x:v>Casual</x:v>
      </x:c>
      <x:c r="F696" t="str">
        <x:v>Standard</x:v>
      </x:c>
      <x:c r="G696" t="n">
        <x:v>42308</x:v>
      </x:c>
      <x:c r="H696" t="str">
        <x:v>9759</x:v>
      </x:c>
      <x:c r="I696" t="str">
        <x:v>https://www.smwcentral.net/?a=details&amp;id=9759&amp;p=section</x:v>
      </x:c>
      <x:c r="J696" t="str">
        <x:v>https://dl.smwcentral.net/9759/Jetskifullv1.0.zip</x:v>
      </x:c>
    </x:row>
    <x:row r="697">
      <x:c r="A697" t="str">
        <x:v>INCEPTION</x:v>
      </x:c>
      <x:c r="B697" t="str">
        <x:v>INCEPTION</x:v>
      </x:c>
      <x:c r="C697" t="str">
        <x:v>Dr.Moe</x:v>
      </x:c>
      <x:c r="D697" t="n">
        <x:v>17</x:v>
      </x:c>
      <x:c r="E697" t="str">
        <x:v>Master</x:v>
      </x:c>
      <x:c r="F697" t="str">
        <x:v>Kaizo</x:v>
      </x:c>
      <x:c r="G697" t="n">
        <x:v>44588</x:v>
      </x:c>
      <x:c r="H697" t="str">
        <x:v>29540</x:v>
      </x:c>
      <x:c r="I697" t="str">
        <x:v>https://www.smwcentral.net/?a=details&amp;id=29540&amp;p=section</x:v>
      </x:c>
      <x:c r="J697" t="str">
        <x:v>https://dl.smwcentral.net/29540/INCEPTION%20v1.2.zip</x:v>
      </x:c>
    </x:row>
    <x:row r="698">
      <x:c r="A698" t="str">
        <x:v>INCEPTION II</x:v>
      </x:c>
      <x:c r="B698" t="str">
        <x:v>INCEPTION II</x:v>
      </x:c>
      <x:c r="C698" t="str">
        <x:v>Dr.Moe</x:v>
      </x:c>
      <x:c r="D698" t="n">
        <x:v>20</x:v>
      </x:c>
      <x:c r="E698" t="str">
        <x:v>Master</x:v>
      </x:c>
      <x:c r="F698" t="str">
        <x:v>Kaizo</x:v>
      </x:c>
      <x:c r="G698" t="n">
        <x:v>45384</x:v>
      </x:c>
      <x:c r="H698" t="str">
        <x:v>36666</x:v>
      </x:c>
      <x:c r="I698" t="str">
        <x:v>https://www.smwcentral.net/?a=details&amp;id=36666&amp;p=section</x:v>
      </x:c>
      <x:c r="J698" t="str">
        <x:v>https://dl.smwcentral.net/36666/INCEPTION2.zip</x:v>
      </x:c>
    </x:row>
    <x:row r="699">
      <x:c r="A699" t="str">
        <x:v>Incredibous Shells</x:v>
      </x:c>
      <x:c r="B699" t="str">
        <x:v>Incredibous Shells</x:v>
      </x:c>
      <x:c r="C699" t="str">
        <x:v>arantes</x:v>
      </x:c>
      <x:c r="D699" t="n">
        <x:v>15</x:v>
      </x:c>
      <x:c r="E699" t="str">
        <x:v>Master</x:v>
      </x:c>
      <x:c r="F699" t="str">
        <x:v>Kaizo</x:v>
      </x:c>
      <x:c r="G699" t="n">
        <x:v>45240</x:v>
      </x:c>
      <x:c r="H699" t="str">
        <x:v>35054</x:v>
      </x:c>
      <x:c r="I699" t="str">
        <x:v>https://www.smwcentral.net/?a=details&amp;id=35054&amp;p=section</x:v>
      </x:c>
      <x:c r="J699" t="str">
        <x:v>https://dl.smwcentral.net/35054/Incredibous%20Shells%20v1.4.zip</x:v>
      </x:c>
    </x:row>
    <x:row r="700">
      <x:c r="A700" t="str">
        <x:v>Incredibous Shells 2</x:v>
      </x:c>
      <x:c r="B700" t="str">
        <x:v>Incredibous Shells 2</x:v>
      </x:c>
      <x:c r="C700" t="str">
        <x:v>arantes</x:v>
      </x:c>
      <x:c r="D700" t="n">
        <x:v>12</x:v>
      </x:c>
      <x:c r="E700" t="str">
        <x:v>Master</x:v>
      </x:c>
      <x:c r="F700" t="str">
        <x:v>Kaizo</x:v>
      </x:c>
      <x:c r="G700" t="n">
        <x:v>45938</x:v>
      </x:c>
      <x:c r="H700" t="str">
        <x:v>40565</x:v>
      </x:c>
      <x:c r="I700" t="str">
        <x:v>https://www.smwcentral.net/?a=details&amp;id=40565&amp;p=section</x:v>
      </x:c>
      <x:c r="J700" t="str">
        <x:v>https://dl.smwcentral.net/40565/Incredibous%20Shells%202.zip</x:v>
      </x:c>
    </x:row>
    <x:row r="701">
      <x:c r="A701" t="str">
        <x:v>Inert Aeronaut</x:v>
      </x:c>
      <x:c r="B701" t="str">
        <x:v>Inert Aeronaut</x:v>
      </x:c>
      <x:c r="C701" t="str">
        <x:v>drkrdnk</x:v>
      </x:c>
      <x:c r="D701" t="n">
        <x:v>11</x:v>
      </x:c>
      <x:c r="E701" t="str">
        <x:v>Expert</x:v>
      </x:c>
      <x:c r="F701" t="str">
        <x:v>Kaizo</x:v>
      </x:c>
      <x:c r="G701" t="n">
        <x:v>45446</x:v>
      </x:c>
      <x:c r="H701" t="str">
        <x:v>37867</x:v>
      </x:c>
      <x:c r="I701" t="str">
        <x:v>https://www.smwcentral.net/?a=details&amp;id=37867&amp;p=section</x:v>
      </x:c>
      <x:c r="J701" t="str">
        <x:v>https://dl.smwcentral.net/37867/inert%20aeronaut%20v1.1.zip</x:v>
      </x:c>
    </x:row>
    <x:row r="702">
      <x:c r="A702" t="str">
        <x:v>INFERNVM</x:v>
      </x:c>
      <x:c r="B702" t="str">
        <x:v>INFERNVM</x:v>
      </x:c>
      <x:c r="C702" t="str">
        <x:v>Sariel</x:v>
      </x:c>
      <x:c r="D702" t="n">
        <x:v>69</x:v>
      </x:c>
      <x:c r="E702" t="str">
        <x:v>Expert</x:v>
      </x:c>
      <x:c r="F702" t="str">
        <x:v>Kaizo</x:v>
      </x:c>
      <x:c r="G702" t="n">
        <x:v>45315</x:v>
      </x:c>
      <x:c r="H702" t="str">
        <x:v>35610</x:v>
      </x:c>
      <x:c r="I702" t="str">
        <x:v>https://www.smwcentral.net/?a=details&amp;id=35610&amp;p=section</x:v>
      </x:c>
      <x:c r="J702" t="str">
        <x:v>https://dl.smwcentral.net/35610/INFERNVM_v1.02.zip</x:v>
      </x:c>
    </x:row>
    <x:row r="703">
      <x:c r="A703" t="str">
        <x:v>Infinity Edge</x:v>
      </x:c>
      <x:c r="B703" t="str">
        <x:v>Infinity Edge</x:v>
      </x:c>
      <x:c r="C703" t="str">
        <x:v>levelengine</x:v>
      </x:c>
      <x:c r="D703" t="n">
        <x:v>32</x:v>
      </x:c>
      <x:c r="E703" t="str">
        <x:v>Intermediate</x:v>
      </x:c>
      <x:c r="F703" t="str">
        <x:v>Standard</x:v>
      </x:c>
      <x:c r="G703" t="n">
        <x:v>41700</x:v>
      </x:c>
      <x:c r="H703" t="str">
        <x:v>6302</x:v>
      </x:c>
      <x:c r="I703" t="str">
        <x:v>https://www.smwcentral.net/?a=details&amp;id=6302&amp;p=section</x:v>
      </x:c>
      <x:c r="J703" t="str">
        <x:v>https://dl.smwcentral.net/6302/Infinity%20Edge%20%282nd%20Edition%29.zip</x:v>
      </x:c>
    </x:row>
    <x:row r="704">
      <x:c r="A704" t="str">
        <x:v>Initiation</x:v>
      </x:c>
      <x:c r="B704" t="str">
        <x:v>Initiation</x:v>
      </x:c>
      <x:c r="C704" t="str">
        <x:v>Rudi_Schrausch</x:v>
      </x:c>
      <x:c r="D704" t="n">
        <x:v>15</x:v>
      </x:c>
      <x:c r="E704" t="str">
        <x:v>Advanced</x:v>
      </x:c>
      <x:c r="F704" t="str">
        <x:v>Kaizo</x:v>
      </x:c>
      <x:c r="G704" t="n">
        <x:v>44684</x:v>
      </x:c>
      <x:c r="H704" t="str">
        <x:v>30663</x:v>
      </x:c>
      <x:c r="I704" t="str">
        <x:v>https://www.smwcentral.net/?a=details&amp;id=30663&amp;p=section</x:v>
      </x:c>
      <x:c r="J704" t="str">
        <x:v>https://dl.smwcentral.net/30663/Initiation.zip</x:v>
      </x:c>
    </x:row>
    <x:row r="705">
      <x:c r="A705" t="str">
        <x:v>Initiation 2 Da_Queest</x:v>
      </x:c>
      <x:c r="B705" t="str">
        <x:v>Initiation 2 Da_Queest</x:v>
      </x:c>
      <x:c r="C705" t="str">
        <x:v>Rudi_Schrausch</x:v>
      </x:c>
      <x:c r="D705" t="n">
        <x:v>27</x:v>
      </x:c>
      <x:c r="E705" t="str">
        <x:v>Expert</x:v>
      </x:c>
      <x:c r="F705" t="str">
        <x:v>Kaizo</x:v>
      </x:c>
      <x:c r="G705" t="n">
        <x:v>45527</x:v>
      </x:c>
      <x:c r="H705" t="str">
        <x:v>38124</x:v>
      </x:c>
      <x:c r="I705" t="str">
        <x:v>https://www.smwcentral.net/?a=details&amp;id=38124&amp;p=section</x:v>
      </x:c>
      <x:c r="J705" t="str">
        <x:v>https://dl.smwcentral.net/38124/Initiation%202.zip</x:v>
      </x:c>
    </x:row>
    <x:row r="706">
      <x:c r="A706" t="str">
        <x:v>Insert Coin</x:v>
      </x:c>
      <x:c r="B706" t="str">
        <x:v>Insert Coin</x:v>
      </x:c>
      <x:c r="C706" t="str">
        <x:v>Zildjian, noon</x:v>
      </x:c>
      <x:c r="D706" t="n">
        <x:v>1</x:v>
      </x:c>
      <x:c r="E706" t="str">
        <x:v>Casual</x:v>
      </x:c>
      <x:c r="F706" t="str">
        <x:v>Standard</x:v>
      </x:c>
      <x:c r="G706" t="n">
        <x:v>44212</x:v>
      </x:c>
      <x:c r="H706" t="str">
        <x:v>25878</x:v>
      </x:c>
      <x:c r="I706" t="str">
        <x:v>https://www.smwcentral.net/?a=details&amp;id=25878&amp;p=section</x:v>
      </x:c>
      <x:c r="J706" t="str">
        <x:v>https://dl.smwcentral.net/25878/Insert%20Coin.zip</x:v>
      </x:c>
    </x:row>
    <x:row r="707">
      <x:c r="A707" t="str">
        <x:v>INSOMNIA</x:v>
      </x:c>
      <x:c r="B707" t="str">
        <x:v>INSOMNIA</x:v>
      </x:c>
      <x:c r="C707" t="str">
        <x:v>Dr.Moe</x:v>
      </x:c>
      <x:c r="D707" t="n">
        <x:v>17</x:v>
      </x:c>
      <x:c r="E707" t="str">
        <x:v>Expert</x:v>
      </x:c>
      <x:c r="F707" t="str">
        <x:v>Kaizo</x:v>
      </x:c>
      <x:c r="G707" t="n">
        <x:v>44273</x:v>
      </x:c>
      <x:c r="H707" t="str">
        <x:v>26184</x:v>
      </x:c>
      <x:c r="I707" t="str">
        <x:v>https://www.smwcentral.net/?a=details&amp;id=26184&amp;p=section</x:v>
      </x:c>
      <x:c r="J707" t="str">
        <x:v>https://dl.smwcentral.net/26184/INSOMNIA1.1.zip</x:v>
      </x:c>
    </x:row>
    <x:row r="708">
      <x:c r="A708" t="str">
        <x:v>Insouciant Mario</x:v>
      </x:c>
      <x:c r="B708" t="str">
        <x:v>Insouciant Mario</x:v>
      </x:c>
      <x:c r="C708" t="str">
        <x:v>gui</x:v>
      </x:c>
      <x:c r="D708" t="n">
        <x:v>8</x:v>
      </x:c>
      <x:c r="E708" t="str">
        <x:v>Master</x:v>
      </x:c>
      <x:c r="F708" t="str">
        <x:v>Kaizo</x:v>
      </x:c>
      <x:c r="G708" t="n">
        <x:v>44802</x:v>
      </x:c>
      <x:c r="H708" t="str">
        <x:v>31864</x:v>
      </x:c>
      <x:c r="I708" t="str">
        <x:v>https://www.smwcentral.net/?a=details&amp;id=31864&amp;p=section</x:v>
      </x:c>
      <x:c r="J708" t="str">
        <x:v>https://dl.smwcentral.net/31864/InsouciantMario1.2.zip</x:v>
      </x:c>
    </x:row>
    <x:row r="709">
      <x:c r="A709" t="str">
        <x:v>Interesting Kaizo World</x:v>
      </x:c>
      <x:c r="B709" t="str">
        <x:v>Interesting Kaizo World</x:v>
      </x:c>
      <x:c r="C709" t="str">
        <x:v>Yagami</x:v>
      </x:c>
      <x:c r="D709" t="n">
        <x:v>22</x:v>
      </x:c>
      <x:c r="E709" t="str">
        <x:v>Expert</x:v>
      </x:c>
      <x:c r="F709" t="str">
        <x:v>Kaizo</x:v>
      </x:c>
      <x:c r="G709" t="n">
        <x:v>43970</x:v>
      </x:c>
      <x:c r="H709" t="str">
        <x:v>22907</x:v>
      </x:c>
      <x:c r="I709" t="str">
        <x:v>https://www.smwcentral.net/?a=details&amp;id=22907&amp;p=section</x:v>
      </x:c>
      <x:c r="J709" t="str">
        <x:v>https://dl.smwcentral.net/22907/Interesting.zip</x:v>
      </x:c>
    </x:row>
    <x:row r="710">
      <x:c r="A710" t="str">
        <x:v>Intershellar</x:v>
      </x:c>
      <x:c r="B710" t="str">
        <x:v>Intershellar</x:v>
      </x:c>
      <x:c r="C710" t="str">
        <x:v>Dolph1n</x:v>
      </x:c>
      <x:c r="D710" t="n">
        <x:v>15</x:v>
      </x:c>
      <x:c r="E710" t="str">
        <x:v>Expert</x:v>
      </x:c>
      <x:c r="F710" t="str">
        <x:v>Kaizo</x:v>
      </x:c>
      <x:c r="G710" t="n">
        <x:v>44438</x:v>
      </x:c>
      <x:c r="H710" t="str">
        <x:v>28130</x:v>
      </x:c>
      <x:c r="I710" t="str">
        <x:v>https://www.smwcentral.net/?a=details&amp;id=28130&amp;p=section</x:v>
      </x:c>
      <x:c r="J710" t="str">
        <x:v>https://dl.smwcentral.net/28130/Intershellar.zip</x:v>
      </x:c>
    </x:row>
    <x:row r="711">
      <x:c r="A711" t="str">
        <x:v>Intrigue of Kittens</x:v>
      </x:c>
      <x:c r="B711" t="str">
        <x:v>Intrigue of Kittens</x:v>
      </x:c>
      <x:c r="C711" t="str">
        <x:v>JonnyManjiro</x:v>
      </x:c>
      <x:c r="D711" t="n">
        <x:v>5</x:v>
      </x:c>
      <x:c r="E711" t="str">
        <x:v>Advanced</x:v>
      </x:c>
      <x:c r="F711" t="str">
        <x:v>Kaizo</x:v>
      </x:c>
      <x:c r="G711" t="n">
        <x:v>44329</x:v>
      </x:c>
      <x:c r="H711" t="str">
        <x:v>26955</x:v>
      </x:c>
      <x:c r="I711" t="str">
        <x:v>https://www.smwcentral.net/?a=details&amp;id=26955&amp;p=section</x:v>
      </x:c>
      <x:c r="J711" t="str">
        <x:v>https://dl.smwcentral.net/26955/Intrigue%20of%20Kittens%201.1.zip</x:v>
      </x:c>
    </x:row>
    <x:row r="712">
      <x:c r="A712" t="str">
        <x:v>Invictus</x:v>
      </x:c>
      <x:c r="B712" t="str">
        <x:v>Invictus</x:v>
      </x:c>
      <x:c r="C712" t="str">
        <x:v>juzcook</x:v>
      </x:c>
      <x:c r="D712" t="n">
        <x:v>22</x:v>
      </x:c>
      <x:c r="E712" t="str">
        <x:v>Expert</x:v>
      </x:c>
      <x:c r="F712" t="str">
        <x:v>Kaizo</x:v>
      </x:c>
      <x:c r="G712" t="n">
        <x:v>43376</x:v>
      </x:c>
      <x:c r="H712" t="str">
        <x:v>18238</x:v>
      </x:c>
      <x:c r="I712" t="str">
        <x:v>https://www.smwcentral.net/?a=details&amp;id=18238&amp;p=section</x:v>
      </x:c>
      <x:c r="J712" t="str">
        <x:v>https://dl.smwcentral.net/18238/Invictus%201.0.zip</x:v>
      </x:c>
    </x:row>
    <x:row r="713">
      <x:c r="A713" t="str">
        <x:v>Iridium</x:v>
      </x:c>
      <x:c r="B713" t="str">
        <x:v>Iridium</x:v>
      </x:c>
      <x:c r="C713" t="str">
        <x:v>1mslakingoff</x:v>
      </x:c>
      <x:c r="D713" t="n">
        <x:v>17</x:v>
      </x:c>
      <x:c r="E713" t="str">
        <x:v>Expert</x:v>
      </x:c>
      <x:c r="F713" t="str">
        <x:v>Kaizo</x:v>
      </x:c>
      <x:c r="G713" t="n">
        <x:v>46153</x:v>
      </x:c>
      <x:c r="H713" t="str">
        <x:v>42315</x:v>
      </x:c>
      <x:c r="I713" t="str">
        <x:v>https://www.smwcentral.net/?a=details&amp;id=42315&amp;p=section</x:v>
      </x:c>
      <x:c r="J713" t="str">
        <x:v>https://dl.smwcentral.net/42315/Iridium.zip</x:v>
      </x:c>
    </x:row>
    <x:row r="714">
      <x:c r="A714" t="str">
        <x:v>It's another hack with Mario in it! Yay!</x:v>
      </x:c>
      <x:c r="B714" t="str">
        <x:v>It's another hack with Mario in it! Yay!</x:v>
      </x:c>
      <x:c r="C714" t="str">
        <x:v>Burst Man</x:v>
      </x:c>
      <x:c r="D714" t="n">
        <x:v>41</x:v>
      </x:c>
      <x:c r="E714" t="str">
        <x:v>Casual</x:v>
      </x:c>
      <x:c r="F714" t="str">
        <x:v>Standard</x:v>
      </x:c>
      <x:c r="G714" t="n">
        <x:v>45806</x:v>
      </x:c>
      <x:c r="H714" t="str">
        <x:v>39904</x:v>
      </x:c>
      <x:c r="I714" t="str">
        <x:v>https://www.smwcentral.net/?a=details&amp;id=39904&amp;p=section</x:v>
      </x:c>
      <x:c r="J714" t="str">
        <x:v>https://dl.smwcentral.net/39904/IahwMiiY%20Demo%20v0.2.2.zip</x:v>
      </x:c>
    </x:row>
    <x:row r="715">
      <x:c r="A715" t="str">
        <x:v>Item Abuse</x:v>
      </x:c>
      <x:c r="B715" t="str">
        <x:v>Item Abuse</x:v>
      </x:c>
      <x:c r="C715" t="str">
        <x:v>PangaeaPanga</x:v>
      </x:c>
      <x:c r="D715" t="n">
        <x:v>1</x:v>
      </x:c>
      <x:c r="E715" t="str">
        <x:v>Expert</x:v>
      </x:c>
      <x:c r="F715" t="str">
        <x:v>Tool-Assisted, Pit</x:v>
      </x:c>
      <x:c r="G715" t="n">
        <x:v>42141</x:v>
      </x:c>
      <x:c r="H715" t="str">
        <x:v>11342</x:v>
      </x:c>
      <x:c r="I715" t="str">
        <x:v>https://www.smwcentral.net/?a=details&amp;id=11342&amp;p=section</x:v>
      </x:c>
      <x:c r="J715" t="str">
        <x:v>https://dl.smwcentral.net/11342/Item%20Abuse%20v1.7.zip</x:v>
      </x:c>
    </x:row>
    <x:row r="716">
      <x:c r="A716" t="str">
        <x:v>Item Abuse 3</x:v>
      </x:c>
      <x:c r="B716" t="str">
        <x:v>Item Abuse 3</x:v>
      </x:c>
      <x:c r="C716" t="str">
        <x:v>PangaeaPanga</x:v>
      </x:c>
      <x:c r="D716" t="n">
        <x:v>1</x:v>
      </x:c>
      <x:c r="E716" t="str">
        <x:v>Grandmaster</x:v>
      </x:c>
      <x:c r="F716" t="str">
        <x:v>Tool-Assisted, Pit</x:v>
      </x:c>
      <x:c r="G716" t="n">
        <x:v>42080</x:v>
      </x:c>
      <x:c r="H716" t="str">
        <x:v>10907</x:v>
      </x:c>
      <x:c r="I716" t="str">
        <x:v>https://www.smwcentral.net/?a=details&amp;id=10907&amp;p=section</x:v>
      </x:c>
      <x:c r="J716" t="str">
        <x:v>https://dl.smwcentral.net/10907/Item%20Abuse%203%20v1.0.zip</x:v>
      </x:c>
    </x:row>
    <x:row r="717">
      <x:c r="A717" t="str">
        <x:v>ITS EEZ WORLD</x:v>
      </x:c>
      <x:c r="B717" t="str">
        <x:v>ITS EEZ WORLD</x:v>
      </x:c>
      <x:c r="C717" t="str">
        <x:v>Yagami</x:v>
      </x:c>
      <x:c r="D717" t="n">
        <x:v>14</x:v>
      </x:c>
      <x:c r="E717" t="str">
        <x:v>Expert</x:v>
      </x:c>
      <x:c r="F717" t="str">
        <x:v>Kaizo</x:v>
      </x:c>
      <x:c r="G717" t="n">
        <x:v>44334</x:v>
      </x:c>
      <x:c r="H717" t="str">
        <x:v>26898</x:v>
      </x:c>
      <x:c r="I717" t="str">
        <x:v>https://www.smwcentral.net/?a=details&amp;id=26898&amp;p=section</x:v>
      </x:c>
      <x:c r="J717" t="str">
        <x:v>https://dl.smwcentral.net/26898/its%20eez.zip</x:v>
      </x:c>
    </x:row>
    <x:row r="718">
      <x:c r="A718" t="str">
        <x:v>IUDICIUM TRIBUNALIS</x:v>
      </x:c>
      <x:c r="B718" t="str">
        <x:v>IUDICIUM TRIBUNALIS</x:v>
      </x:c>
      <x:c r="C718" t="str">
        <x:v>Sariel</x:v>
      </x:c>
      <x:c r="D718" t="n">
        <x:v>10</x:v>
      </x:c>
      <x:c r="E718" t="str">
        <x:v>Advanced</x:v>
      </x:c>
      <x:c r="F718" t="str">
        <x:v>Kaizo, Tool-Assisted</x:v>
      </x:c>
      <x:c r="G718" t="n">
        <x:v>42999</x:v>
      </x:c>
      <x:c r="H718" t="str">
        <x:v>15956</x:v>
      </x:c>
      <x:c r="I718" t="str">
        <x:v>https://www.smwcentral.net/?a=details&amp;id=15956&amp;p=section</x:v>
      </x:c>
      <x:c r="J718" t="str">
        <x:v>https://dl.smwcentral.net/15956/SMW%20HACK%20IUDICIUM%20TRIBUNALIS%20ver%202.25%20by%20user%3DID28020.zip</x:v>
      </x:c>
    </x:row>
    <x:row r="719">
      <x:c r="A719" t="str">
        <x:v>Ja, tack!</x:v>
      </x:c>
      <x:c r="B719" t="str">
        <x:v>Ja, tack!</x:v>
      </x:c>
      <x:c r="C719" t="str">
        <x:v>strong</x:v>
      </x:c>
      <x:c r="D719" t="n">
        <x:v>8</x:v>
      </x:c>
      <x:c r="E719" t="str">
        <x:v>Expert</x:v>
      </x:c>
      <x:c r="F719" t="str">
        <x:v>Kaizo</x:v>
      </x:c>
      <x:c r="G719" t="n">
        <x:v>45397</x:v>
      </x:c>
      <x:c r="H719" t="str">
        <x:v>37641</x:v>
      </x:c>
      <x:c r="I719" t="str">
        <x:v>https://www.smwcentral.net/?a=details&amp;id=37641&amp;p=section</x:v>
      </x:c>
      <x:c r="J719" t="str">
        <x:v>https://dl.smwcentral.net/37641/ja_tack_v1.1.zip</x:v>
      </x:c>
    </x:row>
    <x:row r="720">
      <x:c r="A720" t="str">
        <x:v>Jam</x:v>
      </x:c>
      <x:c r="B720" t="str">
        <x:v>Jam</x:v>
      </x:c>
      <x:c r="C720" t="str">
        <x:v>PopCorn181</x:v>
      </x:c>
      <x:c r="D720" t="n">
        <x:v>14</x:v>
      </x:c>
      <x:c r="E720" t="str">
        <x:v>Master</x:v>
      </x:c>
      <x:c r="F720" t="str">
        <x:v>Kaizo</x:v>
      </x:c>
      <x:c r="G720" t="n">
        <x:v>46180</x:v>
      </x:c>
      <x:c r="H720" t="str">
        <x:v>42402</x:v>
      </x:c>
      <x:c r="I720" t="str">
        <x:v>https://www.smwcentral.net/?a=details&amp;id=42402&amp;p=section</x:v>
      </x:c>
      <x:c r="J720" t="str">
        <x:v>https://dl.smwcentral.net/42402/JamV120.zip</x:v>
      </x:c>
    </x:row>
    <x:row r="721">
      <x:c r="A721" t="str">
        <x:v>JDCGames Collab</x:v>
      </x:c>
      <x:c r="B721" t="str">
        <x:v>JDCGames Collab</x:v>
      </x:c>
      <x:c r="C721" t="str">
        <x:v>JDCGames</x:v>
      </x:c>
      <x:c r="D721" t="n">
        <x:v>43</x:v>
      </x:c>
      <x:c r="E721" t="str">
        <x:v>Intermediate</x:v>
      </x:c>
      <x:c r="F721" t="str">
        <x:v>Standard</x:v>
      </x:c>
      <x:c r="G721" t="n">
        <x:v>42255</x:v>
      </x:c>
      <x:c r="H721" t="str">
        <x:v>10285</x:v>
      </x:c>
      <x:c r="I721" t="str">
        <x:v>https://www.smwcentral.net/?a=details&amp;id=10285&amp;p=section</x:v>
      </x:c>
      <x:c r="J721" t="str">
        <x:v>https://dl.smwcentral.net/10285/JDCGames%20Collaboration.zip</x:v>
      </x:c>
    </x:row>
    <x:row r="722">
      <x:c r="A722" t="str">
        <x:v>Jeitor Land: The Lost Lasagna</x:v>
      </x:c>
      <x:c r="B722" t="str">
        <x:v>Jeitor Land: The Lost Lasagna</x:v>
      </x:c>
      <x:c r="C722" t="str">
        <x:v>Hectorpn13</x:v>
      </x:c>
      <x:c r="D722" t="n">
        <x:v>35</x:v>
      </x:c>
      <x:c r="E722" t="str">
        <x:v>Casual</x:v>
      </x:c>
      <x:c r="F722" t="str">
        <x:v>Standard</x:v>
      </x:c>
      <x:c r="G722" t="n">
        <x:v>45411</x:v>
      </x:c>
      <x:c r="H722" t="str">
        <x:v>37712</x:v>
      </x:c>
      <x:c r="I722" t="str">
        <x:v>https://www.smwcentral.net/?a=details&amp;id=37712&amp;p=section</x:v>
      </x:c>
      <x:c r="J722" t="str">
        <x:v>https://dl.smwcentral.net/37712/Lost%20Lasagna%20DEMO%202.zip</x:v>
      </x:c>
    </x:row>
    <x:row r="723">
      <x:c r="A723" t="str">
        <x:v>Jerry's Autowalking Adventure to Rescue His Cheese</x:v>
      </x:c>
      <x:c r="B723" t="str">
        <x:v>Jerry's Autowalking Adventure to Rescue His Cheese</x:v>
      </x:c>
      <x:c r="C723" t="str">
        <x:v>Green Jerry</x:v>
      </x:c>
      <x:c r="D723" t="n">
        <x:v>7</x:v>
      </x:c>
      <x:c r="E723" t="str">
        <x:v>Expert</x:v>
      </x:c>
      <x:c r="F723" t="str">
        <x:v>Kaizo</x:v>
      </x:c>
      <x:c r="G723" t="n">
        <x:v>45258</x:v>
      </x:c>
      <x:c r="H723" t="str">
        <x:v>35558</x:v>
      </x:c>
      <x:c r="I723" t="str">
        <x:v>https://www.smwcentral.net/?a=details&amp;id=35558&amp;p=section</x:v>
      </x:c>
      <x:c r="J723" t="str">
        <x:v>https://dl.smwcentral.net/35558/Jerry%27s%20Autowalking%20Adventure%20to%20Rescue%20his%20Cheese%20%28V1.0.1%29.zip</x:v>
      </x:c>
    </x:row>
    <x:row r="724">
      <x:c r="A724" t="str">
        <x:v>Jerry's Vacation</x:v>
      </x:c>
      <x:c r="B724" t="str">
        <x:v>Jerry's Vacation</x:v>
      </x:c>
      <x:c r="C724" t="str">
        <x:v>Lunar Rico</x:v>
      </x:c>
      <x:c r="D724" t="n">
        <x:v>18</x:v>
      </x:c>
      <x:c r="E724" t="str">
        <x:v>Casual</x:v>
      </x:c>
      <x:c r="F724" t="str">
        <x:v>Standard</x:v>
      </x:c>
      <x:c r="G724" t="n">
        <x:v>42281</x:v>
      </x:c>
      <x:c r="H724" t="str">
        <x:v>10006</x:v>
      </x:c>
      <x:c r="I724" t="str">
        <x:v>https://www.smwcentral.net/?a=details&amp;id=10006&amp;p=section</x:v>
      </x:c>
      <x:c r="J724" t="str">
        <x:v>https://dl.smwcentral.net/10006/Jerry%27s%20Vacation.zip</x:v>
      </x:c>
    </x:row>
    <x:row r="725">
      <x:c r="A725" t="str">
        <x:v>Jigoku Mario World 2</x:v>
      </x:c>
      <x:c r="B725" t="str">
        <x:v>Jigoku Mario World 2</x:v>
      </x:c>
      <x:c r="C725" t="str">
        <x:v>Nowieso</x:v>
      </x:c>
      <x:c r="D725" t="n">
        <x:v>17</x:v>
      </x:c>
      <x:c r="E725" t="str">
        <x:v>Master</x:v>
      </x:c>
      <x:c r="F725" t="str">
        <x:v>Kaizo</x:v>
      </x:c>
      <x:c r="G725" t="n">
        <x:v>44067</x:v>
      </x:c>
      <x:c r="H725" t="str">
        <x:v>24222</x:v>
      </x:c>
      <x:c r="I725" t="str">
        <x:v>https://www.smwcentral.net/?a=details&amp;id=24222&amp;p=section</x:v>
      </x:c>
      <x:c r="J725" t="str">
        <x:v>https://dl.smwcentral.net/24222/Jigoku%20Mario%20World%202.zip</x:v>
      </x:c>
    </x:row>
    <x:row r="726">
      <x:c r="A726" t="str">
        <x:v>Jigoku Mario World 3</x:v>
      </x:c>
      <x:c r="B726" t="str">
        <x:v>Jigoku Mario World 3</x:v>
      </x:c>
      <x:c r="C726" t="str">
        <x:v>Nowieso</x:v>
      </x:c>
      <x:c r="D726" t="n">
        <x:v>25</x:v>
      </x:c>
      <x:c r="E726" t="str">
        <x:v>Grandmaster</x:v>
      </x:c>
      <x:c r="F726" t="str">
        <x:v>Kaizo</x:v>
      </x:c>
      <x:c r="G726" t="n">
        <x:v>45653</x:v>
      </x:c>
      <x:c r="H726" t="str">
        <x:v>38765</x:v>
      </x:c>
      <x:c r="I726" t="str">
        <x:v>https://www.smwcentral.net/?a=details&amp;id=38765&amp;p=section</x:v>
      </x:c>
      <x:c r="J726" t="str">
        <x:v>https://dl.smwcentral.net/38765/Jigoku%20Mario%20World%203.zip</x:v>
      </x:c>
    </x:row>
    <x:row r="727">
      <x:c r="A727" t="str">
        <x:v>Jigoku Mario World Remastered</x:v>
      </x:c>
      <x:c r="B727" t="str">
        <x:v>Jigoku Mario World Remastered</x:v>
      </x:c>
      <x:c r="C727" t="str">
        <x:v>Nowieso</x:v>
      </x:c>
      <x:c r="D727" t="n">
        <x:v>24</x:v>
      </x:c>
      <x:c r="E727" t="str">
        <x:v>Expert</x:v>
      </x:c>
      <x:c r="F727" t="str">
        <x:v>Kaizo</x:v>
      </x:c>
      <x:c r="G727" t="n">
        <x:v>43679</x:v>
      </x:c>
      <x:c r="H727" t="str">
        <x:v>20730</x:v>
      </x:c>
      <x:c r="I727" t="str">
        <x:v>https://www.smwcentral.net/?a=details&amp;id=20730&amp;p=section</x:v>
      </x:c>
      <x:c r="J727" t="str">
        <x:v>https://dl.smwcentral.net/20730/Jigoku%20Mario%20World%20Remastered.zip</x:v>
      </x:c>
    </x:row>
    <x:row r="728">
      <x:c r="A728" t="str">
        <x:v>Jigsaw's Test</x:v>
      </x:c>
      <x:c r="B728" t="str">
        <x:v>Jigsaw's Test</x:v>
      </x:c>
      <x:c r="C728" t="str">
        <x:v>CaseP, Foursword4</x:v>
      </x:c>
      <x:c r="D728" t="n">
        <x:v>11</x:v>
      </x:c>
      <x:c r="E728" t="str">
        <x:v>Casual</x:v>
      </x:c>
      <x:c r="F728" t="str">
        <x:v>Standard</x:v>
      </x:c>
      <x:c r="G728" t="n">
        <x:v>41451</x:v>
      </x:c>
      <x:c r="H728" t="str">
        <x:v>4962</x:v>
      </x:c>
      <x:c r="I728" t="str">
        <x:v>https://www.smwcentral.net/?a=details&amp;id=4962&amp;p=section</x:v>
      </x:c>
      <x:c r="J728" t="str">
        <x:v>https://dl.smwcentral.net/4962/Jigsaw%27s%20Test.zip</x:v>
      </x:c>
    </x:row>
    <x:row r="729">
      <x:c r="A729" t="str">
        <x:v>Jin'Rokh's Adventure</x:v>
      </x:c>
      <x:c r="B729" t="str">
        <x:v>Jin'Rokh's Adventure</x:v>
      </x:c>
      <x:c r="C729" t="str">
        <x:v>JinRokhZenobi</x:v>
      </x:c>
      <x:c r="D729" t="n">
        <x:v>20</x:v>
      </x:c>
      <x:c r="E729" t="str">
        <x:v>Advanced</x:v>
      </x:c>
      <x:c r="F729" t="str">
        <x:v>Kaizo</x:v>
      </x:c>
      <x:c r="G729" t="n">
        <x:v>45604</x:v>
      </x:c>
      <x:c r="H729" t="str">
        <x:v>38753</x:v>
      </x:c>
      <x:c r="I729" t="str">
        <x:v>https://www.smwcentral.net/?a=details&amp;id=38753&amp;p=section</x:v>
      </x:c>
      <x:c r="J729" t="str">
        <x:v>https://dl.smwcentral.net/38753/JinRokhsAdventure.zip</x:v>
      </x:c>
    </x:row>
    <x:row r="730">
      <x:c r="A730" t="str">
        <x:v>JISH</x:v>
      </x:c>
      <x:c r="B730" t="str">
        <x:v>JISH</x:v>
      </x:c>
      <x:c r="C730" t="str">
        <x:v>1mslakingoff</x:v>
      </x:c>
      <x:c r="D730" t="n">
        <x:v>62</x:v>
      </x:c>
      <x:c r="E730" t="str">
        <x:v>Intermediate</x:v>
      </x:c>
      <x:c r="F730" t="str">
        <x:v>Kaizo</x:v>
      </x:c>
      <x:c r="G730" t="n">
        <x:v>45767</x:v>
      </x:c>
      <x:c r="H730" t="str">
        <x:v>39726</x:v>
      </x:c>
      <x:c r="I730" t="str">
        <x:v>https://www.smwcentral.net/?a=details&amp;id=39726&amp;p=section</x:v>
      </x:c>
      <x:c r="J730" t="str">
        <x:v>https://dl.smwcentral.net/39726/JISH.zip</x:v>
      </x:c>
    </x:row>
    <x:row r="731">
      <x:c r="A731" t="str">
        <x:v>Joe Biden for the PS2: Re-Elected</x:v>
      </x:c>
      <x:c r="B731" t="str">
        <x:v>Joe Biden for the PS2: Re-Elected</x:v>
      </x:c>
      <x:c r="C731" t="str">
        <x:v>SubliminalSiren</x:v>
      </x:c>
      <x:c r="D731" t="n">
        <x:v>5</x:v>
      </x:c>
      <x:c r="E731" t="str">
        <x:v>Advanced</x:v>
      </x:c>
      <x:c r="F731" t="str">
        <x:v>Kaizo</x:v>
      </x:c>
      <x:c r="G731" t="n">
        <x:v>45680</x:v>
      </x:c>
      <x:c r="H731" t="str">
        <x:v>39093</x:v>
      </x:c>
      <x:c r="I731" t="str">
        <x:v>https://www.smwcentral.net/?a=details&amp;id=39093&amp;p=section</x:v>
      </x:c>
      <x:c r="J731" t="str">
        <x:v>https://dl.smwcentral.net/39093/25690-SMW-JoeBidenPS2.zip</x:v>
      </x:c>
    </x:row>
    <x:row r="732">
      <x:c r="A732" t="str">
        <x:v>Joeey's Level Collection</x:v>
      </x:c>
      <x:c r="B732" t="str">
        <x:v>Joeey's Level Collection</x:v>
      </x:c>
      <x:c r="C732" t="str">
        <x:v>Joeey</x:v>
      </x:c>
      <x:c r="D732" t="n">
        <x:v>6</x:v>
      </x:c>
      <x:c r="E732" t="str">
        <x:v>Casual</x:v>
      </x:c>
      <x:c r="F732" t="str">
        <x:v>Standard</x:v>
      </x:c>
      <x:c r="G732" t="n">
        <x:v>45020</x:v>
      </x:c>
      <x:c r="H732" t="str">
        <x:v>33622</x:v>
      </x:c>
      <x:c r="I732" t="str">
        <x:v>https://www.smwcentral.net/?a=details&amp;id=33622&amp;p=section</x:v>
      </x:c>
      <x:c r="J732" t="str">
        <x:v>https://dl.smwcentral.net/33622/Joeey%27s%20Level%20Collection%20-%20Demo%204.zip</x:v>
      </x:c>
    </x:row>
    <x:row r="733">
      <x:c r="A733" t="str">
        <x:v>John's Unfunny World - Phase 1</x:v>
      </x:c>
      <x:c r="B733" t="str">
        <x:v>John's Unfunny World - Phase 1</x:v>
      </x:c>
      <x:c r="C733" t="str">
        <x:v>ThePolionMaster</x:v>
      </x:c>
      <x:c r="D733" t="n">
        <x:v>4</x:v>
      </x:c>
      <x:c r="E733" t="str">
        <x:v>Intermediate</x:v>
      </x:c>
      <x:c r="F733" t="str">
        <x:v>Standard</x:v>
      </x:c>
      <x:c r="G733" t="n">
        <x:v>45095</x:v>
      </x:c>
      <x:c r="H733" t="str">
        <x:v>34098</x:v>
      </x:c>
      <x:c r="I733" t="str">
        <x:v>https://www.smwcentral.net/?a=details&amp;id=34098&amp;p=section</x:v>
      </x:c>
      <x:c r="J733" t="str">
        <x:v>https://dl.smwcentral.net/34098/John%27s%20Unfunny%20World%20-%20Phase%201.zip</x:v>
      </x:c>
    </x:row>
    <x:row r="734">
      <x:c r="A734" t="str">
        <x:v>JokerShellOk</x:v>
      </x:c>
      <x:c r="B734" t="str">
        <x:v>JokerShellOk</x:v>
      </x:c>
      <x:c r="C734" t="str">
        <x:v>Nowieso</x:v>
      </x:c>
      <x:c r="D734" t="n">
        <x:v>15</x:v>
      </x:c>
      <x:c r="E734" t="str">
        <x:v>Grandmaster</x:v>
      </x:c>
      <x:c r="F734" t="str">
        <x:v>Kaizo</x:v>
      </x:c>
      <x:c r="G734" t="n">
        <x:v>45998</x:v>
      </x:c>
      <x:c r="H734" t="str">
        <x:v>41192</x:v>
      </x:c>
      <x:c r="I734" t="str">
        <x:v>https://www.smwcentral.net/?a=details&amp;id=41192&amp;p=section</x:v>
      </x:c>
      <x:c r="J734" t="str">
        <x:v>https://dl.smwcentral.net/41192/JokerShellOk.zip</x:v>
      </x:c>
    </x:row>
    <x:row r="735">
      <x:c r="A735" t="str">
        <x:v>Jono Hack</x:v>
      </x:c>
      <x:c r="B735" t="str">
        <x:v>Jono Hack</x:v>
      </x:c>
      <x:c r="C735" t="str">
        <x:v>JonoFeio1</x:v>
      </x:c>
      <x:c r="D735" t="n">
        <x:v>4</x:v>
      </x:c>
      <x:c r="E735" t="str">
        <x:v>Intermediate</x:v>
      </x:c>
      <x:c r="F735" t="str">
        <x:v>Standard</x:v>
      </x:c>
      <x:c r="G735" t="n">
        <x:v>45616</x:v>
      </x:c>
      <x:c r="H735" t="str">
        <x:v>38785</x:v>
      </x:c>
      <x:c r="I735" t="str">
        <x:v>https://www.smwcentral.net/?a=details&amp;id=38785&amp;p=section</x:v>
      </x:c>
      <x:c r="J735" t="str">
        <x:v>https://dl.smwcentral.net/38785/Jono%20Hack%201.0.0.zip</x:v>
      </x:c>
    </x:row>
    <x:row r="736">
      <x:c r="A736" t="str">
        <x:v>Jouhou</x:v>
      </x:c>
      <x:c r="B736" t="str">
        <x:v>Jouhou</x:v>
      </x:c>
      <x:c r="C736" t="str">
        <x:v>LightAligns</x:v>
      </x:c>
      <x:c r="D736" t="n">
        <x:v>7</x:v>
      </x:c>
      <x:c r="E736" t="str">
        <x:v>Advanced</x:v>
      </x:c>
      <x:c r="F736" t="str">
        <x:v>Kaizo</x:v>
      </x:c>
      <x:c r="G736" t="n">
        <x:v>44655</x:v>
      </x:c>
      <x:c r="H736" t="str">
        <x:v>30147</x:v>
      </x:c>
      <x:c r="I736" t="str">
        <x:v>https://www.smwcentral.net/?a=details&amp;id=30147&amp;p=section</x:v>
      </x:c>
      <x:c r="J736" t="str">
        <x:v>https://dl.smwcentral.net/30147/Jouhou.zip</x:v>
      </x:c>
    </x:row>
    <x:row r="737">
      <x:c r="A737" t="str">
        <x:v>Journey To Peak</x:v>
      </x:c>
      <x:c r="B737" t="str">
        <x:v>Journey To Peak</x:v>
      </x:c>
      <x:c r="C737" t="str">
        <x:v>Silver Wind</x:v>
      </x:c>
      <x:c r="D737" t="n">
        <x:v>8</x:v>
      </x:c>
      <x:c r="E737" t="str">
        <x:v>Expert</x:v>
      </x:c>
      <x:c r="F737" t="str">
        <x:v>Kaizo</x:v>
      </x:c>
      <x:c r="G737" t="n">
        <x:v>45587</x:v>
      </x:c>
      <x:c r="H737" t="str">
        <x:v>38474</x:v>
      </x:c>
      <x:c r="I737" t="str">
        <x:v>https://www.smwcentral.net/?a=details&amp;id=38474&amp;p=section</x:v>
      </x:c>
      <x:c r="J737" t="str">
        <x:v>https://dl.smwcentral.net/38474/Journey%20to%20peak.zip</x:v>
      </x:c>
    </x:row>
    <x:row r="738">
      <x:c r="A738" t="str">
        <x:v>JTTMK 3 - Mario and Moonlight's Quest</x:v>
      </x:c>
      <x:c r="B738" t="str">
        <x:v>JTTMK 3 - Mario and Moonlight's Quest</x:v>
      </x:c>
      <x:c r="C738" t="str">
        <x:v>Sayuri</x:v>
      </x:c>
      <x:c r="D738" t="n">
        <x:v>35</x:v>
      </x:c>
      <x:c r="E738" t="str">
        <x:v>Casual</x:v>
      </x:c>
      <x:c r="F738" t="str">
        <x:v>Standard</x:v>
      </x:c>
      <x:c r="G738" t="n">
        <x:v>43675</x:v>
      </x:c>
      <x:c r="H738" t="str">
        <x:v>20758</x:v>
      </x:c>
      <x:c r="I738" t="str">
        <x:v>https://www.smwcentral.net/?a=details&amp;id=20758&amp;p=section</x:v>
      </x:c>
      <x:c r="J738" t="str">
        <x:v>https://dl.smwcentral.net/20758/JTTMK%203%20v2.0.zip</x:v>
      </x:c>
    </x:row>
    <x:row r="739">
      <x:c r="A739" t="str">
        <x:v>JUMP</x:v>
      </x:c>
      <x:c r="B739" t="str">
        <x:v>JUMP</x:v>
      </x:c>
      <x:c r="C739" t="str">
        <x:v>JUMP Team, worldpeace</x:v>
      </x:c>
      <x:c r="D739" t="n">
        <x:v>125</x:v>
      </x:c>
      <x:c r="E739" t="str">
        <x:v>Expert</x:v>
      </x:c>
      <x:c r="F739" t="str">
        <x:v>Standard</x:v>
      </x:c>
      <x:c r="G739" t="n">
        <x:v>42684</x:v>
      </x:c>
      <x:c r="H739" t="str">
        <x:v>14495</x:v>
      </x:c>
      <x:c r="I739" t="str">
        <x:v>https://www.smwcentral.net/?a=details&amp;id=14495&amp;p=section</x:v>
      </x:c>
      <x:c r="J739" t="str">
        <x:v>https://dl.smwcentral.net/14495/JUMP%20ver1.04.zip</x:v>
      </x:c>
    </x:row>
    <x:row r="740">
      <x:c r="A740" t="str">
        <x:v>Jumping Over It with Super Mario</x:v>
      </x:c>
      <x:c r="B740" t="str">
        <x:v>Jumping Over It with Super Mario</x:v>
      </x:c>
      <x:c r="C740" t="str">
        <x:v>TheGremlin</x:v>
      </x:c>
      <x:c r="D740" t="n">
        <x:v>3</x:v>
      </x:c>
      <x:c r="E740" t="str">
        <x:v>Expert</x:v>
      </x:c>
      <x:c r="F740" t="str">
        <x:v>Kaizo</x:v>
      </x:c>
      <x:c r="G740" t="n">
        <x:v>45618</x:v>
      </x:c>
      <x:c r="H740" t="str">
        <x:v>38777</x:v>
      </x:c>
      <x:c r="I740" t="str">
        <x:v>https://www.smwcentral.net/?a=details&amp;id=38777&amp;p=section</x:v>
      </x:c>
      <x:c r="J740" t="str">
        <x:v>https://dl.smwcentral.net/38777/Jumping%20Over%20It%20With%20Super%20Mario%20v.1.0.zip</x:v>
      </x:c>
    </x:row>
    <x:row r="741">
      <x:c r="A741" t="str">
        <x:v>Jumpman Returns</x:v>
      </x:c>
      <x:c r="B741" t="str">
        <x:v>Jumpman Returns</x:v>
      </x:c>
      <x:c r="C741" t="str">
        <x:v>Big Brawler</x:v>
      </x:c>
      <x:c r="D741" t="n">
        <x:v>4</x:v>
      </x:c>
      <x:c r="E741" t="str">
        <x:v>Intermediate</x:v>
      </x:c>
      <x:c r="F741" t="str">
        <x:v>Standard</x:v>
      </x:c>
      <x:c r="G741" t="n">
        <x:v>42530</x:v>
      </x:c>
      <x:c r="H741" t="str">
        <x:v>13781</x:v>
      </x:c>
      <x:c r="I741" t="str">
        <x:v>https://www.smwcentral.net/?a=details&amp;id=13781&amp;p=section</x:v>
      </x:c>
      <x:c r="J741" t="str">
        <x:v>https://dl.smwcentral.net/13781/Jumpman%20Returns.zip</x:v>
      </x:c>
    </x:row>
    <x:row r="742">
      <x:c r="A742" t="str">
        <x:v>Jumps Rhymes and Life</x:v>
      </x:c>
      <x:c r="B742" t="str">
        <x:v>Jumps Rhymes and Life</x:v>
      </x:c>
      <x:c r="C742" t="str">
        <x:v>Abstract</x:v>
      </x:c>
      <x:c r="D742" t="n">
        <x:v>25</x:v>
      </x:c>
      <x:c r="E742" t="str">
        <x:v>Master</x:v>
      </x:c>
      <x:c r="F742" t="str">
        <x:v>Kaizo</x:v>
      </x:c>
      <x:c r="G742" t="n">
        <x:v>46215</x:v>
      </x:c>
      <x:c r="H742" t="str">
        <x:v>42470</x:v>
      </x:c>
      <x:c r="I742" t="str">
        <x:v>https://www.smwcentral.net/?a=details&amp;id=42470&amp;p=section</x:v>
      </x:c>
      <x:c r="J742" t="str">
        <x:v>https://dl.smwcentral.net/42470/JumpsRhymesLife.zip</x:v>
      </x:c>
    </x:row>
    <x:row r="743">
      <x:c r="A743" t="str">
        <x:v>Jumpscare</x:v>
      </x:c>
      <x:c r="B743" t="str">
        <x:v>Jumpscare</x:v>
      </x:c>
      <x:c r="C743" t="str">
        <x:v>Gasterus155</x:v>
      </x:c>
      <x:c r="D743" t="n">
        <x:v>12</x:v>
      </x:c>
      <x:c r="E743" t="str">
        <x:v>Master</x:v>
      </x:c>
      <x:c r="F743" t="str">
        <x:v>Kaizo</x:v>
      </x:c>
      <x:c r="G743" t="n">
        <x:v>46222</x:v>
      </x:c>
      <x:c r="H743" t="str">
        <x:v>41515</x:v>
      </x:c>
      <x:c r="I743" t="str">
        <x:v>https://www.smwcentral.net/?a=details&amp;id=41515&amp;p=section</x:v>
      </x:c>
      <x:c r="J743" t="str">
        <x:v>https://dl.smwcentral.net/41515/Jumpsc.zip</x:v>
      </x:c>
    </x:row>
    <x:row r="744">
      <x:c r="A744" t="str">
        <x:v>JUMP½</x:v>
      </x:c>
      <x:c r="B744" t="str">
        <x:v>JUMP½</x:v>
      </x:c>
      <x:c r="C744" t="str">
        <x:v>JUMP Team, Lazy, Sixcorby, lolyoshi</x:v>
      </x:c>
      <x:c r="D744" t="n">
        <x:v>130</x:v>
      </x:c>
      <x:c r="E744" t="str">
        <x:v>Advanced</x:v>
      </x:c>
      <x:c r="F744" t="str">
        <x:v>Standard</x:v>
      </x:c>
      <x:c r="G744" t="n">
        <x:v>43578</x:v>
      </x:c>
      <x:c r="H744" t="str">
        <x:v>19720</x:v>
      </x:c>
      <x:c r="I744" t="str">
        <x:v>https://www.smwcentral.net/?a=details&amp;id=19720&amp;p=section</x:v>
      </x:c>
      <x:c r="J744" t="str">
        <x:v>https://dl.smwcentral.net/19720/JUMPhalf_ver1.01.zip</x:v>
      </x:c>
    </x:row>
    <x:row r="745">
      <x:c r="A745" t="str">
        <x:v>Just a Normal Quest</x:v>
      </x:c>
      <x:c r="B745" t="str">
        <x:v>Just a Normal Quest</x:v>
      </x:c>
      <x:c r="C745" t="str">
        <x:v>that1bigbossyouhate</x:v>
      </x:c>
      <x:c r="D745" t="n">
        <x:v>17</x:v>
      </x:c>
      <x:c r="E745" t="str">
        <x:v>Intermediate</x:v>
      </x:c>
      <x:c r="F745" t="str">
        <x:v>Standard</x:v>
      </x:c>
      <x:c r="G745" t="n">
        <x:v>44434</x:v>
      </x:c>
      <x:c r="H745" t="str">
        <x:v>28084</x:v>
      </x:c>
      <x:c r="I745" t="str">
        <x:v>https://www.smwcentral.net/?a=details&amp;id=28084&amp;p=section</x:v>
      </x:c>
      <x:c r="J745" t="str">
        <x:v>https://dl.smwcentral.net/28084/janq%201.6%20%28fixed%29.zip</x:v>
      </x:c>
    </x:row>
    <x:row r="746">
      <x:c r="A746" t="str">
        <x:v>Just a Pure Vanilla Super Mario World Hack</x:v>
      </x:c>
      <x:c r="B746" t="str">
        <x:v>Just a Pure Vanilla Super Mario World Hack</x:v>
      </x:c>
      <x:c r="C746" t="str">
        <x:v>DrAnas</x:v>
      </x:c>
      <x:c r="D746" t="n">
        <x:v>8</x:v>
      </x:c>
      <x:c r="E746" t="str">
        <x:v>Casual</x:v>
      </x:c>
      <x:c r="F746" t="str">
        <x:v>Standard</x:v>
      </x:c>
      <x:c r="G746" t="n">
        <x:v>42896</x:v>
      </x:c>
      <x:c r="H746" t="str">
        <x:v>15656</x:v>
      </x:c>
      <x:c r="I746" t="str">
        <x:v>https://www.smwcentral.net/?a=details&amp;id=15656&amp;p=section</x:v>
      </x:c>
      <x:c r="J746" t="str">
        <x:v>https://dl.smwcentral.net/15656/JAPSMWH.zip</x:v>
      </x:c>
    </x:row>
    <x:row r="747">
      <x:c r="A747" t="str">
        <x:v>Just Another Bad Kaizo Hack</x:v>
      </x:c>
      <x:c r="B747" t="str">
        <x:v>Just Another Bad Kaizo Hack</x:v>
      </x:c>
      <x:c r="C747" t="str">
        <x:v>Phobic</x:v>
      </x:c>
      <x:c r="D747" t="n">
        <x:v>11</x:v>
      </x:c>
      <x:c r="E747" t="str">
        <x:v>Master</x:v>
      </x:c>
      <x:c r="F747" t="str">
        <x:v>Kaizo</x:v>
      </x:c>
      <x:c r="G747" t="n">
        <x:v>44376</x:v>
      </x:c>
      <x:c r="H747" t="str">
        <x:v>27318</x:v>
      </x:c>
      <x:c r="I747" t="str">
        <x:v>https://www.smwcentral.net/?a=details&amp;id=27318&amp;p=section</x:v>
      </x:c>
      <x:c r="J747" t="str">
        <x:v>https://dl.smwcentral.net/27318/Just%20Another%20Bad%20Kaizo%20Hack.zip</x:v>
      </x:c>
    </x:row>
    <x:row r="748">
      <x:c r="A748" t="str">
        <x:v>Just Another Mario Hack</x:v>
      </x:c>
      <x:c r="B748" t="str">
        <x:v>Just Another Mario Hack</x:v>
      </x:c>
      <x:c r="C748" t="str">
        <x:v>Juggling Joker</x:v>
      </x:c>
      <x:c r="D748" t="n">
        <x:v>7</x:v>
      </x:c>
      <x:c r="E748" t="str">
        <x:v>Intermediate</x:v>
      </x:c>
      <x:c r="F748" t="str">
        <x:v>Standard</x:v>
      </x:c>
      <x:c r="G748" t="n">
        <x:v>42217</x:v>
      </x:c>
      <x:c r="H748" t="str">
        <x:v>9843</x:v>
      </x:c>
      <x:c r="I748" t="str">
        <x:v>https://www.smwcentral.net/?a=details&amp;id=9843&amp;p=section</x:v>
      </x:c>
      <x:c r="J748" t="str">
        <x:v>https://dl.smwcentral.net/9843/Just%20Another%20Mario%20Hack.zip</x:v>
      </x:c>
    </x:row>
    <x:row r="749">
      <x:c r="A749" t="str">
        <x:v>Just Another Shell Hack</x:v>
      </x:c>
      <x:c r="B749" t="str">
        <x:v>Just Another Shell Hack</x:v>
      </x:c>
      <x:c r="C749" t="str">
        <x:v>ageVerrly</x:v>
      </x:c>
      <x:c r="D749" t="n">
        <x:v>10</x:v>
      </x:c>
      <x:c r="E749" t="str">
        <x:v>Master</x:v>
      </x:c>
      <x:c r="F749" t="str">
        <x:v>Kaizo</x:v>
      </x:c>
      <x:c r="G749" t="n">
        <x:v>44768</x:v>
      </x:c>
      <x:c r="H749" t="str">
        <x:v>31396</x:v>
      </x:c>
      <x:c r="I749" t="str">
        <x:v>https://www.smwcentral.net/?a=details&amp;id=31396&amp;p=section</x:v>
      </x:c>
      <x:c r="J749" t="str">
        <x:v>https://dl.smwcentral.net/31396/shell.zip</x:v>
      </x:c>
    </x:row>
    <x:row r="750">
      <x:c r="A750" t="str">
        <x:v>Just Another SMW Hack</x:v>
      </x:c>
      <x:c r="B750" t="str">
        <x:v>Just Another SMW Hack</x:v>
      </x:c>
      <x:c r="C750" t="str">
        <x:v>TenPoundHammer</x:v>
      </x:c>
      <x:c r="D750" t="n">
        <x:v>11</x:v>
      </x:c>
      <x:c r="E750" t="str">
        <x:v>Casual</x:v>
      </x:c>
      <x:c r="F750" t="str">
        <x:v>Standard</x:v>
      </x:c>
      <x:c r="G750" t="n">
        <x:v>41645</x:v>
      </x:c>
      <x:c r="H750" t="str">
        <x:v>6050</x:v>
      </x:c>
      <x:c r="I750" t="str">
        <x:v>https://www.smwcentral.net/?a=details&amp;id=6050&amp;p=section</x:v>
      </x:c>
      <x:c r="J750" t="str">
        <x:v>https://dl.smwcentral.net/6050/hack%202%20patch.zip</x:v>
      </x:c>
    </x:row>
    <x:row r="751">
      <x:c r="A751" t="str">
        <x:v>Just Blob</x:v>
      </x:c>
      <x:c r="B751" t="str">
        <x:v>Just Blob</x:v>
      </x:c>
      <x:c r="C751" t="str">
        <x:v>TheDutchLuigi</x:v>
      </x:c>
      <x:c r="D751" t="n">
        <x:v>6</x:v>
      </x:c>
      <x:c r="E751" t="str">
        <x:v>Newcomer</x:v>
      </x:c>
      <x:c r="F751" t="str">
        <x:v>Standard</x:v>
      </x:c>
      <x:c r="G751" t="n">
        <x:v>41525</x:v>
      </x:c>
      <x:c r="H751" t="str">
        <x:v>5492</x:v>
      </x:c>
      <x:c r="I751" t="str">
        <x:v>https://www.smwcentral.net/?a=details&amp;id=5492&amp;p=section</x:v>
      </x:c>
      <x:c r="J751" t="str">
        <x:v>https://dl.smwcentral.net/5492/Just%20Blob.zip</x:v>
      </x:c>
    </x:row>
    <x:row r="752">
      <x:c r="A752" t="str">
        <x:v>just like amy; exactly like amy</x:v>
      </x:c>
      <x:c r="B752" t="str">
        <x:v>just like amy; exactly like amy</x:v>
      </x:c>
      <x:c r="C752" t="str">
        <x:v>Sayuri</x:v>
      </x:c>
      <x:c r="D752" t="n">
        <x:v>12</x:v>
      </x:c>
      <x:c r="E752" t="str">
        <x:v>Master</x:v>
      </x:c>
      <x:c r="F752" t="str">
        <x:v>Standard, Kaizo</x:v>
      </x:c>
      <x:c r="G752" t="n">
        <x:v>46074</x:v>
      </x:c>
      <x:c r="H752" t="str">
        <x:v>41451</x:v>
      </x:c>
      <x:c r="I752" t="str">
        <x:v>https://www.smwcentral.net/?a=details&amp;id=41451&amp;p=section</x:v>
      </x:c>
      <x:c r="J752" t="str">
        <x:v>https://dl.smwcentral.net/41451/just%20like%20amy%3B%20exactly%20like%20amy%20%28v1.01%29.zip</x:v>
      </x:c>
    </x:row>
    <x:row r="753">
      <x:c r="A753" t="str">
        <x:v>Just Thanks</x:v>
      </x:c>
      <x:c r="B753" t="str">
        <x:v>Just Thanks</x:v>
      </x:c>
      <x:c r="C753" t="str">
        <x:v>TheMURAmatsu</x:v>
      </x:c>
      <x:c r="D753" t="n">
        <x:v>6</x:v>
      </x:c>
      <x:c r="E753" t="str">
        <x:v>Advanced</x:v>
      </x:c>
      <x:c r="F753" t="str">
        <x:v>Kaizo</x:v>
      </x:c>
      <x:c r="G753" t="n">
        <x:v>45057</x:v>
      </x:c>
      <x:c r="H753" t="str">
        <x:v>33880</x:v>
      </x:c>
      <x:c r="I753" t="str">
        <x:v>https://www.smwcentral.net/?a=details&amp;id=33880&amp;p=section</x:v>
      </x:c>
      <x:c r="J753" t="str">
        <x:v>https://dl.smwcentral.net/33880/SMW-JustThanks.zip</x:v>
      </x:c>
    </x:row>
    <x:row r="754">
      <x:c r="A754" t="str">
        <x:v>Justice for Mario</x:v>
      </x:c>
      <x:c r="B754" t="str">
        <x:v>Justice for Mario</x:v>
      </x:c>
      <x:c r="C754" t="str">
        <x:v>Centipede</x:v>
      </x:c>
      <x:c r="D754" t="n">
        <x:v>99</x:v>
      </x:c>
      <x:c r="E754" t="str">
        <x:v>Intermediate</x:v>
      </x:c>
      <x:c r="F754" t="str">
        <x:v>Standard</x:v>
      </x:c>
      <x:c r="G754" t="n">
        <x:v>44331</x:v>
      </x:c>
      <x:c r="H754" t="str">
        <x:v>26449</x:v>
      </x:c>
      <x:c r="I754" t="str">
        <x:v>https://www.smwcentral.net/?a=details&amp;id=26449&amp;p=section</x:v>
      </x:c>
      <x:c r="J754" t="str">
        <x:v>https://dl.smwcentral.net/26449/Justice%20for%20Mario.zip</x:v>
      </x:c>
    </x:row>
    <x:row r="755">
      <x:c r="A755" t="str">
        <x:v>K-16 - Story of Steel</x:v>
      </x:c>
      <x:c r="B755" t="str">
        <x:v>K-16 - Story of Steel</x:v>
      </x:c>
      <x:c r="C755" t="str">
        <x:v>Eevee</x:v>
      </x:c>
      <x:c r="D755" t="n">
        <x:v>25</x:v>
      </x:c>
      <x:c r="E755" t="str">
        <x:v>Intermediate</x:v>
      </x:c>
      <x:c r="F755" t="str">
        <x:v>Standard</x:v>
      </x:c>
      <x:c r="G755" t="n">
        <x:v>42014</x:v>
      </x:c>
      <x:c r="H755" t="str">
        <x:v>10495</x:v>
      </x:c>
      <x:c r="I755" t="str">
        <x:v>https://www.smwcentral.net/?a=details&amp;id=10495&amp;p=section</x:v>
      </x:c>
      <x:c r="J755" t="str">
        <x:v>https://dl.smwcentral.net/10495/v1.3.zip</x:v>
      </x:c>
    </x:row>
    <x:row r="756">
      <x:c r="A756" t="str">
        <x:v>Kaeru's Unnamed Hack</x:v>
      </x:c>
      <x:c r="B756" t="str">
        <x:v>Kaeru's Unnamed Hack</x:v>
      </x:c>
      <x:c r="C756" t="str">
        <x:v>Kaeru</x:v>
      </x:c>
      <x:c r="D756" t="n">
        <x:v>11</x:v>
      </x:c>
      <x:c r="E756" t="str">
        <x:v>Casual</x:v>
      </x:c>
      <x:c r="F756" t="str">
        <x:v>Standard</x:v>
      </x:c>
      <x:c r="G756" t="n">
        <x:v>42322</x:v>
      </x:c>
      <x:c r="H756" t="str">
        <x:v>9739</x:v>
      </x:c>
      <x:c r="I756" t="str">
        <x:v>https://www.smwcentral.net/?a=details&amp;id=9739&amp;p=section</x:v>
      </x:c>
      <x:c r="J756" t="str">
        <x:v>https://dl.smwcentral.net/9739/Unnamed.zip</x:v>
      </x:c>
    </x:row>
    <x:row r="757">
      <x:c r="A757" t="str">
        <x:v>Kaiden, where's your head at??</x:v>
      </x:c>
      <x:c r="B757" t="str">
        <x:v>Kaiden, where's your head at??</x:v>
      </x:c>
      <x:c r="C757" t="str">
        <x:v>Donut</x:v>
      </x:c>
      <x:c r="D757" t="n">
        <x:v>3</x:v>
      </x:c>
      <x:c r="E757" t="str">
        <x:v>Intermediate</x:v>
      </x:c>
      <x:c r="F757" t="str">
        <x:v>Standard</x:v>
      </x:c>
      <x:c r="G757" t="n">
        <x:v>44557</x:v>
      </x:c>
      <x:c r="H757" t="str">
        <x:v>28910</x:v>
      </x:c>
      <x:c r="I757" t="str">
        <x:v>https://www.smwcentral.net/?a=details&amp;id=28910&amp;p=section</x:v>
      </x:c>
      <x:c r="J757" t="str">
        <x:v>https://dl.smwcentral.net/28910/kaiden.zip</x:v>
      </x:c>
    </x:row>
    <x:row r="758">
      <x:c r="A758" t="str">
        <x:v>Kaiketsoy Mario</x:v>
      </x:c>
      <x:c r="B758" t="str">
        <x:v>Kaiketsoy Mario</x:v>
      </x:c>
      <x:c r="C758" t="str">
        <x:v>Bammcreeper</x:v>
      </x:c>
      <x:c r="D758" t="n">
        <x:v>1</x:v>
      </x:c>
      <x:c r="E758" t="str">
        <x:v>Expert</x:v>
      </x:c>
      <x:c r="F758" t="str">
        <x:v>Kaizo</x:v>
      </x:c>
      <x:c r="G758" t="n">
        <x:v>41724</x:v>
      </x:c>
      <x:c r="H758" t="str">
        <x:v>6283</x:v>
      </x:c>
      <x:c r="I758" t="str">
        <x:v>https://www.smwcentral.net/?a=details&amp;id=6283&amp;p=section</x:v>
      </x:c>
      <x:c r="J758" t="str">
        <x:v>https://dl.smwcentral.net/6283/kaiketsoy.zip</x:v>
      </x:c>
    </x:row>
    <x:row r="759">
      <x:c r="A759" t="str">
        <x:v>Kain's Quest</x:v>
      </x:c>
      <x:c r="B759" t="str">
        <x:v>Kain's Quest</x:v>
      </x:c>
      <x:c r="C759" t="str">
        <x:v>Atma</x:v>
      </x:c>
      <x:c r="D759" t="n">
        <x:v>13</x:v>
      </x:c>
      <x:c r="E759" t="str">
        <x:v>Intermediate</x:v>
      </x:c>
      <x:c r="F759" t="str">
        <x:v>Standard</x:v>
      </x:c>
      <x:c r="G759" t="n">
        <x:v>42059</x:v>
      </x:c>
      <x:c r="H759" t="str">
        <x:v>9899</x:v>
      </x:c>
      <x:c r="I759" t="str">
        <x:v>https://www.smwcentral.net/?a=details&amp;id=9899&amp;p=section</x:v>
      </x:c>
      <x:c r="J759" t="str">
        <x:v>https://dl.smwcentral.net/9899/Kain%27s%20Quest1.1.zip</x:v>
      </x:c>
    </x:row>
    <x:row r="760">
      <x:c r="A760" t="str">
        <x:v>Kaitenzushi</x:v>
      </x:c>
      <x:c r="B760" t="str">
        <x:v>Kaitenzushi</x:v>
      </x:c>
      <x:c r="C760" t="str">
        <x:v>JeepySol</x:v>
      </x:c>
      <x:c r="D760" t="n">
        <x:v>10</x:v>
      </x:c>
      <x:c r="E760" t="str">
        <x:v>Expert</x:v>
      </x:c>
      <x:c r="F760" t="str">
        <x:v>Kaizo</x:v>
      </x:c>
      <x:c r="G760" t="n">
        <x:v>45799</x:v>
      </x:c>
      <x:c r="H760" t="str">
        <x:v>39746</x:v>
      </x:c>
      <x:c r="I760" t="str">
        <x:v>https://www.smwcentral.net/?a=details&amp;id=39746&amp;p=section</x:v>
      </x:c>
      <x:c r="J760" t="str">
        <x:v>https://dl.smwcentral.net/39746/Kaitenzushi%20v1_1.zip</x:v>
      </x:c>
    </x:row>
    <x:row r="761">
      <x:c r="A761" t="str">
        <x:v>Kaizo</x:v>
      </x:c>
      <x:c r="B761" t="str">
        <x:v>Kaizo</x:v>
      </x:c>
      <x:c r="C761" t="str">
        <x:v>Anonymous</x:v>
      </x:c>
      <x:c r="D761" t="n">
        <x:v>5</x:v>
      </x:c>
      <x:c r="E761" t="str">
        <x:v>Master</x:v>
      </x:c>
      <x:c r="F761" t="str">
        <x:v>Kaizo</x:v>
      </x:c>
      <x:c r="G761" t="n">
        <x:v>45523</x:v>
      </x:c>
      <x:c r="H761" t="str">
        <x:v>38232</x:v>
      </x:c>
      <x:c r="I761" t="str">
        <x:v>https://www.smwcentral.net/?a=details&amp;id=38232&amp;p=section</x:v>
      </x:c>
      <x:c r="J761" t="str">
        <x:v>https://dl.smwcentral.net/38232/Kaizo.zip</x:v>
      </x:c>
    </x:row>
    <x:row r="762">
      <x:c r="A762" t="str">
        <x:v>Kaizo 2: The Kaizening</x:v>
      </x:c>
      <x:c r="B762" t="str">
        <x:v>Kaizo 2: The Kaizening</x:v>
      </x:c>
      <x:c r="C762" t="str">
        <x:v>Anonymous</x:v>
      </x:c>
      <x:c r="D762" t="n">
        <x:v>5</x:v>
      </x:c>
      <x:c r="E762" t="str">
        <x:v>Master</x:v>
      </x:c>
      <x:c r="F762" t="str">
        <x:v>Kaizo</x:v>
      </x:c>
      <x:c r="G762" t="n">
        <x:v>45561</x:v>
      </x:c>
      <x:c r="H762" t="str">
        <x:v>38419</x:v>
      </x:c>
      <x:c r="I762" t="str">
        <x:v>https://www.smwcentral.net/?a=details&amp;id=38419&amp;p=section</x:v>
      </x:c>
      <x:c r="J762" t="str">
        <x:v>https://dl.smwcentral.net/38419/Kaizo%202%20The%20Kaizening.zip</x:v>
      </x:c>
    </x:row>
    <x:row r="763">
      <x:c r="A763" t="str">
        <x:v>Kaizo 3 Styled Hack</x:v>
      </x:c>
      <x:c r="B763" t="str">
        <x:v>Kaizo 3 Styled Hack</x:v>
      </x:c>
      <x:c r="C763" t="str">
        <x:v>Picayune</x:v>
      </x:c>
      <x:c r="D763" t="n">
        <x:v>10</x:v>
      </x:c>
      <x:c r="E763" t="str">
        <x:v>Master</x:v>
      </x:c>
      <x:c r="F763" t="str">
        <x:v>Kaizo</x:v>
      </x:c>
      <x:c r="G763" t="n">
        <x:v>44523</x:v>
      </x:c>
      <x:c r="H763" t="str">
        <x:v>28577</x:v>
      </x:c>
      <x:c r="I763" t="str">
        <x:v>https://www.smwcentral.net/?a=details&amp;id=28577&amp;p=section</x:v>
      </x:c>
      <x:c r="J763" t="str">
        <x:v>https://dl.smwcentral.net/28577/K3SH.zip</x:v>
      </x:c>
    </x:row>
    <x:row r="764">
      <x:c r="A764" t="str">
        <x:v>kaizo beats to run quick to - vol. 3</x:v>
      </x:c>
      <x:c r="B764" t="str">
        <x:v>kaizo beats to run quick to - vol. 3</x:v>
      </x:c>
      <x:c r="C764" t="str">
        <x:v>Alex, Blaagon, Fyre150, Hiro-sofT, HmWhyNot, LightAligns, Saela, Spirits, YMM, dansalvato, dtothefourth, margot, shaoshao, snoruntpyro</x:v>
      </x:c>
      <x:c r="D764" t="n">
        <x:v>8</x:v>
      </x:c>
      <x:c r="E764" t="str">
        <x:v>Expert</x:v>
      </x:c>
      <x:c r="F764" t="str">
        <x:v>Kaizo</x:v>
      </x:c>
      <x:c r="G764" t="n">
        <x:v>45550</x:v>
      </x:c>
      <x:c r="H764" t="str">
        <x:v>38472</x:v>
      </x:c>
      <x:c r="I764" t="str">
        <x:v>https://www.smwcentral.net/?a=details&amp;id=38472&amp;p=section</x:v>
      </x:c>
      <x:c r="J764" t="str">
        <x:v>https://dl.smwcentral.net/38472/Kaizo%20Beats%20vol%203.zip</x:v>
      </x:c>
    </x:row>
    <x:row r="765">
      <x:c r="A765" t="str">
        <x:v>Kaizo Breeze</x:v>
      </x:c>
      <x:c r="B765" t="str">
        <x:v>Kaizo Breeze</x:v>
      </x:c>
      <x:c r="C765" t="str">
        <x:v>BielDusty, naBerada</x:v>
      </x:c>
      <x:c r="D765" t="n">
        <x:v>12</x:v>
      </x:c>
      <x:c r="E765" t="str">
        <x:v>Casual</x:v>
      </x:c>
      <x:c r="F765" t="str">
        <x:v>Kaizo</x:v>
      </x:c>
      <x:c r="G765" t="n">
        <x:v>46222</x:v>
      </x:c>
      <x:c r="H765" t="str">
        <x:v>42670</x:v>
      </x:c>
      <x:c r="I765" t="str">
        <x:v>https://www.smwcentral.net/?a=details&amp;id=42670&amp;p=section</x:v>
      </x:c>
      <x:c r="J765" t="str">
        <x:v>https://dl.smwcentral.net/42670/KaizoBreezev1.1.zip</x:v>
      </x:c>
    </x:row>
    <x:row r="766">
      <x:c r="A766" t="str">
        <x:v>Kaizo Consistency</x:v>
      </x:c>
      <x:c r="B766" t="str">
        <x:v>Kaizo Consistency</x:v>
      </x:c>
      <x:c r="C766" t="str">
        <x:v>35TCB77</x:v>
      </x:c>
      <x:c r="D766" t="n">
        <x:v>36</x:v>
      </x:c>
      <x:c r="E766" t="str">
        <x:v>Intermediate</x:v>
      </x:c>
      <x:c r="F766" t="str">
        <x:v>Kaizo</x:v>
      </x:c>
      <x:c r="G766" t="n">
        <x:v>45777</x:v>
      </x:c>
      <x:c r="H766" t="str">
        <x:v>39791</x:v>
      </x:c>
      <x:c r="I766" t="str">
        <x:v>https://www.smwcentral.net/?a=details&amp;id=39791&amp;p=section</x:v>
      </x:c>
      <x:c r="J766" t="str">
        <x:v>https://dl.smwcentral.net/39791/KCDV.zip</x:v>
      </x:c>
    </x:row>
    <x:row r="767">
      <x:c r="A767" t="str">
        <x:v>Kaizo Crisis</x:v>
      </x:c>
      <x:c r="B767" t="str">
        <x:v>Kaizo Crisis</x:v>
      </x:c>
      <x:c r="C767" t="str">
        <x:v>Mithrillionaire</x:v>
      </x:c>
      <x:c r="D767" t="n">
        <x:v>5</x:v>
      </x:c>
      <x:c r="E767" t="str">
        <x:v>Master</x:v>
      </x:c>
      <x:c r="F767" t="str">
        <x:v>Kaizo</x:v>
      </x:c>
      <x:c r="G767" t="n">
        <x:v>44777</x:v>
      </x:c>
      <x:c r="H767" t="str">
        <x:v>31756</x:v>
      </x:c>
      <x:c r="I767" t="str">
        <x:v>https://www.smwcentral.net/?a=details&amp;id=31756&amp;p=section</x:v>
      </x:c>
      <x:c r="J767" t="str">
        <x:v>https://dl.smwcentral.net/31756/KaizoCrisis.zip</x:v>
      </x:c>
    </x:row>
    <x:row r="768">
      <x:c r="A768" t="str">
        <x:v>Kaizo Crisis 2</x:v>
      </x:c>
      <x:c r="B768" t="str">
        <x:v>Kaizo Crisis 2</x:v>
      </x:c>
      <x:c r="C768" t="str">
        <x:v>Mithrillionaire</x:v>
      </x:c>
      <x:c r="D768" t="n">
        <x:v>7</x:v>
      </x:c>
      <x:c r="E768" t="str">
        <x:v>Expert</x:v>
      </x:c>
      <x:c r="F768" t="str">
        <x:v>Kaizo</x:v>
      </x:c>
      <x:c r="G768" t="n">
        <x:v>45600</x:v>
      </x:c>
      <x:c r="H768" t="str">
        <x:v>38727</x:v>
      </x:c>
      <x:c r="I768" t="str">
        <x:v>https://www.smwcentral.net/?a=details&amp;id=38727&amp;p=section</x:v>
      </x:c>
      <x:c r="J768" t="str">
        <x:v>https://dl.smwcentral.net/38727/Kaizo%20Crisis%202.zip</x:v>
      </x:c>
    </x:row>
    <x:row r="769">
      <x:c r="A769" t="str">
        <x:v>Kaizo Dreamland</x:v>
      </x:c>
      <x:c r="B769" t="str">
        <x:v>Kaizo Dreamland</x:v>
      </x:c>
      <x:c r="C769" t="str">
        <x:v>RecToR_24</x:v>
      </x:c>
      <x:c r="D769" t="n">
        <x:v>4</x:v>
      </x:c>
      <x:c r="E769" t="str">
        <x:v>Expert</x:v>
      </x:c>
      <x:c r="F769" t="str">
        <x:v>Kaizo</x:v>
      </x:c>
      <x:c r="G769" t="n">
        <x:v>44221</x:v>
      </x:c>
      <x:c r="H769" t="str">
        <x:v>26043</x:v>
      </x:c>
      <x:c r="I769" t="str">
        <x:v>https://www.smwcentral.net/?a=details&amp;id=26043&amp;p=section</x:v>
      </x:c>
      <x:c r="J769" t="str">
        <x:v>https://dl.smwcentral.net/26043/KaizoDreamland.zip</x:v>
      </x:c>
    </x:row>
    <x:row r="770">
      <x:c r="A770" t="str">
        <x:v>Kaizo Island</x:v>
      </x:c>
      <x:c r="B770" t="str">
        <x:v>Kaizo Island</x:v>
      </x:c>
      <x:c r="C770" t="str">
        <x:v>BrickSMW</x:v>
      </x:c>
      <x:c r="D770" t="n">
        <x:v>12</x:v>
      </x:c>
      <x:c r="E770" t="str">
        <x:v>Expert</x:v>
      </x:c>
      <x:c r="F770" t="str">
        <x:v>Kaizo</x:v>
      </x:c>
      <x:c r="G770" t="n">
        <x:v>43775</x:v>
      </x:c>
      <x:c r="H770" t="str">
        <x:v>21425</x:v>
      </x:c>
      <x:c r="I770" t="str">
        <x:v>https://www.smwcentral.net/?a=details&amp;id=21425&amp;p=section</x:v>
      </x:c>
      <x:c r="J770" t="str">
        <x:v>https://dl.smwcentral.net/21425/Kaizo%20Island.zip</x:v>
      </x:c>
    </x:row>
    <x:row r="771">
      <x:c r="A771" t="str">
        <x:v>Kaizo Kidz</x:v>
      </x:c>
      <x:c r="B771" t="str">
        <x:v>Kaizo Kidz</x:v>
      </x:c>
      <x:c r="C771" t="str">
        <x:v>wulv257</x:v>
      </x:c>
      <x:c r="D771" t="n">
        <x:v>10</x:v>
      </x:c>
      <x:c r="E771" t="str">
        <x:v>Intermediate</x:v>
      </x:c>
      <x:c r="F771" t="str">
        <x:v>Kaizo</x:v>
      </x:c>
      <x:c r="G771" t="n">
        <x:v>44679</x:v>
      </x:c>
      <x:c r="H771" t="str">
        <x:v>30642</x:v>
      </x:c>
      <x:c r="I771" t="str">
        <x:v>https://www.smwcentral.net/?a=details&amp;id=30642&amp;p=section</x:v>
      </x:c>
      <x:c r="J771" t="str">
        <x:v>https://dl.smwcentral.net/30642/Kaizo%20Kidz%20V1.2.zip</x:v>
      </x:c>
    </x:row>
    <x:row r="772">
      <x:c r="A772" t="str">
        <x:v>Kaizo Kong Country</x:v>
      </x:c>
      <x:c r="B772" t="str">
        <x:v>Kaizo Kong Country</x:v>
      </x:c>
      <x:c r="C772" t="str">
        <x:v>oneframejames</x:v>
      </x:c>
      <x:c r="D772" t="n">
        <x:v>10</x:v>
      </x:c>
      <x:c r="E772" t="str">
        <x:v>Intermediate</x:v>
      </x:c>
      <x:c r="F772" t="str">
        <x:v>Kaizo</x:v>
      </x:c>
      <x:c r="G772" t="n">
        <x:v>44108</x:v>
      </x:c>
      <x:c r="H772" t="str">
        <x:v>24760</x:v>
      </x:c>
      <x:c r="I772" t="str">
        <x:v>https://www.smwcentral.net/?a=details&amp;id=24760&amp;p=section</x:v>
      </x:c>
      <x:c r="J772" t="str">
        <x:v>https://dl.smwcentral.net/24760/Kaizo%20Kong%20Country%20v1.0.bps.zip</x:v>
      </x:c>
    </x:row>
    <x:row r="773">
      <x:c r="A773" t="str">
        <x:v>Kaizo Marathon</x:v>
      </x:c>
      <x:c r="B773" t="str">
        <x:v>Kaizo Marathon</x:v>
      </x:c>
      <x:c r="C773" t="str">
        <x:v>NewPointless</x:v>
      </x:c>
      <x:c r="D773" t="n">
        <x:v>1</x:v>
      </x:c>
      <x:c r="E773" t="str">
        <x:v>Expert</x:v>
      </x:c>
      <x:c r="F773" t="str">
        <x:v>Kaizo</x:v>
      </x:c>
      <x:c r="G773" t="n">
        <x:v>44973</x:v>
      </x:c>
      <x:c r="H773" t="str">
        <x:v>33210</x:v>
      </x:c>
      <x:c r="I773" t="str">
        <x:v>https://www.smwcentral.net/?a=details&amp;id=33210&amp;p=section</x:v>
      </x:c>
      <x:c r="J773" t="str">
        <x:v>https://dl.smwcentral.net/33210/KaizoMarathon1_1.zip</x:v>
      </x:c>
    </x:row>
    <x:row r="774">
      <x:c r="A774" t="str">
        <x:v>Kaizo Mario World</x:v>
      </x:c>
      <x:c r="B774" t="str">
        <x:v>Kaizo Mario World</x:v>
      </x:c>
      <x:c r="C774" t="str">
        <x:v>T. Takemoto</x:v>
      </x:c>
      <x:c r="D774" t="n">
        <x:v>11</x:v>
      </x:c>
      <x:c r="E774" t="str">
        <x:v>Expert</x:v>
      </x:c>
      <x:c r="F774" t="str">
        <x:v>Kaizo</x:v>
      </x:c>
      <x:c r="G774" t="n">
        <x:v>42965</x:v>
      </x:c>
      <x:c r="H774" t="str">
        <x:v>16059</x:v>
      </x:c>
      <x:c r="I774" t="str">
        <x:v>https://www.smwcentral.net/?a=details&amp;id=16059&amp;p=section</x:v>
      </x:c>
      <x:c r="J774" t="str">
        <x:v>https://dl.smwcentral.net/16059/Kaizo%20Mario%20World.zip</x:v>
      </x:c>
    </x:row>
    <x:row r="775">
      <x:c r="A775" t="str">
        <x:v>Kaizo Mario World 2</x:v>
      </x:c>
      <x:c r="B775" t="str">
        <x:v>Kaizo Mario World 2</x:v>
      </x:c>
      <x:c r="C775" t="str">
        <x:v>T. Takemoto</x:v>
      </x:c>
      <x:c r="D775" t="n">
        <x:v>9</x:v>
      </x:c>
      <x:c r="E775" t="str">
        <x:v>Master</x:v>
      </x:c>
      <x:c r="F775" t="str">
        <x:v>Kaizo</x:v>
      </x:c>
      <x:c r="G775" t="n">
        <x:v>42965</x:v>
      </x:c>
      <x:c r="H775" t="str">
        <x:v>16058</x:v>
      </x:c>
      <x:c r="I775" t="str">
        <x:v>https://www.smwcentral.net/?a=details&amp;id=16058&amp;p=section</x:v>
      </x:c>
      <x:c r="J775" t="str">
        <x:v>https://dl.smwcentral.net/16058/Kaizo%20Mario%20World%202.zip</x:v>
      </x:c>
    </x:row>
    <x:row r="776">
      <x:c r="A776" t="str">
        <x:v>Kaizo Mario World 3</x:v>
      </x:c>
      <x:c r="B776" t="str">
        <x:v>Kaizo Mario World 3</x:v>
      </x:c>
      <x:c r="C776" t="str">
        <x:v>T. Takemoto</x:v>
      </x:c>
      <x:c r="D776" t="n">
        <x:v>12</x:v>
      </x:c>
      <x:c r="E776" t="str">
        <x:v>Grandmaster</x:v>
      </x:c>
      <x:c r="F776" t="str">
        <x:v>Kaizo</x:v>
      </x:c>
      <x:c r="G776" t="n">
        <x:v>42965</x:v>
      </x:c>
      <x:c r="H776" t="str">
        <x:v>16060</x:v>
      </x:c>
      <x:c r="I776" t="str">
        <x:v>https://www.smwcentral.net/?a=details&amp;id=16060&amp;p=section</x:v>
      </x:c>
      <x:c r="J776" t="str">
        <x:v>https://dl.smwcentral.net/16060/Kaizo%20Mario%20World%203.zip</x:v>
      </x:c>
    </x:row>
    <x:row r="777">
      <x:c r="A777" t="str">
        <x:v>Kaizo no Notam</x:v>
      </x:c>
      <x:c r="B777" t="str">
        <x:v>Kaizo no Notam</x:v>
      </x:c>
      <x:c r="C777" t="str">
        <x:v>cozyduck</x:v>
      </x:c>
      <x:c r="D777" t="n">
        <x:v>10</x:v>
      </x:c>
      <x:c r="E777" t="str">
        <x:v>Master</x:v>
      </x:c>
      <x:c r="F777" t="str">
        <x:v>Kaizo</x:v>
      </x:c>
      <x:c r="G777" t="n">
        <x:v>46094</x:v>
      </x:c>
      <x:c r="H777" t="str">
        <x:v>41561</x:v>
      </x:c>
      <x:c r="I777" t="str">
        <x:v>https://www.smwcentral.net/?a=details&amp;id=41561&amp;p=section</x:v>
      </x:c>
      <x:c r="J777" t="str">
        <x:v>https://dl.smwcentral.net/41561/Notam.zip</x:v>
      </x:c>
    </x:row>
    <x:row r="778">
      <x:c r="A778" t="str">
        <x:v>Kaizo no Yume</x:v>
      </x:c>
      <x:c r="B778" t="str">
        <x:v>Kaizo no Yume</x:v>
      </x:c>
      <x:c r="C778" t="str">
        <x:v>duders</x:v>
      </x:c>
      <x:c r="D778" t="n">
        <x:v>22</x:v>
      </x:c>
      <x:c r="E778" t="str">
        <x:v>Expert</x:v>
      </x:c>
      <x:c r="F778" t="str">
        <x:v>Kaizo</x:v>
      </x:c>
      <x:c r="G778" t="n">
        <x:v>43569</x:v>
      </x:c>
      <x:c r="H778" t="str">
        <x:v>19584</x:v>
      </x:c>
      <x:c r="I778" t="str">
        <x:v>https://www.smwcentral.net/?a=details&amp;id=19584&amp;p=section</x:v>
      </x:c>
      <x:c r="J778" t="str">
        <x:v>https://dl.smwcentral.net/19584/Kaizo%20no%20Yume%20v1.05.zip</x:v>
      </x:c>
    </x:row>
    <x:row r="779">
      <x:c r="A779" t="str">
        <x:v>Kamek and the Shroobs</x:v>
      </x:c>
      <x:c r="B779" t="str">
        <x:v>Kamek and the Shroobs</x:v>
      </x:c>
      <x:c r="C779" t="str">
        <x:v>1339</x:v>
      </x:c>
      <x:c r="D779" t="n">
        <x:v>25</x:v>
      </x:c>
      <x:c r="E779" t="str">
        <x:v>Casual</x:v>
      </x:c>
      <x:c r="F779" t="str">
        <x:v>Standard</x:v>
      </x:c>
      <x:c r="G779" t="n">
        <x:v>42239</x:v>
      </x:c>
      <x:c r="H779" t="str">
        <x:v>9918</x:v>
      </x:c>
      <x:c r="I779" t="str">
        <x:v>https://www.smwcentral.net/?a=details&amp;id=9918&amp;p=section</x:v>
      </x:c>
      <x:c r="J779" t="str">
        <x:v>https://dl.smwcentral.net/9918/kamek.zip</x:v>
      </x:c>
    </x:row>
    <x:row r="780">
      <x:c r="A780" t="str">
        <x:v>Kamek's Island</x:v>
      </x:c>
      <x:c r="B780" t="str">
        <x:v>Kamek's Island</x:v>
      </x:c>
      <x:c r="C780" t="str">
        <x:v>Gamma V</x:v>
      </x:c>
      <x:c r="D780" t="n">
        <x:v>82</x:v>
      </x:c>
      <x:c r="E780" t="str">
        <x:v>Casual</x:v>
      </x:c>
      <x:c r="F780" t="str">
        <x:v>Standard</x:v>
      </x:c>
      <x:c r="G780" t="n">
        <x:v>42284</x:v>
      </x:c>
      <x:c r="H780" t="str">
        <x:v>12161</x:v>
      </x:c>
      <x:c r="I780" t="str">
        <x:v>https://www.smwcentral.net/?a=details&amp;id=12161&amp;p=section</x:v>
      </x:c>
      <x:c r="J780" t="str">
        <x:v>https://dl.smwcentral.net/12161/Kamek%27s%20Island%201.7.zip</x:v>
      </x:c>
    </x:row>
    <x:row r="781">
      <x:c r="A781" t="str">
        <x:v>Kamek's Revenge</x:v>
      </x:c>
      <x:c r="B781" t="str">
        <x:v>Kamek's Revenge</x:v>
      </x:c>
      <x:c r="C781" t="str">
        <x:v>PorygonPOW</x:v>
      </x:c>
      <x:c r="D781" t="n">
        <x:v>10</x:v>
      </x:c>
      <x:c r="E781" t="str">
        <x:v>Casual</x:v>
      </x:c>
      <x:c r="F781" t="str">
        <x:v>Standard</x:v>
      </x:c>
      <x:c r="G781" t="n">
        <x:v>42349</x:v>
      </x:c>
      <x:c r="H781" t="str">
        <x:v>12812</x:v>
      </x:c>
      <x:c r="I781" t="str">
        <x:v>https://www.smwcentral.net/?a=details&amp;id=12812&amp;p=section</x:v>
      </x:c>
      <x:c r="J781" t="str">
        <x:v>https://dl.smwcentral.net/12812/Kamek%27s%20Revenge.zip</x:v>
      </x:c>
    </x:row>
    <x:row r="782">
      <x:c r="A782" t="str">
        <x:v>Kamikaze</x:v>
      </x:c>
      <x:c r="B782" t="str">
        <x:v>Kamikaze</x:v>
      </x:c>
      <x:c r="C782" t="str">
        <x:v>obiet</x:v>
      </x:c>
      <x:c r="D782" t="n">
        <x:v>28</x:v>
      </x:c>
      <x:c r="E782" t="str">
        <x:v>Advanced</x:v>
      </x:c>
      <x:c r="F782" t="str">
        <x:v>Kaizo</x:v>
      </x:c>
      <x:c r="G782" t="n">
        <x:v>45233</x:v>
      </x:c>
      <x:c r="H782" t="str">
        <x:v>35278</x:v>
      </x:c>
      <x:c r="I782" t="str">
        <x:v>https://www.smwcentral.net/?a=details&amp;id=35278&amp;p=section</x:v>
      </x:c>
      <x:c r="J782" t="str">
        <x:v>https://dl.smwcentral.net/35278/kamikaze.zip</x:v>
      </x:c>
    </x:row>
    <x:row r="783">
      <x:c r="A783" t="str">
        <x:v>Kaos Islands</x:v>
      </x:c>
      <x:c r="B783" t="str">
        <x:v>Kaos Islands</x:v>
      </x:c>
      <x:c r="C783" t="str">
        <x:v>xIque</x:v>
      </x:c>
      <x:c r="D783" t="n">
        <x:v>42</x:v>
      </x:c>
      <x:c r="E783" t="str">
        <x:v>Intermediate</x:v>
      </x:c>
      <x:c r="F783" t="str">
        <x:v>Standard</x:v>
      </x:c>
      <x:c r="G783" t="n">
        <x:v>41517</x:v>
      </x:c>
      <x:c r="H783" t="str">
        <x:v>4959</x:v>
      </x:c>
      <x:c r="I783" t="str">
        <x:v>https://www.smwcentral.net/?a=details&amp;id=4959&amp;p=section</x:v>
      </x:c>
      <x:c r="J783" t="str">
        <x:v>https://dl.smwcentral.net/4959/Kaos%20Islands.zip</x:v>
      </x:c>
    </x:row>
    <x:row r="784">
      <x:c r="A784" t="str">
        <x:v>Karma</x:v>
      </x:c>
      <x:c r="B784" t="str">
        <x:v>Karma</x:v>
      </x:c>
      <x:c r="C784" t="str">
        <x:v>Saela</x:v>
      </x:c>
      <x:c r="D784" t="n">
        <x:v>13</x:v>
      </x:c>
      <x:c r="E784" t="str">
        <x:v>Expert</x:v>
      </x:c>
      <x:c r="F784" t="str">
        <x:v>Kaizo</x:v>
      </x:c>
      <x:c r="G784" t="n">
        <x:v>46123</x:v>
      </x:c>
      <x:c r="H784" t="str">
        <x:v>42143</x:v>
      </x:c>
      <x:c r="I784" t="str">
        <x:v>https://www.smwcentral.net/?a=details&amp;id=42143&amp;p=section</x:v>
      </x:c>
      <x:c r="J784" t="str">
        <x:v>https://dl.smwcentral.net/42143/Karma.zip</x:v>
      </x:c>
    </x:row>
    <x:row r="785">
      <x:c r="A785" t="str">
        <x:v>Karoshi Mario</x:v>
      </x:c>
      <x:c r="B785" t="str">
        <x:v>Karoshi Mario</x:v>
      </x:c>
      <x:c r="C785" t="str">
        <x:v>HuFlungDu</x:v>
      </x:c>
      <x:c r="D785" t="n">
        <x:v>35</x:v>
      </x:c>
      <x:c r="E785" t="str">
        <x:v>Casual</x:v>
      </x:c>
      <x:c r="F785" t="str">
        <x:v>Standard</x:v>
      </x:c>
      <x:c r="G785" t="n">
        <x:v>42057</x:v>
      </x:c>
      <x:c r="H785" t="str">
        <x:v>9980</x:v>
      </x:c>
      <x:c r="I785" t="str">
        <x:v>https://www.smwcentral.net/?a=details&amp;id=9980&amp;p=section</x:v>
      </x:c>
      <x:c r="J785" t="str">
        <x:v>https://dl.smwcentral.net/9980/KaroshiMario.zip</x:v>
      </x:c>
    </x:row>
    <x:row r="786">
      <x:c r="A786" t="str">
        <x:v>KawaMarioWorld</x:v>
      </x:c>
      <x:c r="B786" t="str">
        <x:v>KawaMarioWorld</x:v>
      </x:c>
      <x:c r="C786" t="str">
        <x:v>ram.heroe</x:v>
      </x:c>
      <x:c r="D786" t="n">
        <x:v>13</x:v>
      </x:c>
      <x:c r="E786" t="str">
        <x:v>Expert</x:v>
      </x:c>
      <x:c r="F786" t="str">
        <x:v>Kaizo</x:v>
      </x:c>
      <x:c r="G786" t="n">
        <x:v>44022</x:v>
      </x:c>
      <x:c r="H786" t="str">
        <x:v>23041</x:v>
      </x:c>
      <x:c r="I786" t="str">
        <x:v>https://www.smwcentral.net/?a=details&amp;id=23041&amp;p=section</x:v>
      </x:c>
      <x:c r="J786" t="str">
        <x:v>https://dl.smwcentral.net/23041/KawaMarioWorld.zip</x:v>
      </x:c>
    </x:row>
    <x:row r="787">
      <x:c r="A787" t="str">
        <x:v>Kazue World</x:v>
      </x:c>
      <x:c r="B787" t="str">
        <x:v>Kazue World</x:v>
      </x:c>
      <x:c r="C787" t="str">
        <x:v>RicardoDeMelo</x:v>
      </x:c>
      <x:c r="D787" t="n">
        <x:v>12</x:v>
      </x:c>
      <x:c r="E787" t="str">
        <x:v>Advanced</x:v>
      </x:c>
      <x:c r="F787" t="str">
        <x:v>Kaizo</x:v>
      </x:c>
      <x:c r="G787" t="n">
        <x:v>44925</x:v>
      </x:c>
      <x:c r="H787" t="str">
        <x:v>32837</x:v>
      </x:c>
      <x:c r="I787" t="str">
        <x:v>https://www.smwcentral.net/?a=details&amp;id=32837&amp;p=section</x:v>
      </x:c>
      <x:c r="J787" t="str">
        <x:v>https://dl.smwcentral.net/32837/Kazue%20World.zip</x:v>
      </x:c>
    </x:row>
    <x:row r="788">
      <x:c r="A788" t="str">
        <x:v>Kazue World 2</x:v>
      </x:c>
      <x:c r="B788" t="str">
        <x:v>Kazue World 2</x:v>
      </x:c>
      <x:c r="C788" t="str">
        <x:v>Eryck, RicardoDeMelo</x:v>
      </x:c>
      <x:c r="D788" t="n">
        <x:v>15</x:v>
      </x:c>
      <x:c r="E788" t="str">
        <x:v>Expert</x:v>
      </x:c>
      <x:c r="F788" t="str">
        <x:v>Kaizo</x:v>
      </x:c>
      <x:c r="G788" t="n">
        <x:v>45335</x:v>
      </x:c>
      <x:c r="H788" t="str">
        <x:v>36844</x:v>
      </x:c>
      <x:c r="I788" t="str">
        <x:v>https://www.smwcentral.net/?a=details&amp;id=36844&amp;p=section</x:v>
      </x:c>
      <x:c r="J788" t="str">
        <x:v>https://dl.smwcentral.net/36844/Kazue%20World%202.zip</x:v>
      </x:c>
    </x:row>
    <x:row r="789">
      <x:c r="A789" t="str">
        <x:v>Kekcroc DASH!</x:v>
      </x:c>
      <x:c r="B789" t="str">
        <x:v>Kekcroc DASH!</x:v>
      </x:c>
      <x:c r="C789" t="str">
        <x:v>Knucklesfan</x:v>
      </x:c>
      <x:c r="D789" t="n">
        <x:v>5</x:v>
      </x:c>
      <x:c r="E789" t="str">
        <x:v>Advanced</x:v>
      </x:c>
      <x:c r="F789" t="str">
        <x:v>Standard</x:v>
      </x:c>
      <x:c r="G789" t="n">
        <x:v>43800</x:v>
      </x:c>
      <x:c r="H789" t="str">
        <x:v>21546</x:v>
      </x:c>
      <x:c r="I789" t="str">
        <x:v>https://www.smwcentral.net/?a=details&amp;id=21546&amp;p=section</x:v>
      </x:c>
      <x:c r="J789" t="str">
        <x:v>https://dl.smwcentral.net/21546/patch.zip</x:v>
      </x:c>
    </x:row>
    <x:row r="790">
      <x:c r="A790" t="str">
        <x:v>Keratin Valley</x:v>
      </x:c>
      <x:c r="B790" t="str">
        <x:v>Keratin Valley</x:v>
      </x:c>
      <x:c r="C790" t="str">
        <x:v>revolug</x:v>
      </x:c>
      <x:c r="D790" t="n">
        <x:v>4</x:v>
      </x:c>
      <x:c r="E790" t="str">
        <x:v>Grandmaster</x:v>
      </x:c>
      <x:c r="F790" t="str">
        <x:v>Kaizo</x:v>
      </x:c>
      <x:c r="G790" t="n">
        <x:v>45551</x:v>
      </x:c>
      <x:c r="H790" t="str">
        <x:v>38338</x:v>
      </x:c>
      <x:c r="I790" t="str">
        <x:v>https://www.smwcentral.net/?a=details&amp;id=38338&amp;p=section</x:v>
      </x:c>
      <x:c r="J790" t="str">
        <x:v>https://dl.smwcentral.net/38338/Keratin%20Valley%201.3.zip</x:v>
      </x:c>
    </x:row>
    <x:row r="791">
      <x:c r="A791" t="str">
        <x:v>Ketchup Adventure</x:v>
      </x:c>
      <x:c r="B791" t="str">
        <x:v>Ketchup Adventure</x:v>
      </x:c>
      <x:c r="C791" t="str">
        <x:v>mockingod</x:v>
      </x:c>
      <x:c r="D791" t="n">
        <x:v>1</x:v>
      </x:c>
      <x:c r="E791" t="str">
        <x:v>Casual</x:v>
      </x:c>
      <x:c r="F791" t="str">
        <x:v>Standard</x:v>
      </x:c>
      <x:c r="G791" t="n">
        <x:v>42003</x:v>
      </x:c>
      <x:c r="H791" t="str">
        <x:v>10113</x:v>
      </x:c>
      <x:c r="I791" t="str">
        <x:v>https://www.smwcentral.net/?a=details&amp;id=10113&amp;p=section</x:v>
      </x:c>
      <x:c r="J791" t="str">
        <x:v>https://dl.smwcentral.net/10113/KetchupAdventure.zip</x:v>
      </x:c>
    </x:row>
    <x:row r="792">
      <x:c r="A792" t="str">
        <x:v>Kibeth Takes a Walk</x:v>
      </x:c>
      <x:c r="B792" t="str">
        <x:v>Kibeth Takes a Walk</x:v>
      </x:c>
      <x:c r="C792" t="str">
        <x:v>bsolt</x:v>
      </x:c>
      <x:c r="D792" t="n">
        <x:v>11</x:v>
      </x:c>
      <x:c r="E792" t="str">
        <x:v>Advanced</x:v>
      </x:c>
      <x:c r="F792" t="str">
        <x:v>Kaizo</x:v>
      </x:c>
      <x:c r="G792" t="n">
        <x:v>44214</x:v>
      </x:c>
      <x:c r="H792" t="str">
        <x:v>25929</x:v>
      </x:c>
      <x:c r="I792" t="str">
        <x:v>https://www.smwcentral.net/?a=details&amp;id=25929&amp;p=section</x:v>
      </x:c>
      <x:c r="J792" t="str">
        <x:v>https://dl.smwcentral.net/25929/KTaW.zip</x:v>
      </x:c>
    </x:row>
    <x:row r="793">
      <x:c r="A793" t="str">
        <x:v>Kid Adventure</x:v>
      </x:c>
      <x:c r="B793" t="str">
        <x:v>Kid Adventure</x:v>
      </x:c>
      <x:c r="C793" t="str">
        <x:v>Lunartoad</x:v>
      </x:c>
      <x:c r="D793" t="n">
        <x:v>6</x:v>
      </x:c>
      <x:c r="E793" t="str">
        <x:v>Intermediate</x:v>
      </x:c>
      <x:c r="F793" t="str">
        <x:v>Standard</x:v>
      </x:c>
      <x:c r="G793" t="n">
        <x:v>42176</x:v>
      </x:c>
      <x:c r="H793" t="str">
        <x:v>9755</x:v>
      </x:c>
      <x:c r="I793" t="str">
        <x:v>https://www.smwcentral.net/?a=details&amp;id=9755&amp;p=section</x:v>
      </x:c>
      <x:c r="J793" t="str">
        <x:v>https://dl.smwcentral.net/9755/Kid%20Adventure%20%28English%20version%29.zip</x:v>
      </x:c>
    </x:row>
    <x:row r="794">
      <x:c r="A794" t="str">
        <x:v>Kid Adventure 2: Biza Strikes Back</x:v>
      </x:c>
      <x:c r="B794" t="str">
        <x:v>Kid Adventure 2: Biza Strikes Back</x:v>
      </x:c>
      <x:c r="C794" t="str">
        <x:v>Lunartoad</x:v>
      </x:c>
      <x:c r="D794" t="n">
        <x:v>6</x:v>
      </x:c>
      <x:c r="E794" t="str">
        <x:v>Casual</x:v>
      </x:c>
      <x:c r="F794" t="str">
        <x:v>Standard</x:v>
      </x:c>
      <x:c r="G794" t="n">
        <x:v>41566</x:v>
      </x:c>
      <x:c r="H794" t="str">
        <x:v>5184</x:v>
      </x:c>
      <x:c r="I794" t="str">
        <x:v>https://www.smwcentral.net/?a=details&amp;id=5184&amp;p=section</x:v>
      </x:c>
      <x:c r="J794" t="str">
        <x:v>https://dl.smwcentral.net/5184/Kid%20Adventure%202%20%28English%29.zip</x:v>
      </x:c>
    </x:row>
    <x:row r="795">
      <x:c r="A795" t="str">
        <x:v>Kid Adventure 3: The Will of Sakito</x:v>
      </x:c>
      <x:c r="B795" t="str">
        <x:v>Kid Adventure 3: The Will of Sakito</x:v>
      </x:c>
      <x:c r="C795" t="str">
        <x:v>Lunartoad</x:v>
      </x:c>
      <x:c r="D795" t="n">
        <x:v>32</x:v>
      </x:c>
      <x:c r="E795" t="str">
        <x:v>Casual</x:v>
      </x:c>
      <x:c r="F795" t="str">
        <x:v>Standard</x:v>
      </x:c>
      <x:c r="G795" t="n">
        <x:v>42176</x:v>
      </x:c>
      <x:c r="H795" t="str">
        <x:v>9862</x:v>
      </x:c>
      <x:c r="I795" t="str">
        <x:v>https://www.smwcentral.net/?a=details&amp;id=9862&amp;p=section</x:v>
      </x:c>
      <x:c r="J795" t="str">
        <x:v>https://dl.smwcentral.net/9862/Kid%20Adventure%203%20%28English%20version%29.zip</x:v>
      </x:c>
    </x:row>
    <x:row r="796">
      <x:c r="A796" t="str">
        <x:v>Kid Adventure 4: Kid Xtreme</x:v>
      </x:c>
      <x:c r="B796" t="str">
        <x:v>Kid Adventure 4: Kid Xtreme</x:v>
      </x:c>
      <x:c r="C796" t="str">
        <x:v>Lunartoad</x:v>
      </x:c>
      <x:c r="D796" t="n">
        <x:v>13</x:v>
      </x:c>
      <x:c r="E796" t="str">
        <x:v>Intermediate</x:v>
      </x:c>
      <x:c r="F796" t="str">
        <x:v>Standard</x:v>
      </x:c>
      <x:c r="G796" t="n">
        <x:v>42176</x:v>
      </x:c>
      <x:c r="H796" t="str">
        <x:v>10114</x:v>
      </x:c>
      <x:c r="I796" t="str">
        <x:v>https://www.smwcentral.net/?a=details&amp;id=10114&amp;p=section</x:v>
      </x:c>
      <x:c r="J796" t="str">
        <x:v>https://dl.smwcentral.net/10114/Kax.zip</x:v>
      </x:c>
    </x:row>
    <x:row r="797">
      <x:c r="A797" t="str">
        <x:v>Kid Adventure 5: Amazing Kid</x:v>
      </x:c>
      <x:c r="B797" t="str">
        <x:v>Kid Adventure 5: Amazing Kid</x:v>
      </x:c>
      <x:c r="C797" t="str">
        <x:v>Lunartoad</x:v>
      </x:c>
      <x:c r="D797" t="n">
        <x:v>11</x:v>
      </x:c>
      <x:c r="E797" t="str">
        <x:v>Newcomer</x:v>
      </x:c>
      <x:c r="F797" t="str">
        <x:v>Standard</x:v>
      </x:c>
      <x:c r="G797" t="n">
        <x:v>41557</x:v>
      </x:c>
      <x:c r="H797" t="str">
        <x:v>5604</x:v>
      </x:c>
      <x:c r="I797" t="str">
        <x:v>https://www.smwcentral.net/?a=details&amp;id=5604&amp;p=section</x:v>
      </x:c>
      <x:c r="J797" t="str">
        <x:v>https://dl.smwcentral.net/5604/Amazing%20Kid%20demo1.zip</x:v>
      </x:c>
    </x:row>
    <x:row r="798">
      <x:c r="A798" t="str">
        <x:v>Kill Luigi</x:v>
      </x:c>
      <x:c r="B798" t="str">
        <x:v>Kill Luigi</x:v>
      </x:c>
      <x:c r="C798" t="str">
        <x:v>Overcomon7</x:v>
      </x:c>
      <x:c r="D798" t="n">
        <x:v>27</x:v>
      </x:c>
      <x:c r="E798" t="str">
        <x:v>Expert</x:v>
      </x:c>
      <x:c r="F798" t="str">
        <x:v>Kaizo</x:v>
      </x:c>
      <x:c r="G798" t="n">
        <x:v>44291</x:v>
      </x:c>
      <x:c r="H798" t="str">
        <x:v>26517</x:v>
      </x:c>
      <x:c r="I798" t="str">
        <x:v>https://www.smwcentral.net/?a=details&amp;id=26517&amp;p=section</x:v>
      </x:c>
      <x:c r="J798" t="str">
        <x:v>https://dl.smwcentral.net/26517/KillLuigi1.0.zip</x:v>
      </x:c>
    </x:row>
    <x:row r="799">
      <x:c r="A799" t="str">
        <x:v>Kings Of Kuso</x:v>
      </x:c>
      <x:c r="B799" t="str">
        <x:v>Kings Of Kuso</x:v>
      </x:c>
      <x:c r="C799" t="str">
        <x:v>kurtistrydiz</x:v>
      </x:c>
      <x:c r="D799" t="n">
        <x:v>25</x:v>
      </x:c>
      <x:c r="E799" t="str">
        <x:v>Grandmaster</x:v>
      </x:c>
      <x:c r="F799" t="str">
        <x:v>Kaizo</x:v>
      </x:c>
      <x:c r="G799" t="n">
        <x:v>44956</x:v>
      </x:c>
      <x:c r="H799" t="str">
        <x:v>33016</x:v>
      </x:c>
      <x:c r="I799" t="str">
        <x:v>https://www.smwcentral.net/?a=details&amp;id=33016&amp;p=section</x:v>
      </x:c>
      <x:c r="J799" t="str">
        <x:v>https://dl.smwcentral.net/33016/KOK.zip</x:v>
      </x:c>
    </x:row>
    <x:row r="800">
      <x:c r="A800" t="str">
        <x:v>Kink's Awakening</x:v>
      </x:c>
      <x:c r="B800" t="str">
        <x:v>Kink's Awakening</x:v>
      </x:c>
      <x:c r="C800" t="str">
        <x:v>41681</x:v>
      </x:c>
      <x:c r="D800" t="n">
        <x:v>10</x:v>
      </x:c>
      <x:c r="E800" t="str">
        <x:v>Expert</x:v>
      </x:c>
      <x:c r="F800" t="str">
        <x:v>Kaizo</x:v>
      </x:c>
      <x:c r="G800" t="n">
        <x:v>44361</x:v>
      </x:c>
      <x:c r="H800" t="str">
        <x:v>27275</x:v>
      </x:c>
      <x:c r="I800" t="str">
        <x:v>https://www.smwcentral.net/?a=details&amp;id=27275&amp;p=section</x:v>
      </x:c>
      <x:c r="J800" t="str">
        <x:v>https://dl.smwcentral.net/27275/KinksAwakening.zip</x:v>
      </x:c>
    </x:row>
    <x:row r="801">
      <x:c r="A801" t="str">
        <x:v>Knuckles Saves Christmas</x:v>
      </x:c>
      <x:c r="B801" t="str">
        <x:v>Knuckles Saves Christmas</x:v>
      </x:c>
      <x:c r="C801" t="str">
        <x:v>sholmes</x:v>
      </x:c>
      <x:c r="D801" t="n">
        <x:v>16</x:v>
      </x:c>
      <x:c r="E801" t="str">
        <x:v>Advanced</x:v>
      </x:c>
      <x:c r="F801" t="str">
        <x:v>Standard</x:v>
      </x:c>
      <x:c r="G801" t="n">
        <x:v>45730</x:v>
      </x:c>
      <x:c r="H801" t="str">
        <x:v>39426</x:v>
      </x:c>
      <x:c r="I801" t="str">
        <x:v>https://www.smwcentral.net/?a=details&amp;id=39426&amp;p=section</x:v>
      </x:c>
      <x:c r="J801" t="str">
        <x:v>https://dl.smwcentral.net/39426/Knuckles%20V2.zip</x:v>
      </x:c>
    </x:row>
    <x:row r="802">
      <x:c r="A802" t="str">
        <x:v>Kogarashi Mario World</x:v>
      </x:c>
      <x:c r="B802" t="str">
        <x:v>Kogarashi Mario World</x:v>
      </x:c>
      <x:c r="C802" t="str">
        <x:v>HLXY</x:v>
      </x:c>
      <x:c r="D802" t="n">
        <x:v>29</x:v>
      </x:c>
      <x:c r="E802" t="str">
        <x:v>Expert</x:v>
      </x:c>
      <x:c r="F802" t="str">
        <x:v>Kaizo</x:v>
      </x:c>
      <x:c r="G802" t="n">
        <x:v>43446</x:v>
      </x:c>
      <x:c r="H802" t="str">
        <x:v>18523</x:v>
      </x:c>
      <x:c r="I802" t="str">
        <x:v>https://www.smwcentral.net/?a=details&amp;id=18523&amp;p=section</x:v>
      </x:c>
      <x:c r="J802" t="str">
        <x:v>https://dl.smwcentral.net/18523/Kogarashi%20Mario%20World.zip</x:v>
      </x:c>
    </x:row>
    <x:row r="803">
      <x:c r="A803" t="str">
        <x:v>Konk World</x:v>
      </x:c>
      <x:c r="B803" t="str">
        <x:v>Konk World</x:v>
      </x:c>
      <x:c r="C803" t="str">
        <x:v>TheMURAmatsu</x:v>
      </x:c>
      <x:c r="D803" t="n">
        <x:v>9</x:v>
      </x:c>
      <x:c r="E803" t="str">
        <x:v>Expert</x:v>
      </x:c>
      <x:c r="F803" t="str">
        <x:v>Kaizo</x:v>
      </x:c>
      <x:c r="G803" t="n">
        <x:v>44007</x:v>
      </x:c>
      <x:c r="H803" t="str">
        <x:v>23425</x:v>
      </x:c>
      <x:c r="I803" t="str">
        <x:v>https://www.smwcentral.net/?a=details&amp;id=23425&amp;p=section</x:v>
      </x:c>
      <x:c r="J803" t="str">
        <x:v>https://dl.smwcentral.net/23425/KonkWorld.zip</x:v>
      </x:c>
    </x:row>
    <x:row r="804">
      <x:c r="A804" t="str">
        <x:v>Koopa Castle: The Escape</x:v>
      </x:c>
      <x:c r="B804" t="str">
        <x:v>Koopa Castle: The Escape</x:v>
      </x:c>
      <x:c r="C804" t="str">
        <x:v>Cobaltergeist</x:v>
      </x:c>
      <x:c r="D804" t="n">
        <x:v>19</x:v>
      </x:c>
      <x:c r="E804" t="str">
        <x:v>Casual</x:v>
      </x:c>
      <x:c r="F804" t="str">
        <x:v>Standard</x:v>
      </x:c>
      <x:c r="G804" t="n">
        <x:v>42238</x:v>
      </x:c>
      <x:c r="H804" t="str">
        <x:v>9903</x:v>
      </x:c>
      <x:c r="I804" t="str">
        <x:v>https://www.smwcentral.net/?a=details&amp;id=9903&amp;p=section</x:v>
      </x:c>
      <x:c r="J804" t="str">
        <x:v>https://dl.smwcentral.net/9903/Koopa%20Castle%20Demo%201.zip</x:v>
      </x:c>
    </x:row>
    <x:row r="805">
      <x:c r="A805" t="str">
        <x:v>Koopa Hopper's Delight</x:v>
      </x:c>
      <x:c r="B805" t="str">
        <x:v>Koopa Hopper's Delight</x:v>
      </x:c>
      <x:c r="C805" t="str">
        <x:v>gabesoranges</x:v>
      </x:c>
      <x:c r="D805" t="n">
        <x:v>13</x:v>
      </x:c>
      <x:c r="E805" t="str">
        <x:v>Advanced</x:v>
      </x:c>
      <x:c r="F805" t="str">
        <x:v>Kaizo</x:v>
      </x:c>
      <x:c r="G805" t="n">
        <x:v>45849</x:v>
      </x:c>
      <x:c r="H805" t="str">
        <x:v>40054</x:v>
      </x:c>
      <x:c r="I805" t="str">
        <x:v>https://www.smwcentral.net/?a=details&amp;id=40054&amp;p=section</x:v>
      </x:c>
      <x:c r="J805" t="str">
        <x:v>https://dl.smwcentral.net/40054/Koopa%20Hoppers%20Delight%201.1.zip</x:v>
      </x:c>
    </x:row>
    <x:row r="806">
      <x:c r="A806" t="str">
        <x:v>Korosu Mario World</x:v>
      </x:c>
      <x:c r="B806" t="str">
        <x:v>Korosu Mario World</x:v>
      </x:c>
      <x:c r="C806" t="str">
        <x:v>ChrisG___</x:v>
      </x:c>
      <x:c r="D806" t="n">
        <x:v>17</x:v>
      </x:c>
      <x:c r="E806" t="str">
        <x:v>Advanced</x:v>
      </x:c>
      <x:c r="F806" t="str">
        <x:v>Kaizo</x:v>
      </x:c>
      <x:c r="G806" t="n">
        <x:v>42784</x:v>
      </x:c>
      <x:c r="H806" t="str">
        <x:v>15195</x:v>
      </x:c>
      <x:c r="I806" t="str">
        <x:v>https://www.smwcentral.net/?a=details&amp;id=15195&amp;p=section</x:v>
      </x:c>
      <x:c r="J806" t="str">
        <x:v>https://dl.smwcentral.net/15195/Korosu%20Mario%20World%201.4.zip</x:v>
      </x:c>
    </x:row>
    <x:row r="807">
      <x:c r="A807" t="str">
        <x:v>Korosu Mario World 2</x:v>
      </x:c>
      <x:c r="B807" t="str">
        <x:v>Korosu Mario World 2</x:v>
      </x:c>
      <x:c r="C807" t="str">
        <x:v>ChrisG___</x:v>
      </x:c>
      <x:c r="D807" t="n">
        <x:v>21</x:v>
      </x:c>
      <x:c r="E807" t="str">
        <x:v>Expert</x:v>
      </x:c>
      <x:c r="F807" t="str">
        <x:v>Kaizo</x:v>
      </x:c>
      <x:c r="G807" t="n">
        <x:v>43368</x:v>
      </x:c>
      <x:c r="H807" t="str">
        <x:v>18203</x:v>
      </x:c>
      <x:c r="I807" t="str">
        <x:v>https://www.smwcentral.net/?a=details&amp;id=18203&amp;p=section</x:v>
      </x:c>
      <x:c r="J807" t="str">
        <x:v>https://dl.smwcentral.net/18203/Korosu%20Mario%20World%202.41.zip</x:v>
      </x:c>
    </x:row>
    <x:row r="808">
      <x:c r="A808" t="str">
        <x:v>KR World</x:v>
      </x:c>
      <x:c r="B808" t="str">
        <x:v>KR World</x:v>
      </x:c>
      <x:c r="C808" t="str">
        <x:v>Kaique Jesus, RenanSV</x:v>
      </x:c>
      <x:c r="D808" t="n">
        <x:v>9</x:v>
      </x:c>
      <x:c r="E808" t="str">
        <x:v>Advanced</x:v>
      </x:c>
      <x:c r="F808" t="str">
        <x:v>Kaizo</x:v>
      </x:c>
      <x:c r="G808" t="n">
        <x:v>45031</x:v>
      </x:c>
      <x:c r="H808" t="str">
        <x:v>33726</x:v>
      </x:c>
      <x:c r="I808" t="str">
        <x:v>https://www.smwcentral.net/?a=details&amp;id=33726&amp;p=section</x:v>
      </x:c>
      <x:c r="J808" t="str">
        <x:v>https://dl.smwcentral.net/33726/KR%20World.zip</x:v>
      </x:c>
    </x:row>
    <x:row r="809">
      <x:c r="A809" t="str">
        <x:v>Krabs Test</x:v>
      </x:c>
      <x:c r="B809" t="str">
        <x:v>Krabs Test</x:v>
      </x:c>
      <x:c r="C809" t="str">
        <x:v>Atomic-Citrus</x:v>
      </x:c>
      <x:c r="D809" t="n">
        <x:v>6</x:v>
      </x:c>
      <x:c r="E809" t="str">
        <x:v>Expert</x:v>
      </x:c>
      <x:c r="F809" t="str">
        <x:v>Kaizo</x:v>
      </x:c>
      <x:c r="G809" t="n">
        <x:v>43797</x:v>
      </x:c>
      <x:c r="H809" t="str">
        <x:v>21542</x:v>
      </x:c>
      <x:c r="I809" t="str">
        <x:v>https://www.smwcentral.net/?a=details&amp;id=21542&amp;p=section</x:v>
      </x:c>
      <x:c r="J809" t="str">
        <x:v>https://dl.smwcentral.net/21542/SPONGEBOB%20ME%20BOY.zip</x:v>
      </x:c>
    </x:row>
    <x:row r="810">
      <x:c r="A810" t="str">
        <x:v>Krack The Hack</x:v>
      </x:c>
      <x:c r="B810" t="str">
        <x:v>Krack The Hack</x:v>
      </x:c>
      <x:c r="C810" t="str">
        <x:v>Daizo Dee Von, Mellonpizza</x:v>
      </x:c>
      <x:c r="D810" t="n">
        <x:v>14</x:v>
      </x:c>
      <x:c r="E810" t="str">
        <x:v>Intermediate</x:v>
      </x:c>
      <x:c r="F810" t="str">
        <x:v>Standard</x:v>
      </x:c>
      <x:c r="G810" t="n">
        <x:v>43705</x:v>
      </x:c>
      <x:c r="H810" t="str">
        <x:v>20900</x:v>
      </x:c>
      <x:c r="I810" t="str">
        <x:v>https://www.smwcentral.net/?a=details&amp;id=20900&amp;p=section</x:v>
      </x:c>
      <x:c r="J810" t="str">
        <x:v>https://dl.smwcentral.net/20900/Krack%20The%20Hack.zip</x:v>
      </x:c>
    </x:row>
    <x:row r="811">
      <x:c r="A811" t="str">
        <x:v>Krack's Kafe: Because They Kicked Me Out!</x:v>
      </x:c>
      <x:c r="B811" t="str">
        <x:v>Krack's Kafe: Because They Kicked Me Out!</x:v>
      </x:c>
      <x:c r="C811" t="str">
        <x:v>ChaseNScooter, Daizo Dee Von, EvilGuy0613, Jamie, amhunter</x:v>
      </x:c>
      <x:c r="D811" t="n">
        <x:v>1</x:v>
      </x:c>
      <x:c r="E811" t="str">
        <x:v>Advanced</x:v>
      </x:c>
      <x:c r="F811" t="str">
        <x:v>Standard</x:v>
      </x:c>
      <x:c r="G811" t="n">
        <x:v>44781</x:v>
      </x:c>
      <x:c r="H811" t="str">
        <x:v>31405</x:v>
      </x:c>
      <x:c r="I811" t="str">
        <x:v>https://www.smwcentral.net/?a=details&amp;id=31405&amp;p=section</x:v>
      </x:c>
      <x:c r="J811" t="str">
        <x:v>https://dl.smwcentral.net/31405/Krack%27s%20Kafe%20-%20Because%20They%20Kicked%20Me%20Out%21%20v1.0.2d.zip</x:v>
      </x:c>
    </x:row>
    <x:row r="812">
      <x:c r="A812" t="str">
        <x:v>Krefeld Kaizo Relay Race 2025</x:v>
      </x:c>
      <x:c r="B812" t="str">
        <x:v>Krefeld Kaizo Relay Race 2025</x:v>
      </x:c>
      <x:c r="C812" t="str">
        <x:v>JinRokhZenobi, Justepic, Saphros, Spedinja, neidoodle</x:v>
      </x:c>
      <x:c r="D812" t="n">
        <x:v>5</x:v>
      </x:c>
      <x:c r="E812" t="str">
        <x:v>Expert</x:v>
      </x:c>
      <x:c r="F812" t="str">
        <x:v>Kaizo</x:v>
      </x:c>
      <x:c r="G812" t="n">
        <x:v>45788</x:v>
      </x:c>
      <x:c r="H812" t="str">
        <x:v>39813</x:v>
      </x:c>
      <x:c r="I812" t="str">
        <x:v>https://www.smwcentral.net/?a=details&amp;id=39813&amp;p=section</x:v>
      </x:c>
      <x:c r="J812" t="str">
        <x:v>https://dl.smwcentral.net/39813/KrefeldKaizoRelayRace2025.zip</x:v>
      </x:c>
    </x:row>
    <x:row r="813">
      <x:c r="A813" t="str">
        <x:v>Kris' Adventure</x:v>
      </x:c>
      <x:c r="B813" t="str">
        <x:v>Kris' Adventure</x:v>
      </x:c>
      <x:c r="C813" t="str">
        <x:v>Martin9172</x:v>
      </x:c>
      <x:c r="D813" t="n">
        <x:v>6</x:v>
      </x:c>
      <x:c r="E813" t="str">
        <x:v>Newcomer</x:v>
      </x:c>
      <x:c r="F813" t="str">
        <x:v>Standard</x:v>
      </x:c>
      <x:c r="G813" t="n">
        <x:v>42285</x:v>
      </x:c>
      <x:c r="H813" t="str">
        <x:v>10066</x:v>
      </x:c>
      <x:c r="I813" t="str">
        <x:v>https://www.smwcentral.net/?a=details&amp;id=10066&amp;p=section</x:v>
      </x:c>
      <x:c r="J813" t="str">
        <x:v>https://dl.smwcentral.net/10066/Kris%27%20Adventure.zip</x:v>
      </x:c>
    </x:row>
    <x:row r="814">
      <x:c r="A814" t="str">
        <x:v>Kruela Mario</x:v>
      </x:c>
      <x:c r="B814" t="str">
        <x:v>Kruela Mario</x:v>
      </x:c>
      <x:c r="C814" t="str">
        <x:v>xHF01x</x:v>
      </x:c>
      <x:c r="D814" t="n">
        <x:v>29</x:v>
      </x:c>
      <x:c r="E814" t="str">
        <x:v>Expert</x:v>
      </x:c>
      <x:c r="F814" t="str">
        <x:v>Kaizo, Tool-Assisted</x:v>
      </x:c>
      <x:c r="G814" t="n">
        <x:v>42939</x:v>
      </x:c>
      <x:c r="H814" t="str">
        <x:v>15921</x:v>
      </x:c>
      <x:c r="I814" t="str">
        <x:v>https://www.smwcentral.net/?a=details&amp;id=15921&amp;p=section</x:v>
      </x:c>
      <x:c r="J814" t="str">
        <x:v>https://dl.smwcentral.net/15921/Kruela%20Mario.zip</x:v>
      </x:c>
    </x:row>
    <x:row r="815">
      <x:c r="A815" t="str">
        <x:v>Kruela Mario 2</x:v>
      </x:c>
      <x:c r="B815" t="str">
        <x:v>Kruela Mario 2</x:v>
      </x:c>
      <x:c r="C815" t="str">
        <x:v>xHF01x</x:v>
      </x:c>
      <x:c r="D815" t="n">
        <x:v>29</x:v>
      </x:c>
      <x:c r="E815" t="str">
        <x:v>Master</x:v>
      </x:c>
      <x:c r="F815" t="str">
        <x:v>Kaizo, Tool-Assisted</x:v>
      </x:c>
      <x:c r="G815" t="n">
        <x:v>44106</x:v>
      </x:c>
      <x:c r="H815" t="str">
        <x:v>24477</x:v>
      </x:c>
      <x:c r="I815" t="str">
        <x:v>https://www.smwcentral.net/?a=details&amp;id=24477&amp;p=section</x:v>
      </x:c>
      <x:c r="J815" t="str">
        <x:v>https://dl.smwcentral.net/24477/Kruela%20Mario%202%20v1.2.zip</x:v>
      </x:c>
    </x:row>
    <x:row r="816">
      <x:c r="A816" t="str">
        <x:v>Kumikyoku</x:v>
      </x:c>
      <x:c r="B816" t="str">
        <x:v>Kumikyoku</x:v>
      </x:c>
      <x:c r="C816" t="str">
        <x:v>Nico Nico Douga, Shimo</x:v>
      </x:c>
      <x:c r="D816" t="n">
        <x:v>4</x:v>
      </x:c>
      <x:c r="E816" t="str">
        <x:v>Newcomer</x:v>
      </x:c>
      <x:c r="F816" t="str">
        <x:v>Standard</x:v>
      </x:c>
      <x:c r="G816" t="n">
        <x:v>41814</x:v>
      </x:c>
      <x:c r="H816" t="str">
        <x:v>6757</x:v>
      </x:c>
      <x:c r="I816" t="str">
        <x:v>https://www.smwcentral.net/?a=details&amp;id=6757&amp;p=section</x:v>
      </x:c>
      <x:c r="J816" t="str">
        <x:v>https://dl.smwcentral.net/6757/kumikyoku.zip</x:v>
      </x:c>
    </x:row>
    <x:row r="817">
      <x:c r="A817" t="str">
        <x:v>Kuribo_Shoe the Adventure</x:v>
      </x:c>
      <x:c r="B817" t="str">
        <x:v>Kuribo_Shoe the Adventure</x:v>
      </x:c>
      <x:c r="C817" t="str">
        <x:v>Zildjian</x:v>
      </x:c>
      <x:c r="D817" t="n">
        <x:v>5</x:v>
      </x:c>
      <x:c r="E817" t="str">
        <x:v>Casual</x:v>
      </x:c>
      <x:c r="F817" t="str">
        <x:v>Standard</x:v>
      </x:c>
      <x:c r="G817" t="n">
        <x:v>42217</x:v>
      </x:c>
      <x:c r="H817" t="str">
        <x:v>9969</x:v>
      </x:c>
      <x:c r="I817" t="str">
        <x:v>https://www.smwcentral.net/?a=details&amp;id=9969&amp;p=section</x:v>
      </x:c>
      <x:c r="J817" t="str">
        <x:v>https://dl.smwcentral.net/9969/K_STA.zip</x:v>
      </x:c>
    </x:row>
    <x:row r="818">
      <x:c r="A818" t="str">
        <x:v>Kurisu Mario World</x:v>
      </x:c>
      <x:c r="B818" t="str">
        <x:v>Kurisu Mario World</x:v>
      </x:c>
      <x:c r="C818" t="str">
        <x:v>Freakin_HA, HmWhyNot, NeXuS15, ThirdWall, juzcook, microwave_brothr, white_moth</x:v>
      </x:c>
      <x:c r="D818" t="n">
        <x:v>16</x:v>
      </x:c>
      <x:c r="E818" t="str">
        <x:v>Expert</x:v>
      </x:c>
      <x:c r="F818" t="str">
        <x:v>Kaizo</x:v>
      </x:c>
      <x:c r="G818" t="n">
        <x:v>44103</x:v>
      </x:c>
      <x:c r="H818" t="str">
        <x:v>24719</x:v>
      </x:c>
      <x:c r="I818" t="str">
        <x:v>https://www.smwcentral.net/?a=details&amp;id=24719&amp;p=section</x:v>
      </x:c>
      <x:c r="J818" t="str">
        <x:v>https://dl.smwcentral.net/24719/KurisuMarioWorld.zip</x:v>
      </x:c>
    </x:row>
    <x:row r="819">
      <x:c r="A819" t="str">
        <x:v>Kuso Ecstasy</x:v>
      </x:c>
      <x:c r="B819" t="str">
        <x:v>Kuso Ecstasy</x:v>
      </x:c>
      <x:c r="C819" t="str">
        <x:v>NewPointless</x:v>
      </x:c>
      <x:c r="D819" t="n">
        <x:v>65</x:v>
      </x:c>
      <x:c r="E819" t="str">
        <x:v>Expert</x:v>
      </x:c>
      <x:c r="F819" t="str">
        <x:v>Standard, Kaizo</x:v>
      </x:c>
      <x:c r="G819" t="n">
        <x:v>44248</x:v>
      </x:c>
      <x:c r="H819" t="str">
        <x:v>26237</x:v>
      </x:c>
      <x:c r="I819" t="str">
        <x:v>https://www.smwcentral.net/?a=details&amp;id=26237&amp;p=section</x:v>
      </x:c>
      <x:c r="J819" t="str">
        <x:v>https://dl.smwcentral.net/26237/KusoEcstasy1_1.zip</x:v>
      </x:c>
    </x:row>
    <x:row r="820">
      <x:c r="A820" t="str">
        <x:v>Kuuwote's Level Pack #1</x:v>
      </x:c>
      <x:c r="B820" t="str">
        <x:v>Kuuwote's Level Pack #1</x:v>
      </x:c>
      <x:c r="C820" t="str">
        <x:v>Kuuwote</x:v>
      </x:c>
      <x:c r="D820" t="n">
        <x:v>3</x:v>
      </x:c>
      <x:c r="E820" t="str">
        <x:v>Newcomer</x:v>
      </x:c>
      <x:c r="F820" t="str">
        <x:v>Standard</x:v>
      </x:c>
      <x:c r="G820" t="n">
        <x:v>45162</x:v>
      </x:c>
      <x:c r="H820" t="str">
        <x:v>34900</x:v>
      </x:c>
      <x:c r="I820" t="str">
        <x:v>https://www.smwcentral.net/?a=details&amp;id=34900&amp;p=section</x:v>
      </x:c>
      <x:c r="J820" t="str">
        <x:v>https://dl.smwcentral.net/34900/Kuuwote%27s%20Level%20Pack%20%231.zip</x:v>
      </x:c>
    </x:row>
    <x:row r="821">
      <x:c r="A821" t="str">
        <x:v>Kuuwote's Level Pack #2</x:v>
      </x:c>
      <x:c r="B821" t="str">
        <x:v>Kuuwote's Level Pack #2</x:v>
      </x:c>
      <x:c r="C821" t="str">
        <x:v>Kuuwote</x:v>
      </x:c>
      <x:c r="D821" t="n">
        <x:v>13</x:v>
      </x:c>
      <x:c r="E821" t="str">
        <x:v>Casual</x:v>
      </x:c>
      <x:c r="F821" t="str">
        <x:v>Standard</x:v>
      </x:c>
      <x:c r="G821" t="n">
        <x:v>45210</x:v>
      </x:c>
      <x:c r="H821" t="str">
        <x:v>35061</x:v>
      </x:c>
      <x:c r="I821" t="str">
        <x:v>https://www.smwcentral.net/?a=details&amp;id=35061&amp;p=section</x:v>
      </x:c>
      <x:c r="J821" t="str">
        <x:v>https://dl.smwcentral.net/35061/Kuuwote%27s%20Level%20Pack%20%232%20%28fixed%29.zip</x:v>
      </x:c>
    </x:row>
    <x:row r="822">
      <x:c r="A822" t="str">
        <x:v>Kuzo Heaven</x:v>
      </x:c>
      <x:c r="B822" t="str">
        <x:v>Kuzo Heaven</x:v>
      </x:c>
      <x:c r="C822" t="str">
        <x:v>jirok1</x:v>
      </x:c>
      <x:c r="D822" t="n">
        <x:v>9</x:v>
      </x:c>
      <x:c r="E822" t="str">
        <x:v>Advanced</x:v>
      </x:c>
      <x:c r="F822" t="str">
        <x:v>Kaizo</x:v>
      </x:c>
      <x:c r="G822" t="n">
        <x:v>45831</x:v>
      </x:c>
      <x:c r="H822" t="str">
        <x:v>39988</x:v>
      </x:c>
      <x:c r="I822" t="str">
        <x:v>https://www.smwcentral.net/?a=details&amp;id=39988&amp;p=section</x:v>
      </x:c>
      <x:c r="J822" t="str">
        <x:v>https://dl.smwcentral.net/39988/KuzoHeaven1_3.zip</x:v>
      </x:c>
    </x:row>
    <x:row r="823">
      <x:c r="A823" t="str">
        <x:v>L I M B O</x:v>
      </x:c>
      <x:c r="B823" t="str">
        <x:v>L I M B O</x:v>
      </x:c>
      <x:c r="C823" t="str">
        <x:v>GRIMMKIN</x:v>
      </x:c>
      <x:c r="D823" t="n">
        <x:v>8</x:v>
      </x:c>
      <x:c r="E823" t="str">
        <x:v>Master</x:v>
      </x:c>
      <x:c r="F823" t="str">
        <x:v>Kaizo</x:v>
      </x:c>
      <x:c r="G823" t="n">
        <x:v>45416</x:v>
      </x:c>
      <x:c r="H823" t="str">
        <x:v>37671</x:v>
      </x:c>
      <x:c r="I823" t="str">
        <x:v>https://www.smwcentral.net/?a=details&amp;id=37671&amp;p=section</x:v>
      </x:c>
      <x:c r="J823" t="str">
        <x:v>https://dl.smwcentral.net/37671/LIMBO%20v3.25.zip</x:v>
      </x:c>
    </x:row>
    <x:row r="824">
      <x:c r="A824" t="str">
        <x:v>L4good Island</x:v>
      </x:c>
      <x:c r="B824" t="str">
        <x:v>L4good Island</x:v>
      </x:c>
      <x:c r="C824" t="str">
        <x:v>L4good</x:v>
      </x:c>
      <x:c r="D824" t="n">
        <x:v>6</x:v>
      </x:c>
      <x:c r="E824" t="str">
        <x:v>Newcomer</x:v>
      </x:c>
      <x:c r="F824" t="str">
        <x:v>Standard</x:v>
      </x:c>
      <x:c r="G824" t="n">
        <x:v>42841</x:v>
      </x:c>
      <x:c r="H824" t="str">
        <x:v>15476</x:v>
      </x:c>
      <x:c r="I824" t="str">
        <x:v>https://www.smwcentral.net/?a=details&amp;id=15476&amp;p=section</x:v>
      </x:c>
      <x:c r="J824" t="str">
        <x:v>https://dl.smwcentral.net/15476/L4good%20island.zip</x:v>
      </x:c>
    </x:row>
    <x:row r="825">
      <x:c r="A825" t="str">
        <x:v>La Connaisseuse de Kaizo</x:v>
      </x:c>
      <x:c r="B825" t="str">
        <x:v>La Connaisseuse de Kaizo</x:v>
      </x:c>
      <x:c r="C825" t="str">
        <x:v>Rudi_Schrausch</x:v>
      </x:c>
      <x:c r="D825" t="n">
        <x:v>9</x:v>
      </x:c>
      <x:c r="E825" t="str">
        <x:v>Expert</x:v>
      </x:c>
      <x:c r="F825" t="str">
        <x:v>Kaizo</x:v>
      </x:c>
      <x:c r="G825" t="n">
        <x:v>46176</x:v>
      </x:c>
      <x:c r="H825" t="str">
        <x:v>42458</x:v>
      </x:c>
      <x:c r="I825" t="str">
        <x:v>https://www.smwcentral.net/?a=details&amp;id=42458&amp;p=section</x:v>
      </x:c>
      <x:c r="J825" t="str">
        <x:v>https://dl.smwcentral.net/42458/La%20Connaisseuse%20de%20Kaizo.zip</x:v>
      </x:c>
    </x:row>
    <x:row r="826">
      <x:c r="A826" t="str">
        <x:v>La Mansion De Benja</x:v>
      </x:c>
      <x:c r="B826" t="str">
        <x:v>La Mansion De Benja</x:v>
      </x:c>
      <x:c r="C826" t="str">
        <x:v>Fyre150, Kaizo Literature Club</x:v>
      </x:c>
      <x:c r="D826" t="n">
        <x:v>6</x:v>
      </x:c>
      <x:c r="E826" t="str">
        <x:v>Expert</x:v>
      </x:c>
      <x:c r="F826" t="str">
        <x:v>Kaizo</x:v>
      </x:c>
      <x:c r="G826" t="n">
        <x:v>45121</x:v>
      </x:c>
      <x:c r="H826" t="str">
        <x:v>34374</x:v>
      </x:c>
      <x:c r="I826" t="str">
        <x:v>https://www.smwcentral.net/?a=details&amp;id=34374&amp;p=section</x:v>
      </x:c>
      <x:c r="J826" t="str">
        <x:v>https://dl.smwcentral.net/34374/LaMansionDeBenja.zip</x:v>
      </x:c>
    </x:row>
    <x:row r="827">
      <x:c r="A827" t="str">
        <x:v>Labyrinth Of Shadows</x:v>
      </x:c>
      <x:c r="B827" t="str">
        <x:v>Labyrinth Of Shadows</x:v>
      </x:c>
      <x:c r="C827" t="str">
        <x:v>Pizzagamer9791</x:v>
      </x:c>
      <x:c r="D827" t="n">
        <x:v>5</x:v>
      </x:c>
      <x:c r="E827" t="str">
        <x:v>Master</x:v>
      </x:c>
      <x:c r="F827" t="str">
        <x:v>Kaizo</x:v>
      </x:c>
      <x:c r="G827" t="n">
        <x:v>45606</x:v>
      </x:c>
      <x:c r="H827" t="str">
        <x:v>38747</x:v>
      </x:c>
      <x:c r="I827" t="str">
        <x:v>https://www.smwcentral.net/?a=details&amp;id=38747&amp;p=section</x:v>
      </x:c>
      <x:c r="J827" t="str">
        <x:v>https://dl.smwcentral.net/38747/Labyrinth%20of%20shadows.zip</x:v>
      </x:c>
    </x:row>
    <x:row r="828">
      <x:c r="A828" t="str">
        <x:v>Lack Of Control</x:v>
      </x:c>
      <x:c r="B828" t="str">
        <x:v>Lack Of Control</x:v>
      </x:c>
      <x:c r="C828" t="str">
        <x:v>TheBiob</x:v>
      </x:c>
      <x:c r="D828" t="n">
        <x:v>1</x:v>
      </x:c>
      <x:c r="E828" t="str">
        <x:v>Master</x:v>
      </x:c>
      <x:c r="F828" t="str">
        <x:v>Kaizo</x:v>
      </x:c>
      <x:c r="G828" t="n">
        <x:v>45408</x:v>
      </x:c>
      <x:c r="H828" t="str">
        <x:v>37629</x:v>
      </x:c>
      <x:c r="I828" t="str">
        <x:v>https://www.smwcentral.net/?a=details&amp;id=37629&amp;p=section</x:v>
      </x:c>
      <x:c r="J828" t="str">
        <x:v>https://dl.smwcentral.net/37629/LackOfControl.zip</x:v>
      </x:c>
    </x:row>
    <x:row r="829">
      <x:c r="A829" t="str">
        <x:v>Lakitu's Great Adventure</x:v>
      </x:c>
      <x:c r="B829" t="str">
        <x:v>Lakitu's Great Adventure</x:v>
      </x:c>
      <x:c r="C829" t="str">
        <x:v>Gamet2004</x:v>
      </x:c>
      <x:c r="D829" t="n">
        <x:v>24</x:v>
      </x:c>
      <x:c r="E829" t="str">
        <x:v>Casual</x:v>
      </x:c>
      <x:c r="F829" t="str">
        <x:v>Standard</x:v>
      </x:c>
      <x:c r="G829" t="n">
        <x:v>45704</x:v>
      </x:c>
      <x:c r="H829" t="str">
        <x:v>39020</x:v>
      </x:c>
      <x:c r="I829" t="str">
        <x:v>https://www.smwcentral.net/?a=details&amp;id=39020&amp;p=section</x:v>
      </x:c>
      <x:c r="J829" t="str">
        <x:v>https://dl.smwcentral.net/39020/LakituIHopeThisIsTheFinalUpdate.zip</x:v>
      </x:c>
    </x:row>
    <x:row r="830">
      <x:c r="A830" t="str">
        <x:v>Lakitu's Great Adventure 2</x:v>
      </x:c>
      <x:c r="B830" t="str">
        <x:v>Lakitu's Great Adventure 2</x:v>
      </x:c>
      <x:c r="C830" t="str">
        <x:v>Gamet2004</x:v>
      </x:c>
      <x:c r="D830" t="n">
        <x:v>12</x:v>
      </x:c>
      <x:c r="E830" t="str">
        <x:v>Intermediate</x:v>
      </x:c>
      <x:c r="F830" t="str">
        <x:v>Standard</x:v>
      </x:c>
      <x:c r="G830" t="n">
        <x:v>44833</x:v>
      </x:c>
      <x:c r="H830" t="str">
        <x:v>32220</x:v>
      </x:c>
      <x:c r="I830" t="str">
        <x:v>https://www.smwcentral.net/?a=details&amp;id=32220&amp;p=section</x:v>
      </x:c>
      <x:c r="J830" t="str">
        <x:v>https://dl.smwcentral.net/32220/LAKITU2bps.zip</x:v>
      </x:c>
    </x:row>
    <x:row r="831">
      <x:c r="A831" t="str">
        <x:v>Law &amp; Order: Mushroom Kingdom Unit - Pilot Episode - Tragic Fox "Tails" (Director's Cut)</x:v>
      </x:c>
      <x:c r="B831" t="str">
        <x:v>Law &amp; Order: Mushroom Kingdom Unit - Pilot Episode - Tragic Fox "Tails" (Director's Cut)</x:v>
      </x:c>
      <x:c r="C831" t="str">
        <x:v>ChaseNScooter, Daizo Dee Von, EvilGuy0613, Jamie</x:v>
      </x:c>
      <x:c r="D831" t="n">
        <x:v>1</x:v>
      </x:c>
      <x:c r="E831" t="str">
        <x:v>Casual</x:v>
      </x:c>
      <x:c r="F831" t="str">
        <x:v>Standard</x:v>
      </x:c>
      <x:c r="G831" t="n">
        <x:v>45567</x:v>
      </x:c>
      <x:c r="H831" t="str">
        <x:v>38323</x:v>
      </x:c>
      <x:c r="I831" t="str">
        <x:v>https://www.smwcentral.net/?a=details&amp;id=38323&amp;p=section</x:v>
      </x:c>
      <x:c r="J831" t="str">
        <x:v>https://dl.smwcentral.net/38323/Law%20%26%20Order%20Mushroom%20Kingdom%20Unit%20Pilot%20-%20Director%27s%20Cut%20%28v1.0.2%29.zip</x:v>
      </x:c>
    </x:row>
    <x:row r="832">
      <x:c r="A832" t="str">
        <x:v>Le avventure di Mario 1</x:v>
      </x:c>
      <x:c r="B832" t="str">
        <x:v>Le avventure di Mario 1</x:v>
      </x:c>
      <x:c r="C832" t="str">
        <x:v>Wakana</x:v>
      </x:c>
      <x:c r="D832" t="n">
        <x:v>91</x:v>
      </x:c>
      <x:c r="E832" t="str">
        <x:v>Intermediate</x:v>
      </x:c>
      <x:c r="F832" t="str">
        <x:v>Standard</x:v>
      </x:c>
      <x:c r="G832" t="n">
        <x:v>44583</x:v>
      </x:c>
      <x:c r="H832" t="str">
        <x:v>29091</x:v>
      </x:c>
      <x:c r="I832" t="str">
        <x:v>https://www.smwcentral.net/?a=details&amp;id=29091&amp;p=section</x:v>
      </x:c>
      <x:c r="J832" t="str">
        <x:v>https://dl.smwcentral.net/29091/Le%20Avventure%20di%20Mario%201%20-%20Fixed.zip</x:v>
      </x:c>
    </x:row>
    <x:row r="833">
      <x:c r="A833" t="str">
        <x:v>Le Avventure di Mario 3</x:v>
      </x:c>
      <x:c r="B833" t="str">
        <x:v>Le Avventure di Mario 3</x:v>
      </x:c>
      <x:c r="C833" t="str">
        <x:v>Wakana</x:v>
      </x:c>
      <x:c r="D833" t="n">
        <x:v>59</x:v>
      </x:c>
      <x:c r="E833" t="str">
        <x:v>Intermediate</x:v>
      </x:c>
      <x:c r="F833" t="str">
        <x:v>Standard</x:v>
      </x:c>
      <x:c r="G833" t="n">
        <x:v>44543</x:v>
      </x:c>
      <x:c r="H833" t="str">
        <x:v>28942</x:v>
      </x:c>
      <x:c r="I833" t="str">
        <x:v>https://www.smwcentral.net/?a=details&amp;id=28942&amp;p=section</x:v>
      </x:c>
      <x:c r="J833" t="str">
        <x:v>https://dl.smwcentral.net/28942/LADM3.zip</x:v>
      </x:c>
    </x:row>
    <x:row r="834">
      <x:c r="A834" t="str">
        <x:v>Le Connaisseur de Kaizo</x:v>
      </x:c>
      <x:c r="B834" t="str">
        <x:v>Le Connaisseur de Kaizo</x:v>
      </x:c>
      <x:c r="C834" t="str">
        <x:v>Rudi_Schrausch</x:v>
      </x:c>
      <x:c r="D834" t="n">
        <x:v>8</x:v>
      </x:c>
      <x:c r="E834" t="str">
        <x:v>Advanced</x:v>
      </x:c>
      <x:c r="F834" t="str">
        <x:v>Kaizo</x:v>
      </x:c>
      <x:c r="G834" t="n">
        <x:v>45699</x:v>
      </x:c>
      <x:c r="H834" t="str">
        <x:v>39182</x:v>
      </x:c>
      <x:c r="I834" t="str">
        <x:v>https://www.smwcentral.net/?a=details&amp;id=39182&amp;p=section</x:v>
      </x:c>
      <x:c r="J834" t="str">
        <x:v>https://dl.smwcentral.net/39182/Le%20Connaisseur%20de%20Kaizo%20ver1_1.zip</x:v>
      </x:c>
    </x:row>
    <x:row r="835">
      <x:c r="A835" t="str">
        <x:v>Le Gole World</x:v>
      </x:c>
      <x:c r="B835" t="str">
        <x:v>Le Gole World</x:v>
      </x:c>
      <x:c r="C835" t="str">
        <x:v>redkiller</x:v>
      </x:c>
      <x:c r="D835" t="n">
        <x:v>6</x:v>
      </x:c>
      <x:c r="E835" t="str">
        <x:v>Master</x:v>
      </x:c>
      <x:c r="F835" t="str">
        <x:v>Kaizo</x:v>
      </x:c>
      <x:c r="G835" t="n">
        <x:v>44633</x:v>
      </x:c>
      <x:c r="H835" t="str">
        <x:v>30098</x:v>
      </x:c>
      <x:c r="I835" t="str">
        <x:v>https://www.smwcentral.net/?a=details&amp;id=30098&amp;p=section</x:v>
      </x:c>
      <x:c r="J835" t="str">
        <x:v>https://dl.smwcentral.net/30098/le-gole.zip</x:v>
      </x:c>
    </x:row>
    <x:row r="836">
      <x:c r="A836" t="str">
        <x:v>Le plume</x:v>
      </x:c>
      <x:c r="B836" t="str">
        <x:v>Le plume</x:v>
      </x:c>
      <x:c r="C836" t="str">
        <x:v>FiveFactor, bonjoursauce, drkrdnk</x:v>
      </x:c>
      <x:c r="D836" t="n">
        <x:v>12</x:v>
      </x:c>
      <x:c r="E836" t="str">
        <x:v>Expert</x:v>
      </x:c>
      <x:c r="F836" t="str">
        <x:v>Kaizo</x:v>
      </x:c>
      <x:c r="G836" t="n">
        <x:v>45866</x:v>
      </x:c>
      <x:c r="H836" t="str">
        <x:v>40131</x:v>
      </x:c>
      <x:c r="I836" t="str">
        <x:v>https://www.smwcentral.net/?a=details&amp;id=40131&amp;p=section</x:v>
      </x:c>
      <x:c r="J836" t="str">
        <x:v>https://dl.smwcentral.net/40131/le_plume_1-1.zip</x:v>
      </x:c>
    </x:row>
    <x:row r="837">
      <x:c r="A837" t="str">
        <x:v>Learn 2 Kaizo</x:v>
      </x:c>
      <x:c r="B837" t="str">
        <x:v>Learn 2 Kaizo</x:v>
      </x:c>
      <x:c r="C837" t="str">
        <x:v>NeXuS15</x:v>
      </x:c>
      <x:c r="D837" t="n">
        <x:v>68</x:v>
      </x:c>
      <x:c r="E837" t="str">
        <x:v>Advanced</x:v>
      </x:c>
      <x:c r="F837" t="str">
        <x:v>Kaizo</x:v>
      </x:c>
      <x:c r="G837" t="n">
        <x:v>46159</x:v>
      </x:c>
      <x:c r="H837" t="str">
        <x:v>42361</x:v>
      </x:c>
      <x:c r="I837" t="str">
        <x:v>https://www.smwcentral.net/?a=details&amp;id=42361&amp;p=section</x:v>
      </x:c>
      <x:c r="J837" t="str">
        <x:v>https://dl.smwcentral.net/42361/Learn2Kaizo%20v1.1.zip</x:v>
      </x:c>
    </x:row>
    <x:row r="838">
      <x:c r="A838" t="str">
        <x:v>Learn To Shell Jump</x:v>
      </x:c>
      <x:c r="B838" t="str">
        <x:v>Learn To Shell Jump</x:v>
      </x:c>
      <x:c r="C838" t="str">
        <x:v>Pottsie</x:v>
      </x:c>
      <x:c r="D838" t="n">
        <x:v>5</x:v>
      </x:c>
      <x:c r="E838" t="str">
        <x:v>Intermediate</x:v>
      </x:c>
      <x:c r="F838" t="str">
        <x:v>Kaizo</x:v>
      </x:c>
      <x:c r="G838" t="n">
        <x:v>45833</x:v>
      </x:c>
      <x:c r="H838" t="str">
        <x:v>40002</x:v>
      </x:c>
      <x:c r="I838" t="str">
        <x:v>https://www.smwcentral.net/?a=details&amp;id=40002&amp;p=section</x:v>
      </x:c>
      <x:c r="J838" t="str">
        <x:v>https://dl.smwcentral.net/40002/Learn%20To%20Shell%20Jump.zip</x:v>
      </x:c>
    </x:row>
    <x:row r="839">
      <x:c r="A839" t="str">
        <x:v>Learning to Fly</x:v>
      </x:c>
      <x:c r="B839" t="str">
        <x:v>Learning to Fly</x:v>
      </x:c>
      <x:c r="C839" t="str">
        <x:v>DJLocks, NewPointless</x:v>
      </x:c>
      <x:c r="D839" t="n">
        <x:v>64</x:v>
      </x:c>
      <x:c r="E839" t="str">
        <x:v>Expert</x:v>
      </x:c>
      <x:c r="F839" t="str">
        <x:v>Kaizo</x:v>
      </x:c>
      <x:c r="G839" t="n">
        <x:v>45600</x:v>
      </x:c>
      <x:c r="H839" t="str">
        <x:v>38653</x:v>
      </x:c>
      <x:c r="I839" t="str">
        <x:v>https://www.smwcentral.net/?a=details&amp;id=38653&amp;p=section</x:v>
      </x:c>
      <x:c r="J839" t="str">
        <x:v>https://dl.smwcentral.net/38653/LearningToFly2_0.zip</x:v>
      </x:c>
    </x:row>
    <x:row r="840">
      <x:c r="A840" t="str">
        <x:v>Legend of the Rift, Volume 1: Venus</x:v>
      </x:c>
      <x:c r="B840" t="str">
        <x:v>Legend of the Rift, Volume 1: Venus</x:v>
      </x:c>
      <x:c r="C840" t="str">
        <x:v>Foursword4</x:v>
      </x:c>
      <x:c r="D840" t="n">
        <x:v>16</x:v>
      </x:c>
      <x:c r="E840" t="str">
        <x:v>Casual</x:v>
      </x:c>
      <x:c r="F840" t="str">
        <x:v>Standard</x:v>
      </x:c>
      <x:c r="G840" t="n">
        <x:v>41560</x:v>
      </x:c>
      <x:c r="H840" t="str">
        <x:v>5451</x:v>
      </x:c>
      <x:c r="I840" t="str">
        <x:v>https://www.smwcentral.net/?a=details&amp;id=5451&amp;p=section</x:v>
      </x:c>
      <x:c r="J840" t="str">
        <x:v>https://dl.smwcentral.net/5451/LOTR%20Venus.zip</x:v>
      </x:c>
    </x:row>
    <x:row r="841">
      <x:c r="A841" t="str">
        <x:v>Legends of Mario</x:v>
      </x:c>
      <x:c r="B841" t="str">
        <x:v>Legends of Mario</x:v>
      </x:c>
      <x:c r="C841" t="str">
        <x:v>ChrisG___, HmWhyNot, Mega, NeXuS15, SomeBroYouDontKnow, Tubbaluvin</x:v>
      </x:c>
      <x:c r="D841" t="n">
        <x:v>25</x:v>
      </x:c>
      <x:c r="E841" t="str">
        <x:v>Advanced</x:v>
      </x:c>
      <x:c r="F841" t="str">
        <x:v>Kaizo</x:v>
      </x:c>
      <x:c r="G841" t="n">
        <x:v>43131</x:v>
      </x:c>
      <x:c r="H841" t="str">
        <x:v>17046</x:v>
      </x:c>
      <x:c r="I841" t="str">
        <x:v>https://www.smwcentral.net/?a=details&amp;id=17046&amp;p=section</x:v>
      </x:c>
      <x:c r="J841" t="str">
        <x:v>https://dl.smwcentral.net/17046/LegendsOfMario_v1.2.zip</x:v>
      </x:c>
    </x:row>
    <x:row r="842">
      <x:c r="A842" t="str">
        <x:v>Legends of the Hidden Thwimple</x:v>
      </x:c>
      <x:c r="B842" t="str">
        <x:v>Legends of the Hidden Thwimple</x:v>
      </x:c>
      <x:c r="C842" t="str">
        <x:v>BeeKaay, Christina Hendricks, FerpyMcFrosting, GbreezeSunset, MiracleWater, Romhack Races, TheBourgyman, YMM, dtothefourth, margot, sio-kedelic</x:v>
      </x:c>
      <x:c r="D842" t="n">
        <x:v>7</x:v>
      </x:c>
      <x:c r="E842" t="str">
        <x:v>Expert</x:v>
      </x:c>
      <x:c r="F842" t="str">
        <x:v>Kaizo</x:v>
      </x:c>
      <x:c r="G842" t="n">
        <x:v>44753</x:v>
      </x:c>
      <x:c r="H842" t="str">
        <x:v>31391</x:v>
      </x:c>
      <x:c r="I842" t="str">
        <x:v>https://www.smwcentral.net/?a=details&amp;id=31391&amp;p=section</x:v>
      </x:c>
      <x:c r="J842" t="str">
        <x:v>https://dl.smwcentral.net/31391/Hidden%20Thwimple%201.1.zip</x:v>
      </x:c>
    </x:row>
    <x:row r="843">
      <x:c r="A843" t="str">
        <x:v>Lemmy's Wrath</x:v>
      </x:c>
      <x:c r="B843" t="str">
        <x:v>Lemmy's Wrath</x:v>
      </x:c>
      <x:c r="C843" t="str">
        <x:v>Blue Leaf</x:v>
      </x:c>
      <x:c r="D843" t="n">
        <x:v>47</x:v>
      </x:c>
      <x:c r="E843" t="str">
        <x:v>Advanced</x:v>
      </x:c>
      <x:c r="F843" t="str">
        <x:v>Standard</x:v>
      </x:c>
      <x:c r="G843" t="n">
        <x:v>41823</x:v>
      </x:c>
      <x:c r="H843" t="str">
        <x:v>6828</x:v>
      </x:c>
      <x:c r="I843" t="str">
        <x:v>https://www.smwcentral.net/?a=details&amp;id=6828&amp;p=section</x:v>
      </x:c>
      <x:c r="J843" t="str">
        <x:v>https://dl.smwcentral.net/6828/Lemmy%27s%20Htarw%20v1_1.zip</x:v>
      </x:c>
    </x:row>
    <x:row r="844">
      <x:c r="A844" t="str">
        <x:v>Lesbian Vampire Killer World 5000</x:v>
      </x:c>
      <x:c r="B844" t="str">
        <x:v>Lesbian Vampire Killer World 5000</x:v>
      </x:c>
      <x:c r="C844" t="str">
        <x:v>Robju</x:v>
      </x:c>
      <x:c r="D844" t="n">
        <x:v>7</x:v>
      </x:c>
      <x:c r="E844" t="str">
        <x:v>Intermediate</x:v>
      </x:c>
      <x:c r="F844" t="str">
        <x:v>Standard</x:v>
      </x:c>
      <x:c r="G844" t="n">
        <x:v>43977</x:v>
      </x:c>
      <x:c r="H844" t="str">
        <x:v>23089</x:v>
      </x:c>
      <x:c r="I844" t="str">
        <x:v>https://www.smwcentral.net/?a=details&amp;id=23089&amp;p=section</x:v>
      </x:c>
      <x:c r="J844" t="str">
        <x:v>https://dl.smwcentral.net/23089/LesbianVampireKillerWorld5000.zip</x:v>
      </x:c>
    </x:row>
    <x:row r="845">
      <x:c r="A845" t="str">
        <x:v>Lessness World</x:v>
      </x:c>
      <x:c r="B845" t="str">
        <x:v>Lessness World</x:v>
      </x:c>
      <x:c r="C845" t="str">
        <x:v>Alex</x:v>
      </x:c>
      <x:c r="D845" t="n">
        <x:v>27</x:v>
      </x:c>
      <x:c r="E845" t="str">
        <x:v>Expert</x:v>
      </x:c>
      <x:c r="F845" t="str">
        <x:v>Kaizo</x:v>
      </x:c>
      <x:c r="G845" t="n">
        <x:v>43971</x:v>
      </x:c>
      <x:c r="H845" t="str">
        <x:v>22972</x:v>
      </x:c>
      <x:c r="I845" t="str">
        <x:v>https://www.smwcentral.net/?a=details&amp;id=22972&amp;p=section</x:v>
      </x:c>
      <x:c r="J845" t="str">
        <x:v>https://dl.smwcentral.net/22972/LW%201.2.zip</x:v>
      </x:c>
    </x:row>
    <x:row r="846">
      <x:c r="A846" t="str">
        <x:v>Lessness World 2</x:v>
      </x:c>
      <x:c r="B846" t="str">
        <x:v>Lessness World 2</x:v>
      </x:c>
      <x:c r="C846" t="str">
        <x:v>Alex</x:v>
      </x:c>
      <x:c r="D846" t="n">
        <x:v>34</x:v>
      </x:c>
      <x:c r="E846" t="str">
        <x:v>Master</x:v>
      </x:c>
      <x:c r="F846" t="str">
        <x:v>Kaizo</x:v>
      </x:c>
      <x:c r="G846" t="n">
        <x:v>44853</x:v>
      </x:c>
      <x:c r="H846" t="str">
        <x:v>31338</x:v>
      </x:c>
      <x:c r="I846" t="str">
        <x:v>https://www.smwcentral.net/?a=details&amp;id=31338&amp;p=section</x:v>
      </x:c>
      <x:c r="J846" t="str">
        <x:v>https://dl.smwcentral.net/31338/Lessness_World_2.zip</x:v>
      </x:c>
    </x:row>
    <x:row r="847">
      <x:c r="A847" t="str">
        <x:v>Let's A Go!</x:v>
      </x:c>
      <x:c r="B847" t="str">
        <x:v>Let's A Go!</x:v>
      </x:c>
      <x:c r="C847" t="str">
        <x:v>ThirdWall</x:v>
      </x:c>
      <x:c r="D847" t="n">
        <x:v>34</x:v>
      </x:c>
      <x:c r="E847" t="str">
        <x:v>Master</x:v>
      </x:c>
      <x:c r="F847" t="str">
        <x:v>Kaizo</x:v>
      </x:c>
      <x:c r="G847" t="n">
        <x:v>46196</x:v>
      </x:c>
      <x:c r="H847" t="str">
        <x:v>42544</x:v>
      </x:c>
      <x:c r="I847" t="str">
        <x:v>https://www.smwcentral.net/?a=details&amp;id=42544&amp;p=section</x:v>
      </x:c>
      <x:c r="J847" t="str">
        <x:v>https://dl.smwcentral.net/42544/LAG.zip</x:v>
      </x:c>
    </x:row>
    <x:row r="848">
      <x:c r="A848" t="str">
        <x:v>Let's Give Up</x:v>
      </x:c>
      <x:c r="B848" t="str">
        <x:v>Let's Give Up</x:v>
      </x:c>
      <x:c r="C848" t="str">
        <x:v>BeeKaay</x:v>
      </x:c>
      <x:c r="D848" t="n">
        <x:v>8</x:v>
      </x:c>
      <x:c r="E848" t="str">
        <x:v>Master</x:v>
      </x:c>
      <x:c r="F848" t="str">
        <x:v>Kaizo</x:v>
      </x:c>
      <x:c r="G848" t="n">
        <x:v>44102</x:v>
      </x:c>
      <x:c r="H848" t="str">
        <x:v>24702</x:v>
      </x:c>
      <x:c r="I848" t="str">
        <x:v>https://www.smwcentral.net/?a=details&amp;id=24702&amp;p=section</x:v>
      </x:c>
      <x:c r="J848" t="str">
        <x:v>https://dl.smwcentral.net/24702/Let%27s%20Give%20Up.zip</x:v>
      </x:c>
    </x:row>
    <x:row r="849">
      <x:c r="A849" t="str">
        <x:v>Level - 2023 Remaster</x:v>
      </x:c>
      <x:c r="B849" t="str">
        <x:v>Level - 2023 Remaster</x:v>
      </x:c>
      <x:c r="C849" t="str">
        <x:v>TheBiob</x:v>
      </x:c>
      <x:c r="D849" t="n">
        <x:v>1</x:v>
      </x:c>
      <x:c r="E849" t="str">
        <x:v>Master</x:v>
      </x:c>
      <x:c r="F849" t="str">
        <x:v>Kaizo, Tool-Assisted</x:v>
      </x:c>
      <x:c r="G849" t="n">
        <x:v>45406</x:v>
      </x:c>
      <x:c r="H849" t="str">
        <x:v>37073</x:v>
      </x:c>
      <x:c r="I849" t="str">
        <x:v>https://www.smwcentral.net/?a=details&amp;id=37073&amp;p=section</x:v>
      </x:c>
      <x:c r="J849" t="str">
        <x:v>https://dl.smwcentral.net/37073/A%20glitch%20puzzle%20level%20-%202023%20Remaster.zip</x:v>
      </x:c>
    </x:row>
    <x:row r="850">
      <x:c r="A850" t="str">
        <x:v>Levels</x:v>
      </x:c>
      <x:c r="B850" t="str">
        <x:v>Levels</x:v>
      </x:c>
      <x:c r="C850" t="str">
        <x:v>Cwole23</x:v>
      </x:c>
      <x:c r="D850" t="n">
        <x:v>15</x:v>
      </x:c>
      <x:c r="E850" t="str">
        <x:v>Newcomer</x:v>
      </x:c>
      <x:c r="F850" t="str">
        <x:v>Standard</x:v>
      </x:c>
      <x:c r="G850" t="n">
        <x:v>46055</x:v>
      </x:c>
      <x:c r="H850" t="str">
        <x:v>41477</x:v>
      </x:c>
      <x:c r="I850" t="str">
        <x:v>https://www.smwcentral.net/?a=details&amp;id=41477&amp;p=section</x:v>
      </x:c>
      <x:c r="J850" t="str">
        <x:v>https://dl.smwcentral.net/41477/LevelsV2real.zip</x:v>
      </x:c>
    </x:row>
    <x:row r="851">
      <x:c r="A851" t="str">
        <x:v>Lewd Mario</x:v>
      </x:c>
      <x:c r="B851" t="str">
        <x:v>Lewd Mario</x:v>
      </x:c>
      <x:c r="C851" t="str">
        <x:v>edidari</x:v>
      </x:c>
      <x:c r="D851" t="n">
        <x:v>8</x:v>
      </x:c>
      <x:c r="E851" t="str">
        <x:v>Advanced</x:v>
      </x:c>
      <x:c r="F851" t="str">
        <x:v>Standard</x:v>
      </x:c>
      <x:c r="G851" t="n">
        <x:v>43940</x:v>
      </x:c>
      <x:c r="H851" t="str">
        <x:v>22418</x:v>
      </x:c>
      <x:c r="I851" t="str">
        <x:v>https://www.smwcentral.net/?a=details&amp;id=22418&amp;p=section</x:v>
      </x:c>
      <x:c r="J851" t="str">
        <x:v>https://dl.smwcentral.net/22418/Lewd%20Mario.zip</x:v>
      </x:c>
    </x:row>
    <x:row r="852">
      <x:c r="A852" t="str">
        <x:v>Life Of Glitches</x:v>
      </x:c>
      <x:c r="B852" t="str">
        <x:v>Life Of Glitches</x:v>
      </x:c>
      <x:c r="C852" t="str">
        <x:v>ShadowDragon121</x:v>
      </x:c>
      <x:c r="D852" t="n">
        <x:v>1</x:v>
      </x:c>
      <x:c r="E852" t="str">
        <x:v>Advanced</x:v>
      </x:c>
      <x:c r="F852" t="str">
        <x:v>Kaizo, Tool-Assisted</x:v>
      </x:c>
      <x:c r="G852" t="n">
        <x:v>41817</x:v>
      </x:c>
      <x:c r="H852" t="str">
        <x:v>6468</x:v>
      </x:c>
      <x:c r="I852" t="str">
        <x:v>https://www.smwcentral.net/?a=details&amp;id=6468&amp;p=section</x:v>
      </x:c>
      <x:c r="J852" t="str">
        <x:v>https://dl.smwcentral.net/6468/Life%20Of%20Glitches.zip</x:v>
      </x:c>
    </x:row>
    <x:row r="853">
      <x:c r="A853" t="str">
        <x:v>Lightning Crashes</x:v>
      </x:c>
      <x:c r="B853" t="str">
        <x:v>Lightning Crashes</x:v>
      </x:c>
      <x:c r="C853" t="str">
        <x:v>Multibella</x:v>
      </x:c>
      <x:c r="D853" t="n">
        <x:v>51</x:v>
      </x:c>
      <x:c r="E853" t="str">
        <x:v>Casual</x:v>
      </x:c>
      <x:c r="F853" t="str">
        <x:v>Standard</x:v>
      </x:c>
      <x:c r="G853" t="n">
        <x:v>42315</x:v>
      </x:c>
      <x:c r="H853" t="str">
        <x:v>9936</x:v>
      </x:c>
      <x:c r="I853" t="str">
        <x:v>https://www.smwcentral.net/?a=details&amp;id=9936&amp;p=section</x:v>
      </x:c>
      <x:c r="J853" t="str">
        <x:v>https://dl.smwcentral.net/9936/Lightning%20Crashes%201.2.zip</x:v>
      </x:c>
    </x:row>
    <x:row r="854">
      <x:c r="A854" t="str">
        <x:v>Lil Mallow World</x:v>
      </x:c>
      <x:c r="B854" t="str">
        <x:v>Lil Mallow World</x:v>
      </x:c>
      <x:c r="C854" t="str">
        <x:v>FridayFables, Romhack Races Team</x:v>
      </x:c>
      <x:c r="D854" t="n">
        <x:v>4</x:v>
      </x:c>
      <x:c r="E854" t="str">
        <x:v>Intermediate</x:v>
      </x:c>
      <x:c r="F854" t="str">
        <x:v>Kaizo</x:v>
      </x:c>
      <x:c r="G854" t="n">
        <x:v>43486</x:v>
      </x:c>
      <x:c r="H854" t="str">
        <x:v>18835</x:v>
      </x:c>
      <x:c r="I854" t="str">
        <x:v>https://www.smwcentral.net/?a=details&amp;id=18835&amp;p=section</x:v>
      </x:c>
      <x:c r="J854" t="str">
        <x:v>https://dl.smwcentral.net/18835/LilMallowWorld.zip</x:v>
      </x:c>
    </x:row>
    <x:row r="855">
      <x:c r="A855" t="str">
        <x:v>Link's Adventure</x:v>
      </x:c>
      <x:c r="B855" t="str">
        <x:v>Link's Adventure</x:v>
      </x:c>
      <x:c r="C855" t="str">
        <x:v>General Ike</x:v>
      </x:c>
      <x:c r="D855" t="n">
        <x:v>10</x:v>
      </x:c>
      <x:c r="E855" t="str">
        <x:v>Newcomer</x:v>
      </x:c>
      <x:c r="F855" t="str">
        <x:v>Standard</x:v>
      </x:c>
      <x:c r="G855" t="n">
        <x:v>42039</x:v>
      </x:c>
      <x:c r="H855" t="str">
        <x:v>9754</x:v>
      </x:c>
      <x:c r="I855" t="str">
        <x:v>https://www.smwcentral.net/?a=details&amp;id=9754&amp;p=section</x:v>
      </x:c>
      <x:c r="J855" t="str">
        <x:v>https://dl.smwcentral.net/9754/Link%27s%20Adventure%20Demo%202.zip</x:v>
      </x:c>
    </x:row>
    <x:row r="856">
      <x:c r="A856" t="str">
        <x:v>Linnaea</x:v>
      </x:c>
      <x:c r="B856" t="str">
        <x:v>Linnaea</x:v>
      </x:c>
      <x:c r="C856" t="str">
        <x:v>neidoodle</x:v>
      </x:c>
      <x:c r="D856" t="n">
        <x:v>15</x:v>
      </x:c>
      <x:c r="E856" t="str">
        <x:v>Advanced</x:v>
      </x:c>
      <x:c r="F856" t="str">
        <x:v>Kaizo</x:v>
      </x:c>
      <x:c r="G856" t="n">
        <x:v>44966</x:v>
      </x:c>
      <x:c r="H856" t="str">
        <x:v>33042</x:v>
      </x:c>
      <x:c r="I856" t="str">
        <x:v>https://www.smwcentral.net/?a=details&amp;id=33042&amp;p=section</x:v>
      </x:c>
      <x:c r="J856" t="str">
        <x:v>https://dl.smwcentral.net/33042/Linnaea.zip</x:v>
      </x:c>
    </x:row>
    <x:row r="857">
      <x:c r="A857" t="str">
        <x:v>Liquid Metal</x:v>
      </x:c>
      <x:c r="B857" t="str">
        <x:v>Liquid Metal</x:v>
      </x:c>
      <x:c r="C857" t="str">
        <x:v>deported</x:v>
      </x:c>
      <x:c r="D857" t="n">
        <x:v>9</x:v>
      </x:c>
      <x:c r="E857" t="str">
        <x:v>Expert</x:v>
      </x:c>
      <x:c r="F857" t="str">
        <x:v>Kaizo</x:v>
      </x:c>
      <x:c r="G857" t="n">
        <x:v>45550</x:v>
      </x:c>
      <x:c r="H857" t="str">
        <x:v>38428</x:v>
      </x:c>
      <x:c r="I857" t="str">
        <x:v>https://www.smwcentral.net/?a=details&amp;id=38428&amp;p=section</x:v>
      </x:c>
      <x:c r="J857" t="str">
        <x:v>https://dl.smwcentral.net/38428/LiquidMetal2.0.zip</x:v>
      </x:c>
    </x:row>
    <x:row r="858">
      <x:c r="A858" t="str">
        <x:v>Literally just a bonus room</x:v>
      </x:c>
      <x:c r="B858" t="str">
        <x:v>Literally just a bonus room</x:v>
      </x:c>
      <x:c r="C858" t="str">
        <x:v>Magikey</x:v>
      </x:c>
      <x:c r="D858" t="n">
        <x:v>1</x:v>
      </x:c>
      <x:c r="E858" t="str">
        <x:v>Master</x:v>
      </x:c>
      <x:c r="F858" t="str">
        <x:v>Tool-Assisted, Pit</x:v>
      </x:c>
      <x:c r="G858" t="n">
        <x:v>44127</x:v>
      </x:c>
      <x:c r="H858" t="str">
        <x:v>24758</x:v>
      </x:c>
      <x:c r="I858" t="str">
        <x:v>https://www.smwcentral.net/?a=details&amp;id=24758&amp;p=section</x:v>
      </x:c>
      <x:c r="J858" t="str">
        <x:v>https://dl.smwcentral.net/24758/bonusroom.zip</x:v>
      </x:c>
    </x:row>
    <x:row r="859">
      <x:c r="A859" t="str">
        <x:v>Little Mario World</x:v>
      </x:c>
      <x:c r="B859" t="str">
        <x:v>Little Mario World</x:v>
      </x:c>
      <x:c r="C859" t="str">
        <x:v>OctaviusPepper</x:v>
      </x:c>
      <x:c r="D859" t="n">
        <x:v>23</x:v>
      </x:c>
      <x:c r="E859" t="str">
        <x:v>Advanced</x:v>
      </x:c>
      <x:c r="F859" t="str">
        <x:v>Kaizo</x:v>
      </x:c>
      <x:c r="G859" t="n">
        <x:v>44104</x:v>
      </x:c>
      <x:c r="H859" t="str">
        <x:v>24705</x:v>
      </x:c>
      <x:c r="I859" t="str">
        <x:v>https://www.smwcentral.net/?a=details&amp;id=24705&amp;p=section</x:v>
      </x:c>
      <x:c r="J859" t="str">
        <x:v>https://dl.smwcentral.net/24705/LittleMarioWorld.zip</x:v>
      </x:c>
    </x:row>
    <x:row r="860">
      <x:c r="A860" t="str">
        <x:v>Long Road to Ruin</x:v>
      </x:c>
      <x:c r="B860" t="str">
        <x:v>Long Road to Ruin</x:v>
      </x:c>
      <x:c r="C860" t="str">
        <x:v>xhsdf</x:v>
      </x:c>
      <x:c r="D860" t="n">
        <x:v>1</x:v>
      </x:c>
      <x:c r="E860" t="str">
        <x:v>Grandmaster</x:v>
      </x:c>
      <x:c r="F860" t="str">
        <x:v>Kaizo</x:v>
      </x:c>
      <x:c r="G860" t="n">
        <x:v>45403</x:v>
      </x:c>
      <x:c r="H860" t="str">
        <x:v>37666</x:v>
      </x:c>
      <x:c r="I860" t="str">
        <x:v>https://www.smwcentral.net/?a=details&amp;id=37666&amp;p=section</x:v>
      </x:c>
      <x:c r="J860" t="str">
        <x:v>https://dl.smwcentral.net/37666/Long%20Road%20to%20Ruin%201.1.zip</x:v>
      </x:c>
    </x:row>
    <x:row r="861">
      <x:c r="A861" t="str">
        <x:v>Lord Pickle World</x:v>
      </x:c>
      <x:c r="B861" t="str">
        <x:v>Lord Pickle World</x:v>
      </x:c>
      <x:c r="C861" t="str">
        <x:v>MarkAlarm</x:v>
      </x:c>
      <x:c r="D861" t="n">
        <x:v>23</x:v>
      </x:c>
      <x:c r="E861" t="str">
        <x:v>Expert</x:v>
      </x:c>
      <x:c r="F861" t="str">
        <x:v>Kaizo</x:v>
      </x:c>
      <x:c r="G861" t="n">
        <x:v>43300</x:v>
      </x:c>
      <x:c r="H861" t="str">
        <x:v>17903</x:v>
      </x:c>
      <x:c r="I861" t="str">
        <x:v>https://www.smwcentral.net/?a=details&amp;id=17903&amp;p=section</x:v>
      </x:c>
      <x:c r="J861" t="str">
        <x:v>https://dl.smwcentral.net/17903/Lord%20Pickle%20World%20v1.3.zip</x:v>
      </x:c>
    </x:row>
    <x:row r="862">
      <x:c r="A862" t="str">
        <x:v>Lost and Found</x:v>
      </x:c>
      <x:c r="B862" t="str">
        <x:v>Lost and Found</x:v>
      </x:c>
      <x:c r="C862" t="str">
        <x:v>Icon of Sin</x:v>
      </x:c>
      <x:c r="D862" t="n">
        <x:v>16</x:v>
      </x:c>
      <x:c r="E862" t="str">
        <x:v>Newcomer</x:v>
      </x:c>
      <x:c r="F862" t="str">
        <x:v>Standard</x:v>
      </x:c>
      <x:c r="G862" t="n">
        <x:v>42243</x:v>
      </x:c>
      <x:c r="H862" t="str">
        <x:v>9916</x:v>
      </x:c>
      <x:c r="I862" t="str">
        <x:v>https://www.smwcentral.net/?a=details&amp;id=9916&amp;p=section</x:v>
      </x:c>
      <x:c r="J862" t="str">
        <x:v>https://dl.smwcentral.net/9916/Lost%20and%20Found%20Full%20version.zip</x:v>
      </x:c>
    </x:row>
    <x:row r="863">
      <x:c r="A863" t="str">
        <x:v>Lost Dimension</x:v>
      </x:c>
      <x:c r="B863" t="str">
        <x:v>Lost Dimension</x:v>
      </x:c>
      <x:c r="C863" t="str">
        <x:v>PercentN</x:v>
      </x:c>
      <x:c r="D863" t="n">
        <x:v>13</x:v>
      </x:c>
      <x:c r="E863" t="str">
        <x:v>Newcomer</x:v>
      </x:c>
      <x:c r="F863" t="str">
        <x:v>Standard</x:v>
      </x:c>
      <x:c r="G863" t="n">
        <x:v>42233</x:v>
      </x:c>
      <x:c r="H863" t="str">
        <x:v>9874</x:v>
      </x:c>
      <x:c r="I863" t="str">
        <x:v>https://www.smwcentral.net/?a=details&amp;id=9874&amp;p=section</x:v>
      </x:c>
      <x:c r="J863" t="str">
        <x:v>https://dl.smwcentral.net/9874/Lost%20Dimension.zip</x:v>
      </x:c>
    </x:row>
    <x:row r="864">
      <x:c r="A864" t="str">
        <x:v>Lost in Puzzle Land</x:v>
      </x:c>
      <x:c r="B864" t="str">
        <x:v>Lost in Puzzle Land</x:v>
      </x:c>
      <x:c r="C864" t="str">
        <x:v>S.R.H.</x:v>
      </x:c>
      <x:c r="D864" t="n">
        <x:v>9</x:v>
      </x:c>
      <x:c r="E864" t="str">
        <x:v>Casual</x:v>
      </x:c>
      <x:c r="F864" t="str">
        <x:v>Standard</x:v>
      </x:c>
      <x:c r="G864" t="n">
        <x:v>41694</x:v>
      </x:c>
      <x:c r="H864" t="str">
        <x:v>6310</x:v>
      </x:c>
      <x:c r="I864" t="str">
        <x:v>https://www.smwcentral.net/?a=details&amp;id=6310&amp;p=section</x:v>
      </x:c>
      <x:c r="J864" t="str">
        <x:v>https://dl.smwcentral.net/6310/PW2.4.zip</x:v>
      </x:c>
    </x:row>
    <x:row r="865">
      <x:c r="A865" t="str">
        <x:v>Lost in the Forest</x:v>
      </x:c>
      <x:c r="B865" t="str">
        <x:v>Lost in the Forest</x:v>
      </x:c>
      <x:c r="C865" t="str">
        <x:v>Sockbat Replica</x:v>
      </x:c>
      <x:c r="D865" t="n">
        <x:v>111</x:v>
      </x:c>
      <x:c r="E865" t="str">
        <x:v>Intermediate</x:v>
      </x:c>
      <x:c r="F865" t="str">
        <x:v>Standard</x:v>
      </x:c>
      <x:c r="G865" t="n">
        <x:v>43316</x:v>
      </x:c>
      <x:c r="H865" t="str">
        <x:v>17968</x:v>
      </x:c>
      <x:c r="I865" t="str">
        <x:v>https://www.smwcentral.net/?a=details&amp;id=17968&amp;p=section</x:v>
      </x:c>
      <x:c r="J865" t="str">
        <x:v>https://dl.smwcentral.net/17968/Lost%20in%20the%20Forest.zip</x:v>
      </x:c>
    </x:row>
    <x:row r="866">
      <x:c r="A866" t="str">
        <x:v>Lost In Yoshi Island Remix</x:v>
      </x:c>
      <x:c r="B866" t="str">
        <x:v>Lost In Yoshi Island Remix</x:v>
      </x:c>
      <x:c r="C866" t="str">
        <x:v>goomba</x:v>
      </x:c>
      <x:c r="D866" t="n">
        <x:v>5</x:v>
      </x:c>
      <x:c r="E866" t="str">
        <x:v>Newcomer</x:v>
      </x:c>
      <x:c r="F866" t="str">
        <x:v>Standard</x:v>
      </x:c>
      <x:c r="G866" t="n">
        <x:v>42238</x:v>
      </x:c>
      <x:c r="H866" t="str">
        <x:v>9890</x:v>
      </x:c>
      <x:c r="I866" t="str">
        <x:v>https://www.smwcentral.net/?a=details&amp;id=9890&amp;p=section</x:v>
      </x:c>
      <x:c r="J866" t="str">
        <x:v>https://dl.smwcentral.net/9890/lost%20in%20yoshi%27s%20island%20remix.zip</x:v>
      </x:c>
    </x:row>
    <x:row r="867">
      <x:c r="A867" t="str">
        <x:v>Lost Mario Bros.</x:v>
      </x:c>
      <x:c r="B867" t="str">
        <x:v>Lost Mario Bros.</x:v>
      </x:c>
      <x:c r="C867" t="str">
        <x:v>Le Comte Niark</x:v>
      </x:c>
      <x:c r="D867" t="n">
        <x:v>21</x:v>
      </x:c>
      <x:c r="E867" t="str">
        <x:v>Casual</x:v>
      </x:c>
      <x:c r="F867" t="str">
        <x:v>Standard</x:v>
      </x:c>
      <x:c r="G867" t="n">
        <x:v>41837</x:v>
      </x:c>
      <x:c r="H867" t="str">
        <x:v>7005</x:v>
      </x:c>
      <x:c r="I867" t="str">
        <x:v>https://www.smwcentral.net/?a=details&amp;id=7005&amp;p=section</x:v>
      </x:c>
      <x:c r="J867" t="str">
        <x:v>https://dl.smwcentral.net/7005/Lost%20Mario%20Bros.%20-%20Demo%202.1.zip</x:v>
      </x:c>
    </x:row>
    <x:row r="868">
      <x:c r="A868" t="str">
        <x:v>Lost On The Islands</x:v>
      </x:c>
      <x:c r="B868" t="str">
        <x:v>Lost On The Islands</x:v>
      </x:c>
      <x:c r="C868" t="str">
        <x:v>therealSWK</x:v>
      </x:c>
      <x:c r="D868" t="n">
        <x:v>3</x:v>
      </x:c>
      <x:c r="E868" t="str">
        <x:v>Newcomer</x:v>
      </x:c>
      <x:c r="F868" t="str">
        <x:v>Standard</x:v>
      </x:c>
      <x:c r="G868" t="n">
        <x:v>42163</x:v>
      </x:c>
      <x:c r="H868" t="str">
        <x:v>10057</x:v>
      </x:c>
      <x:c r="I868" t="str">
        <x:v>https://www.smwcentral.net/?a=details&amp;id=10057&amp;p=section</x:v>
      </x:c>
      <x:c r="J868" t="str">
        <x:v>https://dl.smwcentral.net/10057/Lost%20on%20the%20Islands%20Demo%20V1.1.zip</x:v>
      </x:c>
    </x:row>
    <x:row r="869">
      <x:c r="A869" t="str">
        <x:v>Lost Paths</x:v>
      </x:c>
      <x:c r="B869" t="str">
        <x:v>Lost Paths</x:v>
      </x:c>
      <x:c r="C869" t="str">
        <x:v>Chuycraft</x:v>
      </x:c>
      <x:c r="D869" t="n">
        <x:v>80</x:v>
      </x:c>
      <x:c r="E869" t="str">
        <x:v>Advanced</x:v>
      </x:c>
      <x:c r="F869" t="str">
        <x:v>Standard</x:v>
      </x:c>
      <x:c r="G869" t="n">
        <x:v>46048</x:v>
      </x:c>
      <x:c r="H869" t="str">
        <x:v>41461</x:v>
      </x:c>
      <x:c r="I869" t="str">
        <x:v>https://www.smwcentral.net/?a=details&amp;id=41461&amp;p=section</x:v>
      </x:c>
      <x:c r="J869" t="str">
        <x:v>https://dl.smwcentral.net/41461/Lost%20Paths%20V1.2.1.zip</x:v>
      </x:c>
    </x:row>
    <x:row r="870">
      <x:c r="A870" t="str">
        <x:v>Lost Places</x:v>
      </x:c>
      <x:c r="B870" t="str">
        <x:v>Lost Places</x:v>
      </x:c>
      <x:c r="C870" t="str">
        <x:v>Schlafkopf</x:v>
      </x:c>
      <x:c r="D870" t="n">
        <x:v>6</x:v>
      </x:c>
      <x:c r="E870" t="str">
        <x:v>Expert</x:v>
      </x:c>
      <x:c r="F870" t="str">
        <x:v>Kaizo</x:v>
      </x:c>
      <x:c r="G870" t="n">
        <x:v>44308</x:v>
      </x:c>
      <x:c r="H870" t="str">
        <x:v>26771</x:v>
      </x:c>
      <x:c r="I870" t="str">
        <x:v>https://www.smwcentral.net/?a=details&amp;id=26771&amp;p=section</x:v>
      </x:c>
      <x:c r="J870" t="str">
        <x:v>https://dl.smwcentral.net/26771/Lost%20Places%20Demo.zip</x:v>
      </x:c>
    </x:row>
    <x:row r="871">
      <x:c r="A871" t="str">
        <x:v>Lost Wayfarers- The Escapade back to Mushroom Kingdom</x:v>
      </x:c>
      <x:c r="B871" t="str">
        <x:v>Lost Wayfarers- The Escapade back to Mushroom Kingdom</x:v>
      </x:c>
      <x:c r="C871" t="str">
        <x:v>Vamperumbra</x:v>
      </x:c>
      <x:c r="D871" t="n">
        <x:v>47</x:v>
      </x:c>
      <x:c r="E871" t="str">
        <x:v>Intermediate</x:v>
      </x:c>
      <x:c r="F871" t="str">
        <x:v>Standard</x:v>
      </x:c>
      <x:c r="G871" t="n">
        <x:v>42902</x:v>
      </x:c>
      <x:c r="H871" t="str">
        <x:v>15632</x:v>
      </x:c>
      <x:c r="I871" t="str">
        <x:v>https://www.smwcentral.net/?a=details&amp;id=15632&amp;p=section</x:v>
      </x:c>
      <x:c r="J871" t="str">
        <x:v>https://dl.smwcentral.net/15632/LW.zip</x:v>
      </x:c>
    </x:row>
    <x:row r="872">
      <x:c r="A872" t="str">
        <x:v>Love Letter</x:v>
      </x:c>
      <x:c r="B872" t="str">
        <x:v>Love Letter</x:v>
      </x:c>
      <x:c r="C872" t="str">
        <x:v>Lush_50</x:v>
      </x:c>
      <x:c r="D872" t="n">
        <x:v>18</x:v>
      </x:c>
      <x:c r="E872" t="str">
        <x:v>Intermediate</x:v>
      </x:c>
      <x:c r="F872" t="str">
        <x:v>Kaizo</x:v>
      </x:c>
      <x:c r="G872" t="n">
        <x:v>45847</x:v>
      </x:c>
      <x:c r="H872" t="str">
        <x:v>40069</x:v>
      </x:c>
      <x:c r="I872" t="str">
        <x:v>https://www.smwcentral.net/?a=details&amp;id=40069&amp;p=section</x:v>
      </x:c>
      <x:c r="J872" t="str">
        <x:v>https://dl.smwcentral.net/40069/Love%20Letter.zip</x:v>
      </x:c>
    </x:row>
    <x:row r="873">
      <x:c r="A873" t="str">
        <x:v>Love Yourself</x:v>
      </x:c>
      <x:c r="B873" t="str">
        <x:v>Love Yourself</x:v>
      </x:c>
      <x:c r="C873" t="str">
        <x:v>Chondontore</x:v>
      </x:c>
      <x:c r="D873" t="n">
        <x:v>17</x:v>
      </x:c>
      <x:c r="E873" t="str">
        <x:v>Intermediate</x:v>
      </x:c>
      <x:c r="F873" t="str">
        <x:v>Kaizo</x:v>
      </x:c>
      <x:c r="G873" t="n">
        <x:v>44690</x:v>
      </x:c>
      <x:c r="H873" t="str">
        <x:v>30864</x:v>
      </x:c>
      <x:c r="I873" t="str">
        <x:v>https://www.smwcentral.net/?a=details&amp;id=30864&amp;p=section</x:v>
      </x:c>
      <x:c r="J873" t="str">
        <x:v>https://dl.smwcentral.net/30864/Love%20Yourself%201.0.zip</x:v>
      </x:c>
    </x:row>
    <x:row r="874">
      <x:c r="A874" t="str">
        <x:v>Lucky</x:v>
      </x:c>
      <x:c r="B874" t="str">
        <x:v>Lucky</x:v>
      </x:c>
      <x:c r="C874" t="str">
        <x:v>Lush_50</x:v>
      </x:c>
      <x:c r="D874" t="n">
        <x:v>6</x:v>
      </x:c>
      <x:c r="E874" t="str">
        <x:v>Advanced</x:v>
      </x:c>
      <x:c r="F874" t="str">
        <x:v>Kaizo</x:v>
      </x:c>
      <x:c r="G874" t="n">
        <x:v>44869</x:v>
      </x:c>
      <x:c r="H874" t="str">
        <x:v>32513</x:v>
      </x:c>
      <x:c r="I874" t="str">
        <x:v>https://www.smwcentral.net/?a=details&amp;id=32513&amp;p=section</x:v>
      </x:c>
      <x:c r="J874" t="str">
        <x:v>https://dl.smwcentral.net/32513/Lucky%20V1.0A.zip</x:v>
      </x:c>
    </x:row>
    <x:row r="875">
      <x:c r="A875" t="str">
        <x:v>Luigi and the Final Year</x:v>
      </x:c>
      <x:c r="B875" t="str">
        <x:v>Luigi and the Final Year</x:v>
      </x:c>
      <x:c r="C875" t="str">
        <x:v>karen13505</x:v>
      </x:c>
      <x:c r="D875" t="n">
        <x:v>56</x:v>
      </x:c>
      <x:c r="E875" t="str">
        <x:v>Intermediate</x:v>
      </x:c>
      <x:c r="F875" t="str">
        <x:v>Standard</x:v>
      </x:c>
      <x:c r="G875" t="n">
        <x:v>43844</x:v>
      </x:c>
      <x:c r="H875" t="str">
        <x:v>21746</x:v>
      </x:c>
      <x:c r="I875" t="str">
        <x:v>https://www.smwcentral.net/?a=details&amp;id=21746&amp;p=section</x:v>
      </x:c>
      <x:c r="J875" t="str">
        <x:v>https://dl.smwcentral.net/21746/Luigi%20and%20the%20Final%20Year.zip</x:v>
      </x:c>
    </x:row>
    <x:row r="876">
      <x:c r="A876" t="str">
        <x:v>Luigi and the Happy Hillside</x:v>
      </x:c>
      <x:c r="B876" t="str">
        <x:v>Luigi and the Happy Hillside</x:v>
      </x:c>
      <x:c r="C876" t="str">
        <x:v>Apple Boy</x:v>
      </x:c>
      <x:c r="D876" t="n">
        <x:v>5</x:v>
      </x:c>
      <x:c r="E876" t="str">
        <x:v>Newcomer</x:v>
      </x:c>
      <x:c r="F876" t="str">
        <x:v>Standard</x:v>
      </x:c>
      <x:c r="G876" t="n">
        <x:v>44730</x:v>
      </x:c>
      <x:c r="H876" t="str">
        <x:v>31167</x:v>
      </x:c>
      <x:c r="I876" t="str">
        <x:v>https://www.smwcentral.net/?a=details&amp;id=31167&amp;p=section</x:v>
      </x:c>
      <x:c r="J876" t="str">
        <x:v>https://dl.smwcentral.net/31167/HappyHillside.zip</x:v>
      </x:c>
    </x:row>
    <x:row r="877">
      <x:c r="A877" t="str">
        <x:v>Luigi and the Island of Mystery</x:v>
      </x:c>
      <x:c r="B877" t="str">
        <x:v>Luigi and the Island of Mystery</x:v>
      </x:c>
      <x:c r="C877" t="str">
        <x:v>superwiidude</x:v>
      </x:c>
      <x:c r="D877" t="n">
        <x:v>93</x:v>
      </x:c>
      <x:c r="E877" t="str">
        <x:v>Casual</x:v>
      </x:c>
      <x:c r="F877" t="str">
        <x:v>Standard</x:v>
      </x:c>
      <x:c r="G877" t="n">
        <x:v>42727</x:v>
      </x:c>
      <x:c r="H877" t="str">
        <x:v>14809</x:v>
      </x:c>
      <x:c r="I877" t="str">
        <x:v>https://www.smwcentral.net/?a=details&amp;id=14809&amp;p=section</x:v>
      </x:c>
      <x:c r="J877" t="str">
        <x:v>https://dl.smwcentral.net/14809/Luigi%20and%20the%20island%20of%20mystery.zip</x:v>
      </x:c>
    </x:row>
    <x:row r="878">
      <x:c r="A878" t="str">
        <x:v>Luigi and the Mysterious Portals</x:v>
      </x:c>
      <x:c r="B878" t="str">
        <x:v>Luigi and the Mysterious Portals</x:v>
      </x:c>
      <x:c r="C878" t="str">
        <x:v>imamelia</x:v>
      </x:c>
      <x:c r="D878" t="n">
        <x:v>10</x:v>
      </x:c>
      <x:c r="E878" t="str">
        <x:v>Casual</x:v>
      </x:c>
      <x:c r="F878" t="str">
        <x:v>Standard</x:v>
      </x:c>
      <x:c r="G878" t="n">
        <x:v>45704</x:v>
      </x:c>
      <x:c r="H878" t="str">
        <x:v>39174</x:v>
      </x:c>
      <x:c r="I878" t="str">
        <x:v>https://www.smwcentral.net/?a=details&amp;id=39174&amp;p=section</x:v>
      </x:c>
      <x:c r="J878" t="str">
        <x:v>https://dl.smwcentral.net/39174/Luigi%20and%20the%20Mysterious%20Portals.zip</x:v>
      </x:c>
    </x:row>
    <x:row r="879">
      <x:c r="A879" t="str">
        <x:v>Luigi in: The Rescue of Daisy</x:v>
      </x:c>
      <x:c r="B879" t="str">
        <x:v>Luigi in: The Rescue of Daisy</x:v>
      </x:c>
      <x:c r="C879" t="str">
        <x:v>Retired Man</x:v>
      </x:c>
      <x:c r="D879" t="n">
        <x:v>8</x:v>
      </x:c>
      <x:c r="E879" t="str">
        <x:v>Newcomer</x:v>
      </x:c>
      <x:c r="F879" t="str">
        <x:v>Standard</x:v>
      </x:c>
      <x:c r="G879" t="n">
        <x:v>42271</x:v>
      </x:c>
      <x:c r="H879" t="str">
        <x:v>10073</x:v>
      </x:c>
      <x:c r="I879" t="str">
        <x:v>https://www.smwcentral.net/?a=details&amp;id=10073&amp;p=section</x:v>
      </x:c>
      <x:c r="J879" t="str">
        <x:v>https://dl.smwcentral.net/10073/Luigi%20demo%201.zip</x:v>
      </x:c>
    </x:row>
    <x:row r="880">
      <x:c r="A880" t="str">
        <x:v>Luigi Kaizo King</x:v>
      </x:c>
      <x:c r="B880" t="str">
        <x:v>Luigi Kaizo King</x:v>
      </x:c>
      <x:c r="C880" t="str">
        <x:v>Yagami</x:v>
      </x:c>
      <x:c r="D880" t="n">
        <x:v>13</x:v>
      </x:c>
      <x:c r="E880" t="str">
        <x:v>Expert</x:v>
      </x:c>
      <x:c r="F880" t="str">
        <x:v>Kaizo</x:v>
      </x:c>
      <x:c r="G880" t="n">
        <x:v>43692</x:v>
      </x:c>
      <x:c r="H880" t="str">
        <x:v>20906</x:v>
      </x:c>
      <x:c r="I880" t="str">
        <x:v>https://www.smwcentral.net/?a=details&amp;id=20906&amp;p=section</x:v>
      </x:c>
      <x:c r="J880" t="str">
        <x:v>https://dl.smwcentral.net/20906/LKK.zip</x:v>
      </x:c>
    </x:row>
    <x:row r="881">
      <x:c r="A881" t="str">
        <x:v>Luigi lost in Telinc's World</x:v>
      </x:c>
      <x:c r="B881" t="str">
        <x:v>Luigi lost in Telinc's World</x:v>
      </x:c>
      <x:c r="C881" t="str">
        <x:v>Telinc1</x:v>
      </x:c>
      <x:c r="D881" t="n">
        <x:v>10</x:v>
      </x:c>
      <x:c r="E881" t="str">
        <x:v>Newcomer</x:v>
      </x:c>
      <x:c r="F881" t="str">
        <x:v>Standard</x:v>
      </x:c>
      <x:c r="G881" t="n">
        <x:v>42312</x:v>
      </x:c>
      <x:c r="H881" t="str">
        <x:v>10212</x:v>
      </x:c>
      <x:c r="I881" t="str">
        <x:v>https://www.smwcentral.net/?a=details&amp;id=10212&amp;p=section</x:v>
      </x:c>
      <x:c r="J881" t="str">
        <x:v>https://dl.smwcentral.net/10212/Luigi%20lost%20in%20Telinc%27s%20World%20-%20Demo%201.5.zip</x:v>
      </x:c>
    </x:row>
    <x:row r="882">
      <x:c r="A882" t="str">
        <x:v>Luigi Stardust Adventure</x:v>
      </x:c>
      <x:c r="B882" t="str">
        <x:v>Luigi Stardust Adventure</x:v>
      </x:c>
      <x:c r="C882" t="str">
        <x:v>Zavok</x:v>
      </x:c>
      <x:c r="D882" t="n">
        <x:v>65</x:v>
      </x:c>
      <x:c r="E882" t="str">
        <x:v>Intermediate</x:v>
      </x:c>
      <x:c r="F882" t="str">
        <x:v>Standard</x:v>
      </x:c>
      <x:c r="G882" t="n">
        <x:v>44222</x:v>
      </x:c>
      <x:c r="H882" t="str">
        <x:v>25705</x:v>
      </x:c>
      <x:c r="I882" t="str">
        <x:v>https://www.smwcentral.net/?a=details&amp;id=25705&amp;p=section</x:v>
      </x:c>
      <x:c r="J882" t="str">
        <x:v>https://dl.smwcentral.net/25705/Luigi%20Stardust%20Adventure.zip</x:v>
      </x:c>
    </x:row>
    <x:row r="883">
      <x:c r="A883" t="str">
        <x:v>Luigi's Adventure 3: Overseas Edition</x:v>
      </x:c>
      <x:c r="B883" t="str">
        <x:v>Luigi's Adventure 3: Overseas Edition</x:v>
      </x:c>
      <x:c r="C883" t="str">
        <x:v>Anikiti</x:v>
      </x:c>
      <x:c r="D883" t="n">
        <x:v>97</x:v>
      </x:c>
      <x:c r="E883" t="str">
        <x:v>Expert</x:v>
      </x:c>
      <x:c r="F883" t="str">
        <x:v>Standard</x:v>
      </x:c>
      <x:c r="G883" t="n">
        <x:v>44392</x:v>
      </x:c>
      <x:c r="H883" t="str">
        <x:v>27348</x:v>
      </x:c>
      <x:c r="I883" t="str">
        <x:v>https://www.smwcentral.net/?a=details&amp;id=27348&amp;p=section</x:v>
      </x:c>
      <x:c r="J883" t="str">
        <x:v>https://dl.smwcentral.net/27348/ladv3_ose_v10.zip</x:v>
      </x:c>
    </x:row>
    <x:row r="884">
      <x:c r="A884" t="str">
        <x:v>Luigi's Adventure 4: The Revival of Tortoise Empire</x:v>
      </x:c>
      <x:c r="B884" t="str">
        <x:v>Luigi's Adventure 4: The Revival of Tortoise Empire</x:v>
      </x:c>
      <x:c r="C884" t="str">
        <x:v>Anikiti</x:v>
      </x:c>
      <x:c r="D884" t="n">
        <x:v>30</x:v>
      </x:c>
      <x:c r="E884" t="str">
        <x:v>Casual</x:v>
      </x:c>
      <x:c r="F884" t="str">
        <x:v>Standard</x:v>
      </x:c>
      <x:c r="G884" t="n">
        <x:v>41497</x:v>
      </x:c>
      <x:c r="H884" t="str">
        <x:v>5127</x:v>
      </x:c>
      <x:c r="I884" t="str">
        <x:v>https://www.smwcentral.net/?a=details&amp;id=5127&amp;p=section</x:v>
      </x:c>
      <x:c r="J884" t="str">
        <x:v>https://dl.smwcentral.net/5127/ladv4_rev0422.zip</x:v>
      </x:c>
    </x:row>
    <x:row r="885">
      <x:c r="A885" t="str">
        <x:v>Luigi's Adventure OSE</x:v>
      </x:c>
      <x:c r="B885" t="str">
        <x:v>Luigi's Adventure OSE</x:v>
      </x:c>
      <x:c r="C885" t="str">
        <x:v>Anikiti</x:v>
      </x:c>
      <x:c r="D885" t="n">
        <x:v>87</x:v>
      </x:c>
      <x:c r="E885" t="str">
        <x:v>Advanced</x:v>
      </x:c>
      <x:c r="F885" t="str">
        <x:v>Standard</x:v>
      </x:c>
      <x:c r="G885" t="n">
        <x:v>45219</x:v>
      </x:c>
      <x:c r="H885" t="str">
        <x:v>34399</x:v>
      </x:c>
      <x:c r="I885" t="str">
        <x:v>https://www.smwcentral.net/?a=details&amp;id=34399&amp;p=section</x:v>
      </x:c>
      <x:c r="J885" t="str">
        <x:v>https://dl.smwcentral.net/34399/ladv_ose_v131.zip</x:v>
      </x:c>
    </x:row>
    <x:row r="886">
      <x:c r="A886" t="str">
        <x:v>Luigi's Adventure OSE - The Lost Levels</x:v>
      </x:c>
      <x:c r="B886" t="str">
        <x:v>Luigi's Adventure OSE - The Lost Levels</x:v>
      </x:c>
      <x:c r="C886" t="str">
        <x:v>Anikiti</x:v>
      </x:c>
      <x:c r="D886" t="n">
        <x:v>9</x:v>
      </x:c>
      <x:c r="E886" t="str">
        <x:v>Master</x:v>
      </x:c>
      <x:c r="F886" t="str">
        <x:v>Standard</x:v>
      </x:c>
      <x:c r="G886" t="n">
        <x:v>44392</x:v>
      </x:c>
      <x:c r="H886" t="str">
        <x:v>27196</x:v>
      </x:c>
      <x:c r="I886" t="str">
        <x:v>https://www.smwcentral.net/?a=details&amp;id=27196&amp;p=section</x:v>
      </x:c>
      <x:c r="J886" t="str">
        <x:v>https://dl.smwcentral.net/27196/Luigi%27s%20Adventure%20OSE%20-%20The%20Lost%20Levels%20-%20Fixed.zip</x:v>
      </x:c>
    </x:row>
    <x:row r="887">
      <x:c r="A887" t="str">
        <x:v>Luigi's Decision</x:v>
      </x:c>
      <x:c r="B887" t="str">
        <x:v>Luigi's Decision</x:v>
      </x:c>
      <x:c r="C887" t="str">
        <x:v>Thundahack</x:v>
      </x:c>
      <x:c r="D887" t="n">
        <x:v>7</x:v>
      </x:c>
      <x:c r="E887" t="str">
        <x:v>Casual</x:v>
      </x:c>
      <x:c r="F887" t="str">
        <x:v>Standard</x:v>
      </x:c>
      <x:c r="G887" t="n">
        <x:v>41509</x:v>
      </x:c>
      <x:c r="H887" t="str">
        <x:v>5180</x:v>
      </x:c>
      <x:c r="I887" t="str">
        <x:v>https://www.smwcentral.net/?a=details&amp;id=5180&amp;p=section</x:v>
      </x:c>
      <x:c r="J887" t="str">
        <x:v>https://dl.smwcentral.net/5180/Luigi%27s%20Decision.zip</x:v>
      </x:c>
    </x:row>
    <x:row r="888">
      <x:c r="A888" t="str">
        <x:v>Luigi's First Adventure</x:v>
      </x:c>
      <x:c r="B888" t="str">
        <x:v>Luigi's First Adventure</x:v>
      </x:c>
      <x:c r="C888" t="str">
        <x:v>Yoshi987</x:v>
      </x:c>
      <x:c r="D888" t="n">
        <x:v>6</x:v>
      </x:c>
      <x:c r="E888" t="str">
        <x:v>Casual</x:v>
      </x:c>
      <x:c r="F888" t="str">
        <x:v>Standard</x:v>
      </x:c>
      <x:c r="G888" t="n">
        <x:v>42267</x:v>
      </x:c>
      <x:c r="H888" t="str">
        <x:v>10000</x:v>
      </x:c>
      <x:c r="I888" t="str">
        <x:v>https://www.smwcentral.net/?a=details&amp;id=10000&amp;p=section</x:v>
      </x:c>
      <x:c r="J888" t="str">
        <x:v>https://dl.smwcentral.net/10000/Luigi%27s%20First%20Adventure%20%28Demo%29.zip</x:v>
      </x:c>
    </x:row>
    <x:row r="889">
      <x:c r="A889" t="str">
        <x:v>Luigi's Heated Journey</x:v>
      </x:c>
      <x:c r="B889" t="str">
        <x:v>Luigi's Heated Journey</x:v>
      </x:c>
      <x:c r="C889" t="str">
        <x:v>KennyJ</x:v>
      </x:c>
      <x:c r="D889" t="n">
        <x:v>15</x:v>
      </x:c>
      <x:c r="E889" t="str">
        <x:v>Newcomer</x:v>
      </x:c>
      <x:c r="F889" t="str">
        <x:v>Standard</x:v>
      </x:c>
      <x:c r="G889" t="n">
        <x:v>42291</x:v>
      </x:c>
      <x:c r="H889" t="str">
        <x:v>10101</x:v>
      </x:c>
      <x:c r="I889" t="str">
        <x:v>https://www.smwcentral.net/?a=details&amp;id=10101&amp;p=section</x:v>
      </x:c>
      <x:c r="J889" t="str">
        <x:v>https://dl.smwcentral.net/10101/LHJ.zip</x:v>
      </x:c>
    </x:row>
    <x:row r="890">
      <x:c r="A890" t="str">
        <x:v>Luigi's Lost Levels</x:v>
      </x:c>
      <x:c r="B890" t="str">
        <x:v>Luigi's Lost Levels</x:v>
      </x:c>
      <x:c r="C890" t="str">
        <x:v>Romano338</x:v>
      </x:c>
      <x:c r="D890" t="n">
        <x:v>4</x:v>
      </x:c>
      <x:c r="E890" t="str">
        <x:v>Expert</x:v>
      </x:c>
      <x:c r="F890" t="str">
        <x:v>Kaizo</x:v>
      </x:c>
      <x:c r="G890" t="n">
        <x:v>43065</x:v>
      </x:c>
      <x:c r="H890" t="str">
        <x:v>16689</x:v>
      </x:c>
      <x:c r="I890" t="str">
        <x:v>https://www.smwcentral.net/?a=details&amp;id=16689&amp;p=section</x:v>
      </x:c>
      <x:c r="J890" t="str">
        <x:v>https://dl.smwcentral.net/16689/Luigi%27s%20Lost%20Levels.zip</x:v>
      </x:c>
    </x:row>
    <x:row r="891">
      <x:c r="A891" t="str">
        <x:v>Luigi's Lost Levels 2 - Back With A Revenge</x:v>
      </x:c>
      <x:c r="B891" t="str">
        <x:v>Luigi's Lost Levels 2 - Back With A Revenge</x:v>
      </x:c>
      <x:c r="C891" t="str">
        <x:v>Romano338</x:v>
      </x:c>
      <x:c r="D891" t="n">
        <x:v>9</x:v>
      </x:c>
      <x:c r="E891" t="str">
        <x:v>Expert</x:v>
      </x:c>
      <x:c r="F891" t="str">
        <x:v>Kaizo</x:v>
      </x:c>
      <x:c r="G891" t="n">
        <x:v>44833</x:v>
      </x:c>
      <x:c r="H891" t="str">
        <x:v>32187</x:v>
      </x:c>
      <x:c r="I891" t="str">
        <x:v>https://www.smwcentral.net/?a=details&amp;id=32187&amp;p=section</x:v>
      </x:c>
      <x:c r="J891" t="str">
        <x:v>https://dl.smwcentral.net/32187/Luigi%27s%20Lost%20Levels%202%20-%20Back%20With%20A%20Revenge.zip</x:v>
      </x:c>
    </x:row>
    <x:row r="892">
      <x:c r="A892" t="str">
        <x:v>Luigi's Lost Levels 3 - Electrik Boogaloo</x:v>
      </x:c>
      <x:c r="B892" t="str">
        <x:v>Luigi's Lost Levels 3 - Electrik Boogaloo</x:v>
      </x:c>
      <x:c r="C892" t="str">
        <x:v>Romano338</x:v>
      </x:c>
      <x:c r="D892" t="n">
        <x:v>8</x:v>
      </x:c>
      <x:c r="E892" t="str">
        <x:v>Expert</x:v>
      </x:c>
      <x:c r="F892" t="str">
        <x:v>Kaizo</x:v>
      </x:c>
      <x:c r="G892" t="n">
        <x:v>44850</x:v>
      </x:c>
      <x:c r="H892" t="str">
        <x:v>32235</x:v>
      </x:c>
      <x:c r="I892" t="str">
        <x:v>https://www.smwcentral.net/?a=details&amp;id=32235&amp;p=section</x:v>
      </x:c>
      <x:c r="J892" t="str">
        <x:v>https://dl.smwcentral.net/32235/Luigi%27s%20Lost%20Levels%203%20-%20Electrik%20Boogaloo.zip</x:v>
      </x:c>
    </x:row>
    <x:row r="893">
      <x:c r="A893" t="str">
        <x:v>Luigi's Misadventures - Tsux Namine's factor</x:v>
      </x:c>
      <x:c r="B893" t="str">
        <x:v>Luigi's Misadventures - Tsux Namine's factor</x:v>
      </x:c>
      <x:c r="C893" t="str">
        <x:v>Roberto zampari</x:v>
      </x:c>
      <x:c r="D893" t="n">
        <x:v>108</x:v>
      </x:c>
      <x:c r="E893" t="str">
        <x:v>Casual</x:v>
      </x:c>
      <x:c r="F893" t="str">
        <x:v>Standard</x:v>
      </x:c>
      <x:c r="G893" t="n">
        <x:v>42924</x:v>
      </x:c>
      <x:c r="H893" t="str">
        <x:v>15802</x:v>
      </x:c>
      <x:c r="I893" t="str">
        <x:v>https://www.smwcentral.net/?a=details&amp;id=15802&amp;p=section</x:v>
      </x:c>
      <x:c r="J893" t="str">
        <x:v>https://dl.smwcentral.net/15802/Luigimisadventures.zip</x:v>
      </x:c>
    </x:row>
    <x:row r="894">
      <x:c r="A894" t="str">
        <x:v>Luigi's Misadventures 2 - Leviathan's Mania</x:v>
      </x:c>
      <x:c r="B894" t="str">
        <x:v>Luigi's Misadventures 2 - Leviathan's Mania</x:v>
      </x:c>
      <x:c r="C894" t="str">
        <x:v>Roberto zampari</x:v>
      </x:c>
      <x:c r="D894" t="n">
        <x:v>103</x:v>
      </x:c>
      <x:c r="E894" t="str">
        <x:v>Intermediate</x:v>
      </x:c>
      <x:c r="F894" t="str">
        <x:v>Standard</x:v>
      </x:c>
      <x:c r="G894" t="n">
        <x:v>43281</x:v>
      </x:c>
      <x:c r="H894" t="str">
        <x:v>17632</x:v>
      </x:c>
      <x:c r="I894" t="str">
        <x:v>https://www.smwcentral.net/?a=details&amp;id=17632&amp;p=section</x:v>
      </x:c>
      <x:c r="J894" t="str">
        <x:v>https://dl.smwcentral.net/17632/luigimiss2full2A.zip</x:v>
      </x:c>
    </x:row>
    <x:row r="895">
      <x:c r="A895" t="str">
        <x:v>Luigi's Misadventures 3 - Recipe for a disaster</x:v>
      </x:c>
      <x:c r="B895" t="str">
        <x:v>Luigi's Misadventures 3 - Recipe for a disaster</x:v>
      </x:c>
      <x:c r="C895" t="str">
        <x:v>Roberto zampari</x:v>
      </x:c>
      <x:c r="D895" t="n">
        <x:v>108</x:v>
      </x:c>
      <x:c r="E895" t="str">
        <x:v>Intermediate</x:v>
      </x:c>
      <x:c r="F895" t="str">
        <x:v>Standard</x:v>
      </x:c>
      <x:c r="G895" t="n">
        <x:v>43882</x:v>
      </x:c>
      <x:c r="H895" t="str">
        <x:v>21799</x:v>
      </x:c>
      <x:c r="I895" t="str">
        <x:v>https://www.smwcentral.net/?a=details&amp;id=21799&amp;p=section</x:v>
      </x:c>
      <x:c r="J895" t="str">
        <x:v>https://dl.smwcentral.net/21799/Luigimiss3full1A.zip</x:v>
      </x:c>
    </x:row>
    <x:row r="896">
      <x:c r="A896" t="str">
        <x:v>Luigi's Misadventures 4 - Galactic Kids Next Door</x:v>
      </x:c>
      <x:c r="B896" t="str">
        <x:v>Luigi's Misadventures 4 - Galactic Kids Next Door</x:v>
      </x:c>
      <x:c r="C896" t="str">
        <x:v>Roberto zampari</x:v>
      </x:c>
      <x:c r="D896" t="n">
        <x:v>105</x:v>
      </x:c>
      <x:c r="E896" t="str">
        <x:v>Intermediate</x:v>
      </x:c>
      <x:c r="F896" t="str">
        <x:v>Standard</x:v>
      </x:c>
      <x:c r="G896" t="n">
        <x:v>44760</x:v>
      </x:c>
      <x:c r="H896" t="str">
        <x:v>31321</x:v>
      </x:c>
      <x:c r="I896" t="str">
        <x:v>https://www.smwcentral.net/?a=details&amp;id=31321&amp;p=section</x:v>
      </x:c>
      <x:c r="J896" t="str">
        <x:v>https://dl.smwcentral.net/31321/Luigimiss4_U3.zip</x:v>
      </x:c>
    </x:row>
    <x:row r="897">
      <x:c r="A897" t="str">
        <x:v>Luigi's Misadventures 5 - Rougenia Merald's challenge</x:v>
      </x:c>
      <x:c r="B897" t="str">
        <x:v>Luigi's Misadventures 5 - Rougenia Merald's challenge</x:v>
      </x:c>
      <x:c r="C897" t="str">
        <x:v>Roberto zampari</x:v>
      </x:c>
      <x:c r="D897" t="n">
        <x:v>112</x:v>
      </x:c>
      <x:c r="E897" t="str">
        <x:v>Intermediate</x:v>
      </x:c>
      <x:c r="F897" t="str">
        <x:v>Standard</x:v>
      </x:c>
      <x:c r="G897" t="n">
        <x:v>45222</x:v>
      </x:c>
      <x:c r="H897" t="str">
        <x:v>35320</x:v>
      </x:c>
      <x:c r="I897" t="str">
        <x:v>https://www.smwcentral.net/?a=details&amp;id=35320&amp;p=section</x:v>
      </x:c>
      <x:c r="J897" t="str">
        <x:v>https://dl.smwcentral.net/35320/Luigimiss5full04A.zip</x:v>
      </x:c>
    </x:row>
    <x:row r="898">
      <x:c r="A898" t="str">
        <x:v>Luigi's Misadventures 6 - Bambulua</x:v>
      </x:c>
      <x:c r="B898" t="str">
        <x:v>Luigi's Misadventures 6 - Bambulua</x:v>
      </x:c>
      <x:c r="C898" t="str">
        <x:v>Roberto zampari</x:v>
      </x:c>
      <x:c r="D898" t="n">
        <x:v>103</x:v>
      </x:c>
      <x:c r="E898" t="str">
        <x:v>Intermediate</x:v>
      </x:c>
      <x:c r="F898" t="str">
        <x:v>Standard</x:v>
      </x:c>
      <x:c r="G898" t="n">
        <x:v>45739</x:v>
      </x:c>
      <x:c r="H898" t="str">
        <x:v>39177</x:v>
      </x:c>
      <x:c r="I898" t="str">
        <x:v>https://www.smwcentral.net/?a=details&amp;id=39177&amp;p=section</x:v>
      </x:c>
      <x:c r="J898" t="str">
        <x:v>https://dl.smwcentral.net/39177/Luigimiss6-F04a.zip</x:v>
      </x:c>
    </x:row>
    <x:row r="899">
      <x:c r="A899" t="str">
        <x:v>Luigi's New Quest</x:v>
      </x:c>
      <x:c r="B899" t="str">
        <x:v>Luigi's New Quest</x:v>
      </x:c>
      <x:c r="C899" t="str">
        <x:v>Mr. MS, edgar</x:v>
      </x:c>
      <x:c r="D899" t="n">
        <x:v>18</x:v>
      </x:c>
      <x:c r="E899" t="str">
        <x:v>Intermediate</x:v>
      </x:c>
      <x:c r="F899" t="str">
        <x:v>Standard</x:v>
      </x:c>
      <x:c r="G899" t="n">
        <x:v>45349</x:v>
      </x:c>
      <x:c r="H899" t="str">
        <x:v>37057</x:v>
      </x:c>
      <x:c r="I899" t="str">
        <x:v>https://www.smwcentral.net/?a=details&amp;id=37057&amp;p=section</x:v>
      </x:c>
      <x:c r="J899" t="str">
        <x:v>https://dl.smwcentral.net/37057/LuigisNewQuest.zip</x:v>
      </x:c>
    </x:row>
    <x:row r="900">
      <x:c r="A900" t="str">
        <x:v>Luigi's Revenge!</x:v>
      </x:c>
      <x:c r="B900" t="str">
        <x:v>Luigi's Revenge!</x:v>
      </x:c>
      <x:c r="C900" t="str">
        <x:v>Kaisaan</x:v>
      </x:c>
      <x:c r="D900" t="n">
        <x:v>7</x:v>
      </x:c>
      <x:c r="E900" t="str">
        <x:v>Casual</x:v>
      </x:c>
      <x:c r="F900" t="str">
        <x:v>Standard</x:v>
      </x:c>
      <x:c r="G900" t="n">
        <x:v>42503</x:v>
      </x:c>
      <x:c r="H900" t="str">
        <x:v>13613</x:v>
      </x:c>
      <x:c r="I900" t="str">
        <x:v>https://www.smwcentral.net/?a=details&amp;id=13613&amp;p=section</x:v>
      </x:c>
      <x:c r="J900" t="str">
        <x:v>https://dl.smwcentral.net/13613/Luigi%27s%20Revenge%21.zip</x:v>
      </x:c>
    </x:row>
    <x:row r="901">
      <x:c r="A901" t="str">
        <x:v>Luigi's Super Adventure - C3 Demo</x:v>
      </x:c>
      <x:c r="B901" t="str">
        <x:v>Luigi's Super Adventure - C3 Demo</x:v>
      </x:c>
      <x:c r="C901" t="str">
        <x:v>Dispace</x:v>
      </x:c>
      <x:c r="D901" t="n">
        <x:v>12</x:v>
      </x:c>
      <x:c r="E901" t="str">
        <x:v>Casual</x:v>
      </x:c>
      <x:c r="F901" t="str">
        <x:v>Standard</x:v>
      </x:c>
      <x:c r="G901" t="n">
        <x:v>44021</x:v>
      </x:c>
      <x:c r="H901" t="str">
        <x:v>23606</x:v>
      </x:c>
      <x:c r="I901" t="str">
        <x:v>https://www.smwcentral.net/?a=details&amp;id=23606&amp;p=section</x:v>
      </x:c>
      <x:c r="J901" t="str">
        <x:v>https://dl.smwcentral.net/23606/luigi_super_adventure_c3_demo_v1.02.zip</x:v>
      </x:c>
    </x:row>
    <x:row r="902">
      <x:c r="A902" t="str">
        <x:v>Luigi's Superstar Search</x:v>
      </x:c>
      <x:c r="B902" t="str">
        <x:v>Luigi's Superstar Search</x:v>
      </x:c>
      <x:c r="C902" t="str">
        <x:v>Delmaru</x:v>
      </x:c>
      <x:c r="D902" t="n">
        <x:v>11</x:v>
      </x:c>
      <x:c r="E902" t="str">
        <x:v>Newcomer</x:v>
      </x:c>
      <x:c r="F902" t="str">
        <x:v>Standard</x:v>
      </x:c>
      <x:c r="G902" t="n">
        <x:v>42224</x:v>
      </x:c>
      <x:c r="H902" t="str">
        <x:v>9912</x:v>
      </x:c>
      <x:c r="I902" t="str">
        <x:v>https://www.smwcentral.net/?a=details&amp;id=9912&amp;p=section</x:v>
      </x:c>
      <x:c r="J902" t="str">
        <x:v>https://dl.smwcentral.net/9912/LSSDemo1.1.zip</x:v>
      </x:c>
    </x:row>
    <x:row r="903">
      <x:c r="A903" t="str">
        <x:v>Luigis Story</x:v>
      </x:c>
      <x:c r="B903" t="str">
        <x:v>Luigis Story</x:v>
      </x:c>
      <x:c r="C903" t="str">
        <x:v>PaperMario94</x:v>
      </x:c>
      <x:c r="D903" t="n">
        <x:v>50</x:v>
      </x:c>
      <x:c r="E903" t="str">
        <x:v>Casual</x:v>
      </x:c>
      <x:c r="F903" t="str">
        <x:v>Standard</x:v>
      </x:c>
      <x:c r="G903" t="n">
        <x:v>42298</x:v>
      </x:c>
      <x:c r="H903" t="str">
        <x:v>10190</x:v>
      </x:c>
      <x:c r="I903" t="str">
        <x:v>https://www.smwcentral.net/?a=details&amp;id=10190&amp;p=section</x:v>
      </x:c>
      <x:c r="J903" t="str">
        <x:v>https://dl.smwcentral.net/10190/Luigis%20Story.zip</x:v>
      </x:c>
    </x:row>
    <x:row r="904">
      <x:c r="A904" t="str">
        <x:v>Luminescent</x:v>
      </x:c>
      <x:c r="B904" t="str">
        <x:v>Luminescent</x:v>
      </x:c>
      <x:c r="C904" t="str">
        <x:v>TheBourgyman</x:v>
      </x:c>
      <x:c r="D904" t="n">
        <x:v>16</x:v>
      </x:c>
      <x:c r="E904" t="str">
        <x:v>Expert</x:v>
      </x:c>
      <x:c r="F904" t="str">
        <x:v>Kaizo</x:v>
      </x:c>
      <x:c r="G904" t="n">
        <x:v>44539</x:v>
      </x:c>
      <x:c r="H904" t="str">
        <x:v>28951</x:v>
      </x:c>
      <x:c r="I904" t="str">
        <x:v>https://www.smwcentral.net/?a=details&amp;id=28951&amp;p=section</x:v>
      </x:c>
      <x:c r="J904" t="str">
        <x:v>https://dl.smwcentral.net/28951/Luminescent%20v1.02.zip</x:v>
      </x:c>
    </x:row>
    <x:row r="905">
      <x:c r="A905" t="str">
        <x:v>Lunar Legends</x:v>
      </x:c>
      <x:c r="B905" t="str">
        <x:v>Lunar Legends</x:v>
      </x:c>
      <x:c r="C905" t="str">
        <x:v>Chromite</x:v>
      </x:c>
      <x:c r="D905" t="n">
        <x:v>27</x:v>
      </x:c>
      <x:c r="E905" t="str">
        <x:v>Casual</x:v>
      </x:c>
      <x:c r="F905" t="str">
        <x:v>Standard</x:v>
      </x:c>
      <x:c r="G905" t="n">
        <x:v>41762</x:v>
      </x:c>
      <x:c r="H905" t="str">
        <x:v>6498</x:v>
      </x:c>
      <x:c r="I905" t="str">
        <x:v>https://www.smwcentral.net/?a=details&amp;id=6498&amp;p=section</x:v>
      </x:c>
      <x:c r="J905" t="str">
        <x:v>https://dl.smwcentral.net/6498/LL%20-%20C3%20Demo.zip</x:v>
      </x:c>
    </x:row>
    <x:row r="906">
      <x:c r="A906" t="str">
        <x:v>Lunar Legends: The Search</x:v>
      </x:c>
      <x:c r="B906" t="str">
        <x:v>Lunar Legends: The Search</x:v>
      </x:c>
      <x:c r="C906" t="str">
        <x:v>Chromite</x:v>
      </x:c>
      <x:c r="D906" t="n">
        <x:v>4</x:v>
      </x:c>
      <x:c r="E906" t="str">
        <x:v>Newcomer</x:v>
      </x:c>
      <x:c r="F906" t="str">
        <x:v>Standard</x:v>
      </x:c>
      <x:c r="G906" t="n">
        <x:v>41528</x:v>
      </x:c>
      <x:c r="H906" t="str">
        <x:v>5572</x:v>
      </x:c>
      <x:c r="I906" t="str">
        <x:v>https://www.smwcentral.net/?a=details&amp;id=5572&amp;p=section</x:v>
      </x:c>
      <x:c r="J906" t="str">
        <x:v>https://dl.smwcentral.net/5572/Lunar%20Legends%2C%20The%20Search%20-%20C3%20Demo.zip</x:v>
      </x:c>
    </x:row>
    <x:row r="907">
      <x:c r="A907" t="str">
        <x:v>Lunar Magic 1.0 Adventures</x:v>
      </x:c>
      <x:c r="B907" t="str">
        <x:v>Lunar Magic 1.0 Adventures</x:v>
      </x:c>
      <x:c r="C907" t="str">
        <x:v>Carld923, Gartore, Maxodex, Pinci, StanTheMackiar, VashVaati, anonimzwx</x:v>
      </x:c>
      <x:c r="D907" t="n">
        <x:v>7</x:v>
      </x:c>
      <x:c r="E907" t="str">
        <x:v>Casual</x:v>
      </x:c>
      <x:c r="F907" t="str">
        <x:v>Standard</x:v>
      </x:c>
      <x:c r="G907" t="n">
        <x:v>42205</x:v>
      </x:c>
      <x:c r="H907" t="str">
        <x:v>11760</x:v>
      </x:c>
      <x:c r="I907" t="str">
        <x:v>https://www.smwcentral.net/?a=details&amp;id=11760&amp;p=section</x:v>
      </x:c>
      <x:c r="J907" t="str">
        <x:v>https://dl.smwcentral.net/11760/LM%201.0%20Adventures%20v1.1.zip</x:v>
      </x:c>
    </x:row>
    <x:row r="908">
      <x:c r="A908" t="str">
        <x:v>LunchBreak</x:v>
      </x:c>
      <x:c r="B908" t="str">
        <x:v>LunchBreak</x:v>
      </x:c>
      <x:c r="C908" t="str">
        <x:v>ToxicRave</x:v>
      </x:c>
      <x:c r="D908" t="n">
        <x:v>10</x:v>
      </x:c>
      <x:c r="E908" t="str">
        <x:v>Intermediate</x:v>
      </x:c>
      <x:c r="F908" t="str">
        <x:v>Standard</x:v>
      </x:c>
      <x:c r="G908" t="n">
        <x:v>42163</x:v>
      </x:c>
      <x:c r="H908" t="str">
        <x:v>9818</x:v>
      </x:c>
      <x:c r="I908" t="str">
        <x:v>https://www.smwcentral.net/?a=details&amp;id=9818&amp;p=section</x:v>
      </x:c>
      <x:c r="J908" t="str">
        <x:v>https://dl.smwcentral.net/9818/LunchBreakDemo.zip</x:v>
      </x:c>
    </x:row>
    <x:row r="909">
      <x:c r="A909" t="str">
        <x:v>Lurn 2 Shell</x:v>
      </x:c>
      <x:c r="B909" t="str">
        <x:v>Lurn 2 Shell</x:v>
      </x:c>
      <x:c r="C909" t="str">
        <x:v>Wolfguy423</x:v>
      </x:c>
      <x:c r="D909" t="n">
        <x:v>59</x:v>
      </x:c>
      <x:c r="E909" t="str">
        <x:v>Advanced</x:v>
      </x:c>
      <x:c r="F909" t="str">
        <x:v>Kaizo</x:v>
      </x:c>
      <x:c r="G909" t="n">
        <x:v>45011</x:v>
      </x:c>
      <x:c r="H909" t="str">
        <x:v>33600</x:v>
      </x:c>
      <x:c r="I909" t="str">
        <x:v>https://www.smwcentral.net/?a=details&amp;id=33600&amp;p=section</x:v>
      </x:c>
      <x:c r="J909" t="str">
        <x:v>https://dl.smwcentral.net/33600/Lurn2Shell.zip</x:v>
      </x:c>
    </x:row>
    <x:row r="910">
      <x:c r="A910" t="str">
        <x:v>Lydian Mario World</x:v>
      </x:c>
      <x:c r="B910" t="str">
        <x:v>Lydian Mario World</x:v>
      </x:c>
      <x:c r="C910" t="str">
        <x:v>Jonah</x:v>
      </x:c>
      <x:c r="D910" t="n">
        <x:v>20</x:v>
      </x:c>
      <x:c r="E910" t="str">
        <x:v>Master</x:v>
      </x:c>
      <x:c r="F910" t="str">
        <x:v>Kaizo</x:v>
      </x:c>
      <x:c r="G910" t="n">
        <x:v>44634</x:v>
      </x:c>
      <x:c r="H910" t="str">
        <x:v>30107</x:v>
      </x:c>
      <x:c r="I910" t="str">
        <x:v>https://www.smwcentral.net/?a=details&amp;id=30107&amp;p=section</x:v>
      </x:c>
      <x:c r="J910" t="str">
        <x:v>https://dl.smwcentral.net/30107/Lydian%20Mario%20World.zip</x:v>
      </x:c>
    </x:row>
    <x:row r="911">
      <x:c r="A911" t="str">
        <x:v>Mad with Kaizo Power</x:v>
      </x:c>
      <x:c r="B911" t="str">
        <x:v>Mad with Kaizo Power</x:v>
      </x:c>
      <x:c r="C911" t="str">
        <x:v>NewPointless</x:v>
      </x:c>
      <x:c r="D911" t="n">
        <x:v>21</x:v>
      </x:c>
      <x:c r="E911" t="str">
        <x:v>Expert</x:v>
      </x:c>
      <x:c r="F911" t="str">
        <x:v>Kaizo</x:v>
      </x:c>
      <x:c r="G911" t="n">
        <x:v>44072</x:v>
      </x:c>
      <x:c r="H911" t="str">
        <x:v>24419</x:v>
      </x:c>
      <x:c r="I911" t="str">
        <x:v>https://www.smwcentral.net/?a=details&amp;id=24419&amp;p=section</x:v>
      </x:c>
      <x:c r="J911" t="str">
        <x:v>https://dl.smwcentral.net/24419/MadWithKaizoPower1_1.zip</x:v>
      </x:c>
    </x:row>
    <x:row r="912">
      <x:c r="A912" t="str">
        <x:v>Made of Fantasy</x:v>
      </x:c>
      <x:c r="B912" t="str">
        <x:v>Made of Fantasy</x:v>
      </x:c>
      <x:c r="C912" t="str">
        <x:v>Saphros</x:v>
      </x:c>
      <x:c r="D912" t="n">
        <x:v>16</x:v>
      </x:c>
      <x:c r="E912" t="str">
        <x:v>Advanced</x:v>
      </x:c>
      <x:c r="F912" t="str">
        <x:v>Kaizo</x:v>
      </x:c>
      <x:c r="G912" t="n">
        <x:v>45791</x:v>
      </x:c>
      <x:c r="H912" t="str">
        <x:v>39844</x:v>
      </x:c>
      <x:c r="I912" t="str">
        <x:v>https://www.smwcentral.net/?a=details&amp;id=39844&amp;p=section</x:v>
      </x:c>
      <x:c r="J912" t="str">
        <x:v>https://dl.smwcentral.net/39844/Made%20of%20Fantasy%20v1.1.1.zip</x:v>
      </x:c>
    </x:row>
    <x:row r="913">
      <x:c r="A913" t="str">
        <x:v>Magiopolis</x:v>
      </x:c>
      <x:c r="B913" t="str">
        <x:v>Magiopolis</x:v>
      </x:c>
      <x:c r="C913" t="str">
        <x:v>Mpereira</x:v>
      </x:c>
      <x:c r="D913" t="n">
        <x:v>70</x:v>
      </x:c>
      <x:c r="E913" t="str">
        <x:v>Intermediate</x:v>
      </x:c>
      <x:c r="F913" t="str">
        <x:v>Standard</x:v>
      </x:c>
      <x:c r="G913" t="n">
        <x:v>44497</x:v>
      </x:c>
      <x:c r="H913" t="str">
        <x:v>28580</x:v>
      </x:c>
      <x:c r="I913" t="str">
        <x:v>https://www.smwcentral.net/?a=details&amp;id=28580&amp;p=section</x:v>
      </x:c>
      <x:c r="J913" t="str">
        <x:v>https://dl.smwcentral.net/28580/Magiopolis.zip</x:v>
      </x:c>
    </x:row>
    <x:row r="914">
      <x:c r="A914" t="str">
        <x:v>Mahogen</x:v>
      </x:c>
      <x:c r="B914" t="str">
        <x:v>Mahogen</x:v>
      </x:c>
      <x:c r="C914" t="str">
        <x:v>marleymm</x:v>
      </x:c>
      <x:c r="D914" t="n">
        <x:v>17</x:v>
      </x:c>
      <x:c r="E914" t="str">
        <x:v>Advanced</x:v>
      </x:c>
      <x:c r="F914" t="str">
        <x:v>Kaizo</x:v>
      </x:c>
      <x:c r="G914" t="n">
        <x:v>44278</x:v>
      </x:c>
      <x:c r="H914" t="str">
        <x:v>26519</x:v>
      </x:c>
      <x:c r="I914" t="str">
        <x:v>https://www.smwcentral.net/?a=details&amp;id=26519&amp;p=section</x:v>
      </x:c>
      <x:c r="J914" t="str">
        <x:v>https://dl.smwcentral.net/26519/Mahogen.zip</x:v>
      </x:c>
    </x:row>
    <x:row r="915">
      <x:c r="A915" t="str">
        <x:v>mancorsa</x:v>
      </x:c>
      <x:c r="B915" t="str">
        <x:v>mancorsa</x:v>
      </x:c>
      <x:c r="C915" t="str">
        <x:v>Steven Atauchi, alvinwawa</x:v>
      </x:c>
      <x:c r="D915" t="n">
        <x:v>13</x:v>
      </x:c>
      <x:c r="E915" t="str">
        <x:v>Advanced</x:v>
      </x:c>
      <x:c r="F915" t="str">
        <x:v>Kaizo</x:v>
      </x:c>
      <x:c r="G915" t="n">
        <x:v>45479</x:v>
      </x:c>
      <x:c r="H915" t="str">
        <x:v>38063</x:v>
      </x:c>
      <x:c r="I915" t="str">
        <x:v>https://www.smwcentral.net/?a=details&amp;id=38063&amp;p=section</x:v>
      </x:c>
      <x:c r="J915" t="str">
        <x:v>https://dl.smwcentral.net/38063/mancorsa.zip</x:v>
      </x:c>
    </x:row>
    <x:row r="916">
      <x:c r="A916" t="str">
        <x:v>Maple Island</x:v>
      </x:c>
      <x:c r="B916" t="str">
        <x:v>Maple Island</x:v>
      </x:c>
      <x:c r="C916" t="str">
        <x:v>Jungche</x:v>
      </x:c>
      <x:c r="D916" t="n">
        <x:v>8</x:v>
      </x:c>
      <x:c r="E916" t="str">
        <x:v>Newcomer</x:v>
      </x:c>
      <x:c r="F916" t="str">
        <x:v>Standard</x:v>
      </x:c>
      <x:c r="G916" t="n">
        <x:v>42279</x:v>
      </x:c>
      <x:c r="H916" t="str">
        <x:v>9889</x:v>
      </x:c>
      <x:c r="I916" t="str">
        <x:v>https://www.smwcentral.net/?a=details&amp;id=9889&amp;p=section</x:v>
      </x:c>
      <x:c r="J916" t="str">
        <x:v>https://dl.smwcentral.net/9889/Maple%20Island%20DEMO.zip</x:v>
      </x:c>
    </x:row>
    <x:row r="917">
      <x:c r="A917" t="str">
        <x:v>Mario &amp; Friends in: Volcanic Panic</x:v>
      </x:c>
      <x:c r="B917" t="str">
        <x:v>Mario &amp; Friends in: Volcanic Panic</x:v>
      </x:c>
      <x:c r="C917" t="str">
        <x:v>CircleFriendo, HamOfJustice, sio-kedelic</x:v>
      </x:c>
      <x:c r="D917" t="n">
        <x:v>21</x:v>
      </x:c>
      <x:c r="E917" t="str">
        <x:v>Casual</x:v>
      </x:c>
      <x:c r="F917" t="str">
        <x:v>Standard</x:v>
      </x:c>
      <x:c r="G917" t="n">
        <x:v>45648</x:v>
      </x:c>
      <x:c r="H917" t="str">
        <x:v>38927</x:v>
      </x:c>
      <x:c r="I917" t="str">
        <x:v>https://www.smwcentral.net/?a=details&amp;id=38927&amp;p=section</x:v>
      </x:c>
      <x:c r="J917" t="str">
        <x:v>https://dl.smwcentral.net/38927/marioandfriends2.zip</x:v>
      </x:c>
    </x:row>
    <x:row r="918">
      <x:c r="A918" t="str">
        <x:v>Mario &amp; La Sphère de Toad 2</x:v>
      </x:c>
      <x:c r="B918" t="str">
        <x:v>Mario &amp; La Sphère de Toad 2</x:v>
      </x:c>
      <x:c r="C918" t="str">
        <x:v>Aurel509</x:v>
      </x:c>
      <x:c r="D918" t="n">
        <x:v>26</x:v>
      </x:c>
      <x:c r="E918" t="str">
        <x:v>Casual</x:v>
      </x:c>
      <x:c r="F918" t="str">
        <x:v>Standard</x:v>
      </x:c>
      <x:c r="G918" t="n">
        <x:v>41821</x:v>
      </x:c>
      <x:c r="H918" t="str">
        <x:v>6809</x:v>
      </x:c>
      <x:c r="I918" t="str">
        <x:v>https://www.smwcentral.net/?a=details&amp;id=6809&amp;p=section</x:v>
      </x:c>
      <x:c r="J918" t="str">
        <x:v>https://dl.smwcentral.net/6809/Mario%20%26%20la%20sph%C3%A8re%20de%20Toad%20Demo%202%20%28%20V.0.6%29%20Fixed%20%20bugs%20%282%29.zip</x:v>
      </x:c>
    </x:row>
    <x:row r="919">
      <x:c r="A919" t="str">
        <x:v>Mario &amp; Luigi - Mecha Koopa Mayhem</x:v>
      </x:c>
      <x:c r="B919" t="str">
        <x:v>Mario &amp; Luigi - Mecha Koopa Mayhem</x:v>
      </x:c>
      <x:c r="C919" t="str">
        <x:v>Kitikuchan, Kusamochi, This Eye o' Mine</x:v>
      </x:c>
      <x:c r="D919" t="n">
        <x:v>7</x:v>
      </x:c>
      <x:c r="E919" t="str">
        <x:v>Casual</x:v>
      </x:c>
      <x:c r="F919" t="str">
        <x:v>Standard</x:v>
      </x:c>
      <x:c r="G919" t="n">
        <x:v>44676</x:v>
      </x:c>
      <x:c r="H919" t="str">
        <x:v>29716</x:v>
      </x:c>
      <x:c r="I919" t="str">
        <x:v>https://www.smwcentral.net/?a=details&amp;id=29716&amp;p=section</x:v>
      </x:c>
      <x:c r="J919" t="str">
        <x:v>https://dl.smwcentral.net/29716/Mecha_Koopa_Mayhem_v1.21.zip</x:v>
      </x:c>
    </x:row>
    <x:row r="920">
      <x:c r="A920" t="str">
        <x:v>Mario &amp; Luigi DOS Remake</x:v>
      </x:c>
      <x:c r="B920" t="str">
        <x:v>Mario &amp; Luigi DOS Remake</x:v>
      </x:c>
      <x:c r="C920" t="str">
        <x:v>Superjustinbros</x:v>
      </x:c>
      <x:c r="D920" t="n">
        <x:v>6</x:v>
      </x:c>
      <x:c r="E920" t="str">
        <x:v>Newcomer</x:v>
      </x:c>
      <x:c r="F920" t="str">
        <x:v>Standard</x:v>
      </x:c>
      <x:c r="G920" t="n">
        <x:v>42108</x:v>
      </x:c>
      <x:c r="H920" t="str">
        <x:v>10092</x:v>
      </x:c>
      <x:c r="I920" t="str">
        <x:v>https://www.smwcentral.net/?a=details&amp;id=10092&amp;p=section</x:v>
      </x:c>
      <x:c r="J920" t="str">
        <x:v>https://dl.smwcentral.net/10092/Mario%20%26%20Luigi%20DOSv2.ips.zip</x:v>
      </x:c>
    </x:row>
    <x:row r="921">
      <x:c r="A921" t="str">
        <x:v>Mario &amp; Luigi: Adventures</x:v>
      </x:c>
      <x:c r="B921" t="str">
        <x:v>Mario &amp; Luigi: Adventures</x:v>
      </x:c>
      <x:c r="C921" t="str">
        <x:v>Marioman</x:v>
      </x:c>
      <x:c r="D921" t="n">
        <x:v>5</x:v>
      </x:c>
      <x:c r="E921" t="str">
        <x:v>Newcomer</x:v>
      </x:c>
      <x:c r="F921" t="str">
        <x:v>Standard</x:v>
      </x:c>
      <x:c r="G921" t="n">
        <x:v>42229</x:v>
      </x:c>
      <x:c r="H921" t="str">
        <x:v>9856</x:v>
      </x:c>
      <x:c r="I921" t="str">
        <x:v>https://www.smwcentral.net/?a=details&amp;id=9856&amp;p=section</x:v>
      </x:c>
      <x:c r="J921" t="str">
        <x:v>https://dl.smwcentral.net/9856/M%26L%20Adventures.zip</x:v>
      </x:c>
    </x:row>
    <x:row r="922">
      <x:c r="A922" t="str">
        <x:v>Mario &amp; Luigi: Kola Kingdom Quest</x:v>
      </x:c>
      <x:c r="B922" t="str">
        <x:v>Mario &amp; Luigi: Kola Kingdom Quest</x:v>
      </x:c>
      <x:c r="C922" t="str">
        <x:v>Gamma V</x:v>
      </x:c>
      <x:c r="D922" t="n">
        <x:v>86</x:v>
      </x:c>
      <x:c r="E922" t="str">
        <x:v>Casual</x:v>
      </x:c>
      <x:c r="F922" t="str">
        <x:v>Standard</x:v>
      </x:c>
      <x:c r="G922" t="n">
        <x:v>42939</x:v>
      </x:c>
      <x:c r="H922" t="str">
        <x:v>15940</x:v>
      </x:c>
      <x:c r="I922" t="str">
        <x:v>https://www.smwcentral.net/?a=details&amp;id=15940&amp;p=section</x:v>
      </x:c>
      <x:c r="J922" t="str">
        <x:v>https://dl.smwcentral.net/15940/KKQFixedIntros.zip</x:v>
      </x:c>
    </x:row>
    <x:row r="923">
      <x:c r="A923" t="str">
        <x:v>Mario &amp; Luigi: Power Blast</x:v>
      </x:c>
      <x:c r="B923" t="str">
        <x:v>Mario &amp; Luigi: Power Blast</x:v>
      </x:c>
      <x:c r="C923" t="str">
        <x:v>FridayFables</x:v>
      </x:c>
      <x:c r="D923" t="n">
        <x:v>16</x:v>
      </x:c>
      <x:c r="E923" t="str">
        <x:v>Intermediate</x:v>
      </x:c>
      <x:c r="F923" t="str">
        <x:v>Standard</x:v>
      </x:c>
      <x:c r="G923" t="n">
        <x:v>43373</x:v>
      </x:c>
      <x:c r="H923" t="str">
        <x:v>18162</x:v>
      </x:c>
      <x:c r="I923" t="str">
        <x:v>https://www.smwcentral.net/?a=details&amp;id=18162&amp;p=section</x:v>
      </x:c>
      <x:c r="J923" t="str">
        <x:v>https://dl.smwcentral.net/18162/MarioLuigiPowerBlastDemo.zip</x:v>
      </x:c>
    </x:row>
    <x:row r="924">
      <x:c r="A924" t="str">
        <x:v>Mario &amp; Luigi: Starlight Island Adventure</x:v>
      </x:c>
      <x:c r="B924" t="str">
        <x:v>Mario &amp; Luigi: Starlight Island Adventure</x:v>
      </x:c>
      <x:c r="C924" t="str">
        <x:v>Gamma V</x:v>
      </x:c>
      <x:c r="D924" t="n">
        <x:v>44</x:v>
      </x:c>
      <x:c r="E924" t="str">
        <x:v>Casual</x:v>
      </x:c>
      <x:c r="F924" t="str">
        <x:v>Standard</x:v>
      </x:c>
      <x:c r="G924" t="n">
        <x:v>42334</x:v>
      </x:c>
      <x:c r="H924" t="str">
        <x:v>12162</x:v>
      </x:c>
      <x:c r="I924" t="str">
        <x:v>https://www.smwcentral.net/?a=details&amp;id=12162&amp;p=section</x:v>
      </x:c>
      <x:c r="J924" t="str">
        <x:v>https://dl.smwcentral.net/12162/Starlight%20Island%20Adventure.zip</x:v>
      </x:c>
    </x:row>
    <x:row r="925">
      <x:c r="A925" t="str">
        <x:v>Mario &amp; Waluigi: In Search of Luigi</x:v>
      </x:c>
      <x:c r="B925" t="str">
        <x:v>Mario &amp; Waluigi: In Search of Luigi</x:v>
      </x:c>
      <x:c r="C925" t="str">
        <x:v>Arinsu</x:v>
      </x:c>
      <x:c r="D925" t="n">
        <x:v>28</x:v>
      </x:c>
      <x:c r="E925" t="str">
        <x:v>Casual</x:v>
      </x:c>
      <x:c r="F925" t="str">
        <x:v>Standard</x:v>
      </x:c>
      <x:c r="G925" t="n">
        <x:v>42217</x:v>
      </x:c>
      <x:c r="H925" t="str">
        <x:v>11900</x:v>
      </x:c>
      <x:c r="I925" t="str">
        <x:v>https://www.smwcentral.net/?a=details&amp;id=11900&amp;p=section</x:v>
      </x:c>
      <x:c r="J925" t="str">
        <x:v>https://dl.smwcentral.net/11900/M%26W%20-%20ISoL.zip</x:v>
      </x:c>
    </x:row>
    <x:row r="926">
      <x:c r="A926" t="str">
        <x:v>Mario - Crazy Adventures 1: Lost in Subcoony World</x:v>
      </x:c>
      <x:c r="B926" t="str">
        <x:v>Mario - Crazy Adventures 1: Lost in Subcoony World</x:v>
      </x:c>
      <x:c r="C926" t="str">
        <x:v>Major Flare</x:v>
      </x:c>
      <x:c r="D926" t="n">
        <x:v>8</x:v>
      </x:c>
      <x:c r="E926" t="str">
        <x:v>Newcomer</x:v>
      </x:c>
      <x:c r="F926" t="str">
        <x:v>Standard</x:v>
      </x:c>
      <x:c r="G926" t="n">
        <x:v>41528</x:v>
      </x:c>
      <x:c r="H926" t="str">
        <x:v>5276</x:v>
      </x:c>
      <x:c r="I926" t="str">
        <x:v>https://www.smwcentral.net/?a=details&amp;id=5276&amp;p=section</x:v>
      </x:c>
      <x:c r="J926" t="str">
        <x:v>https://dl.smwcentral.net/5276/Crazy%20adventure%20demo%201.zip</x:v>
      </x:c>
    </x:row>
    <x:row r="927">
      <x:c r="A927" t="str">
        <x:v>Mario - The Currently Unnamed Hack</x:v>
      </x:c>
      <x:c r="B927" t="str">
        <x:v>Mario - The Currently Unnamed Hack</x:v>
      </x:c>
      <x:c r="C927" t="str">
        <x:v>Halzyn</x:v>
      </x:c>
      <x:c r="D927" t="n">
        <x:v>6</x:v>
      </x:c>
      <x:c r="E927" t="str">
        <x:v>Intermediate</x:v>
      </x:c>
      <x:c r="F927" t="str">
        <x:v>Standard</x:v>
      </x:c>
      <x:c r="G927" t="n">
        <x:v>42217</x:v>
      </x:c>
      <x:c r="H927" t="str">
        <x:v>9837</x:v>
      </x:c>
      <x:c r="I927" t="str">
        <x:v>https://www.smwcentral.net/?a=details&amp;id=9837&amp;p=section</x:v>
      </x:c>
      <x:c r="J927" t="str">
        <x:v>https://dl.smwcentral.net/9837/mario%20-%20tcuh.zip</x:v>
      </x:c>
    </x:row>
    <x:row r="928">
      <x:c r="A928" t="str">
        <x:v>Mario - The Mystical Gem</x:v>
      </x:c>
      <x:c r="B928" t="str">
        <x:v>Mario - The Mystical Gem</x:v>
      </x:c>
      <x:c r="C928" t="str">
        <x:v>Mr. MS</x:v>
      </x:c>
      <x:c r="D928" t="n">
        <x:v>35</x:v>
      </x:c>
      <x:c r="E928" t="str">
        <x:v>Casual</x:v>
      </x:c>
      <x:c r="F928" t="str">
        <x:v>Standard</x:v>
      </x:c>
      <x:c r="G928" t="n">
        <x:v>45349</x:v>
      </x:c>
      <x:c r="H928" t="str">
        <x:v>36967</x:v>
      </x:c>
      <x:c r="I928" t="str">
        <x:v>https://www.smwcentral.net/?a=details&amp;id=36967&amp;p=section</x:v>
      </x:c>
      <x:c r="J928" t="str">
        <x:v>https://dl.smwcentral.net/36967/MTMGR1_8.zip</x:v>
      </x:c>
    </x:row>
    <x:row r="929">
      <x:c r="A929" t="str">
        <x:v>MARIO [SMWC #6416]</x:v>
      </x:c>
      <x:c r="B929" t="str">
        <x:v>MARIO</x:v>
      </x:c>
      <x:c r="C929" t="str">
        <x:v>Adam, M A R I O</x:v>
      </x:c>
      <x:c r="D929" t="n">
        <x:v>7</x:v>
      </x:c>
      <x:c r="E929" t="str">
        <x:v>Newcomer</x:v>
      </x:c>
      <x:c r="F929" t="str">
        <x:v>Standard</x:v>
      </x:c>
      <x:c r="G929" t="n">
        <x:v>41714</x:v>
      </x:c>
      <x:c r="H929" t="str">
        <x:v>6416</x:v>
      </x:c>
      <x:c r="I929" t="str">
        <x:v>https://www.smwcentral.net/?a=details&amp;id=6416&amp;p=section</x:v>
      </x:c>
      <x:c r="J929" t="str">
        <x:v>https://dl.smwcentral.net/6416/MARIO.zip</x:v>
      </x:c>
    </x:row>
    <x:row r="930">
      <x:c r="A930" t="str">
        <x:v>Mario [SMWC #9891]</x:v>
      </x:c>
      <x:c r="B930" t="str">
        <x:v>Mario</x:v>
      </x:c>
      <x:c r="C930" t="str">
        <x:v>UmbreonRomReviews</x:v>
      </x:c>
      <x:c r="D930" t="n">
        <x:v>5</x:v>
      </x:c>
      <x:c r="E930" t="str">
        <x:v>Newcomer</x:v>
      </x:c>
      <x:c r="F930" t="str">
        <x:v>Standard</x:v>
      </x:c>
      <x:c r="G930" t="n">
        <x:v>42237</x:v>
      </x:c>
      <x:c r="H930" t="str">
        <x:v>9891</x:v>
      </x:c>
      <x:c r="I930" t="str">
        <x:v>https://www.smwcentral.net/?a=details&amp;id=9891&amp;p=section</x:v>
      </x:c>
      <x:c r="J930" t="str">
        <x:v>https://dl.smwcentral.net/9891/Mario.zip</x:v>
      </x:c>
    </x:row>
    <x:row r="931">
      <x:c r="A931" t="str">
        <x:v>Mario and Friends in: The Ghost's Gallery</x:v>
      </x:c>
      <x:c r="B931" t="str">
        <x:v>Mario and Friends in: The Ghost's Gallery</x:v>
      </x:c>
      <x:c r="C931" t="str">
        <x:v>CircleFriendo, HamOfJustice, sio-kedelic</x:v>
      </x:c>
      <x:c r="D931" t="n">
        <x:v>1</x:v>
      </x:c>
      <x:c r="E931" t="str">
        <x:v>Casual</x:v>
      </x:c>
      <x:c r="F931" t="str">
        <x:v>Standard</x:v>
      </x:c>
      <x:c r="G931" t="n">
        <x:v>44565</x:v>
      </x:c>
      <x:c r="H931" t="str">
        <x:v>29048</x:v>
      </x:c>
      <x:c r="I931" t="str">
        <x:v>https://www.smwcentral.net/?a=details&amp;id=29048&amp;p=section</x:v>
      </x:c>
      <x:c r="J931" t="str">
        <x:v>https://dl.smwcentral.net/29048/marioandfriends.zip</x:v>
      </x:c>
    </x:row>
    <x:row r="932">
      <x:c r="A932" t="str">
        <x:v>Mario and Luigi Go to White Castle</x:v>
      </x:c>
      <x:c r="B932" t="str">
        <x:v>Mario and Luigi Go to White Castle</x:v>
      </x:c>
      <x:c r="C932" t="str">
        <x:v>Scrambles_</x:v>
      </x:c>
      <x:c r="D932" t="n">
        <x:v>1</x:v>
      </x:c>
      <x:c r="E932" t="str">
        <x:v>Advanced</x:v>
      </x:c>
      <x:c r="F932" t="str">
        <x:v>Kaizo</x:v>
      </x:c>
      <x:c r="G932" t="n">
        <x:v>44492</x:v>
      </x:c>
      <x:c r="H932" t="str">
        <x:v>28604</x:v>
      </x:c>
      <x:c r="I932" t="str">
        <x:v>https://www.smwcentral.net/?a=details&amp;id=28604&amp;p=section</x:v>
      </x:c>
      <x:c r="J932" t="str">
        <x:v>https://dl.smwcentral.net/28604/White%20Castle.zip</x:v>
      </x:c>
    </x:row>
    <x:row r="933">
      <x:c r="A933" t="str">
        <x:v>Mario and Luigi in an Unknown Island [SMWC #23496]</x:v>
      </x:c>
      <x:c r="B933" t="str">
        <x:v>Mario and Luigi in an Unknown Island</x:v>
      </x:c>
      <x:c r="C933" t="str">
        <x:v>MirrorReflect</x:v>
      </x:c>
      <x:c r="D933" t="n">
        <x:v>12</x:v>
      </x:c>
      <x:c r="E933" t="str">
        <x:v>Casual</x:v>
      </x:c>
      <x:c r="F933" t="str">
        <x:v>Standard</x:v>
      </x:c>
      <x:c r="G933" t="n">
        <x:v>44012</x:v>
      </x:c>
      <x:c r="H933" t="str">
        <x:v>23496</x:v>
      </x:c>
      <x:c r="I933" t="str">
        <x:v>https://www.smwcentral.net/?a=details&amp;id=23496&amp;p=section</x:v>
      </x:c>
      <x:c r="J933" t="str">
        <x:v>https://dl.smwcentral.net/23496/Mario%20and%20Luigi%20in%20an%20Unknown%20Island.zip</x:v>
      </x:c>
    </x:row>
    <x:row r="934">
      <x:c r="A934" t="str">
        <x:v>Mario and Luigi in an Unknown Island [SMWC #34207]</x:v>
      </x:c>
      <x:c r="B934" t="str">
        <x:v>Mario and Luigi in an Unknown Island</x:v>
      </x:c>
      <x:c r="C934" t="str">
        <x:v>MirrorReflect</x:v>
      </x:c>
      <x:c r="D934" t="n">
        <x:v>33</x:v>
      </x:c>
      <x:c r="E934" t="str">
        <x:v>Casual</x:v>
      </x:c>
      <x:c r="F934" t="str">
        <x:v>Standard</x:v>
      </x:c>
      <x:c r="G934" t="n">
        <x:v>45109</x:v>
      </x:c>
      <x:c r="H934" t="str">
        <x:v>34207</x:v>
      </x:c>
      <x:c r="I934" t="str">
        <x:v>https://www.smwcentral.net/?a=details&amp;id=34207&amp;p=section</x:v>
      </x:c>
      <x:c r="J934" t="str">
        <x:v>https://dl.smwcentral.net/34207/Mario%20and%20Luigi%20in%20an%20Unknown%20Island.zip</x:v>
      </x:c>
    </x:row>
    <x:row r="935">
      <x:c r="A935" t="str">
        <x:v>Mario and Luigi in an Unknown Island [SMWC #40092]</x:v>
      </x:c>
      <x:c r="B935" t="str">
        <x:v>Mario and Luigi in an Unknown Island</x:v>
      </x:c>
      <x:c r="C935" t="str">
        <x:v>MirrorReflect</x:v>
      </x:c>
      <x:c r="D935" t="n">
        <x:v>40</x:v>
      </x:c>
      <x:c r="E935" t="str">
        <x:v>Intermediate</x:v>
      </x:c>
      <x:c r="F935" t="str">
        <x:v>Standard</x:v>
      </x:c>
      <x:c r="G935" t="n">
        <x:v>45851</x:v>
      </x:c>
      <x:c r="H935" t="str">
        <x:v>40092</x:v>
      </x:c>
      <x:c r="I935" t="str">
        <x:v>https://www.smwcentral.net/?a=details&amp;id=40092&amp;p=section</x:v>
      </x:c>
      <x:c r="J935" t="str">
        <x:v>https://dl.smwcentral.net/40092/M%26L%20UI.zip</x:v>
      </x:c>
    </x:row>
    <x:row r="936">
      <x:c r="A936" t="str">
        <x:v>Mario and luigi MEGA Adventure 1</x:v>
      </x:c>
      <x:c r="B936" t="str">
        <x:v>Mario and luigi MEGA Adventure 1</x:v>
      </x:c>
      <x:c r="C936" t="str">
        <x:v>Master mario 27</x:v>
      </x:c>
      <x:c r="D936" t="n">
        <x:v>6</x:v>
      </x:c>
      <x:c r="E936" t="str">
        <x:v>Casual</x:v>
      </x:c>
      <x:c r="F936" t="str">
        <x:v>Standard</x:v>
      </x:c>
      <x:c r="G936" t="n">
        <x:v>42338</x:v>
      </x:c>
      <x:c r="H936" t="str">
        <x:v>10137</x:v>
      </x:c>
      <x:c r="I936" t="str">
        <x:v>https://www.smwcentral.net/?a=details&amp;id=10137&amp;p=section</x:v>
      </x:c>
      <x:c r="J936" t="str">
        <x:v>https://dl.smwcentral.net/10137/Mario%20and%20Luigi%20MEGA%20Adventure%201%20Demo%202.0.zip</x:v>
      </x:c>
    </x:row>
    <x:row r="937">
      <x:c r="A937" t="str">
        <x:v>Mario And Luigi: Super Berry World</x:v>
      </x:c>
      <x:c r="B937" t="str">
        <x:v>Mario And Luigi: Super Berry World</x:v>
      </x:c>
      <x:c r="C937" t="str">
        <x:v>LeonDragonCat, ViralTyphlosion</x:v>
      </x:c>
      <x:c r="D937" t="n">
        <x:v>8</x:v>
      </x:c>
      <x:c r="E937" t="str">
        <x:v>Casual</x:v>
      </x:c>
      <x:c r="F937" t="str">
        <x:v>Standard</x:v>
      </x:c>
      <x:c r="G937" t="n">
        <x:v>42872</x:v>
      </x:c>
      <x:c r="H937" t="str">
        <x:v>15571</x:v>
      </x:c>
      <x:c r="I937" t="str">
        <x:v>https://www.smwcentral.net/?a=details&amp;id=15571&amp;p=section</x:v>
      </x:c>
      <x:c r="J937" t="str">
        <x:v>https://dl.smwcentral.net/15571/Mario%20and%20Luigi%20Super%20Berry%20World%20First%20Demo.zip</x:v>
      </x:c>
    </x:row>
    <x:row r="938">
      <x:c r="A938" t="str">
        <x:v>Mario and The 5 Golden Eggs</x:v>
      </x:c>
      <x:c r="B938" t="str">
        <x:v>Mario and The 5 Golden Eggs</x:v>
      </x:c>
      <x:c r="C938" t="str">
        <x:v>Zildjian</x:v>
      </x:c>
      <x:c r="D938" t="n">
        <x:v>6</x:v>
      </x:c>
      <x:c r="E938" t="str">
        <x:v>Casual</x:v>
      </x:c>
      <x:c r="F938" t="str">
        <x:v>Standard</x:v>
      </x:c>
      <x:c r="G938" t="n">
        <x:v>42214</x:v>
      </x:c>
      <x:c r="H938" t="str">
        <x:v>10098</x:v>
      </x:c>
      <x:c r="I938" t="str">
        <x:v>https://www.smwcentral.net/?a=details&amp;id=10098&amp;p=section</x:v>
      </x:c>
      <x:c r="J938" t="str">
        <x:v>https://dl.smwcentral.net/10098/Mario%20and%20the%205%20Golden%20Eggs.zip</x:v>
      </x:c>
    </x:row>
    <x:row r="939">
      <x:c r="A939" t="str">
        <x:v>Mario and the Cursed Coins</x:v>
      </x:c>
      <x:c r="B939" t="str">
        <x:v>Mario and the Cursed Coins</x:v>
      </x:c>
      <x:c r="C939" t="str">
        <x:v>RedboneBit</x:v>
      </x:c>
      <x:c r="D939" t="n">
        <x:v>3</x:v>
      </x:c>
      <x:c r="E939" t="str">
        <x:v>Casual</x:v>
      </x:c>
      <x:c r="F939" t="str">
        <x:v>Standard</x:v>
      </x:c>
      <x:c r="G939" t="n">
        <x:v>42153</x:v>
      </x:c>
      <x:c r="H939" t="str">
        <x:v>9913</x:v>
      </x:c>
      <x:c r="I939" t="str">
        <x:v>https://www.smwcentral.net/?a=details&amp;id=9913&amp;p=section</x:v>
      </x:c>
      <x:c r="J939" t="str">
        <x:v>https://dl.smwcentral.net/9913/CursedCoinsSampler.zip</x:v>
      </x:c>
    </x:row>
    <x:row r="940">
      <x:c r="A940" t="str">
        <x:v>Mario And The Diamond Moon</x:v>
      </x:c>
      <x:c r="B940" t="str">
        <x:v>Mario And The Diamond Moon</x:v>
      </x:c>
      <x:c r="C940" t="str">
        <x:v>Enan63</x:v>
      </x:c>
      <x:c r="D940" t="n">
        <x:v>8</x:v>
      </x:c>
      <x:c r="E940" t="str">
        <x:v>Intermediate</x:v>
      </x:c>
      <x:c r="F940" t="str">
        <x:v>Standard</x:v>
      </x:c>
      <x:c r="G940" t="n">
        <x:v>45725</x:v>
      </x:c>
      <x:c r="H940" t="str">
        <x:v>39488</x:v>
      </x:c>
      <x:c r="I940" t="str">
        <x:v>https://www.smwcentral.net/?a=details&amp;id=39488&amp;p=section</x:v>
      </x:c>
      <x:c r="J940" t="str">
        <x:v>https://dl.smwcentral.net/39488/Mario%27s%20And%20The%20Diamond%20Moon.zip</x:v>
      </x:c>
    </x:row>
    <x:row r="941">
      <x:c r="A941" t="str">
        <x:v>Mario and the Forgotten Flower</x:v>
      </x:c>
      <x:c r="B941" t="str">
        <x:v>Mario and the Forgotten Flower</x:v>
      </x:c>
      <x:c r="C941" t="str">
        <x:v>Kh2playa</x:v>
      </x:c>
      <x:c r="D941" t="n">
        <x:v>5</x:v>
      </x:c>
      <x:c r="E941" t="str">
        <x:v>Casual</x:v>
      </x:c>
      <x:c r="F941" t="str">
        <x:v>Standard</x:v>
      </x:c>
      <x:c r="G941" t="n">
        <x:v>42236</x:v>
      </x:c>
      <x:c r="H941" t="str">
        <x:v>9846</x:v>
      </x:c>
      <x:c r="I941" t="str">
        <x:v>https://www.smwcentral.net/?a=details&amp;id=9846&amp;p=section</x:v>
      </x:c>
      <x:c r="J941" t="str">
        <x:v>https://dl.smwcentral.net/9846/Mario%20forgotten%20flower.zip</x:v>
      </x:c>
    </x:row>
    <x:row r="942">
      <x:c r="A942" t="str">
        <x:v>Mario And The Golden Star</x:v>
      </x:c>
      <x:c r="B942" t="str">
        <x:v>Mario And The Golden Star</x:v>
      </x:c>
      <x:c r="C942" t="str">
        <x:v>Enan63</x:v>
      </x:c>
      <x:c r="D942" t="n">
        <x:v>7</x:v>
      </x:c>
      <x:c r="E942" t="str">
        <x:v>Intermediate</x:v>
      </x:c>
      <x:c r="F942" t="str">
        <x:v>Standard</x:v>
      </x:c>
      <x:c r="G942" t="n">
        <x:v>46075</x:v>
      </x:c>
      <x:c r="H942" t="str">
        <x:v>41605</x:v>
      </x:c>
      <x:c r="I942" t="str">
        <x:v>https://www.smwcentral.net/?a=details&amp;id=41605&amp;p=section</x:v>
      </x:c>
      <x:c r="J942" t="str">
        <x:v>https://dl.smwcentral.net/41605/Mario%20And%20The%20Golden%20Star.zip</x:v>
      </x:c>
    </x:row>
    <x:row r="943">
      <x:c r="A943" t="str">
        <x:v>Mario and the Haunted Forest 2: Kamek's Return</x:v>
      </x:c>
      <x:c r="B943" t="str">
        <x:v>Mario and the Haunted Forest 2: Kamek's Return</x:v>
      </x:c>
      <x:c r="C943" t="str">
        <x:v>Mr.GameAndWatch</x:v>
      </x:c>
      <x:c r="D943" t="n">
        <x:v>11</x:v>
      </x:c>
      <x:c r="E943" t="str">
        <x:v>Newcomer</x:v>
      </x:c>
      <x:c r="F943" t="str">
        <x:v>Standard</x:v>
      </x:c>
      <x:c r="G943" t="n">
        <x:v>42091</x:v>
      </x:c>
      <x:c r="H943" t="str">
        <x:v>9802</x:v>
      </x:c>
      <x:c r="I943" t="str">
        <x:v>https://www.smwcentral.net/?a=details&amp;id=9802&amp;p=section</x:v>
      </x:c>
      <x:c r="J943" t="str">
        <x:v>https://dl.smwcentral.net/9802/MATHF%20DEMO%201.1.zip</x:v>
      </x:c>
    </x:row>
    <x:row r="944">
      <x:c r="A944" t="str">
        <x:v>Mario and the Kaizo Trials</x:v>
      </x:c>
      <x:c r="B944" t="str">
        <x:v>Mario and the Kaizo Trials</x:v>
      </x:c>
      <x:c r="C944" t="str">
        <x:v>PedroHrodrigues</x:v>
      </x:c>
      <x:c r="D944" t="n">
        <x:v>18</x:v>
      </x:c>
      <x:c r="E944" t="str">
        <x:v>Advanced</x:v>
      </x:c>
      <x:c r="F944" t="str">
        <x:v>Kaizo</x:v>
      </x:c>
      <x:c r="G944" t="n">
        <x:v>43957</x:v>
      </x:c>
      <x:c r="H944" t="str">
        <x:v>22897</x:v>
      </x:c>
      <x:c r="I944" t="str">
        <x:v>https://www.smwcentral.net/?a=details&amp;id=22897&amp;p=section</x:v>
      </x:c>
      <x:c r="J944" t="str">
        <x:v>https://dl.smwcentral.net/22897/MarioAndTheKaizoTrials.zip</x:v>
      </x:c>
    </x:row>
    <x:row r="945">
      <x:c r="A945" t="str">
        <x:v>Mario and the Magic Switches</x:v>
      </x:c>
      <x:c r="B945" t="str">
        <x:v>Mario and the Magic Switches</x:v>
      </x:c>
      <x:c r="C945" t="str">
        <x:v>yoshiapplecachetitos</x:v>
      </x:c>
      <x:c r="D945" t="n">
        <x:v>8</x:v>
      </x:c>
      <x:c r="E945" t="str">
        <x:v>Casual</x:v>
      </x:c>
      <x:c r="F945" t="str">
        <x:v>Standard</x:v>
      </x:c>
      <x:c r="G945" t="n">
        <x:v>42315</x:v>
      </x:c>
      <x:c r="H945" t="str">
        <x:v>10179</x:v>
      </x:c>
      <x:c r="I945" t="str">
        <x:v>https://www.smwcentral.net/?a=details&amp;id=10179&amp;p=section</x:v>
      </x:c>
      <x:c r="J945" t="str">
        <x:v>https://dl.smwcentral.net/10179/Mario%20and%20the%20Magic%20Switches%20v1.2.zip</x:v>
      </x:c>
    </x:row>
    <x:row r="946">
      <x:c r="A946" t="str">
        <x:v>Mario and the Mushroom of Power</x:v>
      </x:c>
      <x:c r="B946" t="str">
        <x:v>Mario and the Mushroom of Power</x:v>
      </x:c>
      <x:c r="C946" t="str">
        <x:v>SafeDesire</x:v>
      </x:c>
      <x:c r="D946" t="n">
        <x:v>12</x:v>
      </x:c>
      <x:c r="E946" t="str">
        <x:v>Casual</x:v>
      </x:c>
      <x:c r="F946" t="str">
        <x:v>Standard</x:v>
      </x:c>
      <x:c r="G946" t="n">
        <x:v>42224</x:v>
      </x:c>
      <x:c r="H946" t="str">
        <x:v>9851</x:v>
      </x:c>
      <x:c r="I946" t="str">
        <x:v>https://www.smwcentral.net/?a=details&amp;id=9851&amp;p=section</x:v>
      </x:c>
      <x:c r="J946" t="str">
        <x:v>https://dl.smwcentral.net/9851/Mario%20and%20The%20Mushroom%20of%20Power.zip</x:v>
      </x:c>
    </x:row>
    <x:row r="947">
      <x:c r="A947" t="str">
        <x:v>Mario and the Mysterious Robot</x:v>
      </x:c>
      <x:c r="B947" t="str">
        <x:v>Mario and the Mysterious Robot</x:v>
      </x:c>
      <x:c r="C947" t="str">
        <x:v>Firebar</x:v>
      </x:c>
      <x:c r="D947" t="n">
        <x:v>10</x:v>
      </x:c>
      <x:c r="E947" t="str">
        <x:v>Casual</x:v>
      </x:c>
      <x:c r="F947" t="str">
        <x:v>Standard</x:v>
      </x:c>
      <x:c r="G947" t="n">
        <x:v>41569</x:v>
      </x:c>
      <x:c r="H947" t="str">
        <x:v>5113</x:v>
      </x:c>
      <x:c r="I947" t="str">
        <x:v>https://www.smwcentral.net/?a=details&amp;id=5113&amp;p=section</x:v>
      </x:c>
      <x:c r="J947" t="str">
        <x:v>https://dl.smwcentral.net/5113/MATMR%20hack.zip</x:v>
      </x:c>
    </x:row>
    <x:row r="948">
      <x:c r="A948" t="str">
        <x:v>Mario and the Parallel World</x:v>
      </x:c>
      <x:c r="B948" t="str">
        <x:v>Mario and the Parallel World</x:v>
      </x:c>
      <x:c r="C948" t="str">
        <x:v>mamlazizou</x:v>
      </x:c>
      <x:c r="D948" t="n">
        <x:v>7</x:v>
      </x:c>
      <x:c r="E948" t="str">
        <x:v>Casual</x:v>
      </x:c>
      <x:c r="F948" t="str">
        <x:v>Standard</x:v>
      </x:c>
      <x:c r="G948" t="n">
        <x:v>41998</x:v>
      </x:c>
      <x:c r="H948" t="str">
        <x:v>9618</x:v>
      </x:c>
      <x:c r="I948" t="str">
        <x:v>https://www.smwcentral.net/?a=details&amp;id=9618&amp;p=section</x:v>
      </x:c>
      <x:c r="J948" t="str">
        <x:v>https://dl.smwcentral.net/9618/Mario%20and%20the%20parallel%20world%20%5B%20FR%20%5D.zip</x:v>
      </x:c>
    </x:row>
    <x:row r="949">
      <x:c r="A949" t="str">
        <x:v>Mario and the Passage of Perils</x:v>
      </x:c>
      <x:c r="B949" t="str">
        <x:v>Mario and the Passage of Perils</x:v>
      </x:c>
      <x:c r="C949" t="str">
        <x:v>Crystal King</x:v>
      </x:c>
      <x:c r="D949" t="n">
        <x:v>4</x:v>
      </x:c>
      <x:c r="E949" t="str">
        <x:v>Intermediate</x:v>
      </x:c>
      <x:c r="F949" t="str">
        <x:v>Standard</x:v>
      </x:c>
      <x:c r="G949" t="n">
        <x:v>42163</x:v>
      </x:c>
      <x:c r="H949" t="str">
        <x:v>9917</x:v>
      </x:c>
      <x:c r="I949" t="str">
        <x:v>https://www.smwcentral.net/?a=details&amp;id=9917&amp;p=section</x:v>
      </x:c>
      <x:c r="J949" t="str">
        <x:v>https://dl.smwcentral.net/9917/PoP.zip</x:v>
      </x:c>
    </x:row>
    <x:row r="950">
      <x:c r="A950" t="str">
        <x:v>Mario and the Pipe of Challenges</x:v>
      </x:c>
      <x:c r="B950" t="str">
        <x:v>Mario and the Pipe of Challenges</x:v>
      </x:c>
      <x:c r="C950" t="str">
        <x:v>LuigiPikachu</x:v>
      </x:c>
      <x:c r="D950" t="n">
        <x:v>6</x:v>
      </x:c>
      <x:c r="E950" t="str">
        <x:v>Newcomer</x:v>
      </x:c>
      <x:c r="F950" t="str">
        <x:v>Standard</x:v>
      </x:c>
      <x:c r="G950" t="n">
        <x:v>42264</x:v>
      </x:c>
      <x:c r="H950" t="str">
        <x:v>9968</x:v>
      </x:c>
      <x:c r="I950" t="str">
        <x:v>https://www.smwcentral.net/?a=details&amp;id=9968&amp;p=section</x:v>
      </x:c>
      <x:c r="J950" t="str">
        <x:v>https://dl.smwcentral.net/9968/Mario%20and%20the%20pipe%20of%20challenges.zip</x:v>
      </x:c>
    </x:row>
    <x:row r="951">
      <x:c r="A951" t="str">
        <x:v>Mario and the Sphere of Toad - Reloaded</x:v>
      </x:c>
      <x:c r="B951" t="str">
        <x:v>Mario and the Sphere of Toad - Reloaded</x:v>
      </x:c>
      <x:c r="C951" t="str">
        <x:v>Aurel509</x:v>
      </x:c>
      <x:c r="D951" t="n">
        <x:v>7</x:v>
      </x:c>
      <x:c r="E951" t="str">
        <x:v>Casual</x:v>
      </x:c>
      <x:c r="F951" t="str">
        <x:v>Standard</x:v>
      </x:c>
      <x:c r="G951" t="n">
        <x:v>43435</x:v>
      </x:c>
      <x:c r="H951" t="str">
        <x:v>18437</x:v>
      </x:c>
      <x:c r="I951" t="str">
        <x:v>https://www.smwcentral.net/?a=details&amp;id=18437&amp;p=section</x:v>
      </x:c>
      <x:c r="J951" t="str">
        <x:v>https://dl.smwcentral.net/18437/MLSDT2R.zip</x:v>
      </x:c>
    </x:row>
    <x:row r="952">
      <x:c r="A952" t="str">
        <x:v>Mario and the Stolen Yoshi-Egg</x:v>
      </x:c>
      <x:c r="B952" t="str">
        <x:v>Mario and the Stolen Yoshi-Egg</x:v>
      </x:c>
      <x:c r="C952" t="str">
        <x:v>Humingbird96</x:v>
      </x:c>
      <x:c r="D952" t="n">
        <x:v>5</x:v>
      </x:c>
      <x:c r="E952" t="str">
        <x:v>Intermediate</x:v>
      </x:c>
      <x:c r="F952" t="str">
        <x:v>Standard</x:v>
      </x:c>
      <x:c r="G952" t="n">
        <x:v>42208</x:v>
      </x:c>
      <x:c r="H952" t="str">
        <x:v>9810</x:v>
      </x:c>
      <x:c r="I952" t="str">
        <x:v>https://www.smwcentral.net/?a=details&amp;id=9810&amp;p=section</x:v>
      </x:c>
      <x:c r="J952" t="str">
        <x:v>https://dl.smwcentral.net/9810/Mario%20and%20the%20stolen%20Yoshi%20egg.zip</x:v>
      </x:c>
    </x:row>
    <x:row r="953">
      <x:c r="A953" t="str">
        <x:v>Mario and the Thwomp</x:v>
      </x:c>
      <x:c r="B953" t="str">
        <x:v>Mario and the Thwomp</x:v>
      </x:c>
      <x:c r="C953" t="str">
        <x:v>Master S</x:v>
      </x:c>
      <x:c r="D953" t="n">
        <x:v>3</x:v>
      </x:c>
      <x:c r="E953" t="str">
        <x:v>Casual</x:v>
      </x:c>
      <x:c r="F953" t="str">
        <x:v>Standard</x:v>
      </x:c>
      <x:c r="G953" t="n">
        <x:v>42135</x:v>
      </x:c>
      <x:c r="H953" t="str">
        <x:v>9941</x:v>
      </x:c>
      <x:c r="I953" t="str">
        <x:v>https://www.smwcentral.net/?a=details&amp;id=9941&amp;p=section</x:v>
      </x:c>
      <x:c r="J953" t="str">
        <x:v>https://dl.smwcentral.net/9941/MATT%20Beta%20Demo.zip</x:v>
      </x:c>
    </x:row>
    <x:row r="954">
      <x:c r="A954" t="str">
        <x:v>Mario at the Kasranova Levels</x:v>
      </x:c>
      <x:c r="B954" t="str">
        <x:v>Mario at the Kasranova Levels</x:v>
      </x:c>
      <x:c r="C954" t="str">
        <x:v>OEO6</x:v>
      </x:c>
      <x:c r="D954" t="n">
        <x:v>8</x:v>
      </x:c>
      <x:c r="E954" t="str">
        <x:v>Casual</x:v>
      </x:c>
      <x:c r="F954" t="str">
        <x:v>Standard</x:v>
      </x:c>
      <x:c r="G954" t="n">
        <x:v>43548</x:v>
      </x:c>
      <x:c r="H954" t="str">
        <x:v>19357</x:v>
      </x:c>
      <x:c r="I954" t="str">
        <x:v>https://www.smwcentral.net/?a=details&amp;id=19357&amp;p=section</x:v>
      </x:c>
      <x:c r="J954" t="str">
        <x:v>https://dl.smwcentral.net/19357/Mario%20at%20the%20Kasranova%20Levels.zip</x:v>
      </x:c>
    </x:row>
    <x:row r="955">
      <x:c r="A955" t="str">
        <x:v>Mario at the Kasranova Levels 2: Imgelemden Hallice</x:v>
      </x:c>
      <x:c r="B955" t="str">
        <x:v>Mario at the Kasranova Levels 2: Imgelemden Hallice</x:v>
      </x:c>
      <x:c r="C955" t="str">
        <x:v>OEO6</x:v>
      </x:c>
      <x:c r="D955" t="n">
        <x:v>32</x:v>
      </x:c>
      <x:c r="E955" t="str">
        <x:v>Casual</x:v>
      </x:c>
      <x:c r="F955" t="str">
        <x:v>Standard</x:v>
      </x:c>
      <x:c r="G955" t="n">
        <x:v>43747</x:v>
      </x:c>
      <x:c r="H955" t="str">
        <x:v>21232</x:v>
      </x:c>
      <x:c r="I955" t="str">
        <x:v>https://www.smwcentral.net/?a=details&amp;id=21232&amp;p=section</x:v>
      </x:c>
      <x:c r="J955" t="str">
        <x:v>https://dl.smwcentral.net/21232/mario%20at%20the%20kasranova%20levels%202%20-%20imgelemden%20hallice.zip</x:v>
      </x:c>
    </x:row>
    <x:row r="956">
      <x:c r="A956" t="str">
        <x:v>Mario Bros Adventure Land</x:v>
      </x:c>
      <x:c r="B956" t="str">
        <x:v>Mario Bros Adventure Land</x:v>
      </x:c>
      <x:c r="C956" t="str">
        <x:v>Wind Fish</x:v>
      </x:c>
      <x:c r="D956" t="n">
        <x:v>7</x:v>
      </x:c>
      <x:c r="E956" t="str">
        <x:v>Casual</x:v>
      </x:c>
      <x:c r="F956" t="str">
        <x:v>Standard</x:v>
      </x:c>
      <x:c r="G956" t="n">
        <x:v>42338</x:v>
      </x:c>
      <x:c r="H956" t="str">
        <x:v>10206</x:v>
      </x:c>
      <x:c r="I956" t="str">
        <x:v>https://www.smwcentral.net/?a=details&amp;id=10206&amp;p=section</x:v>
      </x:c>
      <x:c r="J956" t="str">
        <x:v>https://dl.smwcentral.net/10206/MBAL_demo1.zip</x:v>
      </x:c>
    </x:row>
    <x:row r="957">
      <x:c r="A957" t="str">
        <x:v>Mario Brother World</x:v>
      </x:c>
      <x:c r="B957" t="str">
        <x:v>Mario Brother World</x:v>
      </x:c>
      <x:c r="C957" t="str">
        <x:v>Keypas</x:v>
      </x:c>
      <x:c r="D957" t="n">
        <x:v>17</x:v>
      </x:c>
      <x:c r="E957" t="str">
        <x:v>Casual</x:v>
      </x:c>
      <x:c r="F957" t="str">
        <x:v>Standard</x:v>
      </x:c>
      <x:c r="G957" t="n">
        <x:v>42252</x:v>
      </x:c>
      <x:c r="H957" t="str">
        <x:v>9971</x:v>
      </x:c>
      <x:c r="I957" t="str">
        <x:v>https://www.smwcentral.net/?a=details&amp;id=9971&amp;p=section</x:v>
      </x:c>
      <x:c r="J957" t="str">
        <x:v>https://dl.smwcentral.net/9971/MBW%20demo.zip</x:v>
      </x:c>
    </x:row>
    <x:row r="958">
      <x:c r="A958" t="str">
        <x:v>Mario Brother World 2</x:v>
      </x:c>
      <x:c r="B958" t="str">
        <x:v>Mario Brother World 2</x:v>
      </x:c>
      <x:c r="C958" t="str">
        <x:v>Keypas</x:v>
      </x:c>
      <x:c r="D958" t="n">
        <x:v>6</x:v>
      </x:c>
      <x:c r="E958" t="str">
        <x:v>Newcomer</x:v>
      </x:c>
      <x:c r="F958" t="str">
        <x:v>Standard</x:v>
      </x:c>
      <x:c r="G958" t="n">
        <x:v>42293</x:v>
      </x:c>
      <x:c r="H958" t="str">
        <x:v>10122</x:v>
      </x:c>
      <x:c r="I958" t="str">
        <x:v>https://www.smwcentral.net/?a=details&amp;id=10122&amp;p=section</x:v>
      </x:c>
      <x:c r="J958" t="str">
        <x:v>https://dl.smwcentral.net/10122/MBW2.zip</x:v>
      </x:c>
    </x:row>
    <x:row r="959">
      <x:c r="A959" t="str">
        <x:v>Mario Brothers Adventures</x:v>
      </x:c>
      <x:c r="B959" t="str">
        <x:v>Mario Brothers Adventures</x:v>
      </x:c>
      <x:c r="C959" t="str">
        <x:v>nintendofreck</x:v>
      </x:c>
      <x:c r="D959" t="n">
        <x:v>60</x:v>
      </x:c>
      <x:c r="E959" t="str">
        <x:v>Newcomer</x:v>
      </x:c>
      <x:c r="F959" t="str">
        <x:v>Standard</x:v>
      </x:c>
      <x:c r="G959" t="n">
        <x:v>42286</x:v>
      </x:c>
      <x:c r="H959" t="str">
        <x:v>10069</x:v>
      </x:c>
      <x:c r="I959" t="str">
        <x:v>https://www.smwcentral.net/?a=details&amp;id=10069&amp;p=section</x:v>
      </x:c>
      <x:c r="J959" t="str">
        <x:v>https://dl.smwcentral.net/10069/MBAV02.zip</x:v>
      </x:c>
    </x:row>
    <x:row r="960">
      <x:c r="A960" t="str">
        <x:v>Mario Curse Hunter</x:v>
      </x:c>
      <x:c r="B960" t="str">
        <x:v>Mario Curse Hunter</x:v>
      </x:c>
      <x:c r="C960" t="str">
        <x:v>TheGremlin</x:v>
      </x:c>
      <x:c r="D960" t="n">
        <x:v>11</x:v>
      </x:c>
      <x:c r="E960" t="str">
        <x:v>Intermediate</x:v>
      </x:c>
      <x:c r="F960" t="str">
        <x:v>Standard</x:v>
      </x:c>
      <x:c r="G960" t="n">
        <x:v>42231</x:v>
      </x:c>
      <x:c r="H960" t="str">
        <x:v>9852</x:v>
      </x:c>
      <x:c r="I960" t="str">
        <x:v>https://www.smwcentral.net/?a=details&amp;id=9852&amp;p=section</x:v>
      </x:c>
      <x:c r="J960" t="str">
        <x:v>https://dl.smwcentral.net/9852/Mario%20Curse%20Hunter%20Demo%201.5.zip</x:v>
      </x:c>
    </x:row>
    <x:row r="961">
      <x:c r="A961" t="str">
        <x:v>Mario Destroys the World</x:v>
      </x:c>
      <x:c r="B961" t="str">
        <x:v>Mario Destroys the World</x:v>
      </x:c>
      <x:c r="C961" t="str">
        <x:v>NobbyBop</x:v>
      </x:c>
      <x:c r="D961" t="n">
        <x:v>3</x:v>
      </x:c>
      <x:c r="E961" t="str">
        <x:v>Advanced</x:v>
      </x:c>
      <x:c r="F961" t="str">
        <x:v>Kaizo</x:v>
      </x:c>
      <x:c r="G961" t="n">
        <x:v>44584</x:v>
      </x:c>
      <x:c r="H961" t="str">
        <x:v>29559</x:v>
      </x:c>
      <x:c r="I961" t="str">
        <x:v>https://www.smwcentral.net/?a=details&amp;id=29559&amp;p=section</x:v>
      </x:c>
      <x:c r="J961" t="str">
        <x:v>https://dl.smwcentral.net/29559/Mario%20Destroys%20the%20World.zip</x:v>
      </x:c>
    </x:row>
    <x:row r="962">
      <x:c r="A962" t="str">
        <x:v>MARIO EN BUSCA DE LA MASTER EMERALD (DEMO WORLD 2)</x:v>
      </x:c>
      <x:c r="B962" t="str">
        <x:v>MARIO EN BUSCA DE LA MASTER EMERALD (DEMO WORLD 2)</x:v>
      </x:c>
      <x:c r="C962" t="str">
        <x:v>Reynner's</x:v>
      </x:c>
      <x:c r="D962" t="n">
        <x:v>12</x:v>
      </x:c>
      <x:c r="E962" t="str">
        <x:v>Casual</x:v>
      </x:c>
      <x:c r="F962" t="str">
        <x:v>Standard</x:v>
      </x:c>
      <x:c r="G962" t="n">
        <x:v>46035</x:v>
      </x:c>
      <x:c r="H962" t="str">
        <x:v>41397</x:v>
      </x:c>
      <x:c r="I962" t="str">
        <x:v>https://www.smwcentral.net/?a=details&amp;id=41397&amp;p=section</x:v>
      </x:c>
      <x:c r="J962" t="str">
        <x:v>https://dl.smwcentral.net/41397/MARIO.zip</x:v>
      </x:c>
    </x:row>
    <x:row r="963">
      <x:c r="A963" t="str">
        <x:v>Mario Explores the Sewers</x:v>
      </x:c>
      <x:c r="B963" t="str">
        <x:v>Mario Explores the Sewers</x:v>
      </x:c>
      <x:c r="C963" t="str">
        <x:v>Snifit</x:v>
      </x:c>
      <x:c r="D963" t="n">
        <x:v>7</x:v>
      </x:c>
      <x:c r="E963" t="str">
        <x:v>Intermediate</x:v>
      </x:c>
      <x:c r="F963" t="str">
        <x:v>Standard</x:v>
      </x:c>
      <x:c r="G963" t="n">
        <x:v>42003</x:v>
      </x:c>
      <x:c r="H963" t="str">
        <x:v>10018</x:v>
      </x:c>
      <x:c r="I963" t="str">
        <x:v>https://www.smwcentral.net/?a=details&amp;id=10018&amp;p=section</x:v>
      </x:c>
      <x:c r="J963" t="str">
        <x:v>https://dl.smwcentral.net/10018/MES.zip</x:v>
      </x:c>
    </x:row>
    <x:row r="964">
      <x:c r="A964" t="str">
        <x:v>Mario Frenzy</x:v>
      </x:c>
      <x:c r="B964" t="str">
        <x:v>Mario Frenzy</x:v>
      </x:c>
      <x:c r="C964" t="str">
        <x:v>RedToonLink</x:v>
      </x:c>
      <x:c r="D964" t="n">
        <x:v>16</x:v>
      </x:c>
      <x:c r="E964" t="str">
        <x:v>Intermediate</x:v>
      </x:c>
      <x:c r="F964" t="str">
        <x:v>Standard</x:v>
      </x:c>
      <x:c r="G964" t="n">
        <x:v>42255</x:v>
      </x:c>
      <x:c r="H964" t="str">
        <x:v>9764</x:v>
      </x:c>
      <x:c r="I964" t="str">
        <x:v>https://www.smwcentral.net/?a=details&amp;id=9764&amp;p=section</x:v>
      </x:c>
      <x:c r="J964" t="str">
        <x:v>https://dl.smwcentral.net/9764/MFDemoC3.zip</x:v>
      </x:c>
    </x:row>
    <x:row r="965">
      <x:c r="A965" t="str">
        <x:v>Mario Gives Up</x:v>
      </x:c>
      <x:c r="B965" t="str">
        <x:v>Mario Gives Up</x:v>
      </x:c>
      <x:c r="C965" t="str">
        <x:v>cyphermur9t</x:v>
      </x:c>
      <x:c r="D965" t="n">
        <x:v>86</x:v>
      </x:c>
      <x:c r="E965" t="str">
        <x:v>Intermediate</x:v>
      </x:c>
      <x:c r="F965" t="str">
        <x:v>Standard</x:v>
      </x:c>
      <x:c r="G965" t="n">
        <x:v>44255</x:v>
      </x:c>
      <x:c r="H965" t="str">
        <x:v>25573</x:v>
      </x:c>
      <x:c r="I965" t="str">
        <x:v>https://www.smwcentral.net/?a=details&amp;id=25573&amp;p=section</x:v>
      </x:c>
      <x:c r="J965" t="str">
        <x:v>https://dl.smwcentral.net/25573/Mario%20Gives%20Up.zip</x:v>
      </x:c>
    </x:row>
    <x:row r="966">
      <x:c r="A966" t="str">
        <x:v>Mario Gives Up 2</x:v>
      </x:c>
      <x:c r="B966" t="str">
        <x:v>Mario Gives Up 2</x:v>
      </x:c>
      <x:c r="C966" t="str">
        <x:v>cyphermur9t</x:v>
      </x:c>
      <x:c r="D966" t="n">
        <x:v>95</x:v>
      </x:c>
      <x:c r="E966" t="str">
        <x:v>Intermediate</x:v>
      </x:c>
      <x:c r="F966" t="str">
        <x:v>Standard</x:v>
      </x:c>
      <x:c r="G966" t="n">
        <x:v>44395</x:v>
      </x:c>
      <x:c r="H966" t="str">
        <x:v>26935</x:v>
      </x:c>
      <x:c r="I966" t="str">
        <x:v>https://www.smwcentral.net/?a=details&amp;id=26935&amp;p=section</x:v>
      </x:c>
      <x:c r="J966" t="str">
        <x:v>https://dl.smwcentral.net/26935/Mario%20Gives%20Up%202.zip</x:v>
      </x:c>
    </x:row>
    <x:row r="967">
      <x:c r="A967" t="str">
        <x:v>Mario Gives Up 3</x:v>
      </x:c>
      <x:c r="B967" t="str">
        <x:v>Mario Gives Up 3</x:v>
      </x:c>
      <x:c r="C967" t="str">
        <x:v>cyphermur9t</x:v>
      </x:c>
      <x:c r="D967" t="n">
        <x:v>95</x:v>
      </x:c>
      <x:c r="E967" t="str">
        <x:v>Intermediate</x:v>
      </x:c>
      <x:c r="F967" t="str">
        <x:v>Standard</x:v>
      </x:c>
      <x:c r="G967" t="n">
        <x:v>42349</x:v>
      </x:c>
      <x:c r="H967" t="str">
        <x:v>12826</x:v>
      </x:c>
      <x:c r="I967" t="str">
        <x:v>https://www.smwcentral.net/?a=details&amp;id=12826&amp;p=section</x:v>
      </x:c>
      <x:c r="J967" t="str">
        <x:v>https://dl.smwcentral.net/12826/MGU3.zip</x:v>
      </x:c>
    </x:row>
    <x:row r="968">
      <x:c r="A968" t="str">
        <x:v>Mario goes on an adventure for apparently no reason</x:v>
      </x:c>
      <x:c r="B968" t="str">
        <x:v>Mario goes on an adventure for apparently no reason</x:v>
      </x:c>
      <x:c r="C968" t="str">
        <x:v>Alfombra de madera</x:v>
      </x:c>
      <x:c r="D968" t="n">
        <x:v>18</x:v>
      </x:c>
      <x:c r="E968" t="str">
        <x:v>Casual</x:v>
      </x:c>
      <x:c r="F968" t="str">
        <x:v>Standard</x:v>
      </x:c>
      <x:c r="G968" t="n">
        <x:v>45848</x:v>
      </x:c>
      <x:c r="H968" t="str">
        <x:v>40065</x:v>
      </x:c>
      <x:c r="I968" t="str">
        <x:v>https://www.smwcentral.net/?a=details&amp;id=40065&amp;p=section</x:v>
      </x:c>
      <x:c r="J968" t="str">
        <x:v>https://dl.smwcentral.net/40065/MGOAAFANR%20demo%201.51.zip</x:v>
      </x:c>
    </x:row>
    <x:row r="969">
      <x:c r="A969" t="str">
        <x:v>Mario goes to a castle to pay his taxes</x:v>
      </x:c>
      <x:c r="B969" t="str">
        <x:v>Mario goes to a castle to pay his taxes</x:v>
      </x:c>
      <x:c r="C969" t="str">
        <x:v>Young Boi</x:v>
      </x:c>
      <x:c r="D969" t="n">
        <x:v>5</x:v>
      </x:c>
      <x:c r="E969" t="str">
        <x:v>Casual</x:v>
      </x:c>
      <x:c r="F969" t="str">
        <x:v>Standard</x:v>
      </x:c>
      <x:c r="G969" t="n">
        <x:v>43454</x:v>
      </x:c>
      <x:c r="H969" t="str">
        <x:v>18681</x:v>
      </x:c>
      <x:c r="I969" t="str">
        <x:v>https://www.smwcentral.net/?a=details&amp;id=18681&amp;p=section</x:v>
      </x:c>
      <x:c r="J969" t="str">
        <x:v>https://dl.smwcentral.net/18681/Pay%20your%20taxes%20kids.zip</x:v>
      </x:c>
    </x:row>
    <x:row r="970">
      <x:c r="A970" t="str">
        <x:v>Mario Goes to Brazil</x:v>
      </x:c>
      <x:c r="B970" t="str">
        <x:v>Mario Goes to Brazil</x:v>
      </x:c>
      <x:c r="C970" t="str">
        <x:v>MarcosMoutta</x:v>
      </x:c>
      <x:c r="D970" t="n">
        <x:v>11</x:v>
      </x:c>
      <x:c r="E970" t="str">
        <x:v>Advanced</x:v>
      </x:c>
      <x:c r="F970" t="str">
        <x:v>Standard</x:v>
      </x:c>
      <x:c r="G970" t="n">
        <x:v>44891</x:v>
      </x:c>
      <x:c r="H970" t="str">
        <x:v>32554</x:v>
      </x:c>
      <x:c r="I970" t="str">
        <x:v>https://www.smwcentral.net/?a=details&amp;id=32554&amp;p=section</x:v>
      </x:c>
      <x:c r="J970" t="str">
        <x:v>https://dl.smwcentral.net/32554/MGtB.zip</x:v>
      </x:c>
    </x:row>
    <x:row r="971">
      <x:c r="A971" t="str">
        <x:v>Mario goes to the Adventure Park</x:v>
      </x:c>
      <x:c r="B971" t="str">
        <x:v>Mario goes to the Adventure Park</x:v>
      </x:c>
      <x:c r="C971" t="str">
        <x:v>Saibot1997</x:v>
      </x:c>
      <x:c r="D971" t="n">
        <x:v>5</x:v>
      </x:c>
      <x:c r="E971" t="str">
        <x:v>Casual</x:v>
      </x:c>
      <x:c r="F971" t="str">
        <x:v>Standard</x:v>
      </x:c>
      <x:c r="G971" t="n">
        <x:v>42255</x:v>
      </x:c>
      <x:c r="H971" t="str">
        <x:v>10282</x:v>
      </x:c>
      <x:c r="I971" t="str">
        <x:v>https://www.smwcentral.net/?a=details&amp;id=10282&amp;p=section</x:v>
      </x:c>
      <x:c r="J971" t="str">
        <x:v>https://dl.smwcentral.net/10282/Mario%20goes%20to%20the%20Adventure%20Park.zip</x:v>
      </x:c>
    </x:row>
    <x:row r="972">
      <x:c r="A972" t="str">
        <x:v>Mario Goes To The Store</x:v>
      </x:c>
      <x:c r="B972" t="str">
        <x:v>Mario Goes To The Store</x:v>
      </x:c>
      <x:c r="C972" t="str">
        <x:v>eltiolavara9</x:v>
      </x:c>
      <x:c r="D972" t="n">
        <x:v>56</x:v>
      </x:c>
      <x:c r="E972" t="str">
        <x:v>Intermediate</x:v>
      </x:c>
      <x:c r="F972" t="str">
        <x:v>Standard</x:v>
      </x:c>
      <x:c r="G972" t="n">
        <x:v>45828</x:v>
      </x:c>
      <x:c r="H972" t="str">
        <x:v>39995</x:v>
      </x:c>
      <x:c r="I972" t="str">
        <x:v>https://www.smwcentral.net/?a=details&amp;id=39995&amp;p=section</x:v>
      </x:c>
      <x:c r="J972" t="str">
        <x:v>https://dl.smwcentral.net/39995/mario%20goes%20to%20the%20store.zip</x:v>
      </x:c>
    </x:row>
    <x:row r="973">
      <x:c r="A973" t="str">
        <x:v>Mario goes to Wendy's</x:v>
      </x:c>
      <x:c r="B973" t="str">
        <x:v>Mario goes to Wendy's</x:v>
      </x:c>
      <x:c r="C973" t="str">
        <x:v>autumnfrog</x:v>
      </x:c>
      <x:c r="D973" t="n">
        <x:v>13</x:v>
      </x:c>
      <x:c r="E973" t="str">
        <x:v>Casual</x:v>
      </x:c>
      <x:c r="F973" t="str">
        <x:v>Standard</x:v>
      </x:c>
      <x:c r="G973" t="n">
        <x:v>44826</x:v>
      </x:c>
      <x:c r="H973" t="str">
        <x:v>32143</x:v>
      </x:c>
      <x:c r="I973" t="str">
        <x:v>https://www.smwcentral.net/?a=details&amp;id=32143&amp;p=section</x:v>
      </x:c>
      <x:c r="J973" t="str">
        <x:v>https://dl.smwcentral.net/32143/mario%20goes%20to%20wendys.zip</x:v>
      </x:c>
    </x:row>
    <x:row r="974">
      <x:c r="A974" t="str">
        <x:v>Mario Got Bored</x:v>
      </x:c>
      <x:c r="B974" t="str">
        <x:v>Mario Got Bored</x:v>
      </x:c>
      <x:c r="C974" t="str">
        <x:v>Zarasuto</x:v>
      </x:c>
      <x:c r="D974" t="n">
        <x:v>10</x:v>
      </x:c>
      <x:c r="E974" t="str">
        <x:v>Newcomer</x:v>
      </x:c>
      <x:c r="F974" t="str">
        <x:v>Standard</x:v>
      </x:c>
      <x:c r="G974" t="n">
        <x:v>42268</x:v>
      </x:c>
      <x:c r="H974" t="str">
        <x:v>10075</x:v>
      </x:c>
      <x:c r="I974" t="str">
        <x:v>https://www.smwcentral.net/?a=details&amp;id=10075&amp;p=section</x:v>
      </x:c>
      <x:c r="J974" t="str">
        <x:v>https://dl.smwcentral.net/10075/Mario%20Got%20Bored.zip</x:v>
      </x:c>
    </x:row>
    <x:row r="975">
      <x:c r="A975" t="str">
        <x:v>Mario in a Mysterious World</x:v>
      </x:c>
      <x:c r="B975" t="str">
        <x:v>Mario in a Mysterious World</x:v>
      </x:c>
      <x:c r="C975" t="str">
        <x:v>Falconpunch</x:v>
      </x:c>
      <x:c r="D975" t="n">
        <x:v>6</x:v>
      </x:c>
      <x:c r="E975" t="str">
        <x:v>Casual</x:v>
      </x:c>
      <x:c r="F975" t="str">
        <x:v>Standard</x:v>
      </x:c>
      <x:c r="G975" t="n">
        <x:v>42314</x:v>
      </x:c>
      <x:c r="H975" t="str">
        <x:v>10140</x:v>
      </x:c>
      <x:c r="I975" t="str">
        <x:v>https://www.smwcentral.net/?a=details&amp;id=10140&amp;p=section</x:v>
      </x:c>
      <x:c r="J975" t="str">
        <x:v>https://dl.smwcentral.net/10140/MiaMW.zip</x:v>
      </x:c>
    </x:row>
    <x:row r="976">
      <x:c r="A976" t="str">
        <x:v>Mario in a Strange Adventure</x:v>
      </x:c>
      <x:c r="B976" t="str">
        <x:v>Mario in a Strange Adventure</x:v>
      </x:c>
      <x:c r="C976" t="str">
        <x:v>Fan-cristian-Yuyuko-</x:v>
      </x:c>
      <x:c r="D976" t="n">
        <x:v>5</x:v>
      </x:c>
      <x:c r="E976" t="str">
        <x:v>Casual</x:v>
      </x:c>
      <x:c r="F976" t="str">
        <x:v>Standard</x:v>
      </x:c>
      <x:c r="G976" t="n">
        <x:v>42288</x:v>
      </x:c>
      <x:c r="H976" t="str">
        <x:v>10141</x:v>
      </x:c>
      <x:c r="I976" t="str">
        <x:v>https://www.smwcentral.net/?a=details&amp;id=10141&amp;p=section</x:v>
      </x:c>
      <x:c r="J976" t="str">
        <x:v>https://dl.smwcentral.net/10141/mario%20in%20a%20strange%20adventure.zip</x:v>
      </x:c>
    </x:row>
    <x:row r="977">
      <x:c r="A977" t="str">
        <x:v>Mario in Another Land</x:v>
      </x:c>
      <x:c r="B977" t="str">
        <x:v>Mario in Another Land</x:v>
      </x:c>
      <x:c r="C977" t="str">
        <x:v>Anonymous</x:v>
      </x:c>
      <x:c r="D977" t="n">
        <x:v>7</x:v>
      </x:c>
      <x:c r="E977" t="str">
        <x:v>Newcomer</x:v>
      </x:c>
      <x:c r="F977" t="str">
        <x:v>Standard</x:v>
      </x:c>
      <x:c r="G977" t="n">
        <x:v>42482</x:v>
      </x:c>
      <x:c r="H977" t="str">
        <x:v>13582</x:v>
      </x:c>
      <x:c r="I977" t="str">
        <x:v>https://www.smwcentral.net/?a=details&amp;id=13582&amp;p=section</x:v>
      </x:c>
      <x:c r="J977" t="str">
        <x:v>https://dl.smwcentral.net/13582/Mario%20in%20Another%20Land.zip</x:v>
      </x:c>
    </x:row>
    <x:row r="978">
      <x:c r="A978" t="str">
        <x:v>Mario In Dragon Land</x:v>
      </x:c>
      <x:c r="B978" t="str">
        <x:v>Mario In Dragon Land</x:v>
      </x:c>
      <x:c r="C978" t="str">
        <x:v>BobbyBombmaster</x:v>
      </x:c>
      <x:c r="D978" t="n">
        <x:v>6</x:v>
      </x:c>
      <x:c r="E978" t="str">
        <x:v>Newcomer</x:v>
      </x:c>
      <x:c r="F978" t="str">
        <x:v>Standard</x:v>
      </x:c>
      <x:c r="G978" t="n">
        <x:v>42228</x:v>
      </x:c>
      <x:c r="H978" t="str">
        <x:v>9845</x:v>
      </x:c>
      <x:c r="I978" t="str">
        <x:v>https://www.smwcentral.net/?a=details&amp;id=9845&amp;p=section</x:v>
      </x:c>
      <x:c r="J978" t="str">
        <x:v>https://dl.smwcentral.net/9845/Mario%20In%20Dragon%20Land.zip</x:v>
      </x:c>
    </x:row>
    <x:row r="979">
      <x:c r="A979" t="str">
        <x:v>Mario in Leprechaun Island</x:v>
      </x:c>
      <x:c r="B979" t="str">
        <x:v>Mario in Leprechaun Island</x:v>
      </x:c>
      <x:c r="C979" t="str">
        <x:v>Green Jerry</x:v>
      </x:c>
      <x:c r="D979" t="n">
        <x:v>9</x:v>
      </x:c>
      <x:c r="E979" t="str">
        <x:v>Intermediate</x:v>
      </x:c>
      <x:c r="F979" t="str">
        <x:v>Standard</x:v>
      </x:c>
      <x:c r="G979" t="n">
        <x:v>43909</x:v>
      </x:c>
      <x:c r="H979" t="str">
        <x:v>22412</x:v>
      </x:c>
      <x:c r="I979" t="str">
        <x:v>https://www.smwcentral.net/?a=details&amp;id=22412&amp;p=section</x:v>
      </x:c>
      <x:c r="J979" t="str">
        <x:v>https://dl.smwcentral.net/22412/Mario%20in%20Leprechaun%20Island%20%28V1.0.1%29.zip</x:v>
      </x:c>
    </x:row>
    <x:row r="980">
      <x:c r="A980" t="str">
        <x:v>Mario In Lucid Dream</x:v>
      </x:c>
      <x:c r="B980" t="str">
        <x:v>Mario In Lucid Dream</x:v>
      </x:c>
      <x:c r="C980" t="str">
        <x:v>TS_N</x:v>
      </x:c>
      <x:c r="D980" t="n">
        <x:v>20</x:v>
      </x:c>
      <x:c r="E980" t="str">
        <x:v>Master</x:v>
      </x:c>
      <x:c r="F980" t="str">
        <x:v>Kaizo, Tool-Assisted</x:v>
      </x:c>
      <x:c r="G980" t="n">
        <x:v>45510</x:v>
      </x:c>
      <x:c r="H980" t="str">
        <x:v>37694</x:v>
      </x:c>
      <x:c r="I980" t="str">
        <x:v>https://www.smwcentral.net/?a=details&amp;id=37694&amp;p=section</x:v>
      </x:c>
      <x:c r="J980" t="str">
        <x:v>https://dl.smwcentral.net/37694/Mario%20In%20Lucid%20Dream.zip</x:v>
      </x:c>
    </x:row>
    <x:row r="981">
      <x:c r="A981" t="str">
        <x:v>Mario In Midgard</x:v>
      </x:c>
      <x:c r="B981" t="str">
        <x:v>Mario In Midgard</x:v>
      </x:c>
      <x:c r="C981" t="str">
        <x:v>anonimato</x:v>
      </x:c>
      <x:c r="D981" t="n">
        <x:v>85</x:v>
      </x:c>
      <x:c r="E981" t="str">
        <x:v>Intermediate</x:v>
      </x:c>
      <x:c r="F981" t="str">
        <x:v>Standard</x:v>
      </x:c>
      <x:c r="G981" t="n">
        <x:v>42285</x:v>
      </x:c>
      <x:c r="H981" t="str">
        <x:v>9720</x:v>
      </x:c>
      <x:c r="I981" t="str">
        <x:v>https://www.smwcentral.net/?a=details&amp;id=9720&amp;p=section</x:v>
      </x:c>
      <x:c r="J981" t="str">
        <x:v>https://dl.smwcentral.net/9720/Mario%20in%20midgard.zip</x:v>
      </x:c>
    </x:row>
    <x:row r="982">
      <x:c r="A982" t="str">
        <x:v>Mario In Mushroom Rix Land</x:v>
      </x:c>
      <x:c r="B982" t="str">
        <x:v>Mario In Mushroom Rix Land</x:v>
      </x:c>
      <x:c r="C982" t="str">
        <x:v>Enan63</x:v>
      </x:c>
      <x:c r="D982" t="n">
        <x:v>32</x:v>
      </x:c>
      <x:c r="E982" t="str">
        <x:v>Advanced</x:v>
      </x:c>
      <x:c r="F982" t="str">
        <x:v>Standard</x:v>
      </x:c>
      <x:c r="G982" t="n">
        <x:v>44102</x:v>
      </x:c>
      <x:c r="H982" t="str">
        <x:v>24685</x:v>
      </x:c>
      <x:c r="I982" t="str">
        <x:v>https://www.smwcentral.net/?a=details&amp;id=24685&amp;p=section</x:v>
      </x:c>
      <x:c r="J982" t="str">
        <x:v>https://dl.smwcentral.net/24685/Mario%20in%20Mushroom%20Rix%20Land.zip</x:v>
      </x:c>
    </x:row>
    <x:row r="983">
      <x:c r="A983" t="str">
        <x:v>Mario In Mushroom Rix Land 2 Gimmicky Island</x:v>
      </x:c>
      <x:c r="B983" t="str">
        <x:v>Mario In Mushroom Rix Land 2 Gimmicky Island</x:v>
      </x:c>
      <x:c r="C983" t="str">
        <x:v>Enan63</x:v>
      </x:c>
      <x:c r="D983" t="n">
        <x:v>13</x:v>
      </x:c>
      <x:c r="E983" t="str">
        <x:v>Intermediate</x:v>
      </x:c>
      <x:c r="F983" t="str">
        <x:v>Standard</x:v>
      </x:c>
      <x:c r="G983" t="n">
        <x:v>44193</x:v>
      </x:c>
      <x:c r="H983" t="str">
        <x:v>25552</x:v>
      </x:c>
      <x:c r="I983" t="str">
        <x:v>https://www.smwcentral.net/?a=details&amp;id=25552&amp;p=section</x:v>
      </x:c>
      <x:c r="J983" t="str">
        <x:v>https://dl.smwcentral.net/25552/Mario%20in%20Mushroom%20Rix%20Land%202.zip</x:v>
      </x:c>
    </x:row>
    <x:row r="984">
      <x:c r="A984" t="str">
        <x:v>Mario In Mushroom Rix Land 3 Master Thwomps Avenge</x:v>
      </x:c>
      <x:c r="B984" t="str">
        <x:v>Mario In Mushroom Rix Land 3 Master Thwomps Avenge</x:v>
      </x:c>
      <x:c r="C984" t="str">
        <x:v>Enan63</x:v>
      </x:c>
      <x:c r="D984" t="n">
        <x:v>42</x:v>
      </x:c>
      <x:c r="E984" t="str">
        <x:v>Advanced</x:v>
      </x:c>
      <x:c r="F984" t="str">
        <x:v>Standard</x:v>
      </x:c>
      <x:c r="G984" t="n">
        <x:v>44452</x:v>
      </x:c>
      <x:c r="H984" t="str">
        <x:v>28229</x:v>
      </x:c>
      <x:c r="I984" t="str">
        <x:v>https://www.smwcentral.net/?a=details&amp;id=28229&amp;p=section</x:v>
      </x:c>
      <x:c r="J984" t="str">
        <x:v>https://dl.smwcentral.net/28229/Mario%20in%20Mushroom%20Rix%20Land%203.zip</x:v>
      </x:c>
    </x:row>
    <x:row r="985">
      <x:c r="A985" t="str">
        <x:v>Mario In Mushroom Rix Land 4 Trip To Nano Island</x:v>
      </x:c>
      <x:c r="B985" t="str">
        <x:v>Mario In Mushroom Rix Land 4 Trip To Nano Island</x:v>
      </x:c>
      <x:c r="C985" t="str">
        <x:v>Enan63</x:v>
      </x:c>
      <x:c r="D985" t="n">
        <x:v>50</x:v>
      </x:c>
      <x:c r="E985" t="str">
        <x:v>Advanced</x:v>
      </x:c>
      <x:c r="F985" t="str">
        <x:v>Standard</x:v>
      </x:c>
      <x:c r="G985" t="n">
        <x:v>45320</x:v>
      </x:c>
      <x:c r="H985" t="str">
        <x:v>35757</x:v>
      </x:c>
      <x:c r="I985" t="str">
        <x:v>https://www.smwcentral.net/?a=details&amp;id=35757&amp;p=section</x:v>
      </x:c>
      <x:c r="J985" t="str">
        <x:v>https://dl.smwcentral.net/35757/MIMRL4%20Trip%20To%20Nano%20Island.zip</x:v>
      </x:c>
    </x:row>
    <x:row r="986">
      <x:c r="A986" t="str">
        <x:v>Mario In Mushroom Rix Land 5</x:v>
      </x:c>
      <x:c r="B986" t="str">
        <x:v>Mario In Mushroom Rix Land 5</x:v>
      </x:c>
      <x:c r="C986" t="str">
        <x:v>Enan63</x:v>
      </x:c>
      <x:c r="D986" t="n">
        <x:v>4</x:v>
      </x:c>
      <x:c r="E986" t="str">
        <x:v>Intermediate</x:v>
      </x:c>
      <x:c r="F986" t="str">
        <x:v>Standard</x:v>
      </x:c>
      <x:c r="G986" t="n">
        <x:v>45540</x:v>
      </x:c>
      <x:c r="H986" t="str">
        <x:v>38322</x:v>
      </x:c>
      <x:c r="I986" t="str">
        <x:v>https://www.smwcentral.net/?a=details&amp;id=38322&amp;p=section</x:v>
      </x:c>
      <x:c r="J986" t="str">
        <x:v>https://dl.smwcentral.net/38322/Mario%20In%20Mushroom%20Rix%20Land%205%20C3%20Summer%202024%20Demo%20%28Version%201.1%20Update%21%29.zip</x:v>
      </x:c>
    </x:row>
    <x:row r="987">
      <x:c r="A987" t="str">
        <x:v>Mario in Neb's Land</x:v>
      </x:c>
      <x:c r="B987" t="str">
        <x:v>Mario in Neb's Land</x:v>
      </x:c>
      <x:c r="C987" t="str">
        <x:v>darken</x:v>
      </x:c>
      <x:c r="D987" t="n">
        <x:v>5</x:v>
      </x:c>
      <x:c r="E987" t="str">
        <x:v>Advanced</x:v>
      </x:c>
      <x:c r="F987" t="str">
        <x:v>Standard</x:v>
      </x:c>
      <x:c r="G987" t="n">
        <x:v>42629</x:v>
      </x:c>
      <x:c r="H987" t="str">
        <x:v>14422</x:v>
      </x:c>
      <x:c r="I987" t="str">
        <x:v>https://www.smwcentral.net/?a=details&amp;id=14422&amp;p=section</x:v>
      </x:c>
      <x:c r="J987" t="str">
        <x:v>https://dl.smwcentral.net/14422/MNL.zip</x:v>
      </x:c>
    </x:row>
    <x:row r="988">
      <x:c r="A988" t="str">
        <x:v>Mario in Search of the Rest</x:v>
      </x:c>
      <x:c r="B988" t="str">
        <x:v>Mario in Search of the Rest</x:v>
      </x:c>
      <x:c r="C988" t="str">
        <x:v>MirrorReflect</x:v>
      </x:c>
      <x:c r="D988" t="n">
        <x:v>11</x:v>
      </x:c>
      <x:c r="E988" t="str">
        <x:v>Casual</x:v>
      </x:c>
      <x:c r="F988" t="str">
        <x:v>Standard</x:v>
      </x:c>
      <x:c r="G988" t="n">
        <x:v>43907</x:v>
      </x:c>
      <x:c r="H988" t="str">
        <x:v>22397</x:v>
      </x:c>
      <x:c r="I988" t="str">
        <x:v>https://www.smwcentral.net/?a=details&amp;id=22397&amp;p=section</x:v>
      </x:c>
      <x:c r="J988" t="str">
        <x:v>https://dl.smwcentral.net/22397/MarioInSearchOfTheRest.zip</x:v>
      </x:c>
    </x:row>
    <x:row r="989">
      <x:c r="A989" t="str">
        <x:v>Mario In The World Of Matik</x:v>
      </x:c>
      <x:c r="B989" t="str">
        <x:v>Mario In The World Of Matik</x:v>
      </x:c>
      <x:c r="C989" t="str">
        <x:v>Red Chameleon</x:v>
      </x:c>
      <x:c r="D989" t="n">
        <x:v>26</x:v>
      </x:c>
      <x:c r="E989" t="str">
        <x:v>Casual</x:v>
      </x:c>
      <x:c r="F989" t="str">
        <x:v>Standard</x:v>
      </x:c>
      <x:c r="G989" t="n">
        <x:v>42339</x:v>
      </x:c>
      <x:c r="H989" t="str">
        <x:v>9828</x:v>
      </x:c>
      <x:c r="I989" t="str">
        <x:v>https://www.smwcentral.net/?a=details&amp;id=9828&amp;p=section</x:v>
      </x:c>
      <x:c r="J989" t="str">
        <x:v>https://dl.smwcentral.net/9828/Mario%20in%20the%20World%20of%20Matik%20-%20Demo%203.zip</x:v>
      </x:c>
    </x:row>
    <x:row r="990">
      <x:c r="A990" t="str">
        <x:v>Mario in the Yoshis' Heartland</x:v>
      </x:c>
      <x:c r="B990" t="str">
        <x:v>Mario in the Yoshis' Heartland</x:v>
      </x:c>
      <x:c r="C990" t="str">
        <x:v>Hach</x:v>
      </x:c>
      <x:c r="D990" t="n">
        <x:v>8</x:v>
      </x:c>
      <x:c r="E990" t="str">
        <x:v>Casual</x:v>
      </x:c>
      <x:c r="F990" t="str">
        <x:v>Standard</x:v>
      </x:c>
      <x:c r="G990" t="n">
        <x:v>41450</x:v>
      </x:c>
      <x:c r="H990" t="str">
        <x:v>4996</x:v>
      </x:c>
      <x:c r="I990" t="str">
        <x:v>https://www.smwcentral.net/?a=details&amp;id=4996&amp;p=section</x:v>
      </x:c>
      <x:c r="J990" t="str">
        <x:v>https://dl.smwcentral.net/4996/MitYH.zip</x:v>
      </x:c>
    </x:row>
    <x:row r="991">
      <x:c r="A991" t="str">
        <x:v>Mario in Whatever Land</x:v>
      </x:c>
      <x:c r="B991" t="str">
        <x:v>Mario in Whatever Land</x:v>
      </x:c>
      <x:c r="C991" t="str">
        <x:v>niko</x:v>
      </x:c>
      <x:c r="D991" t="n">
        <x:v>8</x:v>
      </x:c>
      <x:c r="E991" t="str">
        <x:v>Intermediate</x:v>
      </x:c>
      <x:c r="F991" t="str">
        <x:v>Standard</x:v>
      </x:c>
      <x:c r="G991" t="n">
        <x:v>42691</x:v>
      </x:c>
      <x:c r="H991" t="str">
        <x:v>14633</x:v>
      </x:c>
      <x:c r="I991" t="str">
        <x:v>https://www.smwcentral.net/?a=details&amp;id=14633&amp;p=section</x:v>
      </x:c>
      <x:c r="J991" t="str">
        <x:v>https://dl.smwcentral.net/14633/Mario%20in%20Whatever%20Land%20%28V.0.11%29.zip</x:v>
      </x:c>
    </x:row>
    <x:row r="992">
      <x:c r="A992" t="str">
        <x:v>Mario into Megaman</x:v>
      </x:c>
      <x:c r="B992" t="str">
        <x:v>Mario into Megaman</x:v>
      </x:c>
      <x:c r="C992" t="str">
        <x:v>Jimmy, That Guy</x:v>
      </x:c>
      <x:c r="D992" t="n">
        <x:v>96</x:v>
      </x:c>
      <x:c r="E992" t="str">
        <x:v>Casual</x:v>
      </x:c>
      <x:c r="F992" t="str">
        <x:v>Standard</x:v>
      </x:c>
      <x:c r="G992" t="n">
        <x:v>42010</x:v>
      </x:c>
      <x:c r="H992" t="str">
        <x:v>9645</x:v>
      </x:c>
      <x:c r="I992" t="str">
        <x:v>https://www.smwcentral.net/?a=details&amp;id=9645&amp;p=section</x:v>
      </x:c>
      <x:c r="J992" t="str">
        <x:v>https://dl.smwcentral.net/9645/Mario%20Into%20Megaman%202.0.zip</x:v>
      </x:c>
    </x:row>
    <x:row r="993">
      <x:c r="A993" t="str">
        <x:v>Mario is looking for the Golden Pizzaland</x:v>
      </x:c>
      <x:c r="B993" t="str">
        <x:v>Mario is looking for the Golden Pizzaland</x:v>
      </x:c>
      <x:c r="C993" t="str">
        <x:v>Saibot1997</x:v>
      </x:c>
      <x:c r="D993" t="n">
        <x:v>52</x:v>
      </x:c>
      <x:c r="E993" t="str">
        <x:v>Casual</x:v>
      </x:c>
      <x:c r="F993" t="str">
        <x:v>Standard</x:v>
      </x:c>
      <x:c r="G993" t="n">
        <x:v>45351</x:v>
      </x:c>
      <x:c r="H993" t="str">
        <x:v>35668</x:v>
      </x:c>
      <x:c r="I993" t="str">
        <x:v>https://www.smwcentral.net/?a=details&amp;id=35668&amp;p=section</x:v>
      </x:c>
      <x:c r="J993" t="str">
        <x:v>https://dl.smwcentral.net/35668/MarioGoldenPizza.zip</x:v>
      </x:c>
    </x:row>
    <x:row r="994">
      <x:c r="A994" t="str">
        <x:v>Mario Is Missing 3: Mario's Wreck</x:v>
      </x:c>
      <x:c r="B994" t="str">
        <x:v>Mario Is Missing 3: Mario's Wreck</x:v>
      </x:c>
      <x:c r="C994" t="str">
        <x:v>MetalUpYourAss</x:v>
      </x:c>
      <x:c r="D994" t="n">
        <x:v>3</x:v>
      </x:c>
      <x:c r="E994" t="str">
        <x:v>Newcomer</x:v>
      </x:c>
      <x:c r="F994" t="str">
        <x:v>Standard</x:v>
      </x:c>
      <x:c r="G994" t="n">
        <x:v>42135</x:v>
      </x:c>
      <x:c r="H994" t="str">
        <x:v>10068</x:v>
      </x:c>
      <x:c r="I994" t="str">
        <x:v>https://www.smwcentral.net/?a=details&amp;id=10068&amp;p=section</x:v>
      </x:c>
      <x:c r="J994" t="str">
        <x:v>https://dl.smwcentral.net/10068/M%20Is%20Missing%203.zip</x:v>
      </x:c>
    </x:row>
    <x:row r="995">
      <x:c r="A995" t="str">
        <x:v>Mario is Missing! Done Right</x:v>
      </x:c>
      <x:c r="B995" t="str">
        <x:v>Mario is Missing! Done Right</x:v>
      </x:c>
      <x:c r="C995" t="str">
        <x:v>Gamma V</x:v>
      </x:c>
      <x:c r="D995" t="n">
        <x:v>90</x:v>
      </x:c>
      <x:c r="E995" t="str">
        <x:v>Casual</x:v>
      </x:c>
      <x:c r="F995" t="str">
        <x:v>Standard</x:v>
      </x:c>
      <x:c r="G995" t="n">
        <x:v>42939</x:v>
      </x:c>
      <x:c r="H995" t="str">
        <x:v>15939</x:v>
      </x:c>
      <x:c r="I995" t="str">
        <x:v>https://www.smwcentral.net/?a=details&amp;id=15939&amp;p=section</x:v>
      </x:c>
      <x:c r="J995" t="str">
        <x:v>https://dl.smwcentral.net/15939/MIMFixedIntros.zip</x:v>
      </x:c>
    </x:row>
    <x:row r="996">
      <x:c r="A996" t="str">
        <x:v>Mario is Missing... again</x:v>
      </x:c>
      <x:c r="B996" t="str">
        <x:v>Mario is Missing... again</x:v>
      </x:c>
      <x:c r="C996" t="str">
        <x:v>B.B.Link</x:v>
      </x:c>
      <x:c r="D996" t="n">
        <x:v>13</x:v>
      </x:c>
      <x:c r="E996" t="str">
        <x:v>Newcomer</x:v>
      </x:c>
      <x:c r="F996" t="str">
        <x:v>Standard</x:v>
      </x:c>
      <x:c r="G996" t="n">
        <x:v>42306</x:v>
      </x:c>
      <x:c r="H996" t="str">
        <x:v>10197</x:v>
      </x:c>
      <x:c r="I996" t="str">
        <x:v>https://www.smwcentral.net/?a=details&amp;id=10197&amp;p=section</x:v>
      </x:c>
      <x:c r="J996" t="str">
        <x:v>https://dl.smwcentral.net/10197/Alt%20Mario%20is%20Missing%202.zip</x:v>
      </x:c>
    </x:row>
    <x:row r="997">
      <x:c r="A997" t="str">
        <x:v>Mario is Screwed</x:v>
      </x:c>
      <x:c r="B997" t="str">
        <x:v>Mario is Screwed</x:v>
      </x:c>
      <x:c r="C997" t="str">
        <x:v>Sixcorby</x:v>
      </x:c>
      <x:c r="D997" t="n">
        <x:v>9</x:v>
      </x:c>
      <x:c r="E997" t="str">
        <x:v>Advanced</x:v>
      </x:c>
      <x:c r="F997" t="str">
        <x:v>Kaizo, Tool-Assisted</x:v>
      </x:c>
      <x:c r="G997" t="n">
        <x:v>42960</x:v>
      </x:c>
      <x:c r="H997" t="str">
        <x:v>15922</x:v>
      </x:c>
      <x:c r="I997" t="str">
        <x:v>https://www.smwcentral.net/?a=details&amp;id=15922&amp;p=section</x:v>
      </x:c>
      <x:c r="J997" t="str">
        <x:v>https://dl.smwcentral.net/15922/marioisscrewed.zip</x:v>
      </x:c>
    </x:row>
    <x:row r="998">
      <x:c r="A998" t="str">
        <x:v>Mario is Sick!</x:v>
      </x:c>
      <x:c r="B998" t="str">
        <x:v>Mario is Sick!</x:v>
      </x:c>
      <x:c r="C998" t="str">
        <x:v>Corruptendo</x:v>
      </x:c>
      <x:c r="D998" t="n">
        <x:v>4</x:v>
      </x:c>
      <x:c r="E998" t="str">
        <x:v>Newcomer</x:v>
      </x:c>
      <x:c r="F998" t="str">
        <x:v>Standard</x:v>
      </x:c>
      <x:c r="G998" t="n">
        <x:v>42125</x:v>
      </x:c>
      <x:c r="H998" t="str">
        <x:v>10154</x:v>
      </x:c>
      <x:c r="I998" t="str">
        <x:v>https://www.smwcentral.net/?a=details&amp;id=10154&amp;p=section</x:v>
      </x:c>
      <x:c r="J998" t="str">
        <x:v>https://dl.smwcentral.net/10154/Mario%20Is%20Sick%21%20V.6.zip</x:v>
      </x:c>
    </x:row>
    <x:row r="999">
      <x:c r="A999" t="str">
        <x:v>Mario is Stupid</x:v>
      </x:c>
      <x:c r="B999" t="str">
        <x:v>Mario is Stupid</x:v>
      </x:c>
      <x:c r="C999" t="str">
        <x:v>Sokobansolver</x:v>
      </x:c>
      <x:c r="D999" t="n">
        <x:v>12</x:v>
      </x:c>
      <x:c r="E999" t="str">
        <x:v>Grandmaster</x:v>
      </x:c>
      <x:c r="F999" t="str">
        <x:v>Kaizo</x:v>
      </x:c>
      <x:c r="G999" t="n">
        <x:v>42722</x:v>
      </x:c>
      <x:c r="H999" t="str">
        <x:v>14712</x:v>
      </x:c>
      <x:c r="I999" t="str">
        <x:v>https://www.smwcentral.net/?a=details&amp;id=14712&amp;p=section</x:v>
      </x:c>
      <x:c r="J999" t="str">
        <x:v>https://dl.smwcentral.net/14712/Mario_is_Stupid.zip</x:v>
      </x:c>
    </x:row>
    <x:row r="1000">
      <x:c r="A1000" t="str">
        <x:v>Mario is too casual</x:v>
      </x:c>
      <x:c r="B1000" t="str">
        <x:v>Mario is too casual</x:v>
      </x:c>
      <x:c r="C1000" t="str">
        <x:v>ocked</x:v>
      </x:c>
      <x:c r="D1000" t="n">
        <x:v>18</x:v>
      </x:c>
      <x:c r="E1000" t="str">
        <x:v>Expert</x:v>
      </x:c>
      <x:c r="F1000" t="str">
        <x:v>Kaizo</x:v>
      </x:c>
      <x:c r="G1000" t="n">
        <x:v>44880</x:v>
      </x:c>
      <x:c r="H1000" t="str">
        <x:v>32566</x:v>
      </x:c>
      <x:c r="I1000" t="str">
        <x:v>https://www.smwcentral.net/?a=details&amp;id=32566&amp;p=section</x:v>
      </x:c>
      <x:c r="J1000" t="str">
        <x:v>https://dl.smwcentral.net/32566/v1.1.zip</x:v>
      </x:c>
    </x:row>
    <x:row r="1001">
      <x:c r="A1001" t="str">
        <x:v>Mario Keymanship</x:v>
      </x:c>
      <x:c r="B1001" t="str">
        <x:v>Mario Keymanship</x:v>
      </x:c>
      <x:c r="C1001" t="str">
        <x:v>ageVerrly</x:v>
      </x:c>
      <x:c r="D1001" t="n">
        <x:v>6</x:v>
      </x:c>
      <x:c r="E1001" t="str">
        <x:v>Master</x:v>
      </x:c>
      <x:c r="F1001" t="str">
        <x:v>Kaizo</x:v>
      </x:c>
      <x:c r="G1001" t="n">
        <x:v>44620</x:v>
      </x:c>
      <x:c r="H1001" t="str">
        <x:v>29650</x:v>
      </x:c>
      <x:c r="I1001" t="str">
        <x:v>https://www.smwcentral.net/?a=details&amp;id=29650&amp;p=section</x:v>
      </x:c>
      <x:c r="J1001" t="str">
        <x:v>https://dl.smwcentral.net/29650/keymanship.zip</x:v>
      </x:c>
    </x:row>
    <x:row r="1002">
      <x:c r="A1002" t="str">
        <x:v>Mario Kick World</x:v>
      </x:c>
      <x:c r="B1002" t="str">
        <x:v>Mario Kick World</x:v>
      </x:c>
      <x:c r="C1002" t="str">
        <x:v>Yagami</x:v>
      </x:c>
      <x:c r="D1002" t="n">
        <x:v>4</x:v>
      </x:c>
      <x:c r="E1002" t="str">
        <x:v>Expert</x:v>
      </x:c>
      <x:c r="F1002" t="str">
        <x:v>Kaizo</x:v>
      </x:c>
      <x:c r="G1002" t="n">
        <x:v>43459</x:v>
      </x:c>
      <x:c r="H1002" t="str">
        <x:v>18714</x:v>
      </x:c>
      <x:c r="I1002" t="str">
        <x:v>https://www.smwcentral.net/?a=details&amp;id=18714&amp;p=section</x:v>
      </x:c>
      <x:c r="J1002" t="str">
        <x:v>https://dl.smwcentral.net/18714/Mario%20Kick%20World%20Demo.zip</x:v>
      </x:c>
    </x:row>
    <x:row r="1003">
      <x:c r="A1003" t="str">
        <x:v>Mario Left the Garage Door Open Again</x:v>
      </x:c>
      <x:c r="B1003" t="str">
        <x:v>Mario Left the Garage Door Open Again</x:v>
      </x:c>
      <x:c r="C1003" t="str">
        <x:v>Lizstar</x:v>
      </x:c>
      <x:c r="D1003" t="n">
        <x:v>20</x:v>
      </x:c>
      <x:c r="E1003" t="str">
        <x:v>Expert</x:v>
      </x:c>
      <x:c r="F1003" t="str">
        <x:v>Kaizo</x:v>
      </x:c>
      <x:c r="G1003" t="n">
        <x:v>43984</x:v>
      </x:c>
      <x:c r="H1003" t="str">
        <x:v>23172</x:v>
      </x:c>
      <x:c r="I1003" t="str">
        <x:v>https://www.smwcentral.net/?a=details&amp;id=23172&amp;p=section</x:v>
      </x:c>
      <x:c r="J1003" t="str">
        <x:v>https://dl.smwcentral.net/23172/Mario%20Left%20The%20Garage%20Door%20Open%20Again.zip</x:v>
      </x:c>
    </x:row>
    <x:row r="1004">
      <x:c r="A1004" t="str">
        <x:v>Mario Lost in the Fruit Cave</x:v>
      </x:c>
      <x:c r="B1004" t="str">
        <x:v>Mario Lost in the Fruit Cave</x:v>
      </x:c>
      <x:c r="C1004" t="str">
        <x:v>mario and luigi</x:v>
      </x:c>
      <x:c r="D1004" t="n">
        <x:v>11</x:v>
      </x:c>
      <x:c r="E1004" t="str">
        <x:v>Casual</x:v>
      </x:c>
      <x:c r="F1004" t="str">
        <x:v>Standard</x:v>
      </x:c>
      <x:c r="G1004" t="n">
        <x:v>42062</x:v>
      </x:c>
      <x:c r="H1004" t="str">
        <x:v>10949</x:v>
      </x:c>
      <x:c r="I1004" t="str">
        <x:v>https://www.smwcentral.net/?a=details&amp;id=10949&amp;p=section</x:v>
      </x:c>
      <x:c r="J1004" t="str">
        <x:v>https://dl.smwcentral.net/10949/fruitcave.zip</x:v>
      </x:c>
    </x:row>
    <x:row r="1005">
      <x:c r="A1005" t="str">
        <x:v>Mario Mania [SMWC #22072]</x:v>
      </x:c>
      <x:c r="B1005" t="str">
        <x:v>Mario Mania</x:v>
      </x:c>
      <x:c r="C1005" t="str">
        <x:v>BlooberryPi</x:v>
      </x:c>
      <x:c r="D1005" t="n">
        <x:v>10</x:v>
      </x:c>
      <x:c r="E1005" t="str">
        <x:v>Expert</x:v>
      </x:c>
      <x:c r="F1005" t="str">
        <x:v>Kaizo</x:v>
      </x:c>
      <x:c r="G1005" t="n">
        <x:v>43870</x:v>
      </x:c>
      <x:c r="H1005" t="str">
        <x:v>22072</x:v>
      </x:c>
      <x:c r="I1005" t="str">
        <x:v>https://www.smwcentral.net/?a=details&amp;id=22072&amp;p=section</x:v>
      </x:c>
      <x:c r="J1005" t="str">
        <x:v>https://dl.smwcentral.net/22072/Mario%20Mania%201.1.zip</x:v>
      </x:c>
    </x:row>
    <x:row r="1006">
      <x:c r="A1006" t="str">
        <x:v>Mario Mania [SMWC #34594]</x:v>
      </x:c>
      <x:c r="B1006" t="str">
        <x:v>Mario Mania</x:v>
      </x:c>
      <x:c r="C1006" t="str">
        <x:v>Hammerer</x:v>
      </x:c>
      <x:c r="D1006" t="n">
        <x:v>15</x:v>
      </x:c>
      <x:c r="E1006" t="str">
        <x:v>Intermediate</x:v>
      </x:c>
      <x:c r="F1006" t="str">
        <x:v>Standard</x:v>
      </x:c>
      <x:c r="G1006" t="n">
        <x:v>45144</x:v>
      </x:c>
      <x:c r="H1006" t="str">
        <x:v>34594</x:v>
      </x:c>
      <x:c r="I1006" t="str">
        <x:v>https://www.smwcentral.net/?a=details&amp;id=34594&amp;p=section</x:v>
      </x:c>
      <x:c r="J1006" t="str">
        <x:v>https://dl.smwcentral.net/34594/M.Mania.zip</x:v>
      </x:c>
    </x:row>
    <x:row r="1007">
      <x:c r="A1007" t="str">
        <x:v>Mario Mario Mario</x:v>
      </x:c>
      <x:c r="B1007" t="str">
        <x:v>Mario Mario Mario</x:v>
      </x:c>
      <x:c r="C1007" t="str">
        <x:v>BlueSkye209</x:v>
      </x:c>
      <x:c r="D1007" t="n">
        <x:v>8</x:v>
      </x:c>
      <x:c r="E1007" t="str">
        <x:v>Intermediate</x:v>
      </x:c>
      <x:c r="F1007" t="str">
        <x:v>Standard</x:v>
      </x:c>
      <x:c r="G1007" t="n">
        <x:v>43383</x:v>
      </x:c>
      <x:c r="H1007" t="str">
        <x:v>18257</x:v>
      </x:c>
      <x:c r="I1007" t="str">
        <x:v>https://www.smwcentral.net/?a=details&amp;id=18257&amp;p=section</x:v>
      </x:c>
      <x:c r="J1007" t="str">
        <x:v>https://dl.smwcentral.net/18257/MMM%20Demo.zip</x:v>
      </x:c>
    </x:row>
    <x:row r="1008">
      <x:c r="A1008" t="str">
        <x:v>Mario Mario vs the Crab Army</x:v>
      </x:c>
      <x:c r="B1008" t="str">
        <x:v>Mario Mario vs the Crab Army</x:v>
      </x:c>
      <x:c r="C1008" t="str">
        <x:v>cozyduck</x:v>
      </x:c>
      <x:c r="D1008" t="n">
        <x:v>10</x:v>
      </x:c>
      <x:c r="E1008" t="str">
        <x:v>Master</x:v>
      </x:c>
      <x:c r="F1008" t="str">
        <x:v>Kaizo</x:v>
      </x:c>
      <x:c r="G1008" t="n">
        <x:v>44386</x:v>
      </x:c>
      <x:c r="H1008" t="str">
        <x:v>27426</x:v>
      </x:c>
      <x:c r="I1008" t="str">
        <x:v>https://www.smwcentral.net/?a=details&amp;id=27426&amp;p=section</x:v>
      </x:c>
      <x:c r="J1008" t="str">
        <x:v>https://dl.smwcentral.net/27426/crabs_v1.03.zip</x:v>
      </x:c>
    </x:row>
    <x:row r="1009">
      <x:c r="A1009" t="str">
        <x:v>Mario Mario's Superior Platforming Physics Challenge</x:v>
      </x:c>
      <x:c r="B1009" t="str">
        <x:v>Mario Mario's Superior Platforming Physics Challenge</x:v>
      </x:c>
      <x:c r="C1009" t="str">
        <x:v>Jamie</x:v>
      </x:c>
      <x:c r="D1009" t="n">
        <x:v>4</x:v>
      </x:c>
      <x:c r="E1009" t="str">
        <x:v>Advanced</x:v>
      </x:c>
      <x:c r="F1009" t="str">
        <x:v>Kaizo</x:v>
      </x:c>
      <x:c r="G1009" t="n">
        <x:v>45938</x:v>
      </x:c>
      <x:c r="H1009" t="str">
        <x:v>40735</x:v>
      </x:c>
      <x:c r="I1009" t="str">
        <x:v>https://www.smwcentral.net/?a=details&amp;id=40735&amp;p=section</x:v>
      </x:c>
      <x:c r="J1009" t="str">
        <x:v>https://dl.smwcentral.net/40735/MMSPPC.zip</x:v>
      </x:c>
    </x:row>
    <x:row r="1010">
      <x:c r="A1010" t="str">
        <x:v>Mario Memorandum</x:v>
      </x:c>
      <x:c r="B1010" t="str">
        <x:v>Mario Memorandum</x:v>
      </x:c>
      <x:c r="C1010" t="str">
        <x:v>Buzbee</x:v>
      </x:c>
      <x:c r="D1010" t="n">
        <x:v>15</x:v>
      </x:c>
      <x:c r="E1010" t="str">
        <x:v>Grandmaster</x:v>
      </x:c>
      <x:c r="F1010" t="str">
        <x:v>Kaizo</x:v>
      </x:c>
      <x:c r="G1010" t="n">
        <x:v>44952</x:v>
      </x:c>
      <x:c r="H1010" t="str">
        <x:v>32691</x:v>
      </x:c>
      <x:c r="I1010" t="str">
        <x:v>https://www.smwcentral.net/?a=details&amp;id=32691&amp;p=section</x:v>
      </x:c>
      <x:c r="J1010" t="str">
        <x:v>https://dl.smwcentral.net/32691/Mario%20Memorandum%201.1.zip</x:v>
      </x:c>
    </x:row>
    <x:row r="1011">
      <x:c r="A1011" t="str">
        <x:v>Mario Memorandum: New Game Plus</x:v>
      </x:c>
      <x:c r="B1011" t="str">
        <x:v>Mario Memorandum: New Game Plus</x:v>
      </x:c>
      <x:c r="C1011" t="str">
        <x:v>Buzbee</x:v>
      </x:c>
      <x:c r="D1011" t="n">
        <x:v>15</x:v>
      </x:c>
      <x:c r="E1011" t="str">
        <x:v>Expert</x:v>
      </x:c>
      <x:c r="F1011" t="str">
        <x:v>Kaizo</x:v>
      </x:c>
      <x:c r="G1011" t="n">
        <x:v>44984</x:v>
      </x:c>
      <x:c r="H1011" t="str">
        <x:v>33227</x:v>
      </x:c>
      <x:c r="I1011" t="str">
        <x:v>https://www.smwcentral.net/?a=details&amp;id=33227&amp;p=section</x:v>
      </x:c>
      <x:c r="J1011" t="str">
        <x:v>https://dl.smwcentral.net/33227/MMNGP%201.1.bps.zip</x:v>
      </x:c>
    </x:row>
    <x:row r="1012">
      <x:c r="A1012" t="str">
        <x:v>Mario Mission</x:v>
      </x:c>
      <x:c r="B1012" t="str">
        <x:v>Mario Mission</x:v>
      </x:c>
      <x:c r="C1012" t="str">
        <x:v>jstreet2000</x:v>
      </x:c>
      <x:c r="D1012" t="n">
        <x:v>7</x:v>
      </x:c>
      <x:c r="E1012" t="str">
        <x:v>Advanced</x:v>
      </x:c>
      <x:c r="F1012" t="str">
        <x:v>Kaizo</x:v>
      </x:c>
      <x:c r="G1012" t="n">
        <x:v>44243</x:v>
      </x:c>
      <x:c r="H1012" t="str">
        <x:v>26194</x:v>
      </x:c>
      <x:c r="I1012" t="str">
        <x:v>https://www.smwcentral.net/?a=details&amp;id=26194&amp;p=section</x:v>
      </x:c>
      <x:c r="J1012" t="str">
        <x:v>https://dl.smwcentral.net/26194/Mario%20Mission%201.0.zip</x:v>
      </x:c>
    </x:row>
    <x:row r="1013">
      <x:c r="A1013" t="str">
        <x:v>Mario Must Die (SMWC version)</x:v>
      </x:c>
      <x:c r="B1013" t="str">
        <x:v>Mario Must Die (SMWC version)</x:v>
      </x:c>
      <x:c r="C1013" t="str">
        <x:v>Sokobansolver</x:v>
      </x:c>
      <x:c r="D1013" t="n">
        <x:v>9</x:v>
      </x:c>
      <x:c r="E1013" t="str">
        <x:v>Advanced</x:v>
      </x:c>
      <x:c r="F1013" t="str">
        <x:v>Kaizo, Tool-Assisted</x:v>
      </x:c>
      <x:c r="G1013" t="n">
        <x:v>41917</x:v>
      </x:c>
      <x:c r="H1013" t="str">
        <x:v>9033</x:v>
      </x:c>
      <x:c r="I1013" t="str">
        <x:v>https://www.smwcentral.net/?a=details&amp;id=9033&amp;p=section</x:v>
      </x:c>
      <x:c r="J1013" t="str">
        <x:v>https://dl.smwcentral.net/9033/MarioMustDie.zip</x:v>
      </x:c>
    </x:row>
    <x:row r="1014">
      <x:c r="A1014" t="str">
        <x:v>Mario Must Die 2</x:v>
      </x:c>
      <x:c r="B1014" t="str">
        <x:v>Mario Must Die 2</x:v>
      </x:c>
      <x:c r="C1014" t="str">
        <x:v>Sokobansolver</x:v>
      </x:c>
      <x:c r="D1014" t="n">
        <x:v>9</x:v>
      </x:c>
      <x:c r="E1014" t="str">
        <x:v>Expert</x:v>
      </x:c>
      <x:c r="F1014" t="str">
        <x:v>Kaizo, Tool-Assisted</x:v>
      </x:c>
      <x:c r="G1014" t="n">
        <x:v>42557</x:v>
      </x:c>
      <x:c r="H1014" t="str">
        <x:v>13907</x:v>
      </x:c>
      <x:c r="I1014" t="str">
        <x:v>https://www.smwcentral.net/?a=details&amp;id=13907&amp;p=section</x:v>
      </x:c>
      <x:c r="J1014" t="str">
        <x:v>https://dl.smwcentral.net/13907/MMD2.zip</x:v>
      </x:c>
    </x:row>
    <x:row r="1015">
      <x:c r="A1015" t="str">
        <x:v>Mario No Kumorizora</x:v>
      </x:c>
      <x:c r="B1015" t="str">
        <x:v>Mario No Kumorizora</x:v>
      </x:c>
      <x:c r="C1015" t="str">
        <x:v>Azula16</x:v>
      </x:c>
      <x:c r="D1015" t="n">
        <x:v>18</x:v>
      </x:c>
      <x:c r="E1015" t="str">
        <x:v>Master</x:v>
      </x:c>
      <x:c r="F1015" t="str">
        <x:v>Kaizo</x:v>
      </x:c>
      <x:c r="G1015" t="n">
        <x:v>45705</x:v>
      </x:c>
      <x:c r="H1015" t="str">
        <x:v>39350</x:v>
      </x:c>
      <x:c r="I1015" t="str">
        <x:v>https://www.smwcentral.net/?a=details&amp;id=39350&amp;p=section</x:v>
      </x:c>
      <x:c r="J1015" t="str">
        <x:v>https://dl.smwcentral.net/39350/Kumorizora.zip</x:v>
      </x:c>
    </x:row>
    <x:row r="1016">
      <x:c r="A1016" t="str">
        <x:v>Mario OC</x:v>
      </x:c>
      <x:c r="B1016" t="str">
        <x:v>Mario OC</x:v>
      </x:c>
      <x:c r="C1016" t="str">
        <x:v>elieltonl</x:v>
      </x:c>
      <x:c r="D1016" t="n">
        <x:v>2</x:v>
      </x:c>
      <x:c r="E1016" t="str">
        <x:v>Intermediate</x:v>
      </x:c>
      <x:c r="F1016" t="str">
        <x:v>Kaizo, Tool-Assisted</x:v>
      </x:c>
      <x:c r="G1016" t="n">
        <x:v>44142</x:v>
      </x:c>
      <x:c r="H1016" t="str">
        <x:v>24890</x:v>
      </x:c>
      <x:c r="I1016" t="str">
        <x:v>https://www.smwcentral.net/?a=details&amp;id=24890&amp;p=section</x:v>
      </x:c>
      <x:c r="J1016" t="str">
        <x:v>https://dl.smwcentral.net/24890/MARIO%20OC%20ediitor.zip</x:v>
      </x:c>
    </x:row>
    <x:row r="1017">
      <x:c r="A1017" t="str">
        <x:v>Mario on Ice</x:v>
      </x:c>
      <x:c r="B1017" t="str">
        <x:v>Mario on Ice</x:v>
      </x:c>
      <x:c r="C1017" t="str">
        <x:v>Pureblade</x:v>
      </x:c>
      <x:c r="D1017" t="n">
        <x:v>6</x:v>
      </x:c>
      <x:c r="E1017" t="str">
        <x:v>Casual</x:v>
      </x:c>
      <x:c r="F1017" t="str">
        <x:v>Standard</x:v>
      </x:c>
      <x:c r="G1017" t="n">
        <x:v>42256</x:v>
      </x:c>
      <x:c r="H1017" t="str">
        <x:v>9946</x:v>
      </x:c>
      <x:c r="I1017" t="str">
        <x:v>https://www.smwcentral.net/?a=details&amp;id=9946&amp;p=section</x:v>
      </x:c>
      <x:c r="J1017" t="str">
        <x:v>https://dl.smwcentral.net/9946/Icemario.zip</x:v>
      </x:c>
    </x:row>
    <x:row r="1018">
      <x:c r="A1018" t="str">
        <x:v>Mario on the Moon</x:v>
      </x:c>
      <x:c r="B1018" t="str">
        <x:v>Mario on the Moon</x:v>
      </x:c>
      <x:c r="C1018" t="str">
        <x:v>Boosius</x:v>
      </x:c>
      <x:c r="D1018" t="n">
        <x:v>2</x:v>
      </x:c>
      <x:c r="E1018" t="str">
        <x:v>Advanced</x:v>
      </x:c>
      <x:c r="F1018" t="str">
        <x:v>Kaizo</x:v>
      </x:c>
      <x:c r="G1018" t="n">
        <x:v>44456</x:v>
      </x:c>
      <x:c r="H1018" t="str">
        <x:v>28324</x:v>
      </x:c>
      <x:c r="I1018" t="str">
        <x:v>https://www.smwcentral.net/?a=details&amp;id=28324&amp;p=section</x:v>
      </x:c>
      <x:c r="J1018" t="str">
        <x:v>https://dl.smwcentral.net/28324/Mario%20On%20The%20Moon.zip</x:v>
      </x:c>
    </x:row>
    <x:row r="1019">
      <x:c r="A1019" t="str">
        <x:v>Mario Quits</x:v>
      </x:c>
      <x:c r="B1019" t="str">
        <x:v>Mario Quits</x:v>
      </x:c>
      <x:c r="C1019" t="str">
        <x:v>DasFueller</x:v>
      </x:c>
      <x:c r="D1019" t="n">
        <x:v>17</x:v>
      </x:c>
      <x:c r="E1019" t="str">
        <x:v>Expert</x:v>
      </x:c>
      <x:c r="F1019" t="str">
        <x:v>Kaizo</x:v>
      </x:c>
      <x:c r="G1019" t="n">
        <x:v>44753</x:v>
      </x:c>
      <x:c r="H1019" t="str">
        <x:v>31372</x:v>
      </x:c>
      <x:c r="I1019" t="str">
        <x:v>https://www.smwcentral.net/?a=details&amp;id=31372&amp;p=section</x:v>
      </x:c>
      <x:c r="J1019" t="str">
        <x:v>https://dl.smwcentral.net/31372/Mario_Quits_1.0.zip</x:v>
      </x:c>
    </x:row>
    <x:row r="1020">
      <x:c r="A1020" t="str">
        <x:v>Mario Quits 2</x:v>
      </x:c>
      <x:c r="B1020" t="str">
        <x:v>Mario Quits 2</x:v>
      </x:c>
      <x:c r="C1020" t="str">
        <x:v>DasFueller</x:v>
      </x:c>
      <x:c r="D1020" t="n">
        <x:v>16</x:v>
      </x:c>
      <x:c r="E1020" t="str">
        <x:v>Expert</x:v>
      </x:c>
      <x:c r="F1020" t="str">
        <x:v>Kaizo</x:v>
      </x:c>
      <x:c r="G1020" t="n">
        <x:v>45991</x:v>
      </x:c>
      <x:c r="H1020" t="str">
        <x:v>41121</x:v>
      </x:c>
      <x:c r="I1020" t="str">
        <x:v>https://www.smwcentral.net/?a=details&amp;id=41121&amp;p=section</x:v>
      </x:c>
      <x:c r="J1020" t="str">
        <x:v>https://dl.smwcentral.net/41121/MQ2_v1_2.zip</x:v>
      </x:c>
    </x:row>
    <x:row r="1021">
      <x:c r="A1021" t="str">
        <x:v>Mario Rescues 4th Of July</x:v>
      </x:c>
      <x:c r="B1021" t="str">
        <x:v>Mario Rescues 4th Of July</x:v>
      </x:c>
      <x:c r="C1021" t="str">
        <x:v>El Cuh Fermin</x:v>
      </x:c>
      <x:c r="D1021" t="n">
        <x:v>9</x:v>
      </x:c>
      <x:c r="E1021" t="str">
        <x:v>Newcomer</x:v>
      </x:c>
      <x:c r="F1021" t="str">
        <x:v>Standard</x:v>
      </x:c>
      <x:c r="G1021" t="n">
        <x:v>44018</x:v>
      </x:c>
      <x:c r="H1021" t="str">
        <x:v>23536</x:v>
      </x:c>
      <x:c r="I1021" t="str">
        <x:v>https://www.smwcentral.net/?a=details&amp;id=23536&amp;p=section</x:v>
      </x:c>
      <x:c r="J1021" t="str">
        <x:v>https://dl.smwcentral.net/23536/Mario%20Rescues%204th%20Of%20July.zip</x:v>
      </x:c>
    </x:row>
    <x:row r="1022">
      <x:c r="A1022" t="str">
        <x:v>Mario Rescues Santa Claus</x:v>
      </x:c>
      <x:c r="B1022" t="str">
        <x:v>Mario Rescues Santa Claus</x:v>
      </x:c>
      <x:c r="C1022" t="str">
        <x:v>Green Jerry</x:v>
      </x:c>
      <x:c r="D1022" t="n">
        <x:v>33</x:v>
      </x:c>
      <x:c r="E1022" t="str">
        <x:v>Intermediate</x:v>
      </x:c>
      <x:c r="F1022" t="str">
        <x:v>Standard</x:v>
      </x:c>
      <x:c r="G1022" t="n">
        <x:v>44923</x:v>
      </x:c>
      <x:c r="H1022" t="str">
        <x:v>32809</x:v>
      </x:c>
      <x:c r="I1022" t="str">
        <x:v>https://www.smwcentral.net/?a=details&amp;id=32809&amp;p=section</x:v>
      </x:c>
      <x:c r="J1022" t="str">
        <x:v>https://dl.smwcentral.net/32809/Mario%20Rescues%20Santa%20Claus%20%28V1.0.2%29.zip</x:v>
      </x:c>
    </x:row>
    <x:row r="1023">
      <x:c r="A1023" t="str">
        <x:v>Mario Rescues the Golden Mushroom</x:v>
      </x:c>
      <x:c r="B1023" t="str">
        <x:v>Mario Rescues the Golden Mushroom</x:v>
      </x:c>
      <x:c r="C1023" t="str">
        <x:v>Green Jerry</x:v>
      </x:c>
      <x:c r="D1023" t="n">
        <x:v>42</x:v>
      </x:c>
      <x:c r="E1023" t="str">
        <x:v>Casual</x:v>
      </x:c>
      <x:c r="F1023" t="str">
        <x:v>Standard</x:v>
      </x:c>
      <x:c r="G1023" t="n">
        <x:v>43690</x:v>
      </x:c>
      <x:c r="H1023" t="str">
        <x:v>20754</x:v>
      </x:c>
      <x:c r="I1023" t="str">
        <x:v>https://www.smwcentral.net/?a=details&amp;id=20754&amp;p=section</x:v>
      </x:c>
      <x:c r="J1023" t="str">
        <x:v>https://dl.smwcentral.net/20754/Mario%20Rescues%20the%20Golden%20Mushroom%20V1.1.4.zip</x:v>
      </x:c>
    </x:row>
    <x:row r="1024">
      <x:c r="A1024" t="str">
        <x:v>Mario Returns To Yoshi's Island</x:v>
      </x:c>
      <x:c r="B1024" t="str">
        <x:v>Mario Returns To Yoshi's Island</x:v>
      </x:c>
      <x:c r="C1024" t="str">
        <x:v>supernova38</x:v>
      </x:c>
      <x:c r="D1024" t="n">
        <x:v>12</x:v>
      </x:c>
      <x:c r="E1024" t="str">
        <x:v>Newcomer</x:v>
      </x:c>
      <x:c r="F1024" t="str">
        <x:v>Standard</x:v>
      </x:c>
      <x:c r="G1024" t="n">
        <x:v>41626</x:v>
      </x:c>
      <x:c r="H1024" t="str">
        <x:v>5982</x:v>
      </x:c>
      <x:c r="I1024" t="str">
        <x:v>https://www.smwcentral.net/?a=details&amp;id=5982&amp;p=section</x:v>
      </x:c>
      <x:c r="J1024" t="str">
        <x:v>https://dl.smwcentral.net/5982/MRTYI%20demo.zip</x:v>
      </x:c>
    </x:row>
    <x:row r="1025">
      <x:c r="A1025" t="str">
        <x:v>Mario Saves Christmas</x:v>
      </x:c>
      <x:c r="B1025" t="str">
        <x:v>Mario Saves Christmas</x:v>
      </x:c>
      <x:c r="C1025" t="str">
        <x:v>Green Jerry</x:v>
      </x:c>
      <x:c r="D1025" t="n">
        <x:v>13</x:v>
      </x:c>
      <x:c r="E1025" t="str">
        <x:v>Casual</x:v>
      </x:c>
      <x:c r="F1025" t="str">
        <x:v>Standard</x:v>
      </x:c>
      <x:c r="G1025" t="n">
        <x:v>43823</x:v>
      </x:c>
      <x:c r="H1025" t="str">
        <x:v>21687</x:v>
      </x:c>
      <x:c r="I1025" t="str">
        <x:v>https://www.smwcentral.net/?a=details&amp;id=21687&amp;p=section</x:v>
      </x:c>
      <x:c r="J1025" t="str">
        <x:v>https://dl.smwcentral.net/21687/Mario%20Saves%20Christmas%20V1.2.zip</x:v>
      </x:c>
    </x:row>
    <x:row r="1026">
      <x:c r="A1026" t="str">
        <x:v>Mario Saves Christmas 2021</x:v>
      </x:c>
      <x:c r="B1026" t="str">
        <x:v>Mario Saves Christmas 2021</x:v>
      </x:c>
      <x:c r="C1026" t="str">
        <x:v>El Cuh Fermin</x:v>
      </x:c>
      <x:c r="D1026" t="n">
        <x:v>10</x:v>
      </x:c>
      <x:c r="E1026" t="str">
        <x:v>Intermediate</x:v>
      </x:c>
      <x:c r="F1026" t="str">
        <x:v>Standard</x:v>
      </x:c>
      <x:c r="G1026" t="n">
        <x:v>44537</x:v>
      </x:c>
      <x:c r="H1026" t="str">
        <x:v>28944</x:v>
      </x:c>
      <x:c r="I1026" t="str">
        <x:v>https://www.smwcentral.net/?a=details&amp;id=28944&amp;p=section</x:v>
      </x:c>
      <x:c r="J1026" t="str">
        <x:v>https://dl.smwcentral.net/28944/Mario%20Saves%20Christmas%202021.zip</x:v>
      </x:c>
    </x:row>
    <x:row r="1027">
      <x:c r="A1027" t="str">
        <x:v>Mario Saves Easter 2023</x:v>
      </x:c>
      <x:c r="B1027" t="str">
        <x:v>Mario Saves Easter 2023</x:v>
      </x:c>
      <x:c r="C1027" t="str">
        <x:v>El Cuh Fermin</x:v>
      </x:c>
      <x:c r="D1027" t="n">
        <x:v>17</x:v>
      </x:c>
      <x:c r="E1027" t="str">
        <x:v>Casual</x:v>
      </x:c>
      <x:c r="F1027" t="str">
        <x:v>Standard</x:v>
      </x:c>
      <x:c r="G1027" t="n">
        <x:v>45020</x:v>
      </x:c>
      <x:c r="H1027" t="str">
        <x:v>33669</x:v>
      </x:c>
      <x:c r="I1027" t="str">
        <x:v>https://www.smwcentral.net/?a=details&amp;id=33669&amp;p=section</x:v>
      </x:c>
      <x:c r="J1027" t="str">
        <x:v>https://dl.smwcentral.net/33669/Mario%20Saves%20Easter%202023.zip</x:v>
      </x:c>
    </x:row>
    <x:row r="1028">
      <x:c r="A1028" t="str">
        <x:v>Mario Saves Fermin's Birthday</x:v>
      </x:c>
      <x:c r="B1028" t="str">
        <x:v>Mario Saves Fermin's Birthday</x:v>
      </x:c>
      <x:c r="C1028" t="str">
        <x:v>El Cuh Fermin</x:v>
      </x:c>
      <x:c r="D1028" t="n">
        <x:v>9</x:v>
      </x:c>
      <x:c r="E1028" t="str">
        <x:v>Casual</x:v>
      </x:c>
      <x:c r="F1028" t="str">
        <x:v>Standard</x:v>
      </x:c>
      <x:c r="G1028" t="n">
        <x:v>44610</x:v>
      </x:c>
      <x:c r="H1028" t="str">
        <x:v>29823</x:v>
      </x:c>
      <x:c r="I1028" t="str">
        <x:v>https://www.smwcentral.net/?a=details&amp;id=29823&amp;p=section</x:v>
      </x:c>
      <x:c r="J1028" t="str">
        <x:v>https://dl.smwcentral.net/29823/Mario%20Saves%20Fermin%27s%20Birthday.zip</x:v>
      </x:c>
    </x:row>
    <x:row r="1029">
      <x:c r="A1029" t="str">
        <x:v>Mario Saves Peach Once Again</x:v>
      </x:c>
      <x:c r="B1029" t="str">
        <x:v>Mario Saves Peach Once Again</x:v>
      </x:c>
      <x:c r="C1029" t="str">
        <x:v>Lmao</x:v>
      </x:c>
      <x:c r="D1029" t="n">
        <x:v>16</x:v>
      </x:c>
      <x:c r="E1029" t="str">
        <x:v>Casual</x:v>
      </x:c>
      <x:c r="F1029" t="str">
        <x:v>Standard</x:v>
      </x:c>
      <x:c r="G1029" t="n">
        <x:v>44613</x:v>
      </x:c>
      <x:c r="H1029" t="str">
        <x:v>29857</x:v>
      </x:c>
      <x:c r="I1029" t="str">
        <x:v>https://www.smwcentral.net/?a=details&amp;id=29857&amp;p=section</x:v>
      </x:c>
      <x:c r="J1029" t="str">
        <x:v>https://dl.smwcentral.net/29857/MSPOA%20DEMO%20UPDATE%203.zip</x:v>
      </x:c>
    </x:row>
    <x:row r="1030">
      <x:c r="A1030" t="str">
        <x:v>Mario Saves Princess Peach</x:v>
      </x:c>
      <x:c r="B1030" t="str">
        <x:v>Mario Saves Princess Peach</x:v>
      </x:c>
      <x:c r="C1030" t="str">
        <x:v>El Cuh Fermin</x:v>
      </x:c>
      <x:c r="D1030" t="n">
        <x:v>10</x:v>
      </x:c>
      <x:c r="E1030" t="str">
        <x:v>Casual</x:v>
      </x:c>
      <x:c r="F1030" t="str">
        <x:v>Standard</x:v>
      </x:c>
      <x:c r="G1030" t="n">
        <x:v>44448</x:v>
      </x:c>
      <x:c r="H1030" t="str">
        <x:v>28253</x:v>
      </x:c>
      <x:c r="I1030" t="str">
        <x:v>https://www.smwcentral.net/?a=details&amp;id=28253&amp;p=section</x:v>
      </x:c>
      <x:c r="J1030" t="str">
        <x:v>https://dl.smwcentral.net/28253/Mario%20Saves%20Princess%20Peach.zip</x:v>
      </x:c>
    </x:row>
    <x:row r="1031">
      <x:c r="A1031" t="str">
        <x:v>Mario Saves Princess Toadstool 2</x:v>
      </x:c>
      <x:c r="B1031" t="str">
        <x:v>Mario Saves Princess Toadstool 2</x:v>
      </x:c>
      <x:c r="C1031" t="str">
        <x:v>El Cuh Fermin</x:v>
      </x:c>
      <x:c r="D1031" t="n">
        <x:v>9</x:v>
      </x:c>
      <x:c r="E1031" t="str">
        <x:v>Casual</x:v>
      </x:c>
      <x:c r="F1031" t="str">
        <x:v>Standard</x:v>
      </x:c>
      <x:c r="G1031" t="n">
        <x:v>44951</x:v>
      </x:c>
      <x:c r="H1031" t="str">
        <x:v>32992</x:v>
      </x:c>
      <x:c r="I1031" t="str">
        <x:v>https://www.smwcentral.net/?a=details&amp;id=32992&amp;p=section</x:v>
      </x:c>
      <x:c r="J1031" t="str">
        <x:v>https://dl.smwcentral.net/32992/Mario%20Saves%20Princess%20Toadstool%202.zip</x:v>
      </x:c>
    </x:row>
    <x:row r="1032">
      <x:c r="A1032" t="str">
        <x:v>Mario Saves Spring Break</x:v>
      </x:c>
      <x:c r="B1032" t="str">
        <x:v>Mario Saves Spring Break</x:v>
      </x:c>
      <x:c r="C1032" t="str">
        <x:v>El Cuh Fermin</x:v>
      </x:c>
      <x:c r="D1032" t="n">
        <x:v>9</x:v>
      </x:c>
      <x:c r="E1032" t="str">
        <x:v>Casual</x:v>
      </x:c>
      <x:c r="F1032" t="str">
        <x:v>Standard</x:v>
      </x:c>
      <x:c r="G1032" t="n">
        <x:v>43668</x:v>
      </x:c>
      <x:c r="H1032" t="str">
        <x:v>20687</x:v>
      </x:c>
      <x:c r="I1032" t="str">
        <x:v>https://www.smwcentral.net/?a=details&amp;id=20687&amp;p=section</x:v>
      </x:c>
      <x:c r="J1032" t="str">
        <x:v>https://dl.smwcentral.net/20687/Mario%20Saves%20Spring%20Break%20%28UPDATED%29.zip</x:v>
      </x:c>
    </x:row>
    <x:row r="1033">
      <x:c r="A1033" t="str">
        <x:v>Mario Saves Spring Break 2</x:v>
      </x:c>
      <x:c r="B1033" t="str">
        <x:v>Mario Saves Spring Break 2</x:v>
      </x:c>
      <x:c r="C1033" t="str">
        <x:v>El Cuh Fermin</x:v>
      </x:c>
      <x:c r="D1033" t="n">
        <x:v>9</x:v>
      </x:c>
      <x:c r="E1033" t="str">
        <x:v>Casual</x:v>
      </x:c>
      <x:c r="F1033" t="str">
        <x:v>Standard</x:v>
      </x:c>
      <x:c r="G1033" t="n">
        <x:v>44641</x:v>
      </x:c>
      <x:c r="H1033" t="str">
        <x:v>30183</x:v>
      </x:c>
      <x:c r="I1033" t="str">
        <x:v>https://www.smwcentral.net/?a=details&amp;id=30183&amp;p=section</x:v>
      </x:c>
      <x:c r="J1033" t="str">
        <x:v>https://dl.smwcentral.net/30183/Mario%20Saves%20Spring%20Break%202.zip</x:v>
      </x:c>
    </x:row>
    <x:row r="1034">
      <x:c r="A1034" t="str">
        <x:v>Mario Saves Summer Break 2024</x:v>
      </x:c>
      <x:c r="B1034" t="str">
        <x:v>Mario Saves Summer Break 2024</x:v>
      </x:c>
      <x:c r="C1034" t="str">
        <x:v>El Cuh Fermin</x:v>
      </x:c>
      <x:c r="D1034" t="n">
        <x:v>14</x:v>
      </x:c>
      <x:c r="E1034" t="str">
        <x:v>Intermediate</x:v>
      </x:c>
      <x:c r="F1034" t="str">
        <x:v>Standard</x:v>
      </x:c>
      <x:c r="G1034" t="n">
        <x:v>45462</x:v>
      </x:c>
      <x:c r="H1034" t="str">
        <x:v>37877</x:v>
      </x:c>
      <x:c r="I1034" t="str">
        <x:v>https://www.smwcentral.net/?a=details&amp;id=37877&amp;p=section</x:v>
      </x:c>
      <x:c r="J1034" t="str">
        <x:v>https://dl.smwcentral.net/37877/Mario%20Saves%20Summer%20Break%202024.zip</x:v>
      </x:c>
    </x:row>
    <x:row r="1035">
      <x:c r="A1035" t="str">
        <x:v>Mario Silver Land Ep I</x:v>
      </x:c>
      <x:c r="B1035" t="str">
        <x:v>Mario Silver Land Ep I</x:v>
      </x:c>
      <x:c r="C1035" t="str">
        <x:v>BlackStone187</x:v>
      </x:c>
      <x:c r="D1035" t="n">
        <x:v>7</x:v>
      </x:c>
      <x:c r="E1035" t="str">
        <x:v>Casual</x:v>
      </x:c>
      <x:c r="F1035" t="str">
        <x:v>Standard</x:v>
      </x:c>
      <x:c r="G1035" t="n">
        <x:v>42256</x:v>
      </x:c>
      <x:c r="H1035" t="str">
        <x:v>10256</x:v>
      </x:c>
      <x:c r="I1035" t="str">
        <x:v>https://www.smwcentral.net/?a=details&amp;id=10256&amp;p=section</x:v>
      </x:c>
      <x:c r="J1035" t="str">
        <x:v>https://dl.smwcentral.net/10256/Silver%20Land%20Ep%201%20%28Mario%20demo%29.zip</x:v>
      </x:c>
    </x:row>
    <x:row r="1036">
      <x:c r="A1036" t="str">
        <x:v>Mario story : Return to sweet n' sour land</x:v>
      </x:c>
      <x:c r="B1036" t="str">
        <x:v>Mario story : Return to sweet n' sour land</x:v>
      </x:c>
      <x:c r="C1036" t="str">
        <x:v>Lush_50</x:v>
      </x:c>
      <x:c r="D1036" t="n">
        <x:v>21</x:v>
      </x:c>
      <x:c r="E1036" t="str">
        <x:v>Intermediate</x:v>
      </x:c>
      <x:c r="F1036" t="str">
        <x:v>Kaizo</x:v>
      </x:c>
      <x:c r="G1036" t="n">
        <x:v>44390</x:v>
      </x:c>
      <x:c r="H1036" t="str">
        <x:v>27627</x:v>
      </x:c>
      <x:c r="I1036" t="str">
        <x:v>https://www.smwcentral.net/?a=details&amp;id=27627&amp;p=section</x:v>
      </x:c>
      <x:c r="J1036" t="str">
        <x:v>https://dl.smwcentral.net/27627/Mario%20story%20-%20return%20to%20SNS%20V1.1.zip</x:v>
      </x:c>
    </x:row>
    <x:row r="1037">
      <x:c r="A1037" t="str">
        <x:v>Mario Super R</x:v>
      </x:c>
      <x:c r="B1037" t="str">
        <x:v>Mario Super R</x:v>
      </x:c>
      <x:c r="C1037" t="str">
        <x:v>expgst</x:v>
      </x:c>
      <x:c r="D1037" t="n">
        <x:v>8</x:v>
      </x:c>
      <x:c r="E1037" t="str">
        <x:v>Advanced</x:v>
      </x:c>
      <x:c r="F1037" t="str">
        <x:v>Kaizo</x:v>
      </x:c>
      <x:c r="G1037" t="n">
        <x:v>44010</x:v>
      </x:c>
      <x:c r="H1037" t="str">
        <x:v>23422</x:v>
      </x:c>
      <x:c r="I1037" t="str">
        <x:v>https://www.smwcentral.net/?a=details&amp;id=23422&amp;p=section</x:v>
      </x:c>
      <x:c r="J1037" t="str">
        <x:v>https://dl.smwcentral.net/23422/Mario%20Super%20R%20V1.01.zip</x:v>
      </x:c>
    </x:row>
    <x:row r="1038">
      <x:c r="A1038" t="str">
        <x:v>Mario the Archaeologist</x:v>
      </x:c>
      <x:c r="B1038" t="str">
        <x:v>Mario the Archaeologist</x:v>
      </x:c>
      <x:c r="C1038" t="str">
        <x:v>MATTAN</x:v>
      </x:c>
      <x:c r="D1038" t="n">
        <x:v>17</x:v>
      </x:c>
      <x:c r="E1038" t="str">
        <x:v>Newcomer</x:v>
      </x:c>
      <x:c r="F1038" t="str">
        <x:v>Standard</x:v>
      </x:c>
      <x:c r="G1038" t="n">
        <x:v>42215</x:v>
      </x:c>
      <x:c r="H1038" t="str">
        <x:v>9814</x:v>
      </x:c>
      <x:c r="I1038" t="str">
        <x:v>https://www.smwcentral.net/?a=details&amp;id=9814&amp;p=section</x:v>
      </x:c>
      <x:c r="J1038" t="str">
        <x:v>https://dl.smwcentral.net/9814/MTA.zip</x:v>
      </x:c>
    </x:row>
    <x:row r="1039">
      <x:c r="A1039" t="str">
        <x:v>Mario to the Rescue</x:v>
      </x:c>
      <x:c r="B1039" t="str">
        <x:v>Mario to the Rescue</x:v>
      </x:c>
      <x:c r="C1039" t="str">
        <x:v>Medic</x:v>
      </x:c>
      <x:c r="D1039" t="n">
        <x:v>7</x:v>
      </x:c>
      <x:c r="E1039" t="str">
        <x:v>Casual</x:v>
      </x:c>
      <x:c r="F1039" t="str">
        <x:v>Standard</x:v>
      </x:c>
      <x:c r="G1039" t="n">
        <x:v>42062</x:v>
      </x:c>
      <x:c r="H1039" t="str">
        <x:v>10037</x:v>
      </x:c>
      <x:c r="I1039" t="str">
        <x:v>https://www.smwcentral.net/?a=details&amp;id=10037&amp;p=section</x:v>
      </x:c>
      <x:c r="J1039" t="str">
        <x:v>https://dl.smwcentral.net/10037/Mario%20to%20the%20rescue%21.zip</x:v>
      </x:c>
    </x:row>
    <x:row r="1040">
      <x:c r="A1040" t="str">
        <x:v>Mario travels around the World</x:v>
      </x:c>
      <x:c r="B1040" t="str">
        <x:v>Mario travels around the World</x:v>
      </x:c>
      <x:c r="C1040" t="str">
        <x:v>Edphonse15</x:v>
      </x:c>
      <x:c r="D1040" t="n">
        <x:v>7</x:v>
      </x:c>
      <x:c r="E1040" t="str">
        <x:v>Casual</x:v>
      </x:c>
      <x:c r="F1040" t="str">
        <x:v>Standard</x:v>
      </x:c>
      <x:c r="G1040" t="n">
        <x:v>44189</x:v>
      </x:c>
      <x:c r="H1040" t="str">
        <x:v>25469</x:v>
      </x:c>
      <x:c r="I1040" t="str">
        <x:v>https://www.smwcentral.net/?a=details&amp;id=25469&amp;p=section</x:v>
      </x:c>
      <x:c r="J1040" t="str">
        <x:v>https://dl.smwcentral.net/25469/Mario%20travels%20around%20the%20world%20-%20Demo.zip</x:v>
      </x:c>
    </x:row>
    <x:row r="1041">
      <x:c r="A1041" t="str">
        <x:v>Mario vs Sonic.exe 2</x:v>
      </x:c>
      <x:c r="B1041" t="str">
        <x:v>Mario vs Sonic.exe 2</x:v>
      </x:c>
      <x:c r="C1041" t="str">
        <x:v>TheInsanity115</x:v>
      </x:c>
      <x:c r="D1041" t="n">
        <x:v>21</x:v>
      </x:c>
      <x:c r="E1041" t="str">
        <x:v>Casual</x:v>
      </x:c>
      <x:c r="F1041" t="str">
        <x:v>Standard</x:v>
      </x:c>
      <x:c r="G1041" t="n">
        <x:v>42594</x:v>
      </x:c>
      <x:c r="H1041" t="str">
        <x:v>13963</x:v>
      </x:c>
      <x:c r="I1041" t="str">
        <x:v>https://www.smwcentral.net/?a=details&amp;id=13963&amp;p=section</x:v>
      </x:c>
      <x:c r="J1041" t="str">
        <x:v>https://dl.smwcentral.net/13963/Mario%20vs%20SONIC.EXE%202%20Final%20Version.zip</x:v>
      </x:c>
    </x:row>
    <x:row r="1042">
      <x:c r="A1042" t="str">
        <x:v>Mario VS The Police 2</x:v>
      </x:c>
      <x:c r="B1042" t="str">
        <x:v>Mario VS The Police 2</x:v>
      </x:c>
      <x:c r="C1042" t="str">
        <x:v>nnj</x:v>
      </x:c>
      <x:c r="D1042" t="n">
        <x:v>34</x:v>
      </x:c>
      <x:c r="E1042" t="str">
        <x:v>Intermediate</x:v>
      </x:c>
      <x:c r="F1042" t="str">
        <x:v>Standard</x:v>
      </x:c>
      <x:c r="G1042" t="n">
        <x:v>44159</x:v>
      </x:c>
      <x:c r="H1042" t="str">
        <x:v>25224</x:v>
      </x:c>
      <x:c r="I1042" t="str">
        <x:v>https://www.smwcentral.net/?a=details&amp;id=25224&amp;p=section</x:v>
      </x:c>
      <x:c r="J1042" t="str">
        <x:v>https://dl.smwcentral.net/25224/awfulhack.zip</x:v>
      </x:c>
    </x:row>
    <x:row r="1043">
      <x:c r="A1043" t="str">
        <x:v>Mario Vs. Big Boo</x:v>
      </x:c>
      <x:c r="B1043" t="str">
        <x:v>Mario Vs. Big Boo</x:v>
      </x:c>
      <x:c r="C1043" t="str">
        <x:v>XpheXl</x:v>
      </x:c>
      <x:c r="D1043" t="n">
        <x:v>6</x:v>
      </x:c>
      <x:c r="E1043" t="str">
        <x:v>Newcomer</x:v>
      </x:c>
      <x:c r="F1043" t="str">
        <x:v>Standard</x:v>
      </x:c>
      <x:c r="G1043" t="n">
        <x:v>42680</x:v>
      </x:c>
      <x:c r="H1043" t="str">
        <x:v>14571</x:v>
      </x:c>
      <x:c r="I1043" t="str">
        <x:v>https://www.smwcentral.net/?a=details&amp;id=14571&amp;p=section</x:v>
      </x:c>
      <x:c r="J1043" t="str">
        <x:v>https://dl.smwcentral.net/14571/Mario%20Vs.%20Big%20Boo%20-%20the%20ultimate%20epic%20showdown%20of%20destiny%20in%20a%20duel%20of%20life%2C%20death%20and%20bananas.zip</x:v>
      </x:c>
    </x:row>
    <x:row r="1044">
      <x:c r="A1044" t="str">
        <x:v>Mario vs. Bowser and Mighty No. 9</x:v>
      </x:c>
      <x:c r="B1044" t="str">
        <x:v>Mario vs. Bowser and Mighty No. 9</x:v>
      </x:c>
      <x:c r="C1044" t="str">
        <x:v>Roberto zampari</x:v>
      </x:c>
      <x:c r="D1044" t="n">
        <x:v>80</x:v>
      </x:c>
      <x:c r="E1044" t="str">
        <x:v>Casual</x:v>
      </x:c>
      <x:c r="F1044" t="str">
        <x:v>Standard</x:v>
      </x:c>
      <x:c r="G1044" t="n">
        <x:v>41806</x:v>
      </x:c>
      <x:c r="H1044" t="str">
        <x:v>6632</x:v>
      </x:c>
      <x:c r="I1044" t="str">
        <x:v>https://www.smwcentral.net/?a=details&amp;id=6632&amp;p=section</x:v>
      </x:c>
      <x:c r="J1044" t="str">
        <x:v>https://dl.smwcentral.net/6632/SMWMightyFull3.zip</x:v>
      </x:c>
    </x:row>
    <x:row r="1045">
      <x:c r="A1045" t="str">
        <x:v>Mario vs. Shyguy</x:v>
      </x:c>
      <x:c r="B1045" t="str">
        <x:v>Mario vs. Shyguy</x:v>
      </x:c>
      <x:c r="C1045" t="str">
        <x:v>chris10125</x:v>
      </x:c>
      <x:c r="D1045" t="n">
        <x:v>35</x:v>
      </x:c>
      <x:c r="E1045" t="str">
        <x:v>Casual</x:v>
      </x:c>
      <x:c r="F1045" t="str">
        <x:v>Standard</x:v>
      </x:c>
      <x:c r="G1045" t="n">
        <x:v>42207</x:v>
      </x:c>
      <x:c r="H1045" t="str">
        <x:v>9700</x:v>
      </x:c>
      <x:c r="I1045" t="str">
        <x:v>https://www.smwcentral.net/?a=details&amp;id=9700&amp;p=section</x:v>
      </x:c>
      <x:c r="J1045" t="str">
        <x:v>https://dl.smwcentral.net/9700/Mario_Vs_Shyguy.zip</x:v>
      </x:c>
    </x:row>
    <x:row r="1046">
      <x:c r="A1046" t="str">
        <x:v>Mario vs. SONIC.EXE</x:v>
      </x:c>
      <x:c r="B1046" t="str">
        <x:v>Mario vs. SONIC.EXE</x:v>
      </x:c>
      <x:c r="C1046" t="str">
        <x:v>TheInsanity115</x:v>
      </x:c>
      <x:c r="D1046" t="n">
        <x:v>18</x:v>
      </x:c>
      <x:c r="E1046" t="str">
        <x:v>Intermediate</x:v>
      </x:c>
      <x:c r="F1046" t="str">
        <x:v>Standard</x:v>
      </x:c>
      <x:c r="G1046" t="n">
        <x:v>42188</x:v>
      </x:c>
      <x:c r="H1046" t="str">
        <x:v>11616</x:v>
      </x:c>
      <x:c r="I1046" t="str">
        <x:v>https://www.smwcentral.net/?a=details&amp;id=11616&amp;p=section</x:v>
      </x:c>
      <x:c r="J1046" t="str">
        <x:v>https://dl.smwcentral.net/11616/Mario%20vs%20Sonic%20v6.zip</x:v>
      </x:c>
    </x:row>
    <x:row r="1047">
      <x:c r="A1047" t="str">
        <x:v>Mario Vs. The Deadly Alliance</x:v>
      </x:c>
      <x:c r="B1047" t="str">
        <x:v>Mario Vs. The Deadly Alliance</x:v>
      </x:c>
      <x:c r="C1047" t="str">
        <x:v>SpoodahBro</x:v>
      </x:c>
      <x:c r="D1047" t="n">
        <x:v>60</x:v>
      </x:c>
      <x:c r="E1047" t="str">
        <x:v>Advanced</x:v>
      </x:c>
      <x:c r="F1047" t="str">
        <x:v>Standard</x:v>
      </x:c>
      <x:c r="G1047" t="n">
        <x:v>44987</x:v>
      </x:c>
      <x:c r="H1047" t="str">
        <x:v>33308</x:v>
      </x:c>
      <x:c r="I1047" t="str">
        <x:v>https://www.smwcentral.net/?a=details&amp;id=33308&amp;p=section</x:v>
      </x:c>
      <x:c r="J1047" t="str">
        <x:v>https://dl.smwcentral.net/33308/Mario%20Vs.%20The%20Deadly%20Alliance%28V2.5%29.zip</x:v>
      </x:c>
    </x:row>
    <x:row r="1048">
      <x:c r="A1048" t="str">
        <x:v>Mario vs. the Magnificent 7</x:v>
      </x:c>
      <x:c r="B1048" t="str">
        <x:v>Mario vs. the Magnificent 7</x:v>
      </x:c>
      <x:c r="C1048" t="str">
        <x:v>Agent Q</x:v>
      </x:c>
      <x:c r="D1048" t="n">
        <x:v>3</x:v>
      </x:c>
      <x:c r="E1048" t="str">
        <x:v>Casual</x:v>
      </x:c>
      <x:c r="F1048" t="str">
        <x:v>Standard</x:v>
      </x:c>
      <x:c r="G1048" t="n">
        <x:v>42148</x:v>
      </x:c>
      <x:c r="H1048" t="str">
        <x:v>9896</x:v>
      </x:c>
      <x:c r="I1048" t="str">
        <x:v>https://www.smwcentral.net/?a=details&amp;id=9896&amp;p=section</x:v>
      </x:c>
      <x:c r="J1048" t="str">
        <x:v>https://dl.smwcentral.net/9896/DaKingDemo.zip</x:v>
      </x:c>
    </x:row>
    <x:row r="1049">
      <x:c r="A1049" t="str">
        <x:v>Mario Wakes Up... Expanded!</x:v>
      </x:c>
      <x:c r="B1049" t="str">
        <x:v>Mario Wakes Up... Expanded!</x:v>
      </x:c>
      <x:c r="C1049" t="str">
        <x:v>MATTAN</x:v>
      </x:c>
      <x:c r="D1049" t="n">
        <x:v>2</x:v>
      </x:c>
      <x:c r="E1049" t="str">
        <x:v>Casual</x:v>
      </x:c>
      <x:c r="F1049" t="str">
        <x:v>Standard</x:v>
      </x:c>
      <x:c r="G1049" t="n">
        <x:v>42003</x:v>
      </x:c>
      <x:c r="H1049" t="str">
        <x:v>9798</x:v>
      </x:c>
      <x:c r="I1049" t="str">
        <x:v>https://www.smwcentral.net/?a=details&amp;id=9798&amp;p=section</x:v>
      </x:c>
      <x:c r="J1049" t="str">
        <x:v>https://dl.smwcentral.net/9798/MWU-Ex.zip</x:v>
      </x:c>
    </x:row>
    <x:row r="1050">
      <x:c r="A1050" t="str">
        <x:v>Mario Wants His Lemonade</x:v>
      </x:c>
      <x:c r="B1050" t="str">
        <x:v>Mario Wants His Lemonade</x:v>
      </x:c>
      <x:c r="C1050" t="str">
        <x:v>Gamma V</x:v>
      </x:c>
      <x:c r="D1050" t="n">
        <x:v>9</x:v>
      </x:c>
      <x:c r="E1050" t="str">
        <x:v>Newcomer</x:v>
      </x:c>
      <x:c r="F1050" t="str">
        <x:v>Standard</x:v>
      </x:c>
      <x:c r="G1050" t="n">
        <x:v>41466</x:v>
      </x:c>
      <x:c r="H1050" t="str">
        <x:v>5596</x:v>
      </x:c>
      <x:c r="I1050" t="str">
        <x:v>https://www.smwcentral.net/?a=details&amp;id=5596&amp;p=section</x:v>
      </x:c>
      <x:c r="J1050" t="str">
        <x:v>https://dl.smwcentral.net/5596/Mario%20Wants%20His%20Lemonade.zip</x:v>
      </x:c>
    </x:row>
    <x:row r="1051">
      <x:c r="A1051" t="str">
        <x:v>Mario World Super Yuri's Hack</x:v>
      </x:c>
      <x:c r="B1051" t="str">
        <x:v>Mario World Super Yuri's Hack</x:v>
      </x:c>
      <x:c r="C1051" t="str">
        <x:v>Yurelvis123</x:v>
      </x:c>
      <x:c r="D1051" t="n">
        <x:v>16</x:v>
      </x:c>
      <x:c r="E1051" t="str">
        <x:v>Casual</x:v>
      </x:c>
      <x:c r="F1051" t="str">
        <x:v>Standard</x:v>
      </x:c>
      <x:c r="G1051" t="n">
        <x:v>42312</x:v>
      </x:c>
      <x:c r="H1051" t="str">
        <x:v>10185</x:v>
      </x:c>
      <x:c r="I1051" t="str">
        <x:v>https://www.smwcentral.net/?a=details&amp;id=10185&amp;p=section</x:v>
      </x:c>
      <x:c r="J1051" t="str">
        <x:v>https://dl.smwcentral.net/10185/Mario%20World%20Super%20Yuri%27s%20Hack%20DEMO%202.6.1.zip</x:v>
      </x:c>
    </x:row>
    <x:row r="1052">
      <x:c r="A1052" t="str">
        <x:v>Mario World The Mario Adventure</x:v>
      </x:c>
      <x:c r="B1052" t="str">
        <x:v>Mario World The Mario Adventure</x:v>
      </x:c>
      <x:c r="C1052" t="str">
        <x:v>rodark</x:v>
      </x:c>
      <x:c r="D1052" t="n">
        <x:v>10</x:v>
      </x:c>
      <x:c r="E1052" t="str">
        <x:v>Casual</x:v>
      </x:c>
      <x:c r="F1052" t="str">
        <x:v>Standard</x:v>
      </x:c>
      <x:c r="G1052" t="n">
        <x:v>45250</x:v>
      </x:c>
      <x:c r="H1052" t="str">
        <x:v>35335</x:v>
      </x:c>
      <x:c r="I1052" t="str">
        <x:v>https://www.smwcentral.net/?a=details&amp;id=35335&amp;p=section</x:v>
      </x:c>
      <x:c r="J1052" t="str">
        <x:v>https://dl.smwcentral.net/35335/Mario%20World%20the%20mario%20adventure%20demo.zip</x:v>
      </x:c>
    </x:row>
    <x:row r="1053">
      <x:c r="A1053" t="str">
        <x:v>Mario! A New Era</x:v>
      </x:c>
      <x:c r="B1053" t="str">
        <x:v>Mario! A New Era</x:v>
      </x:c>
      <x:c r="C1053" t="str">
        <x:v>Tahixham</x:v>
      </x:c>
      <x:c r="D1053" t="n">
        <x:v>5</x:v>
      </x:c>
      <x:c r="E1053" t="str">
        <x:v>Newcomer</x:v>
      </x:c>
      <x:c r="F1053" t="str">
        <x:v>Standard</x:v>
      </x:c>
      <x:c r="G1053" t="n">
        <x:v>42219</x:v>
      </x:c>
      <x:c r="H1053" t="str">
        <x:v>9897</x:v>
      </x:c>
      <x:c r="I1053" t="str">
        <x:v>https://www.smwcentral.net/?a=details&amp;id=9897&amp;p=section</x:v>
      </x:c>
      <x:c r="J1053" t="str">
        <x:v>https://dl.smwcentral.net/9897/mario%21%20nera.zip</x:v>
      </x:c>
    </x:row>
    <x:row r="1054">
      <x:c r="A1054" t="str">
        <x:v>Mario's 100s Challenge</x:v>
      </x:c>
      <x:c r="B1054" t="str">
        <x:v>Mario's 100s Challenge</x:v>
      </x:c>
      <x:c r="C1054" t="str">
        <x:v>JP32</x:v>
      </x:c>
      <x:c r="D1054" t="n">
        <x:v>88</x:v>
      </x:c>
      <x:c r="E1054" t="str">
        <x:v>Advanced</x:v>
      </x:c>
      <x:c r="F1054" t="str">
        <x:v>Standard</x:v>
      </x:c>
      <x:c r="G1054" t="n">
        <x:v>42433</x:v>
      </x:c>
      <x:c r="H1054" t="str">
        <x:v>13372</x:v>
      </x:c>
      <x:c r="I1054" t="str">
        <x:v>https://www.smwcentral.net/?a=details&amp;id=13372&amp;p=section</x:v>
      </x:c>
      <x:c r="J1054" t="str">
        <x:v>https://dl.smwcentral.net/13372/Marios%20100s%20Challenge%20FINAL%202%2C1.zip</x:v>
      </x:c>
    </x:row>
    <x:row r="1055">
      <x:c r="A1055" t="str">
        <x:v>Mario's 2 Ways 2 Victory</x:v>
      </x:c>
      <x:c r="B1055" t="str">
        <x:v>Mario's 2 Ways 2 Victory</x:v>
      </x:c>
      <x:c r="C1055" t="str">
        <x:v>Ckristina</x:v>
      </x:c>
      <x:c r="D1055" t="n">
        <x:v>85</x:v>
      </x:c>
      <x:c r="E1055" t="str">
        <x:v>Intermediate</x:v>
      </x:c>
      <x:c r="F1055" t="str">
        <x:v>Standard</x:v>
      </x:c>
      <x:c r="G1055" t="n">
        <x:v>41445</x:v>
      </x:c>
      <x:c r="H1055" t="str">
        <x:v>5583</x:v>
      </x:c>
      <x:c r="I1055" t="str">
        <x:v>https://www.smwcentral.net/?a=details&amp;id=5583&amp;p=section</x:v>
      </x:c>
      <x:c r="J1055" t="str">
        <x:v>https://dl.smwcentral.net/5583/Mario%27s%202%20Ways%202%20Victory.zip</x:v>
      </x:c>
    </x:row>
    <x:row r="1056">
      <x:c r="A1056" t="str">
        <x:v>Mario's Adventure</x:v>
      </x:c>
      <x:c r="B1056" t="str">
        <x:v>Mario's Adventure</x:v>
      </x:c>
      <x:c r="C1056" t="str">
        <x:v>John Freeman</x:v>
      </x:c>
      <x:c r="D1056" t="n">
        <x:v>8</x:v>
      </x:c>
      <x:c r="E1056" t="str">
        <x:v>Newcomer</x:v>
      </x:c>
      <x:c r="F1056" t="str">
        <x:v>Standard</x:v>
      </x:c>
      <x:c r="G1056" t="n">
        <x:v>42044</x:v>
      </x:c>
      <x:c r="H1056" t="str">
        <x:v>9785</x:v>
      </x:c>
      <x:c r="I1056" t="str">
        <x:v>https://www.smwcentral.net/?a=details&amp;id=9785&amp;p=section</x:v>
      </x:c>
      <x:c r="J1056" t="str">
        <x:v>https://dl.smwcentral.net/9785/Mario%27s%20adventure%20demo%202.zip</x:v>
      </x:c>
    </x:row>
    <x:row r="1057">
      <x:c r="A1057" t="str">
        <x:v>Mario's Adventure in Yoshi's Island</x:v>
      </x:c>
      <x:c r="B1057" t="str">
        <x:v>Mario's Adventure in Yoshi's Island</x:v>
      </x:c>
      <x:c r="C1057" t="str">
        <x:v>Falconpunch</x:v>
      </x:c>
      <x:c r="D1057" t="n">
        <x:v>5</x:v>
      </x:c>
      <x:c r="E1057" t="str">
        <x:v>Casual</x:v>
      </x:c>
      <x:c r="F1057" t="str">
        <x:v>Standard</x:v>
      </x:c>
      <x:c r="G1057" t="n">
        <x:v>42329</x:v>
      </x:c>
      <x:c r="H1057" t="str">
        <x:v>10188</x:v>
      </x:c>
      <x:c r="I1057" t="str">
        <x:v>https://www.smwcentral.net/?a=details&amp;id=10188&amp;p=section</x:v>
      </x:c>
      <x:c r="J1057" t="str">
        <x:v>https://dl.smwcentral.net/10188/Mario%27s.zip</x:v>
      </x:c>
    </x:row>
    <x:row r="1058">
      <x:c r="A1058" t="str">
        <x:v>Mario's Adventure on the Southern Continent</x:v>
      </x:c>
      <x:c r="B1058" t="str">
        <x:v>Mario's Adventure on the Southern Continent</x:v>
      </x:c>
      <x:c r="C1058" t="str">
        <x:v>NoodleSauce</x:v>
      </x:c>
      <x:c r="D1058" t="n">
        <x:v>15</x:v>
      </x:c>
      <x:c r="E1058" t="str">
        <x:v>Intermediate</x:v>
      </x:c>
      <x:c r="F1058" t="str">
        <x:v>Standard</x:v>
      </x:c>
      <x:c r="G1058" t="n">
        <x:v>41554</x:v>
      </x:c>
      <x:c r="H1058" t="str">
        <x:v>5564</x:v>
      </x:c>
      <x:c r="I1058" t="str">
        <x:v>https://www.smwcentral.net/?a=details&amp;id=5564&amp;p=section</x:v>
      </x:c>
      <x:c r="J1058" t="str">
        <x:v>https://dl.smwcentral.net/5564/Southern%20Continent.zip</x:v>
      </x:c>
    </x:row>
    <x:row r="1059">
      <x:c r="A1059" t="str">
        <x:v>Mario's Amazing Adventure Revitalized</x:v>
      </x:c>
      <x:c r="B1059" t="str">
        <x:v>Mario's Amazing Adventure Revitalized</x:v>
      </x:c>
      <x:c r="C1059" t="str">
        <x:v>superwiidude</x:v>
      </x:c>
      <x:c r="D1059" t="n">
        <x:v>105</x:v>
      </x:c>
      <x:c r="E1059" t="str">
        <x:v>Casual</x:v>
      </x:c>
      <x:c r="F1059" t="str">
        <x:v>Standard</x:v>
      </x:c>
      <x:c r="G1059" t="n">
        <x:v>42545</x:v>
      </x:c>
      <x:c r="H1059" t="str">
        <x:v>13836</x:v>
      </x:c>
      <x:c r="I1059" t="str">
        <x:v>https://www.smwcentral.net/?a=details&amp;id=13836&amp;p=section</x:v>
      </x:c>
      <x:c r="J1059" t="str">
        <x:v>https://dl.smwcentral.net/13836/Mario%27s%20amazing%20adventure.zip</x:v>
      </x:c>
    </x:row>
    <x:row r="1060">
      <x:c r="A1060" t="str">
        <x:v>Mario's Amazing Adventure: Extrem Edition</x:v>
      </x:c>
      <x:c r="B1060" t="str">
        <x:v>Mario's Amazing Adventure: Extrem Edition</x:v>
      </x:c>
      <x:c r="C1060" t="str">
        <x:v>superwiidude</x:v>
      </x:c>
      <x:c r="D1060" t="n">
        <x:v>15</x:v>
      </x:c>
      <x:c r="E1060" t="str">
        <x:v>Advanced</x:v>
      </x:c>
      <x:c r="F1060" t="str">
        <x:v>Standard</x:v>
      </x:c>
      <x:c r="G1060" t="n">
        <x:v>43046</x:v>
      </x:c>
      <x:c r="H1060" t="str">
        <x:v>16579</x:v>
      </x:c>
      <x:c r="I1060" t="str">
        <x:v>https://www.smwcentral.net/?a=details&amp;id=16579&amp;p=section</x:v>
      </x:c>
      <x:c r="J1060" t="str">
        <x:v>https://dl.smwcentral.net/16579/MAAEE.zip</x:v>
      </x:c>
    </x:row>
    <x:row r="1061">
      <x:c r="A1061" t="str">
        <x:v>Mario's Ascetic Adventure</x:v>
      </x:c>
      <x:c r="B1061" t="str">
        <x:v>Mario's Ascetic Adventure</x:v>
      </x:c>
      <x:c r="C1061" t="str">
        <x:v>Sokobansolver</x:v>
      </x:c>
      <x:c r="D1061" t="n">
        <x:v>4</x:v>
      </x:c>
      <x:c r="E1061" t="str">
        <x:v>Expert</x:v>
      </x:c>
      <x:c r="F1061" t="str">
        <x:v>Kaizo, Tool-Assisted</x:v>
      </x:c>
      <x:c r="G1061" t="n">
        <x:v>42190</x:v>
      </x:c>
      <x:c r="H1061" t="str">
        <x:v>11662</x:v>
      </x:c>
      <x:c r="I1061" t="str">
        <x:v>https://www.smwcentral.net/?a=details&amp;id=11662&amp;p=section</x:v>
      </x:c>
      <x:c r="J1061" t="str">
        <x:v>https://dl.smwcentral.net/11662/Mario%27sAsceticAdventuredemo.zip</x:v>
      </x:c>
    </x:row>
    <x:row r="1062">
      <x:c r="A1062" t="str">
        <x:v>Mario's Awesome Journey</x:v>
      </x:c>
      <x:c r="B1062" t="str">
        <x:v>Mario's Awesome Journey</x:v>
      </x:c>
      <x:c r="C1062" t="str">
        <x:v>niko</x:v>
      </x:c>
      <x:c r="D1062" t="n">
        <x:v>11</x:v>
      </x:c>
      <x:c r="E1062" t="str">
        <x:v>Intermediate</x:v>
      </x:c>
      <x:c r="F1062" t="str">
        <x:v>Standard</x:v>
      </x:c>
      <x:c r="G1062" t="n">
        <x:v>43002</x:v>
      </x:c>
      <x:c r="H1062" t="str">
        <x:v>16326</x:v>
      </x:c>
      <x:c r="I1062" t="str">
        <x:v>https://www.smwcentral.net/?a=details&amp;id=16326&amp;p=section</x:v>
      </x:c>
      <x:c r="J1062" t="str">
        <x:v>https://dl.smwcentral.net/16326/Mario%27s%20Awesome%20Journey%20Demo%202.zip</x:v>
      </x:c>
    </x:row>
    <x:row r="1063">
      <x:c r="A1063" t="str">
        <x:v>Mario's Bathroom Adventure</x:v>
      </x:c>
      <x:c r="B1063" t="str">
        <x:v>Mario's Bathroom Adventure</x:v>
      </x:c>
      <x:c r="C1063" t="str">
        <x:v>Noobish Noobsicle</x:v>
      </x:c>
      <x:c r="D1063" t="n">
        <x:v>13</x:v>
      </x:c>
      <x:c r="E1063" t="str">
        <x:v>Casual</x:v>
      </x:c>
      <x:c r="F1063" t="str">
        <x:v>Standard</x:v>
      </x:c>
      <x:c r="G1063" t="n">
        <x:v>42270</x:v>
      </x:c>
      <x:c r="H1063" t="str">
        <x:v>10034</x:v>
      </x:c>
      <x:c r="I1063" t="str">
        <x:v>https://www.smwcentral.net/?a=details&amp;id=10034&amp;p=section</x:v>
      </x:c>
      <x:c r="J1063" t="str">
        <x:v>https://dl.smwcentral.net/10034/Mario%27s%20Bathroom%20Adventure.zip</x:v>
      </x:c>
    </x:row>
    <x:row r="1064">
      <x:c r="A1064" t="str">
        <x:v>Mario's Bizarre Adventure</x:v>
      </x:c>
      <x:c r="B1064" t="str">
        <x:v>Mario's Bizarre Adventure</x:v>
      </x:c>
      <x:c r="C1064" t="str">
        <x:v>StayAtHomeStegosaurus</x:v>
      </x:c>
      <x:c r="D1064" t="n">
        <x:v>1</x:v>
      </x:c>
      <x:c r="E1064" t="str">
        <x:v>Expert</x:v>
      </x:c>
      <x:c r="F1064" t="str">
        <x:v>Kaizo</x:v>
      </x:c>
      <x:c r="G1064" t="n">
        <x:v>44378</x:v>
      </x:c>
      <x:c r="H1064" t="str">
        <x:v>26949</x:v>
      </x:c>
      <x:c r="I1064" t="str">
        <x:v>https://www.smwcentral.net/?a=details&amp;id=26949&amp;p=section</x:v>
      </x:c>
      <x:c r="J1064" t="str">
        <x:v>https://dl.smwcentral.net/26949/MariosBizarreAdventure_v1.1.zip</x:v>
      </x:c>
    </x:row>
    <x:row r="1065">
      <x:c r="A1065" t="str">
        <x:v>Mario's Bizarre Adventure DLC</x:v>
      </x:c>
      <x:c r="B1065" t="str">
        <x:v>Mario's Bizarre Adventure DLC</x:v>
      </x:c>
      <x:c r="C1065" t="str">
        <x:v>StayAtHomeStegosaurus</x:v>
      </x:c>
      <x:c r="D1065" t="n">
        <x:v>1</x:v>
      </x:c>
      <x:c r="E1065" t="str">
        <x:v>Master</x:v>
      </x:c>
      <x:c r="F1065" t="str">
        <x:v>Kaizo</x:v>
      </x:c>
      <x:c r="G1065" t="n">
        <x:v>44384</x:v>
      </x:c>
      <x:c r="H1065" t="str">
        <x:v>27388</x:v>
      </x:c>
      <x:c r="I1065" t="str">
        <x:v>https://www.smwcentral.net/?a=details&amp;id=27388&amp;p=section</x:v>
      </x:c>
      <x:c r="J1065" t="str">
        <x:v>https://dl.smwcentral.net/27388/MariosBizarreAdventureDLC.zip</x:v>
      </x:c>
    </x:row>
    <x:row r="1066">
      <x:c r="A1066" t="str">
        <x:v>Mario's Cookie Catastrophe</x:v>
      </x:c>
      <x:c r="B1066" t="str">
        <x:v>Mario's Cookie Catastrophe</x:v>
      </x:c>
      <x:c r="C1066" t="str">
        <x:v>millieman76</x:v>
      </x:c>
      <x:c r="D1066" t="n">
        <x:v>20</x:v>
      </x:c>
      <x:c r="E1066" t="str">
        <x:v>Casual</x:v>
      </x:c>
      <x:c r="F1066" t="str">
        <x:v>Standard</x:v>
      </x:c>
      <x:c r="G1066" t="n">
        <x:v>42312</x:v>
      </x:c>
      <x:c r="H1066" t="str">
        <x:v>10239</x:v>
      </x:c>
      <x:c r="I1066" t="str">
        <x:v>https://www.smwcentral.net/?a=details&amp;id=10239&amp;p=section</x:v>
      </x:c>
      <x:c r="J1066" t="str">
        <x:v>https://dl.smwcentral.net/10239/Mario%27s%20Cookie%20Catastrophe%20V1.2.zip</x:v>
      </x:c>
    </x:row>
    <x:row r="1067">
      <x:c r="A1067" t="str">
        <x:v>Mario's Cool Mission</x:v>
      </x:c>
      <x:c r="B1067" t="str">
        <x:v>Mario's Cool Mission</x:v>
      </x:c>
      <x:c r="C1067" t="str">
        <x:v>Woody</x:v>
      </x:c>
      <x:c r="D1067" t="n">
        <x:v>6</x:v>
      </x:c>
      <x:c r="E1067" t="str">
        <x:v>Newcomer</x:v>
      </x:c>
      <x:c r="F1067" t="str">
        <x:v>Standard</x:v>
      </x:c>
      <x:c r="G1067" t="n">
        <x:v>42229</x:v>
      </x:c>
      <x:c r="H1067" t="str">
        <x:v>9861</x:v>
      </x:c>
      <x:c r="I1067" t="str">
        <x:v>https://www.smwcentral.net/?a=details&amp;id=9861&amp;p=section</x:v>
      </x:c>
      <x:c r="J1067" t="str">
        <x:v>https://dl.smwcentral.net/9861/SMW%20Mario%27s%20Cool%20Mission.zip</x:v>
      </x:c>
    </x:row>
    <x:row r="1068">
      <x:c r="A1068" t="str">
        <x:v>Mario's Day Off</x:v>
      </x:c>
      <x:c r="B1068" t="str">
        <x:v>Mario's Day Off</x:v>
      </x:c>
      <x:c r="C1068" t="str">
        <x:v>hendog30_</x:v>
      </x:c>
      <x:c r="D1068" t="n">
        <x:v>19</x:v>
      </x:c>
      <x:c r="E1068" t="str">
        <x:v>Casual</x:v>
      </x:c>
      <x:c r="F1068" t="str">
        <x:v>Standard</x:v>
      </x:c>
      <x:c r="G1068" t="n">
        <x:v>43731</x:v>
      </x:c>
      <x:c r="H1068" t="str">
        <x:v>21139</x:v>
      </x:c>
      <x:c r="I1068" t="str">
        <x:v>https://www.smwcentral.net/?a=details&amp;id=21139&amp;p=section</x:v>
      </x:c>
      <x:c r="J1068" t="str">
        <x:v>https://dl.smwcentral.net/21139/MariosDayOff.zip</x:v>
      </x:c>
    </x:row>
    <x:row r="1069">
      <x:c r="A1069" t="str">
        <x:v>Mario's Double Trouble</x:v>
      </x:c>
      <x:c r="B1069" t="str">
        <x:v>Mario's Double Trouble</x:v>
      </x:c>
      <x:c r="C1069" t="str">
        <x:v>AlWaYsDeLiVeRz</x:v>
      </x:c>
      <x:c r="D1069" t="n">
        <x:v>74</x:v>
      </x:c>
      <x:c r="E1069" t="str">
        <x:v>Intermediate</x:v>
      </x:c>
      <x:c r="F1069" t="str">
        <x:v>Standard</x:v>
      </x:c>
      <x:c r="G1069" t="n">
        <x:v>42239</x:v>
      </x:c>
      <x:c r="H1069" t="str">
        <x:v>9769</x:v>
      </x:c>
      <x:c r="I1069" t="str">
        <x:v>https://www.smwcentral.net/?a=details&amp;id=9769&amp;p=section</x:v>
      </x:c>
      <x:c r="J1069" t="str">
        <x:v>https://dl.smwcentral.net/9769/Mario%27s%20Double%20Trouble.zip</x:v>
      </x:c>
    </x:row>
    <x:row r="1070">
      <x:c r="A1070" t="str">
        <x:v>Mario's Dying Simulator</x:v>
      </x:c>
      <x:c r="B1070" t="str">
        <x:v>Mario's Dying Simulator</x:v>
      </x:c>
      <x:c r="C1070" t="str">
        <x:v>Sokobansolver</x:v>
      </x:c>
      <x:c r="D1070" t="n">
        <x:v>15</x:v>
      </x:c>
      <x:c r="E1070" t="str">
        <x:v>Advanced</x:v>
      </x:c>
      <x:c r="F1070" t="str">
        <x:v>Kaizo, Tool-Assisted</x:v>
      </x:c>
      <x:c r="G1070" t="n">
        <x:v>45742</x:v>
      </x:c>
      <x:c r="H1070" t="str">
        <x:v>39635</x:v>
      </x:c>
      <x:c r="I1070" t="str">
        <x:v>https://www.smwcentral.net/?a=details&amp;id=39635&amp;p=section</x:v>
      </x:c>
      <x:c r="J1070" t="str">
        <x:v>https://dl.smwcentral.net/39635/MariosDyingSimulator.zip</x:v>
      </x:c>
    </x:row>
    <x:row r="1071">
      <x:c r="A1071" t="str">
        <x:v>Mario's Endless Adventure 2: Escape From Koopatraz Prison</x:v>
      </x:c>
      <x:c r="B1071" t="str">
        <x:v>Mario's Endless Adventure 2: Escape From Koopatraz Prison</x:v>
      </x:c>
      <x:c r="C1071" t="str">
        <x:v>Ddoomm10</x:v>
      </x:c>
      <x:c r="D1071" t="n">
        <x:v>1</x:v>
      </x:c>
      <x:c r="E1071" t="str">
        <x:v>Intermediate</x:v>
      </x:c>
      <x:c r="F1071" t="str">
        <x:v>Standard</x:v>
      </x:c>
      <x:c r="G1071" t="n">
        <x:v>42155</x:v>
      </x:c>
      <x:c r="H1071" t="str">
        <x:v>10268</x:v>
      </x:c>
      <x:c r="I1071" t="str">
        <x:v>https://www.smwcentral.net/?a=details&amp;id=10268&amp;p=section</x:v>
      </x:c>
      <x:c r="J1071" t="str">
        <x:v>https://dl.smwcentral.net/10268/MEA2.zip</x:v>
      </x:c>
    </x:row>
    <x:row r="1072">
      <x:c r="A1072" t="str">
        <x:v>Mario's Enigmatic Tales 1: The Betrayal</x:v>
      </x:c>
      <x:c r="B1072" t="str">
        <x:v>Mario's Enigmatic Tales 1: The Betrayal</x:v>
      </x:c>
      <x:c r="C1072" t="str">
        <x:v>Major Flare</x:v>
      </x:c>
      <x:c r="D1072" t="n">
        <x:v>87</x:v>
      </x:c>
      <x:c r="E1072" t="str">
        <x:v>Casual</x:v>
      </x:c>
      <x:c r="F1072" t="str">
        <x:v>Standard</x:v>
      </x:c>
      <x:c r="G1072" t="n">
        <x:v>42003</x:v>
      </x:c>
      <x:c r="H1072" t="str">
        <x:v>10300</x:v>
      </x:c>
      <x:c r="I1072" t="str">
        <x:v>https://www.smwcentral.net/?a=details&amp;id=10300&amp;p=section</x:v>
      </x:c>
      <x:c r="J1072" t="str">
        <x:v>https://dl.smwcentral.net/10300/Mario%27s%20Enigmatic%20Tales%20BETA%20Fixed.zip</x:v>
      </x:c>
    </x:row>
    <x:row r="1073">
      <x:c r="A1073" t="str">
        <x:v>Mario's Epic Adventure [SMWC #10132]</x:v>
      </x:c>
      <x:c r="B1073" t="str">
        <x:v>Mario's Epic Adventure</x:v>
      </x:c>
      <x:c r="C1073" t="str">
        <x:v>MolSno</x:v>
      </x:c>
      <x:c r="D1073" t="n">
        <x:v>21</x:v>
      </x:c>
      <x:c r="E1073" t="str">
        <x:v>Casual</x:v>
      </x:c>
      <x:c r="F1073" t="str">
        <x:v>Standard</x:v>
      </x:c>
      <x:c r="G1073" t="n">
        <x:v>42286</x:v>
      </x:c>
      <x:c r="H1073" t="str">
        <x:v>10132</x:v>
      </x:c>
      <x:c r="I1073" t="str">
        <x:v>https://www.smwcentral.net/?a=details&amp;id=10132&amp;p=section</x:v>
      </x:c>
      <x:c r="J1073" t="str">
        <x:v>https://dl.smwcentral.net/10132/Mario%27s%20Epic%20Adventure.zip</x:v>
      </x:c>
    </x:row>
    <x:row r="1074">
      <x:c r="A1074" t="str">
        <x:v>Mario's Epic Adventure [SMWC #36826]</x:v>
      </x:c>
      <x:c r="B1074" t="str">
        <x:v>Mario's Epic Adventure</x:v>
      </x:c>
      <x:c r="C1074" t="str">
        <x:v>niko</x:v>
      </x:c>
      <x:c r="D1074" t="n">
        <x:v>17</x:v>
      </x:c>
      <x:c r="E1074" t="str">
        <x:v>Advanced</x:v>
      </x:c>
      <x:c r="F1074" t="str">
        <x:v>Standard</x:v>
      </x:c>
      <x:c r="G1074" t="n">
        <x:v>45397</x:v>
      </x:c>
      <x:c r="H1074" t="str">
        <x:v>36826</x:v>
      </x:c>
      <x:c r="I1074" t="str">
        <x:v>https://www.smwcentral.net/?a=details&amp;id=36826&amp;p=section</x:v>
      </x:c>
      <x:c r="J1074" t="str">
        <x:v>https://dl.smwcentral.net/36826/Marios%20Epic%20Adventure%20Demo%202.zip</x:v>
      </x:c>
    </x:row>
    <x:row r="1075">
      <x:c r="A1075" t="str">
        <x:v>Mario's Evil Level</x:v>
      </x:c>
      <x:c r="B1075" t="str">
        <x:v>Mario's Evil Level</x:v>
      </x:c>
      <x:c r="C1075" t="str">
        <x:v>Mapsking</x:v>
      </x:c>
      <x:c r="D1075" t="n">
        <x:v>5</x:v>
      </x:c>
      <x:c r="E1075" t="str">
        <x:v>Intermediate</x:v>
      </x:c>
      <x:c r="F1075" t="str">
        <x:v>Kaizo, Tool-Assisted</x:v>
      </x:c>
      <x:c r="G1075" t="n">
        <x:v>45347</x:v>
      </x:c>
      <x:c r="H1075" t="str">
        <x:v>33315</x:v>
      </x:c>
      <x:c r="I1075" t="str">
        <x:v>https://www.smwcentral.net/?a=details&amp;id=33315&amp;p=section</x:v>
      </x:c>
      <x:c r="J1075" t="str">
        <x:v>https://dl.smwcentral.net/33315/Mario%27s%20Evil%20Level%20v1.5.zip</x:v>
      </x:c>
    </x:row>
    <x:row r="1076">
      <x:c r="A1076" t="str">
        <x:v>Mario's Exodus To Death</x:v>
      </x:c>
      <x:c r="B1076" t="str">
        <x:v>Mario's Exodus To Death</x:v>
      </x:c>
      <x:c r="C1076" t="str">
        <x:v>Soul2Limbo</x:v>
      </x:c>
      <x:c r="D1076" t="n">
        <x:v>7</x:v>
      </x:c>
      <x:c r="E1076" t="str">
        <x:v>Casual</x:v>
      </x:c>
      <x:c r="F1076" t="str">
        <x:v>Standard</x:v>
      </x:c>
      <x:c r="G1076" t="n">
        <x:v>41491</x:v>
      </x:c>
      <x:c r="H1076" t="str">
        <x:v>5261</x:v>
      </x:c>
      <x:c r="I1076" t="str">
        <x:v>https://www.smwcentral.net/?a=details&amp;id=5261&amp;p=section</x:v>
      </x:c>
      <x:c r="J1076" t="str">
        <x:v>https://dl.smwcentral.net/5261/MD.zip</x:v>
      </x:c>
    </x:row>
    <x:row r="1077">
      <x:c r="A1077" t="str">
        <x:v>Mario's Final Quest</x:v>
      </x:c>
      <x:c r="B1077" t="str">
        <x:v>Mario's Final Quest</x:v>
      </x:c>
      <x:c r="C1077" t="str">
        <x:v>Kyanite</x:v>
      </x:c>
      <x:c r="D1077" t="n">
        <x:v>8</x:v>
      </x:c>
      <x:c r="E1077" t="str">
        <x:v>Casual</x:v>
      </x:c>
      <x:c r="F1077" t="str">
        <x:v>Standard</x:v>
      </x:c>
      <x:c r="G1077" t="n">
        <x:v>42550</x:v>
      </x:c>
      <x:c r="H1077" t="str">
        <x:v>13877</x:v>
      </x:c>
      <x:c r="I1077" t="str">
        <x:v>https://www.smwcentral.net/?a=details&amp;id=13877&amp;p=section</x:v>
      </x:c>
      <x:c r="J1077" t="str">
        <x:v>https://dl.smwcentral.net/13877/MFQ%20v1.2.zip</x:v>
      </x:c>
    </x:row>
    <x:row r="1078">
      <x:c r="A1078" t="str">
        <x:v>Mario's First Adventure</x:v>
      </x:c>
      <x:c r="B1078" t="str">
        <x:v>Mario's First Adventure</x:v>
      </x:c>
      <x:c r="C1078" t="str">
        <x:v>Daizo Dee Von</x:v>
      </x:c>
      <x:c r="D1078" t="n">
        <x:v>8</x:v>
      </x:c>
      <x:c r="E1078" t="str">
        <x:v>Advanced</x:v>
      </x:c>
      <x:c r="F1078" t="str">
        <x:v>Standard</x:v>
      </x:c>
      <x:c r="G1078" t="n">
        <x:v>42315</x:v>
      </x:c>
      <x:c r="H1078" t="str">
        <x:v>10243</x:v>
      </x:c>
      <x:c r="I1078" t="str">
        <x:v>https://www.smwcentral.net/?a=details&amp;id=10243&amp;p=section</x:v>
      </x:c>
      <x:c r="J1078" t="str">
        <x:v>https://dl.smwcentral.net/10243/C3%20Demo%20of%20M1A.zip</x:v>
      </x:c>
    </x:row>
    <x:row r="1079">
      <x:c r="A1079" t="str">
        <x:v>Mario's Grand Adventure</x:v>
      </x:c>
      <x:c r="B1079" t="str">
        <x:v>Mario's Grand Adventure</x:v>
      </x:c>
      <x:c r="C1079" t="str">
        <x:v>Apple Boy</x:v>
      </x:c>
      <x:c r="D1079" t="n">
        <x:v>40</x:v>
      </x:c>
      <x:c r="E1079" t="str">
        <x:v>Casual</x:v>
      </x:c>
      <x:c r="F1079" t="str">
        <x:v>Standard</x:v>
      </x:c>
      <x:c r="G1079" t="n">
        <x:v>44793</x:v>
      </x:c>
      <x:c r="H1079" t="str">
        <x:v>31857</x:v>
      </x:c>
      <x:c r="I1079" t="str">
        <x:v>https://www.smwcentral.net/?a=details&amp;id=31857&amp;p=section</x:v>
      </x:c>
      <x:c r="J1079" t="str">
        <x:v>https://dl.smwcentral.net/31857/Mario%27s%20Grand%20Adventure.zip</x:v>
      </x:c>
    </x:row>
    <x:row r="1080">
      <x:c r="A1080" t="str">
        <x:v>Mario's Grand Adventure 2: Mario's World Tour</x:v>
      </x:c>
      <x:c r="B1080" t="str">
        <x:v>Mario's Grand Adventure 2: Mario's World Tour</x:v>
      </x:c>
      <x:c r="C1080" t="str">
        <x:v>Apple Boy</x:v>
      </x:c>
      <x:c r="D1080" t="n">
        <x:v>21</x:v>
      </x:c>
      <x:c r="E1080" t="str">
        <x:v>Casual</x:v>
      </x:c>
      <x:c r="F1080" t="str">
        <x:v>Standard</x:v>
      </x:c>
      <x:c r="G1080" t="n">
        <x:v>44574</x:v>
      </x:c>
      <x:c r="H1080" t="str">
        <x:v>28978</x:v>
      </x:c>
      <x:c r="I1080" t="str">
        <x:v>https://www.smwcentral.net/?a=details&amp;id=28978&amp;p=section</x:v>
      </x:c>
      <x:c r="J1080" t="str">
        <x:v>https://dl.smwcentral.net/28978/Mario%27s%20Grand%20Adventure%202%20Mario%27s%20World%20Tour.zip</x:v>
      </x:c>
    </x:row>
    <x:row r="1081">
      <x:c r="A1081" t="str">
        <x:v>Mario's Grand Adventure: Delta Island</x:v>
      </x:c>
      <x:c r="B1081" t="str">
        <x:v>Mario's Grand Adventure: Delta Island</x:v>
      </x:c>
      <x:c r="C1081" t="str">
        <x:v>Apple Boy</x:v>
      </x:c>
      <x:c r="D1081" t="n">
        <x:v>7</x:v>
      </x:c>
      <x:c r="E1081" t="str">
        <x:v>Casual</x:v>
      </x:c>
      <x:c r="F1081" t="str">
        <x:v>Standard</x:v>
      </x:c>
      <x:c r="G1081" t="n">
        <x:v>44407</x:v>
      </x:c>
      <x:c r="H1081" t="str">
        <x:v>27808</x:v>
      </x:c>
      <x:c r="I1081" t="str">
        <x:v>https://www.smwcentral.net/?a=details&amp;id=27808&amp;p=section</x:v>
      </x:c>
      <x:c r="J1081" t="str">
        <x:v>https://dl.smwcentral.net/27808/Mario%27s%20Grand%20Adventure%20Delta%20Island.zip</x:v>
      </x:c>
    </x:row>
    <x:row r="1082">
      <x:c r="A1082" t="str">
        <x:v>Mario's Grand Adventure: Omega Jungle</x:v>
      </x:c>
      <x:c r="B1082" t="str">
        <x:v>Mario's Grand Adventure: Omega Jungle</x:v>
      </x:c>
      <x:c r="C1082" t="str">
        <x:v>Apple Boy</x:v>
      </x:c>
      <x:c r="D1082" t="n">
        <x:v>6</x:v>
      </x:c>
      <x:c r="E1082" t="str">
        <x:v>Newcomer</x:v>
      </x:c>
      <x:c r="F1082" t="str">
        <x:v>Standard</x:v>
      </x:c>
      <x:c r="G1082" t="n">
        <x:v>44434</x:v>
      </x:c>
      <x:c r="H1082" t="str">
        <x:v>28058</x:v>
      </x:c>
      <x:c r="I1082" t="str">
        <x:v>https://www.smwcentral.net/?a=details&amp;id=28058&amp;p=section</x:v>
      </x:c>
      <x:c r="J1082" t="str">
        <x:v>https://dl.smwcentral.net/28058/Mario%27s%20Grand%20Adventure%20Omega%20Jungle.zip</x:v>
      </x:c>
    </x:row>
    <x:row r="1083">
      <x:c r="A1083" t="str">
        <x:v>Mario's Homeland</x:v>
      </x:c>
      <x:c r="B1083" t="str">
        <x:v>Mario's Homeland</x:v>
      </x:c>
      <x:c r="C1083" t="str">
        <x:v>Tommy15551</x:v>
      </x:c>
      <x:c r="D1083" t="n">
        <x:v>5</x:v>
      </x:c>
      <x:c r="E1083" t="str">
        <x:v>Newcomer</x:v>
      </x:c>
      <x:c r="F1083" t="str">
        <x:v>Standard</x:v>
      </x:c>
      <x:c r="G1083" t="n">
        <x:v>42255</x:v>
      </x:c>
      <x:c r="H1083" t="str">
        <x:v>9953</x:v>
      </x:c>
      <x:c r="I1083" t="str">
        <x:v>https://www.smwcentral.net/?a=details&amp;id=9953&amp;p=section</x:v>
      </x:c>
      <x:c r="J1083" t="str">
        <x:v>https://dl.smwcentral.net/9953/Mario%27s%20Homeland%20%28Demo1%29.zip</x:v>
      </x:c>
    </x:row>
    <x:row r="1084">
      <x:c r="A1084" t="str">
        <x:v>Mario's Island Exploration</x:v>
      </x:c>
      <x:c r="B1084" t="str">
        <x:v>Mario's Island Exploration</x:v>
      </x:c>
      <x:c r="C1084" t="str">
        <x:v>KennyJ</x:v>
      </x:c>
      <x:c r="D1084" t="n">
        <x:v>17</x:v>
      </x:c>
      <x:c r="E1084" t="str">
        <x:v>Intermediate</x:v>
      </x:c>
      <x:c r="F1084" t="str">
        <x:v>Standard</x:v>
      </x:c>
      <x:c r="G1084" t="n">
        <x:v>41572</x:v>
      </x:c>
      <x:c r="H1084" t="str">
        <x:v>5573</x:v>
      </x:c>
      <x:c r="I1084" t="str">
        <x:v>https://www.smwcentral.net/?a=details&amp;id=5573&amp;p=section</x:v>
      </x:c>
      <x:c r="J1084" t="str">
        <x:v>https://dl.smwcentral.net/5573/MIE.zip</x:v>
      </x:c>
    </x:row>
    <x:row r="1085">
      <x:c r="A1085" t="str">
        <x:v>Mario's Journey Through Time &amp; Space</x:v>
      </x:c>
      <x:c r="B1085" t="str">
        <x:v>Mario's Journey Through Time &amp; Space</x:v>
      </x:c>
      <x:c r="C1085" t="str">
        <x:v>Ice Man</x:v>
      </x:c>
      <x:c r="D1085" t="n">
        <x:v>34</x:v>
      </x:c>
      <x:c r="E1085" t="str">
        <x:v>Casual</x:v>
      </x:c>
      <x:c r="F1085" t="str">
        <x:v>Standard</x:v>
      </x:c>
      <x:c r="G1085" t="n">
        <x:v>41814</x:v>
      </x:c>
      <x:c r="H1085" t="str">
        <x:v>6505</x:v>
      </x:c>
      <x:c r="I1085" t="str">
        <x:v>https://www.smwcentral.net/?a=details&amp;id=6505&amp;p=section</x:v>
      </x:c>
      <x:c r="J1085" t="str">
        <x:v>https://dl.smwcentral.net/6505/MJTTAS%20Final.zip</x:v>
      </x:c>
    </x:row>
    <x:row r="1086">
      <x:c r="A1086" t="str">
        <x:v>Mario's Keytastrophe</x:v>
      </x:c>
      <x:c r="B1086" t="str">
        <x:v>Mario's Keytastrophe</x:v>
      </x:c>
      <x:c r="C1086" t="str">
        <x:v>S.N.N.</x:v>
      </x:c>
      <x:c r="D1086" t="n">
        <x:v>51</x:v>
      </x:c>
      <x:c r="E1086" t="str">
        <x:v>Casual</x:v>
      </x:c>
      <x:c r="F1086" t="str">
        <x:v>Standard, Puzzle</x:v>
      </x:c>
      <x:c r="G1086" t="n">
        <x:v>41589</x:v>
      </x:c>
      <x:c r="H1086" t="str">
        <x:v>5317</x:v>
      </x:c>
      <x:c r="I1086" t="str">
        <x:v>https://www.smwcentral.net/?a=details&amp;id=5317&amp;p=section</x:v>
      </x:c>
      <x:c r="J1086" t="str">
        <x:v>https://dl.smwcentral.net/5317/MKT.zip</x:v>
      </x:c>
    </x:row>
    <x:row r="1087">
      <x:c r="A1087" t="str">
        <x:v>Mario's Keytastrophe: Rebirth Edition</x:v>
      </x:c>
      <x:c r="B1087" t="str">
        <x:v>Mario's Keytastrophe: Rebirth Edition</x:v>
      </x:c>
      <x:c r="C1087" t="str">
        <x:v>S.N.N.</x:v>
      </x:c>
      <x:c r="D1087" t="n">
        <x:v>37</x:v>
      </x:c>
      <x:c r="E1087" t="str">
        <x:v>Casual</x:v>
      </x:c>
      <x:c r="F1087" t="str">
        <x:v>Standard, Puzzle</x:v>
      </x:c>
      <x:c r="G1087" t="n">
        <x:v>42925</x:v>
      </x:c>
      <x:c r="H1087" t="str">
        <x:v>15797</x:v>
      </x:c>
      <x:c r="I1087" t="str">
        <x:v>https://www.smwcentral.net/?a=details&amp;id=15797&amp;p=section</x:v>
      </x:c>
      <x:c r="J1087" t="str">
        <x:v>https://dl.smwcentral.net/15797/KTR.zip</x:v>
      </x:c>
    </x:row>
    <x:row r="1088">
      <x:c r="A1088" t="str">
        <x:v>Mario's Last Adventure</x:v>
      </x:c>
      <x:c r="B1088" t="str">
        <x:v>Mario's Last Adventure</x:v>
      </x:c>
      <x:c r="C1088" t="str">
        <x:v>niko</x:v>
      </x:c>
      <x:c r="D1088" t="n">
        <x:v>20</x:v>
      </x:c>
      <x:c r="E1088" t="str">
        <x:v>Intermediate</x:v>
      </x:c>
      <x:c r="F1088" t="str">
        <x:v>Standard</x:v>
      </x:c>
      <x:c r="G1088" t="n">
        <x:v>42658</x:v>
      </x:c>
      <x:c r="H1088" t="str">
        <x:v>14534</x:v>
      </x:c>
      <x:c r="I1088" t="str">
        <x:v>https://www.smwcentral.net/?a=details&amp;id=14534&amp;p=section</x:v>
      </x:c>
      <x:c r="J1088" t="str">
        <x:v>https://dl.smwcentral.net/14534/MLA%20Demo%201.zip</x:v>
      </x:c>
    </x:row>
    <x:row r="1089">
      <x:c r="A1089" t="str">
        <x:v>Mario's Long Traveling</x:v>
      </x:c>
      <x:c r="B1089" t="str">
        <x:v>Mario's Long Traveling</x:v>
      </x:c>
      <x:c r="C1089" t="str">
        <x:v>Teo17</x:v>
      </x:c>
      <x:c r="D1089" t="n">
        <x:v>7</x:v>
      </x:c>
      <x:c r="E1089" t="str">
        <x:v>Casual</x:v>
      </x:c>
      <x:c r="F1089" t="str">
        <x:v>Standard</x:v>
      </x:c>
      <x:c r="G1089" t="n">
        <x:v>41543</x:v>
      </x:c>
      <x:c r="H1089" t="str">
        <x:v>5435</x:v>
      </x:c>
      <x:c r="I1089" t="str">
        <x:v>https://www.smwcentral.net/?a=details&amp;id=5435&amp;p=section</x:v>
      </x:c>
      <x:c r="J1089" t="str">
        <x:v>https://dl.smwcentral.net/5435/MLT.zip</x:v>
      </x:c>
    </x:row>
    <x:row r="1090">
      <x:c r="A1090" t="str">
        <x:v>Mario's Lost World</x:v>
      </x:c>
      <x:c r="B1090" t="str">
        <x:v>Mario's Lost World</x:v>
      </x:c>
      <x:c r="C1090" t="str">
        <x:v>icegoom</x:v>
      </x:c>
      <x:c r="D1090" t="n">
        <x:v>27</x:v>
      </x:c>
      <x:c r="E1090" t="str">
        <x:v>Intermediate</x:v>
      </x:c>
      <x:c r="F1090" t="str">
        <x:v>Standard</x:v>
      </x:c>
      <x:c r="G1090" t="n">
        <x:v>41457</x:v>
      </x:c>
      <x:c r="H1090" t="str">
        <x:v>4982</x:v>
      </x:c>
      <x:c r="I1090" t="str">
        <x:v>https://www.smwcentral.net/?a=details&amp;id=4982&amp;p=section</x:v>
      </x:c>
      <x:c r="J1090" t="str">
        <x:v>https://dl.smwcentral.net/4982/MariosLostWorldDemo.zip</x:v>
      </x:c>
    </x:row>
    <x:row r="1091">
      <x:c r="A1091" t="str">
        <x:v>Mario's Low-Budget Adventure</x:v>
      </x:c>
      <x:c r="B1091" t="str">
        <x:v>Mario's Low-Budget Adventure</x:v>
      </x:c>
      <x:c r="C1091" t="str">
        <x:v>tranvucam</x:v>
      </x:c>
      <x:c r="D1091" t="n">
        <x:v>50</x:v>
      </x:c>
      <x:c r="E1091" t="str">
        <x:v>Intermediate</x:v>
      </x:c>
      <x:c r="F1091" t="str">
        <x:v>Standard</x:v>
      </x:c>
      <x:c r="G1091" t="n">
        <x:v>45554</x:v>
      </x:c>
      <x:c r="H1091" t="str">
        <x:v>38080</x:v>
      </x:c>
      <x:c r="I1091" t="str">
        <x:v>https://www.smwcentral.net/?a=details&amp;id=38080&amp;p=section</x:v>
      </x:c>
      <x:c r="J1091" t="str">
        <x:v>https://dl.smwcentral.net/38080/Mario%27s%20Low-Budget%20Adventure%20v1.2.zip</x:v>
      </x:c>
    </x:row>
    <x:row r="1092">
      <x:c r="A1092" t="str">
        <x:v>Mario's Mad Adventure</x:v>
      </x:c>
      <x:c r="B1092" t="str">
        <x:v>Mario's Mad Adventure</x:v>
      </x:c>
      <x:c r="C1092" t="str">
        <x:v>cyphermur9t</x:v>
      </x:c>
      <x:c r="D1092" t="n">
        <x:v>25</x:v>
      </x:c>
      <x:c r="E1092" t="str">
        <x:v>Intermediate</x:v>
      </x:c>
      <x:c r="F1092" t="str">
        <x:v>Standard</x:v>
      </x:c>
      <x:c r="G1092" t="n">
        <x:v>42209</x:v>
      </x:c>
      <x:c r="H1092" t="str">
        <x:v>9703</x:v>
      </x:c>
      <x:c r="I1092" t="str">
        <x:v>https://www.smwcentral.net/?a=details&amp;id=9703&amp;p=section</x:v>
      </x:c>
      <x:c r="J1092" t="str">
        <x:v>https://dl.smwcentral.net/9703/Mario%27s%20Mad%20Adventure%20%282%20Parts%29.zip</x:v>
      </x:c>
    </x:row>
    <x:row r="1093">
      <x:c r="A1093" t="str">
        <x:v>Mario's Misadventures 2: The Black Hole Bomb</x:v>
      </x:c>
      <x:c r="B1093" t="str">
        <x:v>Mario's Misadventures 2: The Black Hole Bomb</x:v>
      </x:c>
      <x:c r="C1093" t="str">
        <x:v>signature_steve</x:v>
      </x:c>
      <x:c r="D1093" t="n">
        <x:v>98</x:v>
      </x:c>
      <x:c r="E1093" t="str">
        <x:v>Casual</x:v>
      </x:c>
      <x:c r="F1093" t="str">
        <x:v>Standard</x:v>
      </x:c>
      <x:c r="G1093" t="n">
        <x:v>46024</x:v>
      </x:c>
      <x:c r="H1093" t="str">
        <x:v>41279</x:v>
      </x:c>
      <x:c r="I1093" t="str">
        <x:v>https://www.smwcentral.net/?a=details&amp;id=41279&amp;p=section</x:v>
      </x:c>
      <x:c r="J1093" t="str">
        <x:v>https://dl.smwcentral.net/41279/MariosMisadventures2%20v1.2.5.zip</x:v>
      </x:c>
    </x:row>
    <x:row r="1094">
      <x:c r="A1094" t="str">
        <x:v>Mario's Misadventures: The Secret of The 11 Gems</x:v>
      </x:c>
      <x:c r="B1094" t="str">
        <x:v>Mario's Misadventures: The Secret of The 11 Gems</x:v>
      </x:c>
      <x:c r="C1094" t="str">
        <x:v>signature_steve</x:v>
      </x:c>
      <x:c r="D1094" t="n">
        <x:v>98</x:v>
      </x:c>
      <x:c r="E1094" t="str">
        <x:v>Casual</x:v>
      </x:c>
      <x:c r="F1094" t="str">
        <x:v>Standard</x:v>
      </x:c>
      <x:c r="G1094" t="n">
        <x:v>45508</x:v>
      </x:c>
      <x:c r="H1094" t="str">
        <x:v>38098</x:v>
      </x:c>
      <x:c r="I1094" t="str">
        <x:v>https://www.smwcentral.net/?a=details&amp;id=38098&amp;p=section</x:v>
      </x:c>
      <x:c r="J1094" t="str">
        <x:v>https://dl.smwcentral.net/38098/MariosMisadventures1.4.3.zip</x:v>
      </x:c>
    </x:row>
    <x:row r="1095">
      <x:c r="A1095" t="str">
        <x:v>Mario's Mission</x:v>
      </x:c>
      <x:c r="B1095" t="str">
        <x:v>Mario's Mission</x:v>
      </x:c>
      <x:c r="C1095" t="str">
        <x:v>PaperMario94</x:v>
      </x:c>
      <x:c r="D1095" t="n">
        <x:v>49</x:v>
      </x:c>
      <x:c r="E1095" t="str">
        <x:v>Intermediate</x:v>
      </x:c>
      <x:c r="F1095" t="str">
        <x:v>Standard</x:v>
      </x:c>
      <x:c r="G1095" t="n">
        <x:v>42333</x:v>
      </x:c>
      <x:c r="H1095" t="str">
        <x:v>10225</x:v>
      </x:c>
      <x:c r="I1095" t="str">
        <x:v>https://www.smwcentral.net/?a=details&amp;id=10225&amp;p=section</x:v>
      </x:c>
      <x:c r="J1095" t="str">
        <x:v>https://dl.smwcentral.net/10225/Marios%20Mission.zip</x:v>
      </x:c>
    </x:row>
    <x:row r="1096">
      <x:c r="A1096" t="str">
        <x:v>Mario's Mistake</x:v>
      </x:c>
      <x:c r="B1096" t="str">
        <x:v>Mario's Mistake</x:v>
      </x:c>
      <x:c r="C1096" t="str">
        <x:v>gibbl</x:v>
      </x:c>
      <x:c r="D1096" t="n">
        <x:v>7</x:v>
      </x:c>
      <x:c r="E1096" t="str">
        <x:v>Advanced</x:v>
      </x:c>
      <x:c r="F1096" t="str">
        <x:v>Kaizo, Tool-Assisted</x:v>
      </x:c>
      <x:c r="G1096" t="n">
        <x:v>41748</x:v>
      </x:c>
      <x:c r="H1096" t="str">
        <x:v>6131</x:v>
      </x:c>
      <x:c r="I1096" t="str">
        <x:v>https://www.smwcentral.net/?a=details&amp;id=6131&amp;p=section</x:v>
      </x:c>
      <x:c r="J1096" t="str">
        <x:v>https://dl.smwcentral.net/6131/Mario%27s%20Mistake.zip</x:v>
      </x:c>
    </x:row>
    <x:row r="1097">
      <x:c r="A1097" t="str">
        <x:v>Mario's Mystery Meat</x:v>
      </x:c>
      <x:c r="B1097" t="str">
        <x:v>Mario's Mystery Meat</x:v>
      </x:c>
      <x:c r="C1097" t="str">
        <x:v>Eminus</x:v>
      </x:c>
      <x:c r="D1097" t="n">
        <x:v>1</x:v>
      </x:c>
      <x:c r="E1097" t="str">
        <x:v>Advanced</x:v>
      </x:c>
      <x:c r="F1097" t="str">
        <x:v>Standard</x:v>
      </x:c>
      <x:c r="G1097" t="n">
        <x:v>43992</x:v>
      </x:c>
      <x:c r="H1097" t="str">
        <x:v>23290</x:v>
      </x:c>
      <x:c r="I1097" t="str">
        <x:v>https://www.smwcentral.net/?a=details&amp;id=23290&amp;p=section</x:v>
      </x:c>
      <x:c r="J1097" t="str">
        <x:v>https://dl.smwcentral.net/23290/mmmeat.zip</x:v>
      </x:c>
    </x:row>
    <x:row r="1098">
      <x:c r="A1098" t="str">
        <x:v>Mario's Mystical Garden</x:v>
      </x:c>
      <x:c r="B1098" t="str">
        <x:v>Mario's Mystical Garden</x:v>
      </x:c>
      <x:c r="C1098" t="str">
        <x:v>2dareduck</x:v>
      </x:c>
      <x:c r="D1098" t="n">
        <x:v>10</x:v>
      </x:c>
      <x:c r="E1098" t="str">
        <x:v>Casual</x:v>
      </x:c>
      <x:c r="F1098" t="str">
        <x:v>Standard</x:v>
      </x:c>
      <x:c r="G1098" t="n">
        <x:v>41545</x:v>
      </x:c>
      <x:c r="H1098" t="str">
        <x:v>5529</x:v>
      </x:c>
      <x:c r="I1098" t="str">
        <x:v>https://www.smwcentral.net/?a=details&amp;id=5529&amp;p=section</x:v>
      </x:c>
      <x:c r="J1098" t="str">
        <x:v>https://dl.smwcentral.net/5529/MMG1.3.zip</x:v>
      </x:c>
    </x:row>
    <x:row r="1099">
      <x:c r="A1099" t="str">
        <x:v>Mario's New World</x:v>
      </x:c>
      <x:c r="B1099" t="str">
        <x:v>Mario's New World</x:v>
      </x:c>
      <x:c r="C1099" t="str">
        <x:v>noon</x:v>
      </x:c>
      <x:c r="D1099" t="n">
        <x:v>5</x:v>
      </x:c>
      <x:c r="E1099" t="str">
        <x:v>Casual</x:v>
      </x:c>
      <x:c r="F1099" t="str">
        <x:v>Standard</x:v>
      </x:c>
      <x:c r="G1099" t="n">
        <x:v>42215</x:v>
      </x:c>
      <x:c r="H1099" t="str">
        <x:v>10217</x:v>
      </x:c>
      <x:c r="I1099" t="str">
        <x:v>https://www.smwcentral.net/?a=details&amp;id=10217&amp;p=section</x:v>
      </x:c>
      <x:c r="J1099" t="str">
        <x:v>https://dl.smwcentral.net/10217/%282004%29%20Mario%27s%20New%20World.zip</x:v>
      </x:c>
    </x:row>
    <x:row r="1100">
      <x:c r="A1100" t="str">
        <x:v>Mario's New Year Mini Quest</x:v>
      </x:c>
      <x:c r="B1100" t="str">
        <x:v>Mario's New Year Mini Quest</x:v>
      </x:c>
      <x:c r="C1100" t="str">
        <x:v>Green Jerry</x:v>
      </x:c>
      <x:c r="D1100" t="n">
        <x:v>10</x:v>
      </x:c>
      <x:c r="E1100" t="str">
        <x:v>Intermediate</x:v>
      </x:c>
      <x:c r="F1100" t="str">
        <x:v>Standard</x:v>
      </x:c>
      <x:c r="G1100" t="n">
        <x:v>44233</x:v>
      </x:c>
      <x:c r="H1100" t="str">
        <x:v>26149</x:v>
      </x:c>
      <x:c r="I1100" t="str">
        <x:v>https://www.smwcentral.net/?a=details&amp;id=26149&amp;p=section</x:v>
      </x:c>
      <x:c r="J1100" t="str">
        <x:v>https://dl.smwcentral.net/26149/Mario%27s%20New%20Year%20Mini%20Quest%20%28V1.2%29.zip</x:v>
      </x:c>
    </x:row>
    <x:row r="1101">
      <x:c r="A1101" t="str">
        <x:v>Mario's Next Adventure</x:v>
      </x:c>
      <x:c r="B1101" t="str">
        <x:v>Mario's Next Adventure</x:v>
      </x:c>
      <x:c r="C1101" t="str">
        <x:v>Systrem Studios</x:v>
      </x:c>
      <x:c r="D1101" t="n">
        <x:v>11</x:v>
      </x:c>
      <x:c r="E1101" t="str">
        <x:v>Newcomer</x:v>
      </x:c>
      <x:c r="F1101" t="str">
        <x:v>Standard</x:v>
      </x:c>
      <x:c r="G1101" t="n">
        <x:v>42412</x:v>
      </x:c>
      <x:c r="H1101" t="str">
        <x:v>13292</x:v>
      </x:c>
      <x:c r="I1101" t="str">
        <x:v>https://www.smwcentral.net/?a=details&amp;id=13292&amp;p=section</x:v>
      </x:c>
      <x:c r="J1101" t="str">
        <x:v>https://dl.smwcentral.net/13292/Marios%20Next%20Adventure%20v.2.0.zip</x:v>
      </x:c>
    </x:row>
    <x:row r="1102">
      <x:c r="A1102" t="str">
        <x:v>Mario's Nightmare: Episode 1</x:v>
      </x:c>
      <x:c r="B1102" t="str">
        <x:v>Mario's Nightmare: Episode 1</x:v>
      </x:c>
      <x:c r="C1102" t="str">
        <x:v>TooManyToasters</x:v>
      </x:c>
      <x:c r="D1102" t="n">
        <x:v>7</x:v>
      </x:c>
      <x:c r="E1102" t="str">
        <x:v>Casual</x:v>
      </x:c>
      <x:c r="F1102" t="str">
        <x:v>Standard</x:v>
      </x:c>
      <x:c r="G1102" t="n">
        <x:v>42044</x:v>
      </x:c>
      <x:c r="H1102" t="str">
        <x:v>9816</x:v>
      </x:c>
      <x:c r="I1102" t="str">
        <x:v>https://www.smwcentral.net/?a=details&amp;id=9816&amp;p=section</x:v>
      </x:c>
      <x:c r="J1102" t="str">
        <x:v>https://dl.smwcentral.net/9816/Mario%27s%20Nightmare%20Ep1.zip</x:v>
      </x:c>
    </x:row>
    <x:row r="1103">
      <x:c r="A1103" t="str">
        <x:v>Mario's NOSE</x:v>
      </x:c>
      <x:c r="B1103" t="str">
        <x:v>Mario's NOSE</x:v>
      </x:c>
      <x:c r="C1103" t="str">
        <x:v>rextep</x:v>
      </x:c>
      <x:c r="D1103" t="n">
        <x:v>4</x:v>
      </x:c>
      <x:c r="E1103" t="str">
        <x:v>Intermediate</x:v>
      </x:c>
      <x:c r="F1103" t="str">
        <x:v>Standard</x:v>
      </x:c>
      <x:c r="G1103" t="n">
        <x:v>43219</x:v>
      </x:c>
      <x:c r="H1103" t="str">
        <x:v>17452</x:v>
      </x:c>
      <x:c r="I1103" t="str">
        <x:v>https://www.smwcentral.net/?a=details&amp;id=17452&amp;p=section</x:v>
      </x:c>
      <x:c r="J1103" t="str">
        <x:v>https://dl.smwcentral.net/17452/MNOSE.zip</x:v>
      </x:c>
    </x:row>
    <x:row r="1104">
      <x:c r="A1104" t="str">
        <x:v>Mario's on a New Adventure!</x:v>
      </x:c>
      <x:c r="B1104" t="str">
        <x:v>Mario's on a New Adventure!</x:v>
      </x:c>
      <x:c r="C1104" t="str">
        <x:v>ItsaMe.64</x:v>
      </x:c>
      <x:c r="D1104" t="n">
        <x:v>21</x:v>
      </x:c>
      <x:c r="E1104" t="str">
        <x:v>Intermediate</x:v>
      </x:c>
      <x:c r="F1104" t="str">
        <x:v>Standard</x:v>
      </x:c>
      <x:c r="G1104" t="n">
        <x:v>43483</x:v>
      </x:c>
      <x:c r="H1104" t="str">
        <x:v>18975</x:v>
      </x:c>
      <x:c r="I1104" t="str">
        <x:v>https://www.smwcentral.net/?a=details&amp;id=18975&amp;p=section</x:v>
      </x:c>
      <x:c r="J1104" t="str">
        <x:v>https://dl.smwcentral.net/18975/%5BMoaNA%21%20up1%5D.zip</x:v>
      </x:c>
    </x:row>
    <x:row r="1105">
      <x:c r="A1105" t="str">
        <x:v>Mario's Peregrination-Kingdom Elementum Phantasia</x:v>
      </x:c>
      <x:c r="B1105" t="str">
        <x:v>Mario's Peregrination-Kingdom Elementum Phantasia</x:v>
      </x:c>
      <x:c r="C1105" t="str">
        <x:v>Vamperumbra</x:v>
      </x:c>
      <x:c r="D1105" t="n">
        <x:v>48</x:v>
      </x:c>
      <x:c r="E1105" t="str">
        <x:v>Casual</x:v>
      </x:c>
      <x:c r="F1105" t="str">
        <x:v>Standard</x:v>
      </x:c>
      <x:c r="G1105" t="n">
        <x:v>42662</x:v>
      </x:c>
      <x:c r="H1105" t="str">
        <x:v>14536</x:v>
      </x:c>
      <x:c r="I1105" t="str">
        <x:v>https://www.smwcentral.net/?a=details&amp;id=14536&amp;p=section</x:v>
      </x:c>
      <x:c r="J1105" t="str">
        <x:v>https://dl.smwcentral.net/14536/MP.zip</x:v>
      </x:c>
    </x:row>
    <x:row r="1106">
      <x:c r="A1106" t="str">
        <x:v>Mario's Pride Mini Quest</x:v>
      </x:c>
      <x:c r="B1106" t="str">
        <x:v>Mario's Pride Mini Quest</x:v>
      </x:c>
      <x:c r="C1106" t="str">
        <x:v>Green Jerry</x:v>
      </x:c>
      <x:c r="D1106" t="n">
        <x:v>17</x:v>
      </x:c>
      <x:c r="E1106" t="str">
        <x:v>Intermediate</x:v>
      </x:c>
      <x:c r="F1106" t="str">
        <x:v>Standard</x:v>
      </x:c>
      <x:c r="G1106" t="n">
        <x:v>45103</x:v>
      </x:c>
      <x:c r="H1106" t="str">
        <x:v>34166</x:v>
      </x:c>
      <x:c r="I1106" t="str">
        <x:v>https://www.smwcentral.net/?a=details&amp;id=34166&amp;p=section</x:v>
      </x:c>
      <x:c r="J1106" t="str">
        <x:v>https://dl.smwcentral.net/34166/Mario%27s%20Pride%20Mini%20Quest%20%28V1.3.5%29.zip</x:v>
      </x:c>
    </x:row>
    <x:row r="1107">
      <x:c r="A1107" t="str">
        <x:v>Mario's Quest For The Water</x:v>
      </x:c>
      <x:c r="B1107" t="str">
        <x:v>Mario's Quest For The Water</x:v>
      </x:c>
      <x:c r="C1107" t="str">
        <x:v>waffledoctor87</x:v>
      </x:c>
      <x:c r="D1107" t="n">
        <x:v>28</x:v>
      </x:c>
      <x:c r="E1107" t="str">
        <x:v>Intermediate</x:v>
      </x:c>
      <x:c r="F1107" t="str">
        <x:v>Standard</x:v>
      </x:c>
      <x:c r="G1107" t="n">
        <x:v>43683</x:v>
      </x:c>
      <x:c r="H1107" t="str">
        <x:v>20324</x:v>
      </x:c>
      <x:c r="I1107" t="str">
        <x:v>https://www.smwcentral.net/?a=details&amp;id=20324&amp;p=section</x:v>
      </x:c>
      <x:c r="J1107" t="str">
        <x:v>https://dl.smwcentral.net/20324/MQFTW.zip</x:v>
      </x:c>
    </x:row>
    <x:row r="1108">
      <x:c r="A1108" t="str">
        <x:v>Mario's Quest: The Legend of Darmi</x:v>
      </x:c>
      <x:c r="B1108" t="str">
        <x:v>Mario's Quest: The Legend of Darmi</x:v>
      </x:c>
      <x:c r="C1108" t="str">
        <x:v>Guilherme F Santos</x:v>
      </x:c>
      <x:c r="D1108" t="n">
        <x:v>7</x:v>
      </x:c>
      <x:c r="E1108" t="str">
        <x:v>Intermediate</x:v>
      </x:c>
      <x:c r="F1108" t="str">
        <x:v>Standard</x:v>
      </x:c>
      <x:c r="G1108" t="n">
        <x:v>42374</x:v>
      </x:c>
      <x:c r="H1108" t="str">
        <x:v>12947</x:v>
      </x:c>
      <x:c r="I1108" t="str">
        <x:v>https://www.smwcentral.net/?a=details&amp;id=12947&amp;p=section</x:v>
      </x:c>
      <x:c r="J1108" t="str">
        <x:v>https://dl.smwcentral.net/12947/Mario%27s%20Quest-%20The%20Legend%20of%20Darmi.zip</x:v>
      </x:c>
    </x:row>
    <x:row r="1109">
      <x:c r="A1109" t="str">
        <x:v>Mario's Redemption Quest</x:v>
      </x:c>
      <x:c r="B1109" t="str">
        <x:v>Mario's Redemption Quest</x:v>
      </x:c>
      <x:c r="C1109" t="str">
        <x:v>Alex</x:v>
      </x:c>
      <x:c r="D1109" t="n">
        <x:v>12</x:v>
      </x:c>
      <x:c r="E1109" t="str">
        <x:v>Expert</x:v>
      </x:c>
      <x:c r="F1109" t="str">
        <x:v>Kaizo</x:v>
      </x:c>
      <x:c r="G1109" t="n">
        <x:v>44217</x:v>
      </x:c>
      <x:c r="H1109" t="str">
        <x:v>25924</x:v>
      </x:c>
      <x:c r="I1109" t="str">
        <x:v>https://www.smwcentral.net/?a=details&amp;id=25924&amp;p=section</x:v>
      </x:c>
      <x:c r="J1109" t="str">
        <x:v>https://dl.smwcentral.net/25924/Mario%27s%20Redemption%20Quest%20v1.1.zip</x:v>
      </x:c>
    </x:row>
    <x:row r="1110">
      <x:c r="A1110" t="str">
        <x:v>Mario's Redrawn Adventure</x:v>
      </x:c>
      <x:c r="B1110" t="str">
        <x:v>Mario's Redrawn Adventure</x:v>
      </x:c>
      <x:c r="C1110" t="str">
        <x:v>Moltz</x:v>
      </x:c>
      <x:c r="D1110" t="n">
        <x:v>17</x:v>
      </x:c>
      <x:c r="E1110" t="str">
        <x:v>Casual</x:v>
      </x:c>
      <x:c r="F1110" t="str">
        <x:v>Standard</x:v>
      </x:c>
      <x:c r="G1110" t="n">
        <x:v>41862</x:v>
      </x:c>
      <x:c r="H1110" t="str">
        <x:v>8897</x:v>
      </x:c>
      <x:c r="I1110" t="str">
        <x:v>https://www.smwcentral.net/?a=details&amp;id=8897&amp;p=section</x:v>
      </x:c>
      <x:c r="J1110" t="str">
        <x:v>https://dl.smwcentral.net/8897/MRA.zip</x:v>
      </x:c>
    </x:row>
    <x:row r="1111">
      <x:c r="A1111" t="str">
        <x:v>Mario's Return</x:v>
      </x:c>
      <x:c r="B1111" t="str">
        <x:v>Mario's Return</x:v>
      </x:c>
      <x:c r="C1111" t="str">
        <x:v>Stark</x:v>
      </x:c>
      <x:c r="D1111" t="n">
        <x:v>87</x:v>
      </x:c>
      <x:c r="E1111" t="str">
        <x:v>Casual</x:v>
      </x:c>
      <x:c r="F1111" t="str">
        <x:v>Standard</x:v>
      </x:c>
      <x:c r="G1111" t="n">
        <x:v>43601</x:v>
      </x:c>
      <x:c r="H1111" t="str">
        <x:v>19903</x:v>
      </x:c>
      <x:c r="I1111" t="str">
        <x:v>https://www.smwcentral.net/?a=details&amp;id=19903&amp;p=section</x:v>
      </x:c>
      <x:c r="J1111" t="str">
        <x:v>https://dl.smwcentral.net/19903/Marios_Return.zip</x:v>
      </x:c>
    </x:row>
    <x:row r="1112">
      <x:c r="A1112" t="str">
        <x:v>Mario's Return Again</x:v>
      </x:c>
      <x:c r="B1112" t="str">
        <x:v>Mario's Return Again</x:v>
      </x:c>
      <x:c r="C1112" t="str">
        <x:v>Stark</x:v>
      </x:c>
      <x:c r="D1112" t="n">
        <x:v>88</x:v>
      </x:c>
      <x:c r="E1112" t="str">
        <x:v>Intermediate</x:v>
      </x:c>
      <x:c r="F1112" t="str">
        <x:v>Standard</x:v>
      </x:c>
      <x:c r="G1112" t="n">
        <x:v>42232</x:v>
      </x:c>
      <x:c r="H1112" t="str">
        <x:v>9878</x:v>
      </x:c>
      <x:c r="I1112" t="str">
        <x:v>https://www.smwcentral.net/?a=details&amp;id=9878&amp;p=section</x:v>
      </x:c>
      <x:c r="J1112" t="str">
        <x:v>https://dl.smwcentral.net/9878/MRA%20Beta.zip</x:v>
      </x:c>
    </x:row>
    <x:row r="1113">
      <x:c r="A1113" t="str">
        <x:v>Mario's Ruined Seclusion</x:v>
      </x:c>
      <x:c r="B1113" t="str">
        <x:v>Mario's Ruined Seclusion</x:v>
      </x:c>
      <x:c r="C1113" t="str">
        <x:v>BlueSheep123</x:v>
      </x:c>
      <x:c r="D1113" t="n">
        <x:v>31</x:v>
      </x:c>
      <x:c r="E1113" t="str">
        <x:v>Casual</x:v>
      </x:c>
      <x:c r="F1113" t="str">
        <x:v>Standard</x:v>
      </x:c>
      <x:c r="G1113" t="n">
        <x:v>45010</x:v>
      </x:c>
      <x:c r="H1113" t="str">
        <x:v>33606</x:v>
      </x:c>
      <x:c r="I1113" t="str">
        <x:v>https://www.smwcentral.net/?a=details&amp;id=33606&amp;p=section</x:v>
      </x:c>
      <x:c r="J1113" t="str">
        <x:v>https://dl.smwcentral.net/33606/Mario%27s_Ruined_Seclusion_1.0.0.zip</x:v>
      </x:c>
    </x:row>
    <x:row r="1114">
      <x:c r="A1114" t="str">
        <x:v>Mario's Search for the 8 Jewels</x:v>
      </x:c>
      <x:c r="B1114" t="str">
        <x:v>Mario's Search for the 8 Jewels</x:v>
      </x:c>
      <x:c r="C1114" t="str">
        <x:v>MaiK</x:v>
      </x:c>
      <x:c r="D1114" t="n">
        <x:v>96</x:v>
      </x:c>
      <x:c r="E1114" t="str">
        <x:v>Casual</x:v>
      </x:c>
      <x:c r="F1114" t="str">
        <x:v>Standard</x:v>
      </x:c>
      <x:c r="G1114" t="n">
        <x:v>41445</x:v>
      </x:c>
      <x:c r="H1114" t="str">
        <x:v>5373</x:v>
      </x:c>
      <x:c r="I1114" t="str">
        <x:v>https://www.smwcentral.net/?a=details&amp;id=5373&amp;p=section</x:v>
      </x:c>
      <x:c r="J1114" t="str">
        <x:v>https://dl.smwcentral.net/5373/MariosSearchForThe8Jewels%20Mawwo7.zip</x:v>
      </x:c>
    </x:row>
    <x:row r="1115">
      <x:c r="A1115" t="str">
        <x:v>Mario's Search for the 8 Jewels 2</x:v>
      </x:c>
      <x:c r="B1115" t="str">
        <x:v>Mario's Search for the 8 Jewels 2</x:v>
      </x:c>
      <x:c r="C1115" t="str">
        <x:v>MaiK</x:v>
      </x:c>
      <x:c r="D1115" t="n">
        <x:v>59</x:v>
      </x:c>
      <x:c r="E1115" t="str">
        <x:v>Casual</x:v>
      </x:c>
      <x:c r="F1115" t="str">
        <x:v>Standard</x:v>
      </x:c>
      <x:c r="G1115" t="n">
        <x:v>43060</x:v>
      </x:c>
      <x:c r="H1115" t="str">
        <x:v>16492</x:v>
      </x:c>
      <x:c r="I1115" t="str">
        <x:v>https://www.smwcentral.net/?a=details&amp;id=16492&amp;p=section</x:v>
      </x:c>
      <x:c r="J1115" t="str">
        <x:v>https://dl.smwcentral.net/16492/Mario%27s%20Search%20for%20the%208%20Jewels%202%20-%20by%20MaiK.zip</x:v>
      </x:c>
    </x:row>
    <x:row r="1116">
      <x:c r="A1116" t="str">
        <x:v>Mario's Search for the Shrine of Eternal Ice</x:v>
      </x:c>
      <x:c r="B1116" t="str">
        <x:v>Mario's Search for the Shrine of Eternal Ice</x:v>
      </x:c>
      <x:c r="C1116" t="str">
        <x:v>NGB</x:v>
      </x:c>
      <x:c r="D1116" t="n">
        <x:v>1</x:v>
      </x:c>
      <x:c r="E1116" t="str">
        <x:v>Casual</x:v>
      </x:c>
      <x:c r="F1116" t="str">
        <x:v>Standard</x:v>
      </x:c>
      <x:c r="G1116" t="n">
        <x:v>42283</x:v>
      </x:c>
      <x:c r="H1116" t="str">
        <x:v>12310</x:v>
      </x:c>
      <x:c r="I1116" t="str">
        <x:v>https://www.smwcentral.net/?a=details&amp;id=12310&amp;p=section</x:v>
      </x:c>
      <x:c r="J1116" t="str">
        <x:v>https://dl.smwcentral.net/12310/Mario%27s%20Search%20for%20the%20Shrine%20of%20Eternal%20Ice%20%28Version%201.1%29.zip</x:v>
      </x:c>
    </x:row>
    <x:row r="1117">
      <x:c r="A1117" t="str">
        <x:v>Mario's Search for the Stolen Stars</x:v>
      </x:c>
      <x:c r="B1117" t="str">
        <x:v>Mario's Search for the Stolen Stars</x:v>
      </x:c>
      <x:c r="C1117" t="str">
        <x:v>majora211</x:v>
      </x:c>
      <x:c r="D1117" t="n">
        <x:v>14</x:v>
      </x:c>
      <x:c r="E1117" t="str">
        <x:v>Casual</x:v>
      </x:c>
      <x:c r="F1117" t="str">
        <x:v>Standard</x:v>
      </x:c>
      <x:c r="G1117" t="n">
        <x:v>41492</x:v>
      </x:c>
      <x:c r="H1117" t="str">
        <x:v>5412</x:v>
      </x:c>
      <x:c r="I1117" t="str">
        <x:v>https://www.smwcentral.net/?a=details&amp;id=5412&amp;p=section</x:v>
      </x:c>
      <x:c r="J1117" t="str">
        <x:v>https://dl.smwcentral.net/5412/Mario%27s%20search%20for%20the%20stolen%20stars.zip</x:v>
      </x:c>
    </x:row>
    <x:row r="1118">
      <x:c r="A1118" t="str">
        <x:v>Mario's Simple Way</x:v>
      </x:c>
      <x:c r="B1118" t="str">
        <x:v>Mario's Simple Way</x:v>
      </x:c>
      <x:c r="C1118" t="str">
        <x:v>Everest</x:v>
      </x:c>
      <x:c r="D1118" t="n">
        <x:v>10</x:v>
      </x:c>
      <x:c r="E1118" t="str">
        <x:v>Intermediate</x:v>
      </x:c>
      <x:c r="F1118" t="str">
        <x:v>Standard</x:v>
      </x:c>
      <x:c r="G1118" t="n">
        <x:v>42308</x:v>
      </x:c>
      <x:c r="H1118" t="str">
        <x:v>10079</x:v>
      </x:c>
      <x:c r="I1118" t="str">
        <x:v>https://www.smwcentral.net/?a=details&amp;id=10079&amp;p=section</x:v>
      </x:c>
      <x:c r="J1118" t="str">
        <x:v>https://dl.smwcentral.net/10079/mswdemo1.zip</x:v>
      </x:c>
    </x:row>
    <x:row r="1119">
      <x:c r="A1119" t="str">
        <x:v>Mario's Strange Quest</x:v>
      </x:c>
      <x:c r="B1119" t="str">
        <x:v>Mario's Strange Quest</x:v>
      </x:c>
      <x:c r="C1119" t="str">
        <x:v>yoshifanatic</x:v>
      </x:c>
      <x:c r="D1119" t="n">
        <x:v>79</x:v>
      </x:c>
      <x:c r="E1119" t="str">
        <x:v>Intermediate</x:v>
      </x:c>
      <x:c r="F1119" t="str">
        <x:v>Standard</x:v>
      </x:c>
      <x:c r="G1119" t="n">
        <x:v>41604</x:v>
      </x:c>
      <x:c r="H1119" t="str">
        <x:v>5258</x:v>
      </x:c>
      <x:c r="I1119" t="str">
        <x:v>https://www.smwcentral.net/?a=details&amp;id=5258&amp;p=section</x:v>
      </x:c>
      <x:c r="J1119" t="str">
        <x:v>https://dl.smwcentral.net/5258/Mario%27s%20Strange%20Quest%20v1.6.zip</x:v>
      </x:c>
    </x:row>
    <x:row r="1120">
      <x:c r="A1120" t="str">
        <x:v>Mario's Super Galactic Illusion Space Time</x:v>
      </x:c>
      <x:c r="B1120" t="str">
        <x:v>Mario's Super Galactic Illusion Space Time</x:v>
      </x:c>
      <x:c r="C1120" t="str">
        <x:v>Sulcuryalt</x:v>
      </x:c>
      <x:c r="D1120" t="n">
        <x:v>9</x:v>
      </x:c>
      <x:c r="E1120" t="str">
        <x:v>Casual</x:v>
      </x:c>
      <x:c r="F1120" t="str">
        <x:v>Standard</x:v>
      </x:c>
      <x:c r="G1120" t="n">
        <x:v>42267</x:v>
      </x:c>
      <x:c r="H1120" t="str">
        <x:v>10033</x:v>
      </x:c>
      <x:c r="I1120" t="str">
        <x:v>https://www.smwcentral.net/?a=details&amp;id=10033&amp;p=section</x:v>
      </x:c>
      <x:c r="J1120" t="str">
        <x:v>https://dl.smwcentral.net/10033/Mario%27s%20Super%20Galactic%20Illusion%20Space%20Time.zip</x:v>
      </x:c>
    </x:row>
    <x:row r="1121">
      <x:c r="A1121" t="str">
        <x:v>Mario's Supper World</x:v>
      </x:c>
      <x:c r="B1121" t="str">
        <x:v>Mario's Supper World</x:v>
      </x:c>
      <x:c r="C1121" t="str">
        <x:v>therealSWK</x:v>
      </x:c>
      <x:c r="D1121" t="n">
        <x:v>6</x:v>
      </x:c>
      <x:c r="E1121" t="str">
        <x:v>Casual</x:v>
      </x:c>
      <x:c r="F1121" t="str">
        <x:v>Standard</x:v>
      </x:c>
      <x:c r="G1121" t="n">
        <x:v>45275</x:v>
      </x:c>
      <x:c r="H1121" t="str">
        <x:v>35659</x:v>
      </x:c>
      <x:c r="I1121" t="str">
        <x:v>https://www.smwcentral.net/?a=details&amp;id=35659&amp;p=section</x:v>
      </x:c>
      <x:c r="J1121" t="str">
        <x:v>https://dl.smwcentral.net/35659/Mario%27s%20Supper%20World.zip</x:v>
      </x:c>
    </x:row>
    <x:row r="1122">
      <x:c r="A1122" t="str">
        <x:v>Mario's Sweet Adventure</x:v>
      </x:c>
      <x:c r="B1122" t="str">
        <x:v>Mario's Sweet Adventure</x:v>
      </x:c>
      <x:c r="C1122" t="str">
        <x:v>niko</x:v>
      </x:c>
      <x:c r="D1122" t="n">
        <x:v>7</x:v>
      </x:c>
      <x:c r="E1122" t="str">
        <x:v>Casual</x:v>
      </x:c>
      <x:c r="F1122" t="str">
        <x:v>Standard</x:v>
      </x:c>
      <x:c r="G1122" t="n">
        <x:v>42345</x:v>
      </x:c>
      <x:c r="H1122" t="str">
        <x:v>12794</x:v>
      </x:c>
      <x:c r="I1122" t="str">
        <x:v>https://www.smwcentral.net/?a=details&amp;id=12794&amp;p=section</x:v>
      </x:c>
      <x:c r="J1122" t="str">
        <x:v>https://dl.smwcentral.net/12794/Marios%20Sweet%20Adventure%20Demo%204.zip</x:v>
      </x:c>
    </x:row>
    <x:row r="1123">
      <x:c r="A1123" t="str">
        <x:v>Mario's Sweet Adventure 2</x:v>
      </x:c>
      <x:c r="B1123" t="str">
        <x:v>Mario's Sweet Adventure 2</x:v>
      </x:c>
      <x:c r="C1123" t="str">
        <x:v>niko</x:v>
      </x:c>
      <x:c r="D1123" t="n">
        <x:v>5</x:v>
      </x:c>
      <x:c r="E1123" t="str">
        <x:v>Casual</x:v>
      </x:c>
      <x:c r="F1123" t="str">
        <x:v>Standard</x:v>
      </x:c>
      <x:c r="G1123" t="n">
        <x:v>42356</x:v>
      </x:c>
      <x:c r="H1123" t="str">
        <x:v>12884</x:v>
      </x:c>
      <x:c r="I1123" t="str">
        <x:v>https://www.smwcentral.net/?a=details&amp;id=12884&amp;p=section</x:v>
      </x:c>
      <x:c r="J1123" t="str">
        <x:v>https://dl.smwcentral.net/12884/Marios%20Sweet%20Adventure%202%20Demo%201.zip</x:v>
      </x:c>
    </x:row>
    <x:row r="1124">
      <x:c r="A1124" t="str">
        <x:v>Mario's Sweet Adventure 3 - A New Quest</x:v>
      </x:c>
      <x:c r="B1124" t="str">
        <x:v>Mario's Sweet Adventure 3 - A New Quest</x:v>
      </x:c>
      <x:c r="C1124" t="str">
        <x:v>niko</x:v>
      </x:c>
      <x:c r="D1124" t="n">
        <x:v>66</x:v>
      </x:c>
      <x:c r="E1124" t="str">
        <x:v>Intermediate</x:v>
      </x:c>
      <x:c r="F1124" t="str">
        <x:v>Standard</x:v>
      </x:c>
      <x:c r="G1124" t="n">
        <x:v>42730</x:v>
      </x:c>
      <x:c r="H1124" t="str">
        <x:v>14710</x:v>
      </x:c>
      <x:c r="I1124" t="str">
        <x:v>https://www.smwcentral.net/?a=details&amp;id=14710&amp;p=section</x:v>
      </x:c>
      <x:c r="J1124" t="str">
        <x:v>https://dl.smwcentral.net/14710/MSA%203%20FINAL%201.1.0.0.zip</x:v>
      </x:c>
    </x:row>
    <x:row r="1125">
      <x:c r="A1125" t="str">
        <x:v>Mario's Time Quest</x:v>
      </x:c>
      <x:c r="B1125" t="str">
        <x:v>Mario's Time Quest</x:v>
      </x:c>
      <x:c r="C1125" t="str">
        <x:v>Red Chameleon, YoshiFan501</x:v>
      </x:c>
      <x:c r="D1125" t="n">
        <x:v>10</x:v>
      </x:c>
      <x:c r="E1125" t="str">
        <x:v>Newcomer</x:v>
      </x:c>
      <x:c r="F1125" t="str">
        <x:v>Standard</x:v>
      </x:c>
      <x:c r="G1125" t="n">
        <x:v>42242</x:v>
      </x:c>
      <x:c r="H1125" t="str">
        <x:v>9842</x:v>
      </x:c>
      <x:c r="I1125" t="str">
        <x:v>https://www.smwcentral.net/?a=details&amp;id=9842&amp;p=section</x:v>
      </x:c>
      <x:c r="J1125" t="str">
        <x:v>https://dl.smwcentral.net/9842/Mario%27s%20Time%20Quest%20-%20Demo%201.zip</x:v>
      </x:c>
    </x:row>
    <x:row r="1126">
      <x:c r="A1126" t="str">
        <x:v>Mario's Timely Adventure</x:v>
      </x:c>
      <x:c r="B1126" t="str">
        <x:v>Mario's Timely Adventure</x:v>
      </x:c>
      <x:c r="C1126" t="str">
        <x:v>xman0444</x:v>
      </x:c>
      <x:c r="D1126" t="n">
        <x:v>7</x:v>
      </x:c>
      <x:c r="E1126" t="str">
        <x:v>Newcomer</x:v>
      </x:c>
      <x:c r="F1126" t="str">
        <x:v>Standard</x:v>
      </x:c>
      <x:c r="G1126" t="n">
        <x:v>42248</x:v>
      </x:c>
      <x:c r="H1126" t="str">
        <x:v>9868</x:v>
      </x:c>
      <x:c r="I1126" t="str">
        <x:v>https://www.smwcentral.net/?a=details&amp;id=9868&amp;p=section</x:v>
      </x:c>
      <x:c r="J1126" t="str">
        <x:v>https://dl.smwcentral.net/9868/mta.zip.zip</x:v>
      </x:c>
    </x:row>
    <x:row r="1127">
      <x:c r="A1127" t="str">
        <x:v>Mario's Training</x:v>
      </x:c>
      <x:c r="B1127" t="str">
        <x:v>Mario's Training</x:v>
      </x:c>
      <x:c r="C1127" t="str">
        <x:v>RussianMan</x:v>
      </x:c>
      <x:c r="D1127" t="n">
        <x:v>4</x:v>
      </x:c>
      <x:c r="E1127" t="str">
        <x:v>Advanced</x:v>
      </x:c>
      <x:c r="F1127" t="str">
        <x:v>Kaizo</x:v>
      </x:c>
      <x:c r="G1127" t="n">
        <x:v>43433</x:v>
      </x:c>
      <x:c r="H1127" t="str">
        <x:v>18509</x:v>
      </x:c>
      <x:c r="I1127" t="str">
        <x:v>https://www.smwcentral.net/?a=details&amp;id=18509&amp;p=section</x:v>
      </x:c>
      <x:c r="J1127" t="str">
        <x:v>https://dl.smwcentral.net/18509/Mario%27s%20Training.zip</x:v>
      </x:c>
    </x:row>
    <x:row r="1128">
      <x:c r="A1128" t="str">
        <x:v>Mario's Treasure Hunt</x:v>
      </x:c>
      <x:c r="B1128" t="str">
        <x:v>Mario's Treasure Hunt</x:v>
      </x:c>
      <x:c r="C1128" t="str">
        <x:v>MaiK</x:v>
      </x:c>
      <x:c r="D1128" t="n">
        <x:v>64</x:v>
      </x:c>
      <x:c r="E1128" t="str">
        <x:v>Casual</x:v>
      </x:c>
      <x:c r="F1128" t="str">
        <x:v>Standard</x:v>
      </x:c>
      <x:c r="G1128" t="n">
        <x:v>41598</x:v>
      </x:c>
      <x:c r="H1128" t="str">
        <x:v>5551</x:v>
      </x:c>
      <x:c r="I1128" t="str">
        <x:v>https://www.smwcentral.net/?a=details&amp;id=5551&amp;p=section</x:v>
      </x:c>
      <x:c r="J1128" t="str">
        <x:v>https://dl.smwcentral.net/5551/MTH%20by%20Mawwo7.zip</x:v>
      </x:c>
    </x:row>
    <x:row r="1129">
      <x:c r="A1129" t="str">
        <x:v>Mario's Treasure Hunt 2</x:v>
      </x:c>
      <x:c r="B1129" t="str">
        <x:v>Mario's Treasure Hunt 2</x:v>
      </x:c>
      <x:c r="C1129" t="str">
        <x:v>MaiK</x:v>
      </x:c>
      <x:c r="D1129" t="n">
        <x:v>75</x:v>
      </x:c>
      <x:c r="E1129" t="str">
        <x:v>Casual</x:v>
      </x:c>
      <x:c r="F1129" t="str">
        <x:v>Standard</x:v>
      </x:c>
      <x:c r="G1129" t="n">
        <x:v>41600</x:v>
      </x:c>
      <x:c r="H1129" t="str">
        <x:v>5566</x:v>
      </x:c>
      <x:c r="I1129" t="str">
        <x:v>https://www.smwcentral.net/?a=details&amp;id=5566&amp;p=section</x:v>
      </x:c>
      <x:c r="J1129" t="str">
        <x:v>https://dl.smwcentral.net/5566/MTH2.zip</x:v>
      </x:c>
    </x:row>
    <x:row r="1130">
      <x:c r="A1130" t="str">
        <x:v>Mario's Ultimate Journey</x:v>
      </x:c>
      <x:c r="B1130" t="str">
        <x:v>Mario's Ultimate Journey</x:v>
      </x:c>
      <x:c r="C1130" t="str">
        <x:v>Tahixham</x:v>
      </x:c>
      <x:c r="D1130" t="n">
        <x:v>9</x:v>
      </x:c>
      <x:c r="E1130" t="str">
        <x:v>Casual</x:v>
      </x:c>
      <x:c r="F1130" t="str">
        <x:v>Standard</x:v>
      </x:c>
      <x:c r="G1130" t="n">
        <x:v>41545</x:v>
      </x:c>
      <x:c r="H1130" t="str">
        <x:v>5488</x:v>
      </x:c>
      <x:c r="I1130" t="str">
        <x:v>https://www.smwcentral.net/?a=details&amp;id=5488&amp;p=section</x:v>
      </x:c>
      <x:c r="J1130" t="str">
        <x:v>https://dl.smwcentral.net/5488/Mario%27s%20Ultimate%20Journey%20Demo%201.zip</x:v>
      </x:c>
    </x:row>
    <x:row r="1131">
      <x:c r="A1131" t="str">
        <x:v>Mario's Vanilla Journey</x:v>
      </x:c>
      <x:c r="B1131" t="str">
        <x:v>Mario's Vanilla Journey</x:v>
      </x:c>
      <x:c r="C1131" t="str">
        <x:v>akacesfan</x:v>
      </x:c>
      <x:c r="D1131" t="n">
        <x:v>24</x:v>
      </x:c>
      <x:c r="E1131" t="str">
        <x:v>Casual</x:v>
      </x:c>
      <x:c r="F1131" t="str">
        <x:v>Standard</x:v>
      </x:c>
      <x:c r="G1131" t="n">
        <x:v>41856</x:v>
      </x:c>
      <x:c r="H1131" t="str">
        <x:v>8721</x:v>
      </x:c>
      <x:c r="I1131" t="str">
        <x:v>https://www.smwcentral.net/?a=details&amp;id=8721&amp;p=section</x:v>
      </x:c>
      <x:c r="J1131" t="str">
        <x:v>https://dl.smwcentral.net/8721/Mario%27s%20Vanilla%20Journey%20-%20Demo%202.02.zip</x:v>
      </x:c>
    </x:row>
    <x:row r="1132">
      <x:c r="A1132" t="str">
        <x:v>Mario's Walk Home: Extended Collector's Edition</x:v>
      </x:c>
      <x:c r="B1132" t="str">
        <x:v>Mario's Walk Home: Extended Collector's Edition</x:v>
      </x:c>
      <x:c r="C1132" t="str">
        <x:v>Noivern</x:v>
      </x:c>
      <x:c r="D1132" t="n">
        <x:v>15</x:v>
      </x:c>
      <x:c r="E1132" t="str">
        <x:v>Newcomer</x:v>
      </x:c>
      <x:c r="F1132" t="str">
        <x:v>Standard</x:v>
      </x:c>
      <x:c r="G1132" t="n">
        <x:v>41560</x:v>
      </x:c>
      <x:c r="H1132" t="str">
        <x:v>5422</x:v>
      </x:c>
      <x:c r="I1132" t="str">
        <x:v>https://www.smwcentral.net/?a=details&amp;id=5422&amp;p=section</x:v>
      </x:c>
      <x:c r="J1132" t="str">
        <x:v>https://dl.smwcentral.net/5422/Mario%27s%20Walk%20Home.zip</x:v>
      </x:c>
    </x:row>
    <x:row r="1133">
      <x:c r="A1133" t="str">
        <x:v>Mario's Way to be a Legend</x:v>
      </x:c>
      <x:c r="B1133" t="str">
        <x:v>Mario's Way to be a Legend</x:v>
      </x:c>
      <x:c r="C1133" t="str">
        <x:v>SuperMarisa1999</x:v>
      </x:c>
      <x:c r="D1133" t="n">
        <x:v>5</x:v>
      </x:c>
      <x:c r="E1133" t="str">
        <x:v>Expert</x:v>
      </x:c>
      <x:c r="F1133" t="str">
        <x:v>Kaizo</x:v>
      </x:c>
      <x:c r="G1133" t="n">
        <x:v>42458</x:v>
      </x:c>
      <x:c r="H1133" t="str">
        <x:v>13486</x:v>
      </x:c>
      <x:c r="I1133" t="str">
        <x:v>https://www.smwcentral.net/?a=details&amp;id=13486&amp;p=section</x:v>
      </x:c>
      <x:c r="J1133" t="str">
        <x:v>https://dl.smwcentral.net/13486/Mario%27s%20Way%20To%20Be%20a%20Legend%20Demo%200.1.1.zip</x:v>
      </x:c>
    </x:row>
    <x:row r="1134">
      <x:c r="A1134" t="str">
        <x:v>Mario, Luigi and the 7 Eggs of Peace</x:v>
      </x:c>
      <x:c r="B1134" t="str">
        <x:v>Mario, Luigi and the 7 Eggs of Peace</x:v>
      </x:c>
      <x:c r="C1134" t="str">
        <x:v>cyphermur9t</x:v>
      </x:c>
      <x:c r="D1134" t="n">
        <x:v>53</x:v>
      </x:c>
      <x:c r="E1134" t="str">
        <x:v>Intermediate</x:v>
      </x:c>
      <x:c r="F1134" t="str">
        <x:v>Standard</x:v>
      </x:c>
      <x:c r="G1134" t="n">
        <x:v>43695</x:v>
      </x:c>
      <x:c r="H1134" t="str">
        <x:v>20943</x:v>
      </x:c>
      <x:c r="I1134" t="str">
        <x:v>https://www.smwcentral.net/?a=details&amp;id=20943&amp;p=section</x:v>
      </x:c>
      <x:c r="J1134" t="str">
        <x:v>https://dl.smwcentral.net/20943/Mario%20Luigi%20and%20the%207%20eggs%20of%20peace.zip</x:v>
      </x:c>
    </x:row>
    <x:row r="1135">
      <x:c r="A1135" t="str">
        <x:v>Mario41001's Unknown Hack</x:v>
      </x:c>
      <x:c r="B1135" t="str">
        <x:v>Mario41001's Unknown Hack</x:v>
      </x:c>
      <x:c r="C1135" t="str">
        <x:v>440</x:v>
      </x:c>
      <x:c r="D1135" t="n">
        <x:v>4</x:v>
      </x:c>
      <x:c r="E1135" t="str">
        <x:v>Casual</x:v>
      </x:c>
      <x:c r="F1135" t="str">
        <x:v>Standard</x:v>
      </x:c>
      <x:c r="G1135" t="n">
        <x:v>42111</x:v>
      </x:c>
      <x:c r="H1135" t="str">
        <x:v>9693</x:v>
      </x:c>
      <x:c r="I1135" t="str">
        <x:v>https://www.smwcentral.net/?a=details&amp;id=9693&amp;p=section</x:v>
      </x:c>
      <x:c r="J1135" t="str">
        <x:v>https://dl.smwcentral.net/9693/MUH.zip</x:v>
      </x:c>
    </x:row>
    <x:row r="1136">
      <x:c r="A1136" t="str">
        <x:v>Mario: Apocalypse Dawn</x:v>
      </x:c>
      <x:c r="B1136" t="str">
        <x:v>Mario: Apocalypse Dawn</x:v>
      </x:c>
      <x:c r="C1136" t="str">
        <x:v>BulletBillTime</x:v>
      </x:c>
      <x:c r="D1136" t="n">
        <x:v>5</x:v>
      </x:c>
      <x:c r="E1136" t="str">
        <x:v>Casual</x:v>
      </x:c>
      <x:c r="F1136" t="str">
        <x:v>Standard</x:v>
      </x:c>
      <x:c r="G1136" t="n">
        <x:v>42040</x:v>
      </x:c>
      <x:c r="H1136" t="str">
        <x:v>9725</x:v>
      </x:c>
      <x:c r="I1136" t="str">
        <x:v>https://www.smwcentral.net/?a=details&amp;id=9725&amp;p=section</x:v>
      </x:c>
      <x:c r="J1136" t="str">
        <x:v>https://dl.smwcentral.net/9725/Mario%20-%20Apocalypse%20Dawn%20Demo%201.zip</x:v>
      </x:c>
    </x:row>
    <x:row r="1137">
      <x:c r="A1137" t="str">
        <x:v>Mario: Collapsing Worlds</x:v>
      </x:c>
      <x:c r="B1137" t="str">
        <x:v>Mario: Collapsing Worlds</x:v>
      </x:c>
      <x:c r="C1137" t="str">
        <x:v>Blue_Raven</x:v>
      </x:c>
      <x:c r="D1137" t="n">
        <x:v>4</x:v>
      </x:c>
      <x:c r="E1137" t="str">
        <x:v>Casual</x:v>
      </x:c>
      <x:c r="F1137" t="str">
        <x:v>Standard</x:v>
      </x:c>
      <x:c r="G1137" t="n">
        <x:v>42314</x:v>
      </x:c>
      <x:c r="H1137" t="str">
        <x:v>10145</x:v>
      </x:c>
      <x:c r="I1137" t="str">
        <x:v>https://www.smwcentral.net/?a=details&amp;id=10145&amp;p=section</x:v>
      </x:c>
      <x:c r="J1137" t="str">
        <x:v>https://dl.smwcentral.net/10145/MCW.zip</x:v>
      </x:c>
    </x:row>
    <x:row r="1138">
      <x:c r="A1138" t="str">
        <x:v>Mario: Dawn to Darkness</x:v>
      </x:c>
      <x:c r="B1138" t="str">
        <x:v>Mario: Dawn to Darkness</x:v>
      </x:c>
      <x:c r="C1138" t="str">
        <x:v>Yanama</x:v>
      </x:c>
      <x:c r="D1138" t="n">
        <x:v>23</x:v>
      </x:c>
      <x:c r="E1138" t="str">
        <x:v>Newcomer</x:v>
      </x:c>
      <x:c r="F1138" t="str">
        <x:v>Standard</x:v>
      </x:c>
      <x:c r="G1138" t="n">
        <x:v>42512</x:v>
      </x:c>
      <x:c r="H1138" t="str">
        <x:v>13707</x:v>
      </x:c>
      <x:c r="I1138" t="str">
        <x:v>https://www.smwcentral.net/?a=details&amp;id=13707&amp;p=section</x:v>
      </x:c>
      <x:c r="J1138" t="str">
        <x:v>https://dl.smwcentral.net/13707/MarioDawnToDarkness_fixed.zip</x:v>
      </x:c>
    </x:row>
    <x:row r="1139">
      <x:c r="A1139" t="str">
        <x:v>Mario: Other M</x:v>
      </x:c>
      <x:c r="B1139" t="str">
        <x:v>Mario: Other M</x:v>
      </x:c>
      <x:c r="C1139" t="str">
        <x:v>majora211</x:v>
      </x:c>
      <x:c r="D1139" t="n">
        <x:v>8</x:v>
      </x:c>
      <x:c r="E1139" t="str">
        <x:v>Casual</x:v>
      </x:c>
      <x:c r="F1139" t="str">
        <x:v>Standard</x:v>
      </x:c>
      <x:c r="G1139" t="n">
        <x:v>42311</x:v>
      </x:c>
      <x:c r="H1139" t="str">
        <x:v>10131</x:v>
      </x:c>
      <x:c r="I1139" t="str">
        <x:v>https://www.smwcentral.net/?a=details&amp;id=10131&amp;p=section</x:v>
      </x:c>
      <x:c r="J1139" t="str">
        <x:v>https://dl.smwcentral.net/10131/Mario%20Other%20M.zip</x:v>
      </x:c>
    </x:row>
    <x:row r="1140">
      <x:c r="A1140" t="str">
        <x:v>Mario: The Curse of King Boo</x:v>
      </x:c>
      <x:c r="B1140" t="str">
        <x:v>Mario: The Curse of King Boo</x:v>
      </x:c>
      <x:c r="C1140" t="str">
        <x:v>Parahax</x:v>
      </x:c>
      <x:c r="D1140" t="n">
        <x:v>35</x:v>
      </x:c>
      <x:c r="E1140" t="str">
        <x:v>Intermediate</x:v>
      </x:c>
      <x:c r="F1140" t="str">
        <x:v>Kaizo</x:v>
      </x:c>
      <x:c r="G1140" t="n">
        <x:v>43785</x:v>
      </x:c>
      <x:c r="H1140" t="str">
        <x:v>21156</x:v>
      </x:c>
      <x:c r="I1140" t="str">
        <x:v>https://www.smwcentral.net/?a=details&amp;id=21156&amp;p=section</x:v>
      </x:c>
      <x:c r="J1140" t="str">
        <x:v>https://dl.smwcentral.net/21156/Curse%20of%20King%20Boo.zip</x:v>
      </x:c>
    </x:row>
    <x:row r="1141">
      <x:c r="A1141" t="str">
        <x:v>Marios Adventure in the Dream World</x:v>
      </x:c>
      <x:c r="B1141" t="str">
        <x:v>Marios Adventure in the Dream World</x:v>
      </x:c>
      <x:c r="C1141" t="str">
        <x:v>HookEcho</x:v>
      </x:c>
      <x:c r="D1141" t="n">
        <x:v>21</x:v>
      </x:c>
      <x:c r="E1141" t="str">
        <x:v>Casual</x:v>
      </x:c>
      <x:c r="F1141" t="str">
        <x:v>Standard</x:v>
      </x:c>
      <x:c r="G1141" t="n">
        <x:v>43157</x:v>
      </x:c>
      <x:c r="H1141" t="str">
        <x:v>17178</x:v>
      </x:c>
      <x:c r="I1141" t="str">
        <x:v>https://www.smwcentral.net/?a=details&amp;id=17178&amp;p=section</x:v>
      </x:c>
      <x:c r="J1141" t="str">
        <x:v>https://dl.smwcentral.net/17178/MarioAdventureInTheDreamWorld.zip</x:v>
      </x:c>
    </x:row>
    <x:row r="1142">
      <x:c r="A1142" t="str">
        <x:v>Marios Christmas Adventure</x:v>
      </x:c>
      <x:c r="B1142" t="str">
        <x:v>Marios Christmas Adventure</x:v>
      </x:c>
      <x:c r="C1142" t="str">
        <x:v>Saphros</x:v>
      </x:c>
      <x:c r="D1142" t="n">
        <x:v>5</x:v>
      </x:c>
      <x:c r="E1142" t="str">
        <x:v>Intermediate</x:v>
      </x:c>
      <x:c r="F1142" t="str">
        <x:v>Kaizo</x:v>
      </x:c>
      <x:c r="G1142" t="n">
        <x:v>45654</x:v>
      </x:c>
      <x:c r="H1142" t="str">
        <x:v>38969</x:v>
      </x:c>
      <x:c r="I1142" t="str">
        <x:v>https://www.smwcentral.net/?a=details&amp;id=38969&amp;p=section</x:v>
      </x:c>
      <x:c r="J1142" t="str">
        <x:v>https://dl.smwcentral.net/38969/Marios_Christmas_Adventure.zip</x:v>
      </x:c>
    </x:row>
    <x:row r="1143">
      <x:c r="A1143" t="str">
        <x:v>Marios Christmas Adventure 2</x:v>
      </x:c>
      <x:c r="B1143" t="str">
        <x:v>Marios Christmas Adventure 2</x:v>
      </x:c>
      <x:c r="C1143" t="str">
        <x:v>Saphros</x:v>
      </x:c>
      <x:c r="D1143" t="n">
        <x:v>5</x:v>
      </x:c>
      <x:c r="E1143" t="str">
        <x:v>Intermediate</x:v>
      </x:c>
      <x:c r="F1143" t="str">
        <x:v>Kaizo</x:v>
      </x:c>
      <x:c r="G1143" t="n">
        <x:v>45990</x:v>
      </x:c>
      <x:c r="H1143" t="str">
        <x:v>41143</x:v>
      </x:c>
      <x:c r="I1143" t="str">
        <x:v>https://www.smwcentral.net/?a=details&amp;id=41143&amp;p=section</x:v>
      </x:c>
      <x:c r="J1143" t="str">
        <x:v>https://dl.smwcentral.net/41143/Marios_Christmas_Adventure_2.zip</x:v>
      </x:c>
    </x:row>
    <x:row r="1144">
      <x:c r="A1144" t="str">
        <x:v>Marios Pizza Party</x:v>
      </x:c>
      <x:c r="B1144" t="str">
        <x:v>Marios Pizza Party</x:v>
      </x:c>
      <x:c r="C1144" t="str">
        <x:v>Saphros</x:v>
      </x:c>
      <x:c r="D1144" t="n">
        <x:v>10</x:v>
      </x:c>
      <x:c r="E1144" t="str">
        <x:v>Intermediate</x:v>
      </x:c>
      <x:c r="F1144" t="str">
        <x:v>Kaizo</x:v>
      </x:c>
      <x:c r="G1144" t="n">
        <x:v>45455</x:v>
      </x:c>
      <x:c r="H1144" t="str">
        <x:v>37928</x:v>
      </x:c>
      <x:c r="I1144" t="str">
        <x:v>https://www.smwcentral.net/?a=details&amp;id=37928&amp;p=section</x:v>
      </x:c>
      <x:c r="J1144" t="str">
        <x:v>https://dl.smwcentral.net/37928/MariosPizzaParty.zip</x:v>
      </x:c>
    </x:row>
    <x:row r="1145">
      <x:c r="A1145" t="str">
        <x:v>Marios Pizza Party 2</x:v>
      </x:c>
      <x:c r="B1145" t="str">
        <x:v>Marios Pizza Party 2</x:v>
      </x:c>
      <x:c r="C1145" t="str">
        <x:v>Saphros</x:v>
      </x:c>
      <x:c r="D1145" t="n">
        <x:v>16</x:v>
      </x:c>
      <x:c r="E1145" t="str">
        <x:v>Intermediate</x:v>
      </x:c>
      <x:c r="F1145" t="str">
        <x:v>Kaizo</x:v>
      </x:c>
      <x:c r="G1145" t="n">
        <x:v>45569</x:v>
      </x:c>
      <x:c r="H1145" t="str">
        <x:v>38576</x:v>
      </x:c>
      <x:c r="I1145" t="str">
        <x:v>https://www.smwcentral.net/?a=details&amp;id=38576&amp;p=section</x:v>
      </x:c>
      <x:c r="J1145" t="str">
        <x:v>https://dl.smwcentral.net/38576/Marios_Pizza_Party_2.zip</x:v>
      </x:c>
    </x:row>
    <x:row r="1146">
      <x:c r="A1146" t="str">
        <x:v>Marios Pizza Party 3</x:v>
      </x:c>
      <x:c r="B1146" t="str">
        <x:v>Marios Pizza Party 3</x:v>
      </x:c>
      <x:c r="C1146" t="str">
        <x:v>Saphros</x:v>
      </x:c>
      <x:c r="D1146" t="n">
        <x:v>13</x:v>
      </x:c>
      <x:c r="E1146" t="str">
        <x:v>Intermediate</x:v>
      </x:c>
      <x:c r="F1146" t="str">
        <x:v>Kaizo</x:v>
      </x:c>
      <x:c r="G1146" t="n">
        <x:v>45869</x:v>
      </x:c>
      <x:c r="H1146" t="str">
        <x:v>40193</x:v>
      </x:c>
      <x:c r="I1146" t="str">
        <x:v>https://www.smwcentral.net/?a=details&amp;id=40193&amp;p=section</x:v>
      </x:c>
      <x:c r="J1146" t="str">
        <x:v>https://dl.smwcentral.net/40193/Marios%20Pizza%20Party%203%20-%201.1.zip</x:v>
      </x:c>
    </x:row>
    <x:row r="1147">
      <x:c r="A1147" t="str">
        <x:v>Marios story</x:v>
      </x:c>
      <x:c r="B1147" t="str">
        <x:v>Marios story</x:v>
      </x:c>
      <x:c r="C1147" t="str">
        <x:v>PaperMario94</x:v>
      </x:c>
      <x:c r="D1147" t="n">
        <x:v>22</x:v>
      </x:c>
      <x:c r="E1147" t="str">
        <x:v>Casual</x:v>
      </x:c>
      <x:c r="F1147" t="str">
        <x:v>Standard</x:v>
      </x:c>
      <x:c r="G1147" t="n">
        <x:v>42294</x:v>
      </x:c>
      <x:c r="H1147" t="str">
        <x:v>9928</x:v>
      </x:c>
      <x:c r="I1147" t="str">
        <x:v>https://www.smwcentral.net/?a=details&amp;id=9928&amp;p=section</x:v>
      </x:c>
      <x:c r="J1147" t="str">
        <x:v>https://dl.smwcentral.net/9928/Mario%C2%B4s%20Story.zip</x:v>
      </x:c>
    </x:row>
    <x:row r="1148">
      <x:c r="A1148" t="str">
        <x:v>MarioX World SER</x:v>
      </x:c>
      <x:c r="B1148" t="str">
        <x:v>MarioX World SER</x:v>
      </x:c>
      <x:c r="C1148" t="str">
        <x:v>Anikiti</x:v>
      </x:c>
      <x:c r="D1148" t="n">
        <x:v>80</x:v>
      </x:c>
      <x:c r="E1148" t="str">
        <x:v>Advanced</x:v>
      </x:c>
      <x:c r="F1148" t="str">
        <x:v>Standard</x:v>
      </x:c>
      <x:c r="G1148" t="n">
        <x:v>42336</x:v>
      </x:c>
      <x:c r="H1148" t="str">
        <x:v>10183</x:v>
      </x:c>
      <x:c r="I1148" t="str">
        <x:v>https://www.smwcentral.net/?a=details&amp;id=10183&amp;p=section</x:v>
      </x:c>
      <x:c r="J1148" t="str">
        <x:v>https://dl.smwcentral.net/10183/mxw2ndr.zip</x:v>
      </x:c>
    </x:row>
    <x:row r="1149">
      <x:c r="A1149" t="str">
        <x:v>Marisa And Reimu VS C3</x:v>
      </x:c>
      <x:c r="B1149" t="str">
        <x:v>Marisa And Reimu VS C3</x:v>
      </x:c>
      <x:c r="C1149" t="str">
        <x:v>RussianMan</x:v>
      </x:c>
      <x:c r="D1149" t="n">
        <x:v>6</x:v>
      </x:c>
      <x:c r="E1149" t="str">
        <x:v>Advanced</x:v>
      </x:c>
      <x:c r="F1149" t="str">
        <x:v>Standard</x:v>
      </x:c>
      <x:c r="G1149" t="n">
        <x:v>44601</x:v>
      </x:c>
      <x:c r="H1149" t="str">
        <x:v>29522</x:v>
      </x:c>
      <x:c r="I1149" t="str">
        <x:v>https://www.smwcentral.net/?a=details&amp;id=29522&amp;p=section</x:v>
      </x:c>
      <x:c r="J1149" t="str">
        <x:v>https://dl.smwcentral.net/29522/Marisa%20And%20Reimu%20VS%20C3.zip</x:v>
      </x:c>
    </x:row>
    <x:row r="1150">
      <x:c r="A1150" t="str">
        <x:v>Marisa And Reimu's Hack</x:v>
      </x:c>
      <x:c r="B1150" t="str">
        <x:v>Marisa And Reimu's Hack</x:v>
      </x:c>
      <x:c r="C1150" t="str">
        <x:v>RussianMan</x:v>
      </x:c>
      <x:c r="D1150" t="n">
        <x:v>8</x:v>
      </x:c>
      <x:c r="E1150" t="str">
        <x:v>Advanced</x:v>
      </x:c>
      <x:c r="F1150" t="str">
        <x:v>Standard</x:v>
      </x:c>
      <x:c r="G1150" t="n">
        <x:v>44565</x:v>
      </x:c>
      <x:c r="H1150" t="str">
        <x:v>29146</x:v>
      </x:c>
      <x:c r="I1150" t="str">
        <x:v>https://www.smwcentral.net/?a=details&amp;id=29146&amp;p=section</x:v>
      </x:c>
      <x:c r="J1150" t="str">
        <x:v>https://dl.smwcentral.net/29146/Marisa%20And%20Reimu%27s%20Hack.zip</x:v>
      </x:c>
    </x:row>
    <x:row r="1151">
      <x:c r="A1151" t="str">
        <x:v>Marisa And Reimu's Hack 2</x:v>
      </x:c>
      <x:c r="B1151" t="str">
        <x:v>Marisa And Reimu's Hack 2</x:v>
      </x:c>
      <x:c r="C1151" t="str">
        <x:v>RussianMan</x:v>
      </x:c>
      <x:c r="D1151" t="n">
        <x:v>8</x:v>
      </x:c>
      <x:c r="E1151" t="str">
        <x:v>Expert</x:v>
      </x:c>
      <x:c r="F1151" t="str">
        <x:v>Kaizo</x:v>
      </x:c>
      <x:c r="G1151" t="n">
        <x:v>45811</x:v>
      </x:c>
      <x:c r="H1151" t="str">
        <x:v>39933</x:v>
      </x:c>
      <x:c r="I1151" t="str">
        <x:v>https://www.smwcentral.net/?a=details&amp;id=39933&amp;p=section</x:v>
      </x:c>
      <x:c r="J1151" t="str">
        <x:v>https://dl.smwcentral.net/39933/Marisa%20and%20Reimu%27s%20Hack%202.zip</x:v>
      </x:c>
    </x:row>
    <x:row r="1152">
      <x:c r="A1152" t="str">
        <x:v>Marisa And Reimu's Switch Hunt</x:v>
      </x:c>
      <x:c r="B1152" t="str">
        <x:v>Marisa And Reimu's Switch Hunt</x:v>
      </x:c>
      <x:c r="C1152" t="str">
        <x:v>RussianMan</x:v>
      </x:c>
      <x:c r="D1152" t="n">
        <x:v>5</x:v>
      </x:c>
      <x:c r="E1152" t="str">
        <x:v>Advanced</x:v>
      </x:c>
      <x:c r="F1152" t="str">
        <x:v>Standard</x:v>
      </x:c>
      <x:c r="G1152" t="n">
        <x:v>44390</x:v>
      </x:c>
      <x:c r="H1152" t="str">
        <x:v>27626</x:v>
      </x:c>
      <x:c r="I1152" t="str">
        <x:v>https://www.smwcentral.net/?a=details&amp;id=27626&amp;p=section</x:v>
      </x:c>
      <x:c r="J1152" t="str">
        <x:v>https://dl.smwcentral.net/27626/MarisaAndReimuC3_V.1.02.zip</x:v>
      </x:c>
    </x:row>
    <x:row r="1153">
      <x:c r="A1153" t="str">
        <x:v>Marisa's Dimensional Adventure Demo 2</x:v>
      </x:c>
      <x:c r="B1153" t="str">
        <x:v>Marisa's Dimensional Adventure Demo 2</x:v>
      </x:c>
      <x:c r="C1153" t="str">
        <x:v>tfpivman</x:v>
      </x:c>
      <x:c r="D1153" t="n">
        <x:v>35</x:v>
      </x:c>
      <x:c r="E1153" t="str">
        <x:v>Casual</x:v>
      </x:c>
      <x:c r="F1153" t="str">
        <x:v>Standard</x:v>
      </x:c>
      <x:c r="G1153" t="n">
        <x:v>44904</x:v>
      </x:c>
      <x:c r="H1153" t="str">
        <x:v>32694</x:v>
      </x:c>
      <x:c r="I1153" t="str">
        <x:v>https://www.smwcentral.net/?a=details&amp;id=32694&amp;p=section</x:v>
      </x:c>
      <x:c r="J1153" t="str">
        <x:v>https://dl.smwcentral.net/32694/Marisa%27s%20Dimensional%20Adventure%20Demo%202.zip</x:v>
      </x:c>
    </x:row>
    <x:row r="1154">
      <x:c r="A1154" t="str">
        <x:v>MaSeHiHa - Mario's Search For His Hat</x:v>
      </x:c>
      <x:c r="B1154" t="str">
        <x:v>MaSeHiHa - Mario's Search For His Hat</x:v>
      </x:c>
      <x:c r="C1154" t="str">
        <x:v>neidoodle</x:v>
      </x:c>
      <x:c r="D1154" t="n">
        <x:v>7</x:v>
      </x:c>
      <x:c r="E1154" t="str">
        <x:v>Casual</x:v>
      </x:c>
      <x:c r="F1154" t="str">
        <x:v>Standard</x:v>
      </x:c>
      <x:c r="G1154" t="n">
        <x:v>41644</x:v>
      </x:c>
      <x:c r="H1154" t="str">
        <x:v>6055</x:v>
      </x:c>
      <x:c r="I1154" t="str">
        <x:v>https://www.smwcentral.net/?a=details&amp;id=6055&amp;p=section</x:v>
      </x:c>
      <x:c r="J1154" t="str">
        <x:v>https://dl.smwcentral.net/6055/MaSeHiHa.zip</x:v>
      </x:c>
    </x:row>
    <x:row r="1155">
      <x:c r="A1155" t="str">
        <x:v>Master of Shell</x:v>
      </x:c>
      <x:c r="B1155" t="str">
        <x:v>Master of Shell</x:v>
      </x:c>
      <x:c r="C1155" t="str">
        <x:v>ageVerrly</x:v>
      </x:c>
      <x:c r="D1155" t="n">
        <x:v>16</x:v>
      </x:c>
      <x:c r="E1155" t="str">
        <x:v>Master</x:v>
      </x:c>
      <x:c r="F1155" t="str">
        <x:v>Kaizo</x:v>
      </x:c>
      <x:c r="G1155" t="n">
        <x:v>44586</x:v>
      </x:c>
      <x:c r="H1155" t="str">
        <x:v>29054</x:v>
      </x:c>
      <x:c r="I1155" t="str">
        <x:v>https://www.smwcentral.net/?a=details&amp;id=29054&amp;p=section</x:v>
      </x:c>
      <x:c r="J1155" t="str">
        <x:v>https://dl.smwcentral.net/29054/MasterOfShellSMWC.zip</x:v>
      </x:c>
    </x:row>
    <x:row r="1156">
      <x:c r="A1156" t="str">
        <x:v>Masterpiece</x:v>
      </x:c>
      <x:c r="B1156" t="str">
        <x:v>Masterpiece</x:v>
      </x:c>
      <x:c r="C1156" t="str">
        <x:v>YMM</x:v>
      </x:c>
      <x:c r="D1156" t="n">
        <x:v>62</x:v>
      </x:c>
      <x:c r="E1156" t="str">
        <x:v>Master</x:v>
      </x:c>
      <x:c r="F1156" t="str">
        <x:v>Kaizo</x:v>
      </x:c>
      <x:c r="G1156" t="n">
        <x:v>45951</x:v>
      </x:c>
      <x:c r="H1156" t="str">
        <x:v>40715</x:v>
      </x:c>
      <x:c r="I1156" t="str">
        <x:v>https://www.smwcentral.net/?a=details&amp;id=40715&amp;p=section</x:v>
      </x:c>
      <x:c r="J1156" t="str">
        <x:v>https://dl.smwcentral.net/40715/Masterpiece%20v1.2.8.zip</x:v>
      </x:c>
    </x:row>
    <x:row r="1157">
      <x:c r="A1157" t="str">
        <x:v>Mastery Shells</x:v>
      </x:c>
      <x:c r="B1157" t="str">
        <x:v>Mastery Shells</x:v>
      </x:c>
      <x:c r="C1157" t="str">
        <x:v>Jaozin712</x:v>
      </x:c>
      <x:c r="D1157" t="n">
        <x:v>15</x:v>
      </x:c>
      <x:c r="E1157" t="str">
        <x:v>Expert</x:v>
      </x:c>
      <x:c r="F1157" t="str">
        <x:v>Kaizo</x:v>
      </x:c>
      <x:c r="G1157" t="n">
        <x:v>45673</x:v>
      </x:c>
      <x:c r="H1157" t="str">
        <x:v>39059</x:v>
      </x:c>
      <x:c r="I1157" t="str">
        <x:v>https://www.smwcentral.net/?a=details&amp;id=39059&amp;p=section</x:v>
      </x:c>
      <x:c r="J1157" t="str">
        <x:v>https://dl.smwcentral.net/39059/Mastery%20Shells.zip</x:v>
      </x:c>
    </x:row>
    <x:row r="1158">
      <x:c r="A1158" t="str">
        <x:v>Mastery Shells 2</x:v>
      </x:c>
      <x:c r="B1158" t="str">
        <x:v>Mastery Shells 2</x:v>
      </x:c>
      <x:c r="C1158" t="str">
        <x:v>Jaozin712</x:v>
      </x:c>
      <x:c r="D1158" t="n">
        <x:v>15</x:v>
      </x:c>
      <x:c r="E1158" t="str">
        <x:v>Master</x:v>
      </x:c>
      <x:c r="F1158" t="str">
        <x:v>Kaizo</x:v>
      </x:c>
      <x:c r="G1158" t="n">
        <x:v>45968</x:v>
      </x:c>
      <x:c r="H1158" t="str">
        <x:v>40966</x:v>
      </x:c>
      <x:c r="I1158" t="str">
        <x:v>https://www.smwcentral.net/?a=details&amp;id=40966&amp;p=section</x:v>
      </x:c>
      <x:c r="J1158" t="str">
        <x:v>https://dl.smwcentral.net/40966/Mastery%20Shells%202.zip</x:v>
      </x:c>
    </x:row>
    <x:row r="1159">
      <x:c r="A1159" t="str">
        <x:v>Maxodex's World: The Ancestor's Treasure</x:v>
      </x:c>
      <x:c r="B1159" t="str">
        <x:v>Maxodex's World: The Ancestor's Treasure</x:v>
      </x:c>
      <x:c r="C1159" t="str">
        <x:v>Maxodex</x:v>
      </x:c>
      <x:c r="D1159" t="n">
        <x:v>46</x:v>
      </x:c>
      <x:c r="E1159" t="str">
        <x:v>Casual</x:v>
      </x:c>
      <x:c r="F1159" t="str">
        <x:v>Standard</x:v>
      </x:c>
      <x:c r="G1159" t="n">
        <x:v>41590</x:v>
      </x:c>
      <x:c r="H1159" t="str">
        <x:v>5534</x:v>
      </x:c>
      <x:c r="I1159" t="str">
        <x:v>https://www.smwcentral.net/?a=details&amp;id=5534&amp;p=section</x:v>
      </x:c>
      <x:c r="J1159" t="str">
        <x:v>https://dl.smwcentral.net/5534/Maxworld%20-%20TAT.zip</x:v>
      </x:c>
    </x:row>
    <x:row r="1160">
      <x:c r="A1160" t="str">
        <x:v>Mecha-Bowser's Revenge</x:v>
      </x:c>
      <x:c r="B1160" t="str">
        <x:v>Mecha-Bowser's Revenge</x:v>
      </x:c>
      <x:c r="C1160" t="str">
        <x:v>Gamma V</x:v>
      </x:c>
      <x:c r="D1160" t="n">
        <x:v>16</x:v>
      </x:c>
      <x:c r="E1160" t="str">
        <x:v>Casual</x:v>
      </x:c>
      <x:c r="F1160" t="str">
        <x:v>Standard</x:v>
      </x:c>
      <x:c r="G1160" t="n">
        <x:v>42209</x:v>
      </x:c>
      <x:c r="H1160" t="str">
        <x:v>10237</x:v>
      </x:c>
      <x:c r="I1160" t="str">
        <x:v>https://www.smwcentral.net/?a=details&amp;id=10237&amp;p=section</x:v>
      </x:c>
      <x:c r="J1160" t="str">
        <x:v>https://dl.smwcentral.net/10237/Mecha-Bowser%27s%20Revenge%20Demo.zip</x:v>
      </x:c>
    </x:row>
    <x:row r="1161">
      <x:c r="A1161" t="str">
        <x:v>Med's World - A Stick's Birthday</x:v>
      </x:c>
      <x:c r="B1161" t="str">
        <x:v>Med's World - A Stick's Birthday</x:v>
      </x:c>
      <x:c r="C1161" t="str">
        <x:v>GlitchyR-01</x:v>
      </x:c>
      <x:c r="D1161" t="n">
        <x:v>6</x:v>
      </x:c>
      <x:c r="E1161" t="str">
        <x:v>Intermediate</x:v>
      </x:c>
      <x:c r="F1161" t="str">
        <x:v>Standard</x:v>
      </x:c>
      <x:c r="G1161" t="n">
        <x:v>45377</x:v>
      </x:c>
      <x:c r="H1161" t="str">
        <x:v>37517</x:v>
      </x:c>
      <x:c r="I1161" t="str">
        <x:v>https://www.smwcentral.net/?a=details&amp;id=37517&amp;p=section</x:v>
      </x:c>
      <x:c r="J1161" t="str">
        <x:v>https://dl.smwcentral.net/37517/Med%27s%20World%20A%20Stick%27s%20Birthday.zip</x:v>
      </x:c>
    </x:row>
    <x:row r="1162">
      <x:c r="A1162" t="str">
        <x:v>Meet The Balkans (Demo)</x:v>
      </x:c>
      <x:c r="B1162" t="str">
        <x:v>Meet The Balkans (Demo)</x:v>
      </x:c>
      <x:c r="C1162" t="str">
        <x:v>karls_Corinthia</x:v>
      </x:c>
      <x:c r="D1162" t="n">
        <x:v>11</x:v>
      </x:c>
      <x:c r="E1162" t="str">
        <x:v>Intermediate</x:v>
      </x:c>
      <x:c r="F1162" t="str">
        <x:v>Standard</x:v>
      </x:c>
      <x:c r="G1162" t="n">
        <x:v>45022</x:v>
      </x:c>
      <x:c r="H1162" t="str">
        <x:v>33618</x:v>
      </x:c>
      <x:c r="I1162" t="str">
        <x:v>https://www.smwcentral.net/?a=details&amp;id=33618&amp;p=section</x:v>
      </x:c>
      <x:c r="J1162" t="str">
        <x:v>https://dl.smwcentral.net/33618/Meet%20the%20Balkans.zip</x:v>
      </x:c>
    </x:row>
    <x:row r="1163">
      <x:c r="A1163" t="str">
        <x:v>Mega Man's Trip to an Unknown World</x:v>
      </x:c>
      <x:c r="B1163" t="str">
        <x:v>Mega Man's Trip to an Unknown World</x:v>
      </x:c>
      <x:c r="C1163" t="str">
        <x:v>Hackerboy1</x:v>
      </x:c>
      <x:c r="D1163" t="n">
        <x:v>6</x:v>
      </x:c>
      <x:c r="E1163" t="str">
        <x:v>Newcomer</x:v>
      </x:c>
      <x:c r="F1163" t="str">
        <x:v>Standard</x:v>
      </x:c>
      <x:c r="G1163" t="n">
        <x:v>42252</x:v>
      </x:c>
      <x:c r="H1163" t="str">
        <x:v>9967</x:v>
      </x:c>
      <x:c r="I1163" t="str">
        <x:v>https://www.smwcentral.net/?a=details&amp;id=9967&amp;p=section</x:v>
      </x:c>
      <x:c r="J1163" t="str">
        <x:v>https://dl.smwcentral.net/9967/Mega%20Man%27s%20Trip%20to%20An%20Unknown%20World.zip</x:v>
      </x:c>
    </x:row>
    <x:row r="1164">
      <x:c r="A1164" t="str">
        <x:v>Mega Mario Bros. 2</x:v>
      </x:c>
      <x:c r="B1164" t="str">
        <x:v>Mega Mario Bros. 2</x:v>
      </x:c>
      <x:c r="C1164" t="str">
        <x:v>BlackBoo24</x:v>
      </x:c>
      <x:c r="D1164" t="n">
        <x:v>15</x:v>
      </x:c>
      <x:c r="E1164" t="str">
        <x:v>Casual</x:v>
      </x:c>
      <x:c r="F1164" t="str">
        <x:v>Standard</x:v>
      </x:c>
      <x:c r="G1164" t="n">
        <x:v>42213</x:v>
      </x:c>
      <x:c r="H1164" t="str">
        <x:v>9669</x:v>
      </x:c>
      <x:c r="I1164" t="str">
        <x:v>https://www.smwcentral.net/?a=details&amp;id=9669&amp;p=section</x:v>
      </x:c>
      <x:c r="J1164" t="str">
        <x:v>https://dl.smwcentral.net/9669/MMB2.zip</x:v>
      </x:c>
    </x:row>
    <x:row r="1165">
      <x:c r="A1165" t="str">
        <x:v>Mega Mario World 2: Awakened Power</x:v>
      </x:c>
      <x:c r="B1165" t="str">
        <x:v>Mega Mario World 2: Awakened Power</x:v>
      </x:c>
      <x:c r="C1165" t="str">
        <x:v>yoshi3706</x:v>
      </x:c>
      <x:c r="D1165" t="n">
        <x:v>77</x:v>
      </x:c>
      <x:c r="E1165" t="str">
        <x:v>Intermediate</x:v>
      </x:c>
      <x:c r="F1165" t="str">
        <x:v>Standard</x:v>
      </x:c>
      <x:c r="G1165" t="n">
        <x:v>45438</x:v>
      </x:c>
      <x:c r="H1165" t="str">
        <x:v>37601</x:v>
      </x:c>
      <x:c r="I1165" t="str">
        <x:v>https://www.smwcentral.net/?a=details&amp;id=37601&amp;p=section</x:v>
      </x:c>
      <x:c r="J1165" t="str">
        <x:v>https://dl.smwcentral.net/37601/Mega%20Mario%20World%202%20-%20Awakened%20Power%201.4%20%28eng%2Besp%29.zip</x:v>
      </x:c>
    </x:row>
    <x:row r="1166">
      <x:c r="A1166" t="str">
        <x:v>Mega Mario World: Another Universe</x:v>
      </x:c>
      <x:c r="B1166" t="str">
        <x:v>Mega Mario World: Another Universe</x:v>
      </x:c>
      <x:c r="C1166" t="str">
        <x:v>yoshi3706</x:v>
      </x:c>
      <x:c r="D1166" t="n">
        <x:v>59</x:v>
      </x:c>
      <x:c r="E1166" t="str">
        <x:v>Casual</x:v>
      </x:c>
      <x:c r="F1166" t="str">
        <x:v>Standard</x:v>
      </x:c>
      <x:c r="G1166" t="n">
        <x:v>43281</x:v>
      </x:c>
      <x:c r="H1166" t="str">
        <x:v>17688</x:v>
      </x:c>
      <x:c r="I1166" t="str">
        <x:v>https://www.smwcentral.net/?a=details&amp;id=17688&amp;p=section</x:v>
      </x:c>
      <x:c r="J1166" t="str">
        <x:v>https://dl.smwcentral.net/17688/Mega%20Mario%20World%20Another%20Universe%20v1.2.zip</x:v>
      </x:c>
    </x:row>
    <x:row r="1167">
      <x:c r="A1167" t="str">
        <x:v>Mega Rex Adventure [SMWC #9773]</x:v>
      </x:c>
      <x:c r="B1167" t="str">
        <x:v>Mega Rex Adventure</x:v>
      </x:c>
      <x:c r="C1167" t="str">
        <x:v>omegaLakitu</x:v>
      </x:c>
      <x:c r="D1167" t="n">
        <x:v>8</x:v>
      </x:c>
      <x:c r="E1167" t="str">
        <x:v>Newcomer</x:v>
      </x:c>
      <x:c r="F1167" t="str">
        <x:v>Standard</x:v>
      </x:c>
      <x:c r="G1167" t="n">
        <x:v>42221</x:v>
      </x:c>
      <x:c r="H1167" t="str">
        <x:v>9773</x:v>
      </x:c>
      <x:c r="I1167" t="str">
        <x:v>https://www.smwcentral.net/?a=details&amp;id=9773&amp;p=section</x:v>
      </x:c>
      <x:c r="J1167" t="str">
        <x:v>https://dl.smwcentral.net/9773/mega%20rex%20adventure.zip</x:v>
      </x:c>
    </x:row>
    <x:row r="1168">
      <x:c r="A1168" t="str">
        <x:v>Mega Rex Adventure [SMWC #9869]</x:v>
      </x:c>
      <x:c r="B1168" t="str">
        <x:v>Mega Rex Adventure</x:v>
      </x:c>
      <x:c r="C1168" t="str">
        <x:v>superwiidude</x:v>
      </x:c>
      <x:c r="D1168" t="n">
        <x:v>27</x:v>
      </x:c>
      <x:c r="E1168" t="str">
        <x:v>Casual</x:v>
      </x:c>
      <x:c r="F1168" t="str">
        <x:v>Standard</x:v>
      </x:c>
      <x:c r="G1168" t="n">
        <x:v>42237</x:v>
      </x:c>
      <x:c r="H1168" t="str">
        <x:v>9869</x:v>
      </x:c>
      <x:c r="I1168" t="str">
        <x:v>https://www.smwcentral.net/?a=details&amp;id=9869&amp;p=section</x:v>
      </x:c>
      <x:c r="J1168" t="str">
        <x:v>https://dl.smwcentral.net/9869/rex.zip</x:v>
      </x:c>
    </x:row>
    <x:row r="1169">
      <x:c r="A1169" t="str">
        <x:v>Mega Rex Island</x:v>
      </x:c>
      <x:c r="B1169" t="str">
        <x:v>Mega Rex Island</x:v>
      </x:c>
      <x:c r="C1169" t="str">
        <x:v>superwiidude</x:v>
      </x:c>
      <x:c r="D1169" t="n">
        <x:v>6</x:v>
      </x:c>
      <x:c r="E1169" t="str">
        <x:v>Newcomer</x:v>
      </x:c>
      <x:c r="F1169" t="str">
        <x:v>Standard</x:v>
      </x:c>
      <x:c r="G1169" t="n">
        <x:v>42587</x:v>
      </x:c>
      <x:c r="H1169" t="str">
        <x:v>14144</x:v>
      </x:c>
      <x:c r="I1169" t="str">
        <x:v>https://www.smwcentral.net/?a=details&amp;id=14144&amp;p=section</x:v>
      </x:c>
      <x:c r="J1169" t="str">
        <x:v>https://dl.smwcentral.net/14144/mega%20rex%20island.zip</x:v>
      </x:c>
    </x:row>
    <x:row r="1170">
      <x:c r="A1170" t="str">
        <x:v>Megaman Reborn</x:v>
      </x:c>
      <x:c r="B1170" t="str">
        <x:v>Megaman Reborn</x:v>
      </x:c>
      <x:c r="C1170" t="str">
        <x:v>YamiMario</x:v>
      </x:c>
      <x:c r="D1170" t="n">
        <x:v>1</x:v>
      </x:c>
      <x:c r="E1170" t="str">
        <x:v>Intermediate</x:v>
      </x:c>
      <x:c r="F1170" t="str">
        <x:v>Standard</x:v>
      </x:c>
      <x:c r="G1170" t="n">
        <x:v>42005</x:v>
      </x:c>
      <x:c r="H1170" t="str">
        <x:v>9931</x:v>
      </x:c>
      <x:c r="I1170" t="str">
        <x:v>https://www.smwcentral.net/?a=details&amp;id=9931&amp;p=section</x:v>
      </x:c>
      <x:c r="J1170" t="str">
        <x:v>https://dl.smwcentral.net/9931/MMRDemo.zip</x:v>
      </x:c>
    </x:row>
    <x:row r="1171">
      <x:c r="A1171" t="str">
        <x:v>MEME 😂👌💯</x:v>
      </x:c>
      <x:c r="B1171" t="str">
        <x:v>MEME 😂👌💯</x:v>
      </x:c>
      <x:c r="C1171" t="str">
        <x:v>The_Uber_Camper</x:v>
      </x:c>
      <x:c r="D1171" t="n">
        <x:v>17</x:v>
      </x:c>
      <x:c r="E1171" t="str">
        <x:v>Advanced</x:v>
      </x:c>
      <x:c r="F1171" t="str">
        <x:v>Kaizo</x:v>
      </x:c>
      <x:c r="G1171" t="n">
        <x:v>45182</x:v>
      </x:c>
      <x:c r="H1171" t="str">
        <x:v>34925</x:v>
      </x:c>
      <x:c r="I1171" t="str">
        <x:v>https://www.smwcentral.net/?a=details&amp;id=34925&amp;p=section</x:v>
      </x:c>
      <x:c r="J1171" t="str">
        <x:v>https://dl.smwcentral.net/34925/MEME1.1.zip</x:v>
      </x:c>
    </x:row>
    <x:row r="1172">
      <x:c r="A1172" t="str">
        <x:v>Memento Mori</x:v>
      </x:c>
      <x:c r="B1172" t="str">
        <x:v>Memento Mori</x:v>
      </x:c>
      <x:c r="C1172" t="str">
        <x:v>Saela</x:v>
      </x:c>
      <x:c r="D1172" t="n">
        <x:v>19</x:v>
      </x:c>
      <x:c r="E1172" t="str">
        <x:v>Expert</x:v>
      </x:c>
      <x:c r="F1172" t="str">
        <x:v>Kaizo</x:v>
      </x:c>
      <x:c r="G1172" t="n">
        <x:v>45399</x:v>
      </x:c>
      <x:c r="H1172" t="str">
        <x:v>37658</x:v>
      </x:c>
      <x:c r="I1172" t="str">
        <x:v>https://www.smwcentral.net/?a=details&amp;id=37658&amp;p=section</x:v>
      </x:c>
      <x:c r="J1172" t="str">
        <x:v>https://dl.smwcentral.net/37658/Memento%20Mori.zip</x:v>
      </x:c>
    </x:row>
    <x:row r="1173">
      <x:c r="A1173" t="str">
        <x:v>Memorabilia</x:v>
      </x:c>
      <x:c r="B1173" t="str">
        <x:v>Memorabilia</x:v>
      </x:c>
      <x:c r="C1173" t="str">
        <x:v>LightAligns, Saela</x:v>
      </x:c>
      <x:c r="D1173" t="n">
        <x:v>10</x:v>
      </x:c>
      <x:c r="E1173" t="str">
        <x:v>Master</x:v>
      </x:c>
      <x:c r="F1173" t="str">
        <x:v>Kaizo</x:v>
      </x:c>
      <x:c r="G1173" t="n">
        <x:v>45022</x:v>
      </x:c>
      <x:c r="H1173" t="str">
        <x:v>33449</x:v>
      </x:c>
      <x:c r="I1173" t="str">
        <x:v>https://www.smwcentral.net/?a=details&amp;id=33449&amp;p=section</x:v>
      </x:c>
      <x:c r="J1173" t="str">
        <x:v>https://dl.smwcentral.net/33449/Memorabilia.zip</x:v>
      </x:c>
    </x:row>
    <x:row r="1174">
      <x:c r="A1174" t="str">
        <x:v>Memory Lane</x:v>
      </x:c>
      <x:c r="B1174" t="str">
        <x:v>Memory Lane</x:v>
      </x:c>
      <x:c r="C1174" t="str">
        <x:v>Fryinb</x:v>
      </x:c>
      <x:c r="D1174" t="n">
        <x:v>7</x:v>
      </x:c>
      <x:c r="E1174" t="str">
        <x:v>Advanced</x:v>
      </x:c>
      <x:c r="F1174" t="str">
        <x:v>Kaizo</x:v>
      </x:c>
      <x:c r="G1174" t="n">
        <x:v>44502</x:v>
      </x:c>
      <x:c r="H1174" t="str">
        <x:v>28692</x:v>
      </x:c>
      <x:c r="I1174" t="str">
        <x:v>https://www.smwcentral.net/?a=details&amp;id=28692&amp;p=section</x:v>
      </x:c>
      <x:c r="J1174" t="str">
        <x:v>https://dl.smwcentral.net/28692/MemoryLane1.1.zip</x:v>
      </x:c>
    </x:row>
    <x:row r="1175">
      <x:c r="A1175" t="str">
        <x:v>Mercenaries</x:v>
      </x:c>
      <x:c r="B1175" t="str">
        <x:v>Mercenaries</x:v>
      </x:c>
      <x:c r="C1175" t="str">
        <x:v>DTG</x:v>
      </x:c>
      <x:c r="D1175" t="n">
        <x:v>0</x:v>
      </x:c>
      <x:c r="E1175" t="str">
        <x:v>Casual</x:v>
      </x:c>
      <x:c r="F1175" t="str">
        <x:v>Standard</x:v>
      </x:c>
      <x:c r="G1175" t="n">
        <x:v>42113</x:v>
      </x:c>
      <x:c r="H1175" t="str">
        <x:v>9646</x:v>
      </x:c>
      <x:c r="I1175" t="str">
        <x:v>https://www.smwcentral.net/?a=details&amp;id=9646&amp;p=section</x:v>
      </x:c>
      <x:c r="J1175" t="str">
        <x:v>https://dl.smwcentral.net/9646/Mercenaries%20Version%201.1.zip</x:v>
      </x:c>
    </x:row>
    <x:row r="1176">
      <x:c r="A1176" t="str">
        <x:v>MFC</x:v>
      </x:c>
      <x:c r="B1176" t="str">
        <x:v>MFC</x:v>
      </x:c>
      <x:c r="C1176" t="str">
        <x:v>Firstnamebutt, Jordan</x:v>
      </x:c>
      <x:c r="D1176" t="n">
        <x:v>25</x:v>
      </x:c>
      <x:c r="E1176" t="str">
        <x:v>Advanced</x:v>
      </x:c>
      <x:c r="F1176" t="str">
        <x:v>Kaizo</x:v>
      </x:c>
      <x:c r="G1176" t="n">
        <x:v>45350</x:v>
      </x:c>
      <x:c r="H1176" t="str">
        <x:v>37167</x:v>
      </x:c>
      <x:c r="I1176" t="str">
        <x:v>https://www.smwcentral.net/?a=details&amp;id=37167&amp;p=section</x:v>
      </x:c>
      <x:c r="J1176" t="str">
        <x:v>https://dl.smwcentral.net/37167/MFC.zip</x:v>
      </x:c>
    </x:row>
    <x:row r="1177">
      <x:c r="A1177" t="str">
        <x:v>Midair Mastery</x:v>
      </x:c>
      <x:c r="B1177" t="str">
        <x:v>Midair Mastery</x:v>
      </x:c>
      <x:c r="C1177" t="str">
        <x:v>tjb0607</x:v>
      </x:c>
      <x:c r="D1177" t="n">
        <x:v>7</x:v>
      </x:c>
      <x:c r="E1177" t="str">
        <x:v>Grandmaster</x:v>
      </x:c>
      <x:c r="F1177" t="str">
        <x:v>Kaizo</x:v>
      </x:c>
      <x:c r="G1177" t="n">
        <x:v>44148</x:v>
      </x:c>
      <x:c r="H1177" t="str">
        <x:v>24680</x:v>
      </x:c>
      <x:c r="I1177" t="str">
        <x:v>https://www.smwcentral.net/?a=details&amp;id=24680&amp;p=section</x:v>
      </x:c>
      <x:c r="J1177" t="str">
        <x:v>https://dl.smwcentral.net/24680/Midair%20Mastery%201.1.zip</x:v>
      </x:c>
    </x:row>
    <x:row r="1178">
      <x:c r="A1178" t="str">
        <x:v>Midday</x:v>
      </x:c>
      <x:c r="B1178" t="str">
        <x:v>Midday</x:v>
      </x:c>
      <x:c r="C1178" t="str">
        <x:v>Edidoo</x:v>
      </x:c>
      <x:c r="D1178" t="n">
        <x:v>26</x:v>
      </x:c>
      <x:c r="E1178" t="str">
        <x:v>Expert</x:v>
      </x:c>
      <x:c r="F1178" t="str">
        <x:v>Kaizo</x:v>
      </x:c>
      <x:c r="G1178" t="n">
        <x:v>45436</x:v>
      </x:c>
      <x:c r="H1178" t="str">
        <x:v>37802</x:v>
      </x:c>
      <x:c r="I1178" t="str">
        <x:v>https://www.smwcentral.net/?a=details&amp;id=37802&amp;p=section</x:v>
      </x:c>
      <x:c r="J1178" t="str">
        <x:v>https://dl.smwcentral.net/37802/Midday.zip</x:v>
      </x:c>
    </x:row>
    <x:row r="1179">
      <x:c r="A1179" t="str">
        <x:v>Midnight Lightning</x:v>
      </x:c>
      <x:c r="B1179" t="str">
        <x:v>Midnight Lightning</x:v>
      </x:c>
      <x:c r="C1179" t="str">
        <x:v>MassPunishment</x:v>
      </x:c>
      <x:c r="D1179" t="n">
        <x:v>12</x:v>
      </x:c>
      <x:c r="E1179" t="str">
        <x:v>Master</x:v>
      </x:c>
      <x:c r="F1179" t="str">
        <x:v>Kaizo</x:v>
      </x:c>
      <x:c r="G1179" t="n">
        <x:v>44373</x:v>
      </x:c>
      <x:c r="H1179" t="str">
        <x:v>27345</x:v>
      </x:c>
      <x:c r="I1179" t="str">
        <x:v>https://www.smwcentral.net/?a=details&amp;id=27345&amp;p=section</x:v>
      </x:c>
      <x:c r="J1179" t="str">
        <x:v>https://dl.smwcentral.net/27345/MidnightLightning1.1.zip</x:v>
      </x:c>
    </x:row>
    <x:row r="1180">
      <x:c r="A1180" t="str">
        <x:v>Miku's Spike Hell</x:v>
      </x:c>
      <x:c r="B1180" t="str">
        <x:v>Miku's Spike Hell</x:v>
      </x:c>
      <x:c r="C1180" t="str">
        <x:v>Boosius</x:v>
      </x:c>
      <x:c r="D1180" t="n">
        <x:v>0</x:v>
      </x:c>
      <x:c r="E1180" t="str">
        <x:v>Advanced</x:v>
      </x:c>
      <x:c r="F1180" t="str">
        <x:v>Kaizo</x:v>
      </x:c>
      <x:c r="G1180" t="n">
        <x:v>44370</x:v>
      </x:c>
      <x:c r="H1180" t="str">
        <x:v>27264</x:v>
      </x:c>
      <x:c r="I1180" t="str">
        <x:v>https://www.smwcentral.net/?a=details&amp;id=27264&amp;p=section</x:v>
      </x:c>
      <x:c r="J1180" t="str">
        <x:v>https://dl.smwcentral.net/27264/miku.zip</x:v>
      </x:c>
    </x:row>
    <x:row r="1181">
      <x:c r="A1181" t="str">
        <x:v>MINERVA</x:v>
      </x:c>
      <x:c r="B1181" t="str">
        <x:v>MINERVA</x:v>
      </x:c>
      <x:c r="C1181" t="str">
        <x:v>Sariel</x:v>
      </x:c>
      <x:c r="D1181" t="n">
        <x:v>12</x:v>
      </x:c>
      <x:c r="E1181" t="str">
        <x:v>Master</x:v>
      </x:c>
      <x:c r="F1181" t="str">
        <x:v>Kaizo, Puzzle</x:v>
      </x:c>
      <x:c r="G1181" t="n">
        <x:v>44145</x:v>
      </x:c>
      <x:c r="H1181" t="str">
        <x:v>25100</x:v>
      </x:c>
      <x:c r="I1181" t="str">
        <x:v>https://www.smwcentral.net/?a=details&amp;id=25100&amp;p=section</x:v>
      </x:c>
      <x:c r="J1181" t="str">
        <x:v>https://dl.smwcentral.net/25100/Minerva1.5.zip</x:v>
      </x:c>
    </x:row>
    <x:row r="1182">
      <x:c r="A1182" t="str">
        <x:v>Mini Challenge Medley (Wave 1)</x:v>
      </x:c>
      <x:c r="B1182" t="str">
        <x:v>Mini Challenge Medley (Wave 1)</x:v>
      </x:c>
      <x:c r="C1182" t="str">
        <x:v>Dispace</x:v>
      </x:c>
      <x:c r="D1182" t="n">
        <x:v>8</x:v>
      </x:c>
      <x:c r="E1182" t="str">
        <x:v>Casual</x:v>
      </x:c>
      <x:c r="F1182" t="str">
        <x:v>Standard</x:v>
      </x:c>
      <x:c r="G1182" t="n">
        <x:v>44873</x:v>
      </x:c>
      <x:c r="H1182" t="str">
        <x:v>32526</x:v>
      </x:c>
      <x:c r="I1182" t="str">
        <x:v>https://www.smwcentral.net/?a=details&amp;id=32526&amp;p=section</x:v>
      </x:c>
      <x:c r="J1182" t="str">
        <x:v>https://dl.smwcentral.net/32526/Mini%20Challenge%20Medley%20%28Demo%201.0%29.zip</x:v>
      </x:c>
    </x:row>
    <x:row r="1183">
      <x:c r="A1183" t="str">
        <x:v>Mini Kaizo</x:v>
      </x:c>
      <x:c r="B1183" t="str">
        <x:v>Mini Kaizo</x:v>
      </x:c>
      <x:c r="C1183" t="str">
        <x:v>KarDiux</x:v>
      </x:c>
      <x:c r="D1183" t="n">
        <x:v>4</x:v>
      </x:c>
      <x:c r="E1183" t="str">
        <x:v>Intermediate</x:v>
      </x:c>
      <x:c r="F1183" t="str">
        <x:v>Kaizo</x:v>
      </x:c>
      <x:c r="G1183" t="n">
        <x:v>44944</x:v>
      </x:c>
      <x:c r="H1183" t="str">
        <x:v>32943</x:v>
      </x:c>
      <x:c r="I1183" t="str">
        <x:v>https://www.smwcentral.net/?a=details&amp;id=32943&amp;p=section</x:v>
      </x:c>
      <x:c r="J1183" t="str">
        <x:v>https://dl.smwcentral.net/32943/Mini%20Kaizo.zip</x:v>
      </x:c>
    </x:row>
    <x:row r="1184">
      <x:c r="A1184" t="str">
        <x:v>minidumb</x:v>
      </x:c>
      <x:c r="B1184" t="str">
        <x:v>minidumb</x:v>
      </x:c>
      <x:c r="C1184" t="str">
        <x:v>OEO6</x:v>
      </x:c>
      <x:c r="D1184" t="n">
        <x:v>13</x:v>
      </x:c>
      <x:c r="E1184" t="str">
        <x:v>Advanced</x:v>
      </x:c>
      <x:c r="F1184" t="str">
        <x:v>Standard</x:v>
      </x:c>
      <x:c r="G1184" t="n">
        <x:v>44134</x:v>
      </x:c>
      <x:c r="H1184" t="str">
        <x:v>24954</x:v>
      </x:c>
      <x:c r="I1184" t="str">
        <x:v>https://www.smwcentral.net/?a=details&amp;id=24954&amp;p=section</x:v>
      </x:c>
      <x:c r="J1184" t="str">
        <x:v>https://dl.smwcentral.net/24954/minidumbson%20-%20new%20update.zip</x:v>
      </x:c>
    </x:row>
    <x:row r="1185">
      <x:c r="A1185" t="str">
        <x:v>Mint Chocolate</x:v>
      </x:c>
      <x:c r="B1185" t="str">
        <x:v>Mint Chocolate</x:v>
      </x:c>
      <x:c r="C1185" t="str">
        <x:v>dashlet</x:v>
      </x:c>
      <x:c r="D1185" t="n">
        <x:v>6</x:v>
      </x:c>
      <x:c r="E1185" t="str">
        <x:v>Advanced</x:v>
      </x:c>
      <x:c r="F1185" t="str">
        <x:v>Standard</x:v>
      </x:c>
      <x:c r="G1185" t="n">
        <x:v>45470</x:v>
      </x:c>
      <x:c r="H1185" t="str">
        <x:v>38002</x:v>
      </x:c>
      <x:c r="I1185" t="str">
        <x:v>https://www.smwcentral.net/?a=details&amp;id=38002&amp;p=section</x:v>
      </x:c>
      <x:c r="J1185" t="str">
        <x:v>https://dl.smwcentral.net/38002/Mint%20Chocolate.zip</x:v>
      </x:c>
    </x:row>
    <x:row r="1186">
      <x:c r="A1186" t="str">
        <x:v>MintGreenYoshi's Challenge</x:v>
      </x:c>
      <x:c r="B1186" t="str">
        <x:v>MintGreenYoshi's Challenge</x:v>
      </x:c>
      <x:c r="C1186" t="str">
        <x:v>7 up</x:v>
      </x:c>
      <x:c r="D1186" t="n">
        <x:v>1</x:v>
      </x:c>
      <x:c r="E1186" t="str">
        <x:v>Advanced</x:v>
      </x:c>
      <x:c r="F1186" t="str">
        <x:v>Tool-Assisted, Pit</x:v>
      </x:c>
      <x:c r="G1186" t="n">
        <x:v>42772</x:v>
      </x:c>
      <x:c r="H1186" t="str">
        <x:v>14969</x:v>
      </x:c>
      <x:c r="I1186" t="str">
        <x:v>https://www.smwcentral.net/?a=details&amp;id=14969&amp;p=section</x:v>
      </x:c>
      <x:c r="J1186" t="str">
        <x:v>https://dl.smwcentral.net/14969/MintGreenYoshi_s_Challenge.zip</x:v>
      </x:c>
    </x:row>
    <x:row r="1187">
      <x:c r="A1187" t="str">
        <x:v>Mirthful Mario-Escapade through Stellatus Shire</x:v>
      </x:c>
      <x:c r="B1187" t="str">
        <x:v>Mirthful Mario-Escapade through Stellatus Shire</x:v>
      </x:c>
      <x:c r="C1187" t="str">
        <x:v>Vamperumbra</x:v>
      </x:c>
      <x:c r="D1187" t="n">
        <x:v>13</x:v>
      </x:c>
      <x:c r="E1187" t="str">
        <x:v>Casual</x:v>
      </x:c>
      <x:c r="F1187" t="str">
        <x:v>Standard</x:v>
      </x:c>
      <x:c r="G1187" t="n">
        <x:v>42741</x:v>
      </x:c>
      <x:c r="H1187" t="str">
        <x:v>14845</x:v>
      </x:c>
      <x:c r="I1187" t="str">
        <x:v>https://www.smwcentral.net/?a=details&amp;id=14845&amp;p=section</x:v>
      </x:c>
      <x:c r="J1187" t="str">
        <x:v>https://dl.smwcentral.net/14845/MM.zip</x:v>
      </x:c>
    </x:row>
    <x:row r="1188">
      <x:c r="A1188" t="str">
        <x:v>Mischievous Mouser</x:v>
      </x:c>
      <x:c r="B1188" t="str">
        <x:v>Mischievous Mouser</x:v>
      </x:c>
      <x:c r="C1188" t="str">
        <x:v>MagmaMouse</x:v>
      </x:c>
      <x:c r="D1188" t="n">
        <x:v>18</x:v>
      </x:c>
      <x:c r="E1188" t="str">
        <x:v>Advanced</x:v>
      </x:c>
      <x:c r="F1188" t="str">
        <x:v>Kaizo</x:v>
      </x:c>
      <x:c r="G1188" t="n">
        <x:v>44183</x:v>
      </x:c>
      <x:c r="H1188" t="str">
        <x:v>25403</x:v>
      </x:c>
      <x:c r="I1188" t="str">
        <x:v>https://www.smwcentral.net/?a=details&amp;id=25403&amp;p=section</x:v>
      </x:c>
      <x:c r="J1188" t="str">
        <x:v>https://dl.smwcentral.net/25403/MischievousMouser_v1.5.zip</x:v>
      </x:c>
    </x:row>
    <x:row r="1189">
      <x:c r="A1189" t="str">
        <x:v>Mistakes Were Made</x:v>
      </x:c>
      <x:c r="B1189" t="str">
        <x:v>Mistakes Were Made</x:v>
      </x:c>
      <x:c r="C1189" t="str">
        <x:v>ThirdWall</x:v>
      </x:c>
      <x:c r="D1189" t="n">
        <x:v>10</x:v>
      </x:c>
      <x:c r="E1189" t="str">
        <x:v>Master</x:v>
      </x:c>
      <x:c r="F1189" t="str">
        <x:v>Kaizo</x:v>
      </x:c>
      <x:c r="G1189" t="n">
        <x:v>45370</x:v>
      </x:c>
      <x:c r="H1189" t="str">
        <x:v>36957</x:v>
      </x:c>
      <x:c r="I1189" t="str">
        <x:v>https://www.smwcentral.net/?a=details&amp;id=36957&amp;p=section</x:v>
      </x:c>
      <x:c r="J1189" t="str">
        <x:v>https://dl.smwcentral.net/36957/MistakesWereMade1.2.zip</x:v>
      </x:c>
    </x:row>
    <x:row r="1190">
      <x:c r="A1190" t="str">
        <x:v>Misty Out There</x:v>
      </x:c>
      <x:c r="B1190" t="str">
        <x:v>Misty Out There</x:v>
      </x:c>
      <x:c r="C1190" t="str">
        <x:v>Nint</x:v>
      </x:c>
      <x:c r="D1190" t="n">
        <x:v>15</x:v>
      </x:c>
      <x:c r="E1190" t="str">
        <x:v>Advanced</x:v>
      </x:c>
      <x:c r="F1190" t="str">
        <x:v>Kaizo</x:v>
      </x:c>
      <x:c r="G1190" t="n">
        <x:v>44054</x:v>
      </x:c>
      <x:c r="H1190" t="str">
        <x:v>24114</x:v>
      </x:c>
      <x:c r="I1190" t="str">
        <x:v>https://www.smwcentral.net/?a=details&amp;id=24114&amp;p=section</x:v>
      </x:c>
      <x:c r="J1190" t="str">
        <x:v>https://dl.smwcentral.net/24114/Misty%20Out%20There.zip</x:v>
      </x:c>
    </x:row>
    <x:row r="1191">
      <x:c r="A1191" t="str">
        <x:v>MK Ultra</x:v>
      </x:c>
      <x:c r="B1191" t="str">
        <x:v>MK Ultra</x:v>
      </x:c>
      <x:c r="C1191" t="str">
        <x:v>51690</x:v>
      </x:c>
      <x:c r="D1191" t="n">
        <x:v>3</x:v>
      </x:c>
      <x:c r="E1191" t="str">
        <x:v>Master</x:v>
      </x:c>
      <x:c r="F1191" t="str">
        <x:v>Kaizo</x:v>
      </x:c>
      <x:c r="G1191" t="n">
        <x:v>45118</x:v>
      </x:c>
      <x:c r="H1191" t="str">
        <x:v>34095</x:v>
      </x:c>
      <x:c r="I1191" t="str">
        <x:v>https://www.smwcentral.net/?a=details&amp;id=34095&amp;p=section</x:v>
      </x:c>
      <x:c r="J1191" t="str">
        <x:v>https://dl.smwcentral.net/34095/MK_Ultra.zip</x:v>
      </x:c>
    </x:row>
    <x:row r="1192">
      <x:c r="A1192" t="str">
        <x:v>mod cape: a precision cape level</x:v>
      </x:c>
      <x:c r="B1192" t="str">
        <x:v>mod cape: a precision cape level</x:v>
      </x:c>
      <x:c r="C1192" t="str">
        <x:v>tjb0607</x:v>
      </x:c>
      <x:c r="D1192" t="n">
        <x:v>1</x:v>
      </x:c>
      <x:c r="E1192" t="str">
        <x:v>Grandmaster</x:v>
      </x:c>
      <x:c r="F1192" t="str">
        <x:v>Kaizo</x:v>
      </x:c>
      <x:c r="G1192" t="n">
        <x:v>44467</x:v>
      </x:c>
      <x:c r="H1192" t="str">
        <x:v>27521</x:v>
      </x:c>
      <x:c r="I1192" t="str">
        <x:v>https://www.smwcentral.net/?a=details&amp;id=27521&amp;p=section</x:v>
      </x:c>
      <x:c r="J1192" t="str">
        <x:v>https://dl.smwcentral.net/27521/mod%20cape.zip</x:v>
      </x:c>
    </x:row>
    <x:row r="1193">
      <x:c r="A1193" t="str">
        <x:v>Momoku Mario World</x:v>
      </x:c>
      <x:c r="B1193" t="str">
        <x:v>Momoku Mario World</x:v>
      </x:c>
      <x:c r="C1193" t="str">
        <x:v>penguin64</x:v>
      </x:c>
      <x:c r="D1193" t="n">
        <x:v>5</x:v>
      </x:c>
      <x:c r="E1193" t="str">
        <x:v>Intermediate</x:v>
      </x:c>
      <x:c r="F1193" t="str">
        <x:v>Standard, Kaizo</x:v>
      </x:c>
      <x:c r="G1193" t="n">
        <x:v>43917</x:v>
      </x:c>
      <x:c r="H1193" t="str">
        <x:v>22491</x:v>
      </x:c>
      <x:c r="I1193" t="str">
        <x:v>https://www.smwcentral.net/?a=details&amp;id=22491&amp;p=section</x:v>
      </x:c>
      <x:c r="J1193" t="str">
        <x:v>https://dl.smwcentral.net/22491/Momoku%20Mario%20World.zip</x:v>
      </x:c>
    </x:row>
    <x:row r="1194">
      <x:c r="A1194" t="str">
        <x:v>Monty Mole Island</x:v>
      </x:c>
      <x:c r="B1194" t="str">
        <x:v>Monty Mole Island</x:v>
      </x:c>
      <x:c r="C1194" t="str">
        <x:v>Green Jerry</x:v>
      </x:c>
      <x:c r="D1194" t="n">
        <x:v>6</x:v>
      </x:c>
      <x:c r="E1194" t="str">
        <x:v>Casual</x:v>
      </x:c>
      <x:c r="F1194" t="str">
        <x:v>Standard</x:v>
      </x:c>
      <x:c r="G1194" t="n">
        <x:v>43432</x:v>
      </x:c>
      <x:c r="H1194" t="str">
        <x:v>18419</x:v>
      </x:c>
      <x:c r="I1194" t="str">
        <x:v>https://www.smwcentral.net/?a=details&amp;id=18419&amp;p=section</x:v>
      </x:c>
      <x:c r="J1194" t="str">
        <x:v>https://dl.smwcentral.net/18419/Monty%20Mole%20Island%20V1.2.zip</x:v>
      </x:c>
    </x:row>
    <x:row r="1195">
      <x:c r="A1195" t="str">
        <x:v>Monty Mole Island 2 - Redrawn Island</x:v>
      </x:c>
      <x:c r="B1195" t="str">
        <x:v>Monty Mole Island 2 - Redrawn Island</x:v>
      </x:c>
      <x:c r="C1195" t="str">
        <x:v>Green Jerry</x:v>
      </x:c>
      <x:c r="D1195" t="n">
        <x:v>12</x:v>
      </x:c>
      <x:c r="E1195" t="str">
        <x:v>Casual</x:v>
      </x:c>
      <x:c r="F1195" t="str">
        <x:v>Standard</x:v>
      </x:c>
      <x:c r="G1195" t="n">
        <x:v>43385</x:v>
      </x:c>
      <x:c r="H1195" t="str">
        <x:v>18254</x:v>
      </x:c>
      <x:c r="I1195" t="str">
        <x:v>https://www.smwcentral.net/?a=details&amp;id=18254&amp;p=section</x:v>
      </x:c>
      <x:c r="J1195" t="str">
        <x:v>https://dl.smwcentral.net/18254/Monty%20Mole%20Island%202%20-%20Redrawn%20Island.zip</x:v>
      </x:c>
    </x:row>
    <x:row r="1196">
      <x:c r="A1196" t="str">
        <x:v>Monty Mole Island 3 - Boom Boom's World</x:v>
      </x:c>
      <x:c r="B1196" t="str">
        <x:v>Monty Mole Island 3 - Boom Boom's World</x:v>
      </x:c>
      <x:c r="C1196" t="str">
        <x:v>Green Jerry</x:v>
      </x:c>
      <x:c r="D1196" t="n">
        <x:v>10</x:v>
      </x:c>
      <x:c r="E1196" t="str">
        <x:v>Casual</x:v>
      </x:c>
      <x:c r="F1196" t="str">
        <x:v>Standard</x:v>
      </x:c>
      <x:c r="G1196" t="n">
        <x:v>43474</x:v>
      </x:c>
      <x:c r="H1196" t="str">
        <x:v>18890</x:v>
      </x:c>
      <x:c r="I1196" t="str">
        <x:v>https://www.smwcentral.net/?a=details&amp;id=18890&amp;p=section</x:v>
      </x:c>
      <x:c r="J1196" t="str">
        <x:v>https://dl.smwcentral.net/18890/Monty%20Mole%20Island%203%20-%20Boom%20Boom%27s%20World%20V1.1.zip</x:v>
      </x:c>
    </x:row>
    <x:row r="1197">
      <x:c r="A1197" t="str">
        <x:v>Monty Mole Island 4 - Gamma Archipelago</x:v>
      </x:c>
      <x:c r="B1197" t="str">
        <x:v>Monty Mole Island 4 - Gamma Archipelago</x:v>
      </x:c>
      <x:c r="C1197" t="str">
        <x:v>Green Jerry</x:v>
      </x:c>
      <x:c r="D1197" t="n">
        <x:v>11</x:v>
      </x:c>
      <x:c r="E1197" t="str">
        <x:v>Casual</x:v>
      </x:c>
      <x:c r="F1197" t="str">
        <x:v>Standard</x:v>
      </x:c>
      <x:c r="G1197" t="n">
        <x:v>43586</x:v>
      </x:c>
      <x:c r="H1197" t="str">
        <x:v>19837</x:v>
      </x:c>
      <x:c r="I1197" t="str">
        <x:v>https://www.smwcentral.net/?a=details&amp;id=19837&amp;p=section</x:v>
      </x:c>
      <x:c r="J1197" t="str">
        <x:v>https://dl.smwcentral.net/19837/Monty%20Mole%20Island%204%20-%20Gamma%20Archipelago%20%28V1.0.1%29.zip</x:v>
      </x:c>
    </x:row>
    <x:row r="1198">
      <x:c r="A1198" t="str">
        <x:v>MOON</x:v>
      </x:c>
      <x:c r="B1198" t="str">
        <x:v>MOON</x:v>
      </x:c>
      <x:c r="C1198" t="str">
        <x:v>cur</x:v>
      </x:c>
      <x:c r="D1198" t="n">
        <x:v>20</x:v>
      </x:c>
      <x:c r="E1198" t="str">
        <x:v>Master</x:v>
      </x:c>
      <x:c r="F1198" t="str">
        <x:v>Kaizo</x:v>
      </x:c>
      <x:c r="G1198" t="n">
        <x:v>44208</x:v>
      </x:c>
      <x:c r="H1198" t="str">
        <x:v>25624</x:v>
      </x:c>
      <x:c r="I1198" t="str">
        <x:v>https://www.smwcentral.net/?a=details&amp;id=25624&amp;p=section</x:v>
      </x:c>
      <x:c r="J1198" t="str">
        <x:v>https://dl.smwcentral.net/25624/MOON.zip</x:v>
      </x:c>
    </x:row>
    <x:row r="1199">
      <x:c r="A1199" t="str">
        <x:v>Moon Finder</x:v>
      </x:c>
      <x:c r="B1199" t="str">
        <x:v>Moon Finder</x:v>
      </x:c>
      <x:c r="C1199" t="str">
        <x:v>Fyre150, Mega</x:v>
      </x:c>
      <x:c r="D1199" t="n">
        <x:v>40</x:v>
      </x:c>
      <x:c r="E1199" t="str">
        <x:v>Casual</x:v>
      </x:c>
      <x:c r="F1199" t="str">
        <x:v>Standard, Puzzle</x:v>
      </x:c>
      <x:c r="G1199" t="n">
        <x:v>45537</x:v>
      </x:c>
      <x:c r="H1199" t="str">
        <x:v>38359</x:v>
      </x:c>
      <x:c r="I1199" t="str">
        <x:v>https://www.smwcentral.net/?a=details&amp;id=38359&amp;p=section</x:v>
      </x:c>
      <x:c r="J1199" t="str">
        <x:v>https://dl.smwcentral.net/38359/MoonFinder_.zip</x:v>
      </x:c>
    </x:row>
    <x:row r="1200">
      <x:c r="A1200" t="str">
        <x:v>Morton's Empire</x:v>
      </x:c>
      <x:c r="B1200" t="str">
        <x:v>Morton's Empire</x:v>
      </x:c>
      <x:c r="C1200" t="str">
        <x:v>Arinsu, Centipede, MercuryPenny, SMW Central, a hick</x:v>
      </x:c>
      <x:c r="D1200" t="n">
        <x:v>43</x:v>
      </x:c>
      <x:c r="E1200" t="str">
        <x:v>Advanced</x:v>
      </x:c>
      <x:c r="F1200" t="str">
        <x:v>Standard</x:v>
      </x:c>
      <x:c r="G1200" t="n">
        <x:v>43217</x:v>
      </x:c>
      <x:c r="H1200" t="str">
        <x:v>17305</x:v>
      </x:c>
      <x:c r="I1200" t="str">
        <x:v>https://www.smwcentral.net/?a=details&amp;id=17305&amp;p=section</x:v>
      </x:c>
      <x:c r="J1200" t="str">
        <x:v>https://dl.smwcentral.net/17305/Mortons_Empire.zip</x:v>
      </x:c>
    </x:row>
    <x:row r="1201">
      <x:c r="A1201" t="str">
        <x:v>Morton's Tyranny</x:v>
      </x:c>
      <x:c r="B1201" t="str">
        <x:v>Morton's Tyranny</x:v>
      </x:c>
      <x:c r="C1201" t="str">
        <x:v>Pirate Yoshi</x:v>
      </x:c>
      <x:c r="D1201" t="n">
        <x:v>8</x:v>
      </x:c>
      <x:c r="E1201" t="str">
        <x:v>Newcomer</x:v>
      </x:c>
      <x:c r="F1201" t="str">
        <x:v>Standard</x:v>
      </x:c>
      <x:c r="G1201" t="n">
        <x:v>42232</x:v>
      </x:c>
      <x:c r="H1201" t="str">
        <x:v>9865</x:v>
      </x:c>
      <x:c r="I1201" t="str">
        <x:v>https://www.smwcentral.net/?a=details&amp;id=9865&amp;p=section</x:v>
      </x:c>
      <x:c r="J1201" t="str">
        <x:v>https://dl.smwcentral.net/9865/Morton%27s%20Tyranny%20Zip.zip</x:v>
      </x:c>
    </x:row>
    <x:row r="1202">
      <x:c r="A1202" t="str">
        <x:v>Mostly Harmless</x:v>
      </x:c>
      <x:c r="B1202" t="str">
        <x:v>Mostly Harmless</x:v>
      </x:c>
      <x:c r="C1202" t="str">
        <x:v>ThirdWall</x:v>
      </x:c>
      <x:c r="D1202" t="n">
        <x:v>17</x:v>
      </x:c>
      <x:c r="E1202" t="str">
        <x:v>Master</x:v>
      </x:c>
      <x:c r="F1202" t="str">
        <x:v>Kaizo</x:v>
      </x:c>
      <x:c r="G1202" t="n">
        <x:v>44173</x:v>
      </x:c>
      <x:c r="H1202" t="str">
        <x:v>25402</x:v>
      </x:c>
      <x:c r="I1202" t="str">
        <x:v>https://www.smwcentral.net/?a=details&amp;id=25402&amp;p=section</x:v>
      </x:c>
      <x:c r="J1202" t="str">
        <x:v>https://dl.smwcentral.net/25402/Mostly%20Harmless.zip</x:v>
      </x:c>
    </x:row>
    <x:row r="1203">
      <x:c r="A1203" t="str">
        <x:v>Motor Shells</x:v>
      </x:c>
      <x:c r="B1203" t="str">
        <x:v>Motor Shells</x:v>
      </x:c>
      <x:c r="C1203" t="str">
        <x:v>Pottsie</x:v>
      </x:c>
      <x:c r="D1203" t="n">
        <x:v>8</x:v>
      </x:c>
      <x:c r="E1203" t="str">
        <x:v>Expert</x:v>
      </x:c>
      <x:c r="F1203" t="str">
        <x:v>Kaizo</x:v>
      </x:c>
      <x:c r="G1203" t="n">
        <x:v>45800</x:v>
      </x:c>
      <x:c r="H1203" t="str">
        <x:v>39881</x:v>
      </x:c>
      <x:c r="I1203" t="str">
        <x:v>https://www.smwcentral.net/?a=details&amp;id=39881&amp;p=section</x:v>
      </x:c>
      <x:c r="J1203" t="str">
        <x:v>https://dl.smwcentral.net/39881/motor%20shells.zip</x:v>
      </x:c>
    </x:row>
    <x:row r="1204">
      <x:c r="A1204" t="str">
        <x:v>MrUg's Mini Level Pack</x:v>
      </x:c>
      <x:c r="B1204" t="str">
        <x:v>MrUg's Mini Level Pack</x:v>
      </x:c>
      <x:c r="C1204" t="str">
        <x:v>MrUg123</x:v>
      </x:c>
      <x:c r="D1204" t="n">
        <x:v>4</x:v>
      </x:c>
      <x:c r="E1204" t="str">
        <x:v>Casual</x:v>
      </x:c>
      <x:c r="F1204" t="str">
        <x:v>Standard</x:v>
      </x:c>
      <x:c r="G1204" t="n">
        <x:v>46202</x:v>
      </x:c>
      <x:c r="H1204" t="str">
        <x:v>42537</x:v>
      </x:c>
      <x:c r="I1204" t="str">
        <x:v>https://www.smwcentral.net/?a=details&amp;id=42537&amp;p=section</x:v>
      </x:c>
      <x:c r="J1204" t="str">
        <x:v>https://dl.smwcentral.net/42537/MMLP.zip</x:v>
      </x:c>
    </x:row>
    <x:row r="1205">
      <x:c r="A1205" t="str">
        <x:v>Much Ado About Eggs</x:v>
      </x:c>
      <x:c r="B1205" t="str">
        <x:v>Much Ado About Eggs</x:v>
      </x:c>
      <x:c r="C1205" t="str">
        <x:v>Diego</x:v>
      </x:c>
      <x:c r="D1205" t="n">
        <x:v>8</x:v>
      </x:c>
      <x:c r="E1205" t="str">
        <x:v>Casual</x:v>
      </x:c>
      <x:c r="F1205" t="str">
        <x:v>Standard</x:v>
      </x:c>
      <x:c r="G1205" t="n">
        <x:v>43796</x:v>
      </x:c>
      <x:c r="H1205" t="str">
        <x:v>21516</x:v>
      </x:c>
      <x:c r="I1205" t="str">
        <x:v>https://www.smwcentral.net/?a=details&amp;id=21516&amp;p=section</x:v>
      </x:c>
      <x:c r="J1205" t="str">
        <x:v>https://dl.smwcentral.net/21516/Much%20Ado%20About%20Eggs.zip</x:v>
      </x:c>
    </x:row>
    <x:row r="1206">
      <x:c r="A1206" t="str">
        <x:v>Mura World</x:v>
      </x:c>
      <x:c r="B1206" t="str">
        <x:v>Mura World</x:v>
      </x:c>
      <x:c r="C1206" t="str">
        <x:v>TheMURAmatsu</x:v>
      </x:c>
      <x:c r="D1206" t="n">
        <x:v>6</x:v>
      </x:c>
      <x:c r="E1206" t="str">
        <x:v>Advanced</x:v>
      </x:c>
      <x:c r="F1206" t="str">
        <x:v>Kaizo</x:v>
      </x:c>
      <x:c r="G1206" t="n">
        <x:v>44336</x:v>
      </x:c>
      <x:c r="H1206" t="str">
        <x:v>27022</x:v>
      </x:c>
      <x:c r="I1206" t="str">
        <x:v>https://www.smwcentral.net/?a=details&amp;id=27022&amp;p=section</x:v>
      </x:c>
      <x:c r="J1206" t="str">
        <x:v>https://dl.smwcentral.net/27022/_MuraWorld_V1.2.zip</x:v>
      </x:c>
    </x:row>
    <x:row r="1207">
      <x:c r="A1207" t="str">
        <x:v>Mura World 2</x:v>
      </x:c>
      <x:c r="B1207" t="str">
        <x:v>Mura World 2</x:v>
      </x:c>
      <x:c r="C1207" t="str">
        <x:v>TheMURAmatsu</x:v>
      </x:c>
      <x:c r="D1207" t="n">
        <x:v>11</x:v>
      </x:c>
      <x:c r="E1207" t="str">
        <x:v>Expert</x:v>
      </x:c>
      <x:c r="F1207" t="str">
        <x:v>Kaizo</x:v>
      </x:c>
      <x:c r="G1207" t="n">
        <x:v>43875</x:v>
      </x:c>
      <x:c r="H1207" t="str">
        <x:v>21997</x:v>
      </x:c>
      <x:c r="I1207" t="str">
        <x:v>https://www.smwcentral.net/?a=details&amp;id=21997&amp;p=section</x:v>
      </x:c>
      <x:c r="J1207" t="str">
        <x:v>https://dl.smwcentral.net/21997/MuraWorld2.zip</x:v>
      </x:c>
    </x:row>
    <x:row r="1208">
      <x:c r="A1208" t="str">
        <x:v>Mushroom Kingdom - Under Crimson Skies</x:v>
      </x:c>
      <x:c r="B1208" t="str">
        <x:v>Mushroom Kingdom - Under Crimson Skies</x:v>
      </x:c>
      <x:c r="C1208" t="str">
        <x:v>Blind Devil</x:v>
      </x:c>
      <x:c r="D1208" t="n">
        <x:v>25</x:v>
      </x:c>
      <x:c r="E1208" t="str">
        <x:v>Intermediate</x:v>
      </x:c>
      <x:c r="F1208" t="str">
        <x:v>Standard</x:v>
      </x:c>
      <x:c r="G1208" t="n">
        <x:v>42926</x:v>
      </x:c>
      <x:c r="H1208" t="str">
        <x:v>15820</x:v>
      </x:c>
      <x:c r="I1208" t="str">
        <x:v>https://www.smwcentral.net/?a=details&amp;id=15820&amp;p=section</x:v>
      </x:c>
      <x:c r="J1208" t="str">
        <x:v>https://dl.smwcentral.net/15820/Mushroom%20Kingdom%20-%20Under%20Crimson%20Skies.zip</x:v>
      </x:c>
    </x:row>
    <x:row r="1209">
      <x:c r="A1209" t="str">
        <x:v>Mushroom Kingdom Invasion</x:v>
      </x:c>
      <x:c r="B1209" t="str">
        <x:v>Mushroom Kingdom Invasion</x:v>
      </x:c>
      <x:c r="C1209" t="str">
        <x:v>mario and luigi</x:v>
      </x:c>
      <x:c r="D1209" t="n">
        <x:v>7</x:v>
      </x:c>
      <x:c r="E1209" t="str">
        <x:v>Casual</x:v>
      </x:c>
      <x:c r="F1209" t="str">
        <x:v>Standard</x:v>
      </x:c>
      <x:c r="G1209" t="n">
        <x:v>41781</x:v>
      </x:c>
      <x:c r="H1209" t="str">
        <x:v>6550</x:v>
      </x:c>
      <x:c r="I1209" t="str">
        <x:v>https://www.smwcentral.net/?a=details&amp;id=6550&amp;p=section</x:v>
      </x:c>
      <x:c r="J1209" t="str">
        <x:v>https://dl.smwcentral.net/6550/mushroom%20kingdom%20invasion.zip</x:v>
      </x:c>
    </x:row>
    <x:row r="1210">
      <x:c r="A1210" t="str">
        <x:v>Mushroom Kingdom Meltdown</x:v>
      </x:c>
      <x:c r="B1210" t="str">
        <x:v>Mushroom Kingdom Meltdown</x:v>
      </x:c>
      <x:c r="C1210" t="str">
        <x:v>cyphermur9t</x:v>
      </x:c>
      <x:c r="D1210" t="n">
        <x:v>66</x:v>
      </x:c>
      <x:c r="E1210" t="str">
        <x:v>Intermediate</x:v>
      </x:c>
      <x:c r="F1210" t="str">
        <x:v>Standard</x:v>
      </x:c>
      <x:c r="G1210" t="n">
        <x:v>44641</x:v>
      </x:c>
      <x:c r="H1210" t="str">
        <x:v>30027</x:v>
      </x:c>
      <x:c r="I1210" t="str">
        <x:v>https://www.smwcentral.net/?a=details&amp;id=30027&amp;p=section</x:v>
      </x:c>
      <x:c r="J1210" t="str">
        <x:v>https://dl.smwcentral.net/30027/Mushroom%20Kingdom%20Meltdown%20-%20Fixed.zip</x:v>
      </x:c>
    </x:row>
    <x:row r="1211">
      <x:c r="A1211" t="str">
        <x:v>Mushroom Kingdom Meltdown 2</x:v>
      </x:c>
      <x:c r="B1211" t="str">
        <x:v>Mushroom Kingdom Meltdown 2</x:v>
      </x:c>
      <x:c r="C1211" t="str">
        <x:v>cyphermur9t</x:v>
      </x:c>
      <x:c r="D1211" t="n">
        <x:v>89</x:v>
      </x:c>
      <x:c r="E1211" t="str">
        <x:v>Intermediate</x:v>
      </x:c>
      <x:c r="F1211" t="str">
        <x:v>Standard</x:v>
      </x:c>
      <x:c r="G1211" t="n">
        <x:v>44771</x:v>
      </x:c>
      <x:c r="H1211" t="str">
        <x:v>31223</x:v>
      </x:c>
      <x:c r="I1211" t="str">
        <x:v>https://www.smwcentral.net/?a=details&amp;id=31223&amp;p=section</x:v>
      </x:c>
      <x:c r="J1211" t="str">
        <x:v>https://dl.smwcentral.net/31223/Mushroom%20Kingdom%20Meltdown%202%20-%20Fixed.zip</x:v>
      </x:c>
    </x:row>
    <x:row r="1212">
      <x:c r="A1212" t="str">
        <x:v>Mushroom Onion Pizza</x:v>
      </x:c>
      <x:c r="B1212" t="str">
        <x:v>Mushroom Onion Pizza</x:v>
      </x:c>
      <x:c r="C1212" t="str">
        <x:v>MistaX88</x:v>
      </x:c>
      <x:c r="D1212" t="n">
        <x:v>17</x:v>
      </x:c>
      <x:c r="E1212" t="str">
        <x:v>Expert</x:v>
      </x:c>
      <x:c r="F1212" t="str">
        <x:v>Kaizo</x:v>
      </x:c>
      <x:c r="G1212" t="n">
        <x:v>44158</x:v>
      </x:c>
      <x:c r="H1212" t="str">
        <x:v>25204</x:v>
      </x:c>
      <x:c r="I1212" t="str">
        <x:v>https://www.smwcentral.net/?a=details&amp;id=25204&amp;p=section</x:v>
      </x:c>
      <x:c r="J1212" t="str">
        <x:v>https://dl.smwcentral.net/25204/MushroomOnionPizzaV1.2.zip</x:v>
      </x:c>
    </x:row>
    <x:row r="1213">
      <x:c r="A1213" t="str">
        <x:v>Mute's Christmas Quest</x:v>
      </x:c>
      <x:c r="B1213" t="str">
        <x:v>Mute's Christmas Quest</x:v>
      </x:c>
      <x:c r="C1213" t="str">
        <x:v>ChaseNScooter, Daizo Dee Von</x:v>
      </x:c>
      <x:c r="D1213" t="n">
        <x:v>3</x:v>
      </x:c>
      <x:c r="E1213" t="str">
        <x:v>Casual</x:v>
      </x:c>
      <x:c r="F1213" t="str">
        <x:v>Standard</x:v>
      </x:c>
      <x:c r="G1213" t="n">
        <x:v>43669</x:v>
      </x:c>
      <x:c r="H1213" t="str">
        <x:v>20595</x:v>
      </x:c>
      <x:c r="I1213" t="str">
        <x:v>https://www.smwcentral.net/?a=details&amp;id=20595&amp;p=section</x:v>
      </x:c>
      <x:c r="J1213" t="str">
        <x:v>https://dl.smwcentral.net/20595/Mute%27s%20Christmas%20Quest.zip</x:v>
      </x:c>
    </x:row>
    <x:row r="1214">
      <x:c r="A1214" t="str">
        <x:v>My Contest Entries Collection</x:v>
      </x:c>
      <x:c r="B1214" t="str">
        <x:v>My Contest Entries Collection</x:v>
      </x:c>
      <x:c r="C1214" t="str">
        <x:v>TheKazooBloccGosh</x:v>
      </x:c>
      <x:c r="D1214" t="n">
        <x:v>16</x:v>
      </x:c>
      <x:c r="E1214" t="str">
        <x:v>Expert</x:v>
      </x:c>
      <x:c r="F1214" t="str">
        <x:v>Standard, Kaizo, Puzzle</x:v>
      </x:c>
      <x:c r="G1214" t="n">
        <x:v>45944</x:v>
      </x:c>
      <x:c r="H1214" t="str">
        <x:v>40447</x:v>
      </x:c>
      <x:c r="I1214" t="str">
        <x:v>https://www.smwcentral.net/?a=details&amp;id=40447&amp;p=section</x:v>
      </x:c>
      <x:c r="J1214" t="str">
        <x:v>https://dl.smwcentral.net/40447/My%20entries%20contest%20collection.zip</x:v>
      </x:c>
    </x:row>
    <x:row r="1215">
      <x:c r="A1215" t="str">
        <x:v>My Favorite Things</x:v>
      </x:c>
      <x:c r="B1215" t="str">
        <x:v>My Favorite Things</x:v>
      </x:c>
      <x:c r="C1215" t="str">
        <x:v>revolug</x:v>
      </x:c>
      <x:c r="D1215" t="n">
        <x:v>8</x:v>
      </x:c>
      <x:c r="E1215" t="str">
        <x:v>Master</x:v>
      </x:c>
      <x:c r="F1215" t="str">
        <x:v>Kaizo</x:v>
      </x:c>
      <x:c r="G1215" t="n">
        <x:v>45033</x:v>
      </x:c>
      <x:c r="H1215" t="str">
        <x:v>33687</x:v>
      </x:c>
      <x:c r="I1215" t="str">
        <x:v>https://www.smwcentral.net/?a=details&amp;id=33687&amp;p=section</x:v>
      </x:c>
      <x:c r="J1215" t="str">
        <x:v>https://dl.smwcentral.net/33687/My%20Favorite%20Things%201.2.zip</x:v>
      </x:c>
    </x:row>
    <x:row r="1216">
      <x:c r="A1216" t="str">
        <x:v>My Hack</x:v>
      </x:c>
      <x:c r="B1216" t="str">
        <x:v>My Hack</x:v>
      </x:c>
      <x:c r="C1216" t="str">
        <x:v>LouisDoucet</x:v>
      </x:c>
      <x:c r="D1216" t="n">
        <x:v>69</x:v>
      </x:c>
      <x:c r="E1216" t="str">
        <x:v>Grandmaster</x:v>
      </x:c>
      <x:c r="F1216" t="str">
        <x:v>Kaizo</x:v>
      </x:c>
      <x:c r="G1216" t="n">
        <x:v>45818</x:v>
      </x:c>
      <x:c r="H1216" t="str">
        <x:v>39638</x:v>
      </x:c>
      <x:c r="I1216" t="str">
        <x:v>https://www.smwcentral.net/?a=details&amp;id=39638&amp;p=section</x:v>
      </x:c>
      <x:c r="J1216" t="str">
        <x:v>https://dl.smwcentral.net/39638/My%20Hack.zip</x:v>
      </x:c>
    </x:row>
    <x:row r="1217">
      <x:c r="A1217" t="str">
        <x:v>My Level 4 Emero</x:v>
      </x:c>
      <x:c r="B1217" t="str">
        <x:v>My Level 4 Emero</x:v>
      </x:c>
      <x:c r="C1217" t="str">
        <x:v>DjMPK</x:v>
      </x:c>
      <x:c r="D1217" t="n">
        <x:v>1</x:v>
      </x:c>
      <x:c r="E1217" t="str">
        <x:v>Casual</x:v>
      </x:c>
      <x:c r="F1217" t="str">
        <x:v>Standard</x:v>
      </x:c>
      <x:c r="G1217" t="n">
        <x:v>44163</x:v>
      </x:c>
      <x:c r="H1217" t="str">
        <x:v>25216</x:v>
      </x:c>
      <x:c r="I1217" t="str">
        <x:v>https://www.smwcentral.net/?a=details&amp;id=25216&amp;p=section</x:v>
      </x:c>
      <x:c r="J1217" t="str">
        <x:v>https://dl.smwcentral.net/25216/l4emero.zip</x:v>
      </x:c>
    </x:row>
    <x:row r="1218">
      <x:c r="A1218" t="str">
        <x:v>My little Puzzles - The Road to Wisdom</x:v>
      </x:c>
      <x:c r="B1218" t="str">
        <x:v>My little Puzzles - The Road to Wisdom</x:v>
      </x:c>
      <x:c r="C1218" t="str">
        <x:v>Chosentw0</x:v>
      </x:c>
      <x:c r="D1218" t="n">
        <x:v>38</x:v>
      </x:c>
      <x:c r="E1218" t="str">
        <x:v>Intermediate</x:v>
      </x:c>
      <x:c r="F1218" t="str">
        <x:v>Standard, Kaizo, Puzzle, Tool-Assisted</x:v>
      </x:c>
      <x:c r="G1218" t="n">
        <x:v>42374</x:v>
      </x:c>
      <x:c r="H1218" t="str">
        <x:v>12920</x:v>
      </x:c>
      <x:c r="I1218" t="str">
        <x:v>https://www.smwcentral.net/?a=details&amp;id=12920&amp;p=section</x:v>
      </x:c>
      <x:c r="J1218" t="str">
        <x:v>https://dl.smwcentral.net/12920/My%20little%20Puzzles%20-%20The%20Road%20to%20Wisdom%20v1.1.zip</x:v>
      </x:c>
    </x:row>
    <x:row r="1219">
      <x:c r="A1219" t="str">
        <x:v>My little Puzzles 2 - The Continents of Knowledge</x:v>
      </x:c>
      <x:c r="B1219" t="str">
        <x:v>My little Puzzles 2 - The Continents of Knowledge</x:v>
      </x:c>
      <x:c r="C1219" t="str">
        <x:v>Chosentw0, Sariel</x:v>
      </x:c>
      <x:c r="D1219" t="n">
        <x:v>57</x:v>
      </x:c>
      <x:c r="E1219" t="str">
        <x:v>Advanced</x:v>
      </x:c>
      <x:c r="F1219" t="str">
        <x:v>Standard, Kaizo, Puzzle, Tool-Assisted</x:v>
      </x:c>
      <x:c r="G1219" t="n">
        <x:v>42751</x:v>
      </x:c>
      <x:c r="H1219" t="str">
        <x:v>14080</x:v>
      </x:c>
      <x:c r="I1219" t="str">
        <x:v>https://www.smwcentral.net/?a=details&amp;id=14080&amp;p=section</x:v>
      </x:c>
      <x:c r="J1219" t="str">
        <x:v>https://dl.smwcentral.net/14080/My%20little%20Puzzles%202%20-%20The%20Continents%20of%20Knowledge.zip</x:v>
      </x:c>
    </x:row>
    <x:row r="1220">
      <x:c r="A1220" t="str">
        <x:v>My little Puzzles 3 - The Key to Eternity</x:v>
      </x:c>
      <x:c r="B1220" t="str">
        <x:v>My little Puzzles 3 - The Key to Eternity</x:v>
      </x:c>
      <x:c r="C1220" t="str">
        <x:v>Chosentw0</x:v>
      </x:c>
      <x:c r="D1220" t="n">
        <x:v>64</x:v>
      </x:c>
      <x:c r="E1220" t="str">
        <x:v>Advanced</x:v>
      </x:c>
      <x:c r="F1220" t="str">
        <x:v>Standard, Kaizo, Puzzle, Tool-Assisted</x:v>
      </x:c>
      <x:c r="G1220" t="n">
        <x:v>42750</x:v>
      </x:c>
      <x:c r="H1220" t="str">
        <x:v>14882</x:v>
      </x:c>
      <x:c r="I1220" t="str">
        <x:v>https://www.smwcentral.net/?a=details&amp;id=14882&amp;p=section</x:v>
      </x:c>
      <x:c r="J1220" t="str">
        <x:v>https://dl.smwcentral.net/14882/My%20little%20Puzzles%203%20-%20The%20Key%20to%20Eternity.zip</x:v>
      </x:c>
    </x:row>
    <x:row r="1221">
      <x:c r="A1221" t="str">
        <x:v>My love is all wrong</x:v>
      </x:c>
      <x:c r="B1221" t="str">
        <x:v>My love is all wrong</x:v>
      </x:c>
      <x:c r="C1221" t="str">
        <x:v>Firstnamebutt</x:v>
      </x:c>
      <x:c r="D1221" t="n">
        <x:v>10</x:v>
      </x:c>
      <x:c r="E1221" t="str">
        <x:v>Advanced</x:v>
      </x:c>
      <x:c r="F1221" t="str">
        <x:v>Kaizo</x:v>
      </x:c>
      <x:c r="G1221" t="n">
        <x:v>45596</x:v>
      </x:c>
      <x:c r="H1221" t="str">
        <x:v>38704</x:v>
      </x:c>
      <x:c r="I1221" t="str">
        <x:v>https://www.smwcentral.net/?a=details&amp;id=38704&amp;p=section</x:v>
      </x:c>
      <x:c r="J1221" t="str">
        <x:v>https://dl.smwcentral.net/38704/Myloveisallwrong.zip</x:v>
      </x:c>
    </x:row>
    <x:row r="1222">
      <x:c r="A1222" t="str">
        <x:v>My Name is Goal</x:v>
      </x:c>
      <x:c r="B1222" t="str">
        <x:v>My Name is Goal</x:v>
      </x:c>
      <x:c r="C1222" t="str">
        <x:v>sholmes</x:v>
      </x:c>
      <x:c r="D1222" t="n">
        <x:v>24</x:v>
      </x:c>
      <x:c r="E1222" t="str">
        <x:v>Advanced</x:v>
      </x:c>
      <x:c r="F1222" t="str">
        <x:v>Standard</x:v>
      </x:c>
      <x:c r="G1222" t="n">
        <x:v>45697</x:v>
      </x:c>
      <x:c r="H1222" t="str">
        <x:v>39058</x:v>
      </x:c>
      <x:c r="I1222" t="str">
        <x:v>https://www.smwcentral.net/?a=details&amp;id=39058&amp;p=section</x:v>
      </x:c>
      <x:c r="J1222" t="str">
        <x:v>https://dl.smwcentral.net/39058/My%20Name%20is%20Goal.zip</x:v>
      </x:c>
    </x:row>
    <x:row r="1223">
      <x:c r="A1223" t="str">
        <x:v>My New Favorite Hack</x:v>
      </x:c>
      <x:c r="B1223" t="str">
        <x:v>My New Favorite Hack</x:v>
      </x:c>
      <x:c r="C1223" t="str">
        <x:v>VLSkoot</x:v>
      </x:c>
      <x:c r="D1223" t="n">
        <x:v>17</x:v>
      </x:c>
      <x:c r="E1223" t="str">
        <x:v>Expert</x:v>
      </x:c>
      <x:c r="F1223" t="str">
        <x:v>Kaizo</x:v>
      </x:c>
      <x:c r="G1223" t="n">
        <x:v>44629</x:v>
      </x:c>
      <x:c r="H1223" t="str">
        <x:v>30077</x:v>
      </x:c>
      <x:c r="I1223" t="str">
        <x:v>https://www.smwcentral.net/?a=details&amp;id=30077&amp;p=section</x:v>
      </x:c>
      <x:c r="J1223" t="str">
        <x:v>https://dl.smwcentral.net/30077/My%20New%20Favorite%20Hack.zip</x:v>
      </x:c>
    </x:row>
    <x:row r="1224">
      <x:c r="A1224" t="str">
        <x:v>Mycelium</x:v>
      </x:c>
      <x:c r="B1224" t="str">
        <x:v>Mycelium</x:v>
      </x:c>
      <x:c r="C1224" t="str">
        <x:v>schema_tuna</x:v>
      </x:c>
      <x:c r="D1224" t="n">
        <x:v>13</x:v>
      </x:c>
      <x:c r="E1224" t="str">
        <x:v>Advanced</x:v>
      </x:c>
      <x:c r="F1224" t="str">
        <x:v>Kaizo</x:v>
      </x:c>
      <x:c r="G1224" t="n">
        <x:v>45218</x:v>
      </x:c>
      <x:c r="H1224" t="str">
        <x:v>35259</x:v>
      </x:c>
      <x:c r="I1224" t="str">
        <x:v>https://www.smwcentral.net/?a=details&amp;id=35259&amp;p=section</x:v>
      </x:c>
      <x:c r="J1224" t="str">
        <x:v>https://dl.smwcentral.net/35259/Mycelium.zip</x:v>
      </x:c>
    </x:row>
    <x:row r="1225">
      <x:c r="A1225" t="str">
        <x:v>Mystery of the Seven Orbs</x:v>
      </x:c>
      <x:c r="B1225" t="str">
        <x:v>Mystery of the Seven Orbs</x:v>
      </x:c>
      <x:c r="C1225" t="str">
        <x:v>Kiwisauce</x:v>
      </x:c>
      <x:c r="D1225" t="n">
        <x:v>25</x:v>
      </x:c>
      <x:c r="E1225" t="str">
        <x:v>Casual</x:v>
      </x:c>
      <x:c r="F1225" t="str">
        <x:v>Standard</x:v>
      </x:c>
      <x:c r="G1225" t="n">
        <x:v>42347</x:v>
      </x:c>
      <x:c r="H1225" t="str">
        <x:v>9738</x:v>
      </x:c>
      <x:c r="I1225" t="str">
        <x:v>https://www.smwcentral.net/?a=details&amp;id=9738&amp;p=section</x:v>
      </x:c>
      <x:c r="J1225" t="str">
        <x:v>https://dl.smwcentral.net/9738/MOTSO.zip</x:v>
      </x:c>
    </x:row>
    <x:row r="1226">
      <x:c r="A1226" t="str">
        <x:v>Mystical Island</x:v>
      </x:c>
      <x:c r="B1226" t="str">
        <x:v>Mystical Island</x:v>
      </x:c>
      <x:c r="C1226" t="str">
        <x:v>nicknick293</x:v>
      </x:c>
      <x:c r="D1226" t="n">
        <x:v>4</x:v>
      </x:c>
      <x:c r="E1226" t="str">
        <x:v>Newcomer</x:v>
      </x:c>
      <x:c r="F1226" t="str">
        <x:v>Standard</x:v>
      </x:c>
      <x:c r="G1226" t="n">
        <x:v>42257</x:v>
      </x:c>
      <x:c r="H1226" t="str">
        <x:v>9981</x:v>
      </x:c>
      <x:c r="I1226" t="str">
        <x:v>https://www.smwcentral.net/?a=details&amp;id=9981&amp;p=section</x:v>
      </x:c>
      <x:c r="J1226" t="str">
        <x:v>https://dl.smwcentral.net/9981/Mystical%20island%201.0.2.zip</x:v>
      </x:c>
    </x:row>
    <x:row r="1227">
      <x:c r="A1227" t="str">
        <x:v>Myth of Mana</x:v>
      </x:c>
      <x:c r="B1227" t="str">
        <x:v>Myth of Mana</x:v>
      </x:c>
      <x:c r="C1227" t="str">
        <x:v>Hwailaluta</x:v>
      </x:c>
      <x:c r="D1227" t="n">
        <x:v>1</x:v>
      </x:c>
      <x:c r="E1227" t="str">
        <x:v>Expert</x:v>
      </x:c>
      <x:c r="F1227" t="str">
        <x:v>Standard, Kaizo</x:v>
      </x:c>
      <x:c r="G1227" t="n">
        <x:v>45527</x:v>
      </x:c>
      <x:c r="H1227" t="str">
        <x:v>38186</x:v>
      </x:c>
      <x:c r="I1227" t="str">
        <x:v>https://www.smwcentral.net/?a=details&amp;id=38186&amp;p=section</x:v>
      </x:c>
      <x:c r="J1227" t="str">
        <x:v>https://dl.smwcentral.net/38186/Myth%20of%20Mana%201.2.zip</x:v>
      </x:c>
    </x:row>
    <x:row r="1228">
      <x:c r="A1228" t="str">
        <x:v>N'sane Studios hack</x:v>
      </x:c>
      <x:c r="B1228" t="str">
        <x:v>N'sane Studios hack</x:v>
      </x:c>
      <x:c r="C1228" t="str">
        <x:v>Insanit, Sammmoo, n'sane studios</x:v>
      </x:c>
      <x:c r="D1228" t="n">
        <x:v>11</x:v>
      </x:c>
      <x:c r="E1228" t="str">
        <x:v>Expert</x:v>
      </x:c>
      <x:c r="F1228" t="str">
        <x:v>Kaizo</x:v>
      </x:c>
      <x:c r="G1228" t="n">
        <x:v>44972</x:v>
      </x:c>
      <x:c r="H1228" t="str">
        <x:v>33121</x:v>
      </x:c>
      <x:c r="I1228" t="str">
        <x:v>https://www.smwcentral.net/?a=details&amp;id=33121&amp;p=section</x:v>
      </x:c>
      <x:c r="J1228" t="str">
        <x:v>https://dl.smwcentral.net/33121/n%27sane_studios.zip</x:v>
      </x:c>
    </x:row>
    <x:row r="1229">
      <x:c r="A1229" t="str">
        <x:v>Nabbit Steals Christmas</x:v>
      </x:c>
      <x:c r="B1229" t="str">
        <x:v>Nabbit Steals Christmas</x:v>
      </x:c>
      <x:c r="C1229" t="str">
        <x:v>Idunno</x:v>
      </x:c>
      <x:c r="D1229" t="n">
        <x:v>8</x:v>
      </x:c>
      <x:c r="E1229" t="str">
        <x:v>Casual</x:v>
      </x:c>
      <x:c r="F1229" t="str">
        <x:v>Standard</x:v>
      </x:c>
      <x:c r="G1229" t="n">
        <x:v>45291</x:v>
      </x:c>
      <x:c r="H1229" t="str">
        <x:v>35753</x:v>
      </x:c>
      <x:c r="I1229" t="str">
        <x:v>https://www.smwcentral.net/?a=details&amp;id=35753&amp;p=section</x:v>
      </x:c>
      <x:c r="J1229" t="str">
        <x:v>https://dl.smwcentral.net/35753/NabbitStealsXmas.zip</x:v>
      </x:c>
    </x:row>
    <x:row r="1230">
      <x:c r="A1230" t="str">
        <x:v>Nachos and Fried Oreos</x:v>
      </x:c>
      <x:c r="B1230" t="str">
        <x:v>Nachos and Fried Oreos</x:v>
      </x:c>
      <x:c r="C1230" t="str">
        <x:v>GbreezeSunset, MiracleWater</x:v>
      </x:c>
      <x:c r="D1230" t="n">
        <x:v>15</x:v>
      </x:c>
      <x:c r="E1230" t="str">
        <x:v>Advanced</x:v>
      </x:c>
      <x:c r="F1230" t="str">
        <x:v>Standard</x:v>
      </x:c>
      <x:c r="G1230" t="n">
        <x:v>43521</x:v>
      </x:c>
      <x:c r="H1230" t="str">
        <x:v>19044</x:v>
      </x:c>
      <x:c r="I1230" t="str">
        <x:v>https://www.smwcentral.net/?a=details&amp;id=19044&amp;p=section</x:v>
      </x:c>
      <x:c r="J1230" t="str">
        <x:v>https://dl.smwcentral.net/19044/Nachos%20and%20Fried%20Oreos.zip</x:v>
      </x:c>
    </x:row>
    <x:row r="1231">
      <x:c r="A1231" t="str">
        <x:v>Nador Quest</x:v>
      </x:c>
      <x:c r="B1231" t="str">
        <x:v>Nador Quest</x:v>
      </x:c>
      <x:c r="C1231" t="str">
        <x:v>Lexator</x:v>
      </x:c>
      <x:c r="D1231" t="n">
        <x:v>15</x:v>
      </x:c>
      <x:c r="E1231" t="str">
        <x:v>Casual</x:v>
      </x:c>
      <x:c r="F1231" t="str">
        <x:v>Standard</x:v>
      </x:c>
      <x:c r="G1231" t="n">
        <x:v>41480</x:v>
      </x:c>
      <x:c r="H1231" t="str">
        <x:v>5166</x:v>
      </x:c>
      <x:c r="I1231" t="str">
        <x:v>https://www.smwcentral.net/?a=details&amp;id=5166&amp;p=section</x:v>
      </x:c>
      <x:c r="J1231" t="str">
        <x:v>https://dl.smwcentral.net/5166/Nador%20Quest%20%28demo%202%29.zip</x:v>
      </x:c>
    </x:row>
    <x:row r="1232">
      <x:c r="A1232" t="str">
        <x:v>Nakama</x:v>
      </x:c>
      <x:c r="B1232" t="str">
        <x:v>Nakama</x:v>
      </x:c>
      <x:c r="C1232" t="str">
        <x:v>D_O_M</x:v>
      </x:c>
      <x:c r="D1232" t="n">
        <x:v>34</x:v>
      </x:c>
      <x:c r="E1232" t="str">
        <x:v>Expert</x:v>
      </x:c>
      <x:c r="F1232" t="str">
        <x:v>Kaizo</x:v>
      </x:c>
      <x:c r="G1232" t="n">
        <x:v>46137</x:v>
      </x:c>
      <x:c r="H1232" t="str">
        <x:v>42206</x:v>
      </x:c>
      <x:c r="I1232" t="str">
        <x:v>https://www.smwcentral.net/?a=details&amp;id=42206&amp;p=section</x:v>
      </x:c>
      <x:c r="J1232" t="str">
        <x:v>https://dl.smwcentral.net/42206/Nakama1.1.zip</x:v>
      </x:c>
    </x:row>
    <x:row r="1233">
      <x:c r="A1233" t="str">
        <x:v>Nameless Kaizo World</x:v>
      </x:c>
      <x:c r="B1233" t="str">
        <x:v>Nameless Kaizo World</x:v>
      </x:c>
      <x:c r="C1233" t="str">
        <x:v>TheMURAmatsu</x:v>
      </x:c>
      <x:c r="D1233" t="n">
        <x:v>6</x:v>
      </x:c>
      <x:c r="E1233" t="str">
        <x:v>Expert</x:v>
      </x:c>
      <x:c r="F1233" t="str">
        <x:v>Kaizo</x:v>
      </x:c>
      <x:c r="G1233" t="n">
        <x:v>44745</x:v>
      </x:c>
      <x:c r="H1233" t="str">
        <x:v>31239</x:v>
      </x:c>
      <x:c r="I1233" t="str">
        <x:v>https://www.smwcentral.net/?a=details&amp;id=31239&amp;p=section</x:v>
      </x:c>
      <x:c r="J1233" t="str">
        <x:v>https://dl.smwcentral.net/31239/Nameless_Kaizo_World-V1.1.zip</x:v>
      </x:c>
    </x:row>
    <x:row r="1234">
      <x:c r="A1234" t="str">
        <x:v>Nameless Kaizo World (Light)</x:v>
      </x:c>
      <x:c r="B1234" t="str">
        <x:v>Nameless Kaizo World (Light)</x:v>
      </x:c>
      <x:c r="C1234" t="str">
        <x:v>TheMURAmatsu</x:v>
      </x:c>
      <x:c r="D1234" t="n">
        <x:v>5</x:v>
      </x:c>
      <x:c r="E1234" t="str">
        <x:v>Intermediate</x:v>
      </x:c>
      <x:c r="F1234" t="str">
        <x:v>Kaizo</x:v>
      </x:c>
      <x:c r="G1234" t="n">
        <x:v>44772</x:v>
      </x:c>
      <x:c r="H1234" t="str">
        <x:v>31683</x:v>
      </x:c>
      <x:c r="I1234" t="str">
        <x:v>https://www.smwcentral.net/?a=details&amp;id=31683&amp;p=section</x:v>
      </x:c>
      <x:c r="J1234" t="str">
        <x:v>https://dl.smwcentral.net/31683/Nameless%20Kaizo%20World%20%28Light%29.zip</x:v>
      </x:c>
    </x:row>
    <x:row r="1235">
      <x:c r="A1235" t="str">
        <x:v>Nameless Shells</x:v>
      </x:c>
      <x:c r="B1235" t="str">
        <x:v>Nameless Shells</x:v>
      </x:c>
      <x:c r="C1235" t="str">
        <x:v>TheMURAmatsu</x:v>
      </x:c>
      <x:c r="D1235" t="n">
        <x:v>1</x:v>
      </x:c>
      <x:c r="E1235" t="str">
        <x:v>Advanced</x:v>
      </x:c>
      <x:c r="F1235" t="str">
        <x:v>Kaizo</x:v>
      </x:c>
      <x:c r="G1235" t="n">
        <x:v>44937</x:v>
      </x:c>
      <x:c r="H1235" t="str">
        <x:v>32900</x:v>
      </x:c>
      <x:c r="I1235" t="str">
        <x:v>https://www.smwcentral.net/?a=details&amp;id=32900&amp;p=section</x:v>
      </x:c>
      <x:c r="J1235" t="str">
        <x:v>https://dl.smwcentral.net/32900/Nameless%20Shells.zip</x:v>
      </x:c>
    </x:row>
    <x:row r="1236">
      <x:c r="A1236" t="str">
        <x:v>Natsukashii Mario World</x:v>
      </x:c>
      <x:c r="B1236" t="str">
        <x:v>Natsukashii Mario World</x:v>
      </x:c>
      <x:c r="C1236" t="str">
        <x:v>pixelninetales</x:v>
      </x:c>
      <x:c r="D1236" t="n">
        <x:v>7</x:v>
      </x:c>
      <x:c r="E1236" t="str">
        <x:v>Expert</x:v>
      </x:c>
      <x:c r="F1236" t="str">
        <x:v>Kaizo</x:v>
      </x:c>
      <x:c r="G1236" t="n">
        <x:v>44930</x:v>
      </x:c>
      <x:c r="H1236" t="str">
        <x:v>32847</x:v>
      </x:c>
      <x:c r="I1236" t="str">
        <x:v>https://www.smwcentral.net/?a=details&amp;id=32847&amp;p=section</x:v>
      </x:c>
      <x:c r="J1236" t="str">
        <x:v>https://dl.smwcentral.net/32847/natsukashii.zip</x:v>
      </x:c>
    </x:row>
    <x:row r="1237">
      <x:c r="A1237" t="str">
        <x:v>Naughtyworld</x:v>
      </x:c>
      <x:c r="B1237" t="str">
        <x:v>Naughtyworld</x:v>
      </x:c>
      <x:c r="C1237" t="str">
        <x:v>Christina Hendricks, JUMP Team, Kevin</x:v>
      </x:c>
      <x:c r="D1237" t="n">
        <x:v>116</x:v>
      </x:c>
      <x:c r="E1237" t="str">
        <x:v>Expert</x:v>
      </x:c>
      <x:c r="F1237" t="str">
        <x:v>Standard</x:v>
      </x:c>
      <x:c r="G1237" t="n">
        <x:v>45337</x:v>
      </x:c>
      <x:c r="H1237" t="str">
        <x:v>36680</x:v>
      </x:c>
      <x:c r="I1237" t="str">
        <x:v>https://www.smwcentral.net/?a=details&amp;id=36680&amp;p=section</x:v>
      </x:c>
      <x:c r="J1237" t="str">
        <x:v>https://dl.smwcentral.net/36680/naughtyworld.zip</x:v>
      </x:c>
    </x:row>
    <x:row r="1238">
      <x:c r="A1238" t="str">
        <x:v>Nebula</x:v>
      </x:c>
      <x:c r="B1238" t="str">
        <x:v>Nebula</x:v>
      </x:c>
      <x:c r="C1238" t="str">
        <x:v>Gulaschko</x:v>
      </x:c>
      <x:c r="D1238" t="n">
        <x:v>12</x:v>
      </x:c>
      <x:c r="E1238" t="str">
        <x:v>Expert</x:v>
      </x:c>
      <x:c r="F1238" t="str">
        <x:v>Kaizo</x:v>
      </x:c>
      <x:c r="G1238" t="n">
        <x:v>45042</x:v>
      </x:c>
      <x:c r="H1238" t="str">
        <x:v>33695</x:v>
      </x:c>
      <x:c r="I1238" t="str">
        <x:v>https://www.smwcentral.net/?a=details&amp;id=33695&amp;p=section</x:v>
      </x:c>
      <x:c r="J1238" t="str">
        <x:v>https://dl.smwcentral.net/33695/NebulaVer.1.1.zip</x:v>
      </x:c>
    </x:row>
    <x:row r="1239">
      <x:c r="A1239" t="str">
        <x:v>Neighborhood of Make-Believe</x:v>
      </x:c>
      <x:c r="B1239" t="str">
        <x:v>Neighborhood of Make-Believe</x:v>
      </x:c>
      <x:c r="C1239" t="str">
        <x:v>The_Uber_Camper</x:v>
      </x:c>
      <x:c r="D1239" t="n">
        <x:v>16</x:v>
      </x:c>
      <x:c r="E1239" t="str">
        <x:v>Intermediate</x:v>
      </x:c>
      <x:c r="F1239" t="str">
        <x:v>Kaizo</x:v>
      </x:c>
      <x:c r="G1239" t="n">
        <x:v>45648</x:v>
      </x:c>
      <x:c r="H1239" t="str">
        <x:v>38883</x:v>
      </x:c>
      <x:c r="I1239" t="str">
        <x:v>https://www.smwcentral.net/?a=details&amp;id=38883&amp;p=section</x:v>
      </x:c>
      <x:c r="J1239" t="str">
        <x:v>https://dl.smwcentral.net/38883/Neighborhood%20of%20Make-Believe%20v1.1.zip</x:v>
      </x:c>
    </x:row>
    <x:row r="1240">
      <x:c r="A1240" t="str">
        <x:v>Neko Nightmare</x:v>
      </x:c>
      <x:c r="B1240" t="str">
        <x:v>Neko Nightmare</x:v>
      </x:c>
      <x:c r="C1240" t="str">
        <x:v>YamiRamzaNeko</x:v>
      </x:c>
      <x:c r="D1240" t="n">
        <x:v>8</x:v>
      </x:c>
      <x:c r="E1240" t="str">
        <x:v>Casual</x:v>
      </x:c>
      <x:c r="F1240" t="str">
        <x:v>Standard</x:v>
      </x:c>
      <x:c r="G1240" t="n">
        <x:v>42225</x:v>
      </x:c>
      <x:c r="H1240" t="str">
        <x:v>9850</x:v>
      </x:c>
      <x:c r="I1240" t="str">
        <x:v>https://www.smwcentral.net/?a=details&amp;id=9850&amp;p=section</x:v>
      </x:c>
      <x:c r="J1240" t="str">
        <x:v>https://dl.smwcentral.net/9850/smw.zip</x:v>
      </x:c>
    </x:row>
    <x:row r="1241">
      <x:c r="A1241" t="str">
        <x:v>Nemesis</x:v>
      </x:c>
      <x:c r="B1241" t="str">
        <x:v>Nemesis</x:v>
      </x:c>
      <x:c r="C1241" t="str">
        <x:v>Dennsen86</x:v>
      </x:c>
      <x:c r="D1241" t="n">
        <x:v>16</x:v>
      </x:c>
      <x:c r="E1241" t="str">
        <x:v>Expert</x:v>
      </x:c>
      <x:c r="F1241" t="str">
        <x:v>Kaizo</x:v>
      </x:c>
      <x:c r="G1241" t="n">
        <x:v>44665</x:v>
      </x:c>
      <x:c r="H1241" t="str">
        <x:v>30309</x:v>
      </x:c>
      <x:c r="I1241" t="str">
        <x:v>https://www.smwcentral.net/?a=details&amp;id=30309&amp;p=section</x:v>
      </x:c>
      <x:c r="J1241" t="str">
        <x:v>https://dl.smwcentral.net/30309/Nemesis.zip</x:v>
      </x:c>
    </x:row>
    <x:row r="1242">
      <x:c r="A1242" t="str">
        <x:v>Nerdina's World</x:v>
      </x:c>
      <x:c r="B1242" t="str">
        <x:v>Nerdina's World</x:v>
      </x:c>
      <x:c r="C1242" t="str">
        <x:v>B-Yoshi</x:v>
      </x:c>
      <x:c r="D1242" t="n">
        <x:v>6</x:v>
      </x:c>
      <x:c r="E1242" t="str">
        <x:v>Newcomer</x:v>
      </x:c>
      <x:c r="F1242" t="str">
        <x:v>Standard</x:v>
      </x:c>
      <x:c r="G1242" t="n">
        <x:v>42316</x:v>
      </x:c>
      <x:c r="H1242" t="str">
        <x:v>10198</x:v>
      </x:c>
      <x:c r="I1242" t="str">
        <x:v>https://www.smwcentral.net/?a=details&amp;id=10198&amp;p=section</x:v>
      </x:c>
      <x:c r="J1242" t="str">
        <x:v>https://dl.smwcentral.net/10198/Nerdina%27s%20World%20-%20Demo%20V%201.0.zip</x:v>
      </x:c>
    </x:row>
    <x:row r="1243">
      <x:c r="A1243" t="str">
        <x:v>New Easter World</x:v>
      </x:c>
      <x:c r="B1243" t="str">
        <x:v>New Easter World</x:v>
      </x:c>
      <x:c r="C1243" t="str">
        <x:v>SkywinDragoon</x:v>
      </x:c>
      <x:c r="D1243" t="n">
        <x:v>8</x:v>
      </x:c>
      <x:c r="E1243" t="str">
        <x:v>Casual</x:v>
      </x:c>
      <x:c r="F1243" t="str">
        <x:v>Standard</x:v>
      </x:c>
      <x:c r="G1243" t="n">
        <x:v>42825</x:v>
      </x:c>
      <x:c r="H1243" t="str">
        <x:v>15252</x:v>
      </x:c>
      <x:c r="I1243" t="str">
        <x:v>https://www.smwcentral.net/?a=details&amp;id=15252&amp;p=section</x:v>
      </x:c>
      <x:c r="J1243" t="str">
        <x:v>https://dl.smwcentral.net/15252/New%20Easter%20World%20W1%20DEMO.zip</x:v>
      </x:c>
    </x:row>
    <x:row r="1244">
      <x:c r="A1244" t="str">
        <x:v>New Mario's Adventure</x:v>
      </x:c>
      <x:c r="B1244" t="str">
        <x:v>New Mario's Adventure</x:v>
      </x:c>
      <x:c r="C1244" t="str">
        <x:v>yoshi9429</x:v>
      </x:c>
      <x:c r="D1244" t="n">
        <x:v>94</x:v>
      </x:c>
      <x:c r="E1244" t="str">
        <x:v>Advanced</x:v>
      </x:c>
      <x:c r="F1244" t="str">
        <x:v>Standard</x:v>
      </x:c>
      <x:c r="G1244" t="n">
        <x:v>42840</x:v>
      </x:c>
      <x:c r="H1244" t="str">
        <x:v>15438</x:v>
      </x:c>
      <x:c r="I1244" t="str">
        <x:v>https://www.smwcentral.net/?a=details&amp;id=15438&amp;p=section</x:v>
      </x:c>
      <x:c r="J1244" t="str">
        <x:v>https://dl.smwcentral.net/15438/New%20Mario%27s%20Adventure.zip</x:v>
      </x:c>
    </x:row>
    <x:row r="1245">
      <x:c r="A1245" t="str">
        <x:v>NEW Nightmare cafe</x:v>
      </x:c>
      <x:c r="B1245" t="str">
        <x:v>NEW Nightmare cafe</x:v>
      </x:c>
      <x:c r="C1245" t="str">
        <x:v>Lush_50</x:v>
      </x:c>
      <x:c r="D1245" t="n">
        <x:v>1</x:v>
      </x:c>
      <x:c r="E1245" t="str">
        <x:v>Advanced</x:v>
      </x:c>
      <x:c r="F1245" t="str">
        <x:v>Kaizo</x:v>
      </x:c>
      <x:c r="G1245" t="n">
        <x:v>44992</x:v>
      </x:c>
      <x:c r="H1245" t="str">
        <x:v>33431</x:v>
      </x:c>
      <x:c r="I1245" t="str">
        <x:v>https://www.smwcentral.net/?a=details&amp;id=33431&amp;p=section</x:v>
      </x:c>
      <x:c r="J1245" t="str">
        <x:v>https://dl.smwcentral.net/33431/NEW%20Nightmare%20cafe%20v1.0A.zip</x:v>
      </x:c>
    </x:row>
    <x:row r="1246">
      <x:c r="A1246" t="str">
        <x:v>NEW Nightmare cafe 2</x:v>
      </x:c>
      <x:c r="B1246" t="str">
        <x:v>NEW Nightmare cafe 2</x:v>
      </x:c>
      <x:c r="C1246" t="str">
        <x:v>Lush_50</x:v>
      </x:c>
      <x:c r="D1246" t="n">
        <x:v>2</x:v>
      </x:c>
      <x:c r="E1246" t="str">
        <x:v>Advanced</x:v>
      </x:c>
      <x:c r="F1246" t="str">
        <x:v>Kaizo</x:v>
      </x:c>
      <x:c r="G1246" t="n">
        <x:v>45001</x:v>
      </x:c>
      <x:c r="H1246" t="str">
        <x:v>33555</x:v>
      </x:c>
      <x:c r="I1246" t="str">
        <x:v>https://www.smwcentral.net/?a=details&amp;id=33555&amp;p=section</x:v>
      </x:c>
      <x:c r="J1246" t="str">
        <x:v>https://dl.smwcentral.net/33555/NEW%20Nightmare%20cafe%202%20V1.0A.zip</x:v>
      </x:c>
    </x:row>
    <x:row r="1247">
      <x:c r="A1247" t="str">
        <x:v>NEW Nightmare cafe 3</x:v>
      </x:c>
      <x:c r="B1247" t="str">
        <x:v>NEW Nightmare cafe 3</x:v>
      </x:c>
      <x:c r="C1247" t="str">
        <x:v>Lush_50</x:v>
      </x:c>
      <x:c r="D1247" t="n">
        <x:v>2</x:v>
      </x:c>
      <x:c r="E1247" t="str">
        <x:v>Advanced</x:v>
      </x:c>
      <x:c r="F1247" t="str">
        <x:v>Kaizo</x:v>
      </x:c>
      <x:c r="G1247" t="n">
        <x:v>45014</x:v>
      </x:c>
      <x:c r="H1247" t="str">
        <x:v>33638</x:v>
      </x:c>
      <x:c r="I1247" t="str">
        <x:v>https://www.smwcentral.net/?a=details&amp;id=33638&amp;p=section</x:v>
      </x:c>
      <x:c r="J1247" t="str">
        <x:v>https://dl.smwcentral.net/33638/NEW%20Nightmare%20cafe%203%20V1.0.zip</x:v>
      </x:c>
    </x:row>
    <x:row r="1248">
      <x:c r="A1248" t="str">
        <x:v>NEW Nightmare cafe 4</x:v>
      </x:c>
      <x:c r="B1248" t="str">
        <x:v>NEW Nightmare cafe 4</x:v>
      </x:c>
      <x:c r="C1248" t="str">
        <x:v>Lush_50</x:v>
      </x:c>
      <x:c r="D1248" t="n">
        <x:v>2</x:v>
      </x:c>
      <x:c r="E1248" t="str">
        <x:v>Advanced</x:v>
      </x:c>
      <x:c r="F1248" t="str">
        <x:v>Kaizo</x:v>
      </x:c>
      <x:c r="G1248" t="n">
        <x:v>45035</x:v>
      </x:c>
      <x:c r="H1248" t="str">
        <x:v>33777</x:v>
      </x:c>
      <x:c r="I1248" t="str">
        <x:v>https://www.smwcentral.net/?a=details&amp;id=33777&amp;p=section</x:v>
      </x:c>
      <x:c r="J1248" t="str">
        <x:v>https://dl.smwcentral.net/33777/NEW%20Nightmare%20cafe%204%20V1.0.zip</x:v>
      </x:c>
    </x:row>
    <x:row r="1249">
      <x:c r="A1249" t="str">
        <x:v>NEW Nightmare cafe 5</x:v>
      </x:c>
      <x:c r="B1249" t="str">
        <x:v>NEW Nightmare cafe 5</x:v>
      </x:c>
      <x:c r="C1249" t="str">
        <x:v>Lush_50</x:v>
      </x:c>
      <x:c r="D1249" t="n">
        <x:v>3</x:v>
      </x:c>
      <x:c r="E1249" t="str">
        <x:v>Advanced</x:v>
      </x:c>
      <x:c r="F1249" t="str">
        <x:v>Kaizo</x:v>
      </x:c>
      <x:c r="G1249" t="n">
        <x:v>45205</x:v>
      </x:c>
      <x:c r="H1249" t="str">
        <x:v>35173</x:v>
      </x:c>
      <x:c r="I1249" t="str">
        <x:v>https://www.smwcentral.net/?a=details&amp;id=35173&amp;p=section</x:v>
      </x:c>
      <x:c r="J1249" t="str">
        <x:v>https://dl.smwcentral.net/35173/New%20Nightmare%20Cafe%205%20V1.zip</x:v>
      </x:c>
    </x:row>
    <x:row r="1250">
      <x:c r="A1250" t="str">
        <x:v>New Retro Mario Bros.</x:v>
      </x:c>
      <x:c r="B1250" t="str">
        <x:v>New Retro Mario Bros.</x:v>
      </x:c>
      <x:c r="C1250" t="str">
        <x:v>Dr. Mahatma</x:v>
      </x:c>
      <x:c r="D1250" t="n">
        <x:v>32</x:v>
      </x:c>
      <x:c r="E1250" t="str">
        <x:v>Casual</x:v>
      </x:c>
      <x:c r="F1250" t="str">
        <x:v>Standard</x:v>
      </x:c>
      <x:c r="G1250" t="n">
        <x:v>42226</x:v>
      </x:c>
      <x:c r="H1250" t="str">
        <x:v>9871</x:v>
      </x:c>
      <x:c r="I1250" t="str">
        <x:v>https://www.smwcentral.net/?a=details&amp;id=9871&amp;p=section</x:v>
      </x:c>
      <x:c r="J1250" t="str">
        <x:v>https://dl.smwcentral.net/9871/NRMB.zip</x:v>
      </x:c>
    </x:row>
    <x:row r="1251">
      <x:c r="A1251" t="str">
        <x:v>New Schlitterbahn Yoshi World 1</x:v>
      </x:c>
      <x:c r="B1251" t="str">
        <x:v>New Schlitterbahn Yoshi World 1</x:v>
      </x:c>
      <x:c r="C1251" t="str">
        <x:v>El Cuh Fermin</x:v>
      </x:c>
      <x:c r="D1251" t="n">
        <x:v>9</x:v>
      </x:c>
      <x:c r="E1251" t="str">
        <x:v>Intermediate</x:v>
      </x:c>
      <x:c r="F1251" t="str">
        <x:v>Standard</x:v>
      </x:c>
      <x:c r="G1251" t="n">
        <x:v>43894</x:v>
      </x:c>
      <x:c r="H1251" t="str">
        <x:v>22328</x:v>
      </x:c>
      <x:c r="I1251" t="str">
        <x:v>https://www.smwcentral.net/?a=details&amp;id=22328&amp;p=section</x:v>
      </x:c>
      <x:c r="J1251" t="str">
        <x:v>https://dl.smwcentral.net/22328/New%20Schlitterbahn%20Yoshi%20World%201.zip</x:v>
      </x:c>
    </x:row>
    <x:row r="1252">
      <x:c r="A1252" t="str">
        <x:v>New Sonic Generations</x:v>
      </x:c>
      <x:c r="B1252" t="str">
        <x:v>New Sonic Generations</x:v>
      </x:c>
      <x:c r="C1252" t="str">
        <x:v>sholmes</x:v>
      </x:c>
      <x:c r="D1252" t="n">
        <x:v>14</x:v>
      </x:c>
      <x:c r="E1252" t="str">
        <x:v>Expert</x:v>
      </x:c>
      <x:c r="F1252" t="str">
        <x:v>Kaizo</x:v>
      </x:c>
      <x:c r="G1252" t="n">
        <x:v>45267</x:v>
      </x:c>
      <x:c r="H1252" t="str">
        <x:v>35115</x:v>
      </x:c>
      <x:c r="I1252" t="str">
        <x:v>https://www.smwcentral.net/?a=details&amp;id=35115&amp;p=section</x:v>
      </x:c>
      <x:c r="J1252" t="str">
        <x:v>https://dl.smwcentral.net/35115/New%20Sonic%20Generations.zip</x:v>
      </x:c>
    </x:row>
    <x:row r="1253">
      <x:c r="A1253" t="str">
        <x:v>New Super Kaizo Bros.</x:v>
      </x:c>
      <x:c r="B1253" t="str">
        <x:v>New Super Kaizo Bros.</x:v>
      </x:c>
      <x:c r="C1253" t="str">
        <x:v>Yagami</x:v>
      </x:c>
      <x:c r="D1253" t="n">
        <x:v>24</x:v>
      </x:c>
      <x:c r="E1253" t="str">
        <x:v>Expert</x:v>
      </x:c>
      <x:c r="F1253" t="str">
        <x:v>Kaizo</x:v>
      </x:c>
      <x:c r="G1253" t="n">
        <x:v>43537</x:v>
      </x:c>
      <x:c r="H1253" t="str">
        <x:v>19180</x:v>
      </x:c>
      <x:c r="I1253" t="str">
        <x:v>https://www.smwcentral.net/?a=details&amp;id=19180&amp;p=section</x:v>
      </x:c>
      <x:c r="J1253" t="str">
        <x:v>https://dl.smwcentral.net/19180/New%20Super%20Kaizo%20Bros%201.1.zip</x:v>
      </x:c>
    </x:row>
    <x:row r="1254">
      <x:c r="A1254" t="str">
        <x:v>New Super Mario Bros.</x:v>
      </x:c>
      <x:c r="B1254" t="str">
        <x:v>New Super Mario Bros.</x:v>
      </x:c>
      <x:c r="C1254" t="str">
        <x:v>Juga, icegoom</x:v>
      </x:c>
      <x:c r="D1254" t="n">
        <x:v>9</x:v>
      </x:c>
      <x:c r="E1254" t="str">
        <x:v>Newcomer</x:v>
      </x:c>
      <x:c r="F1254" t="str">
        <x:v>Standard</x:v>
      </x:c>
      <x:c r="G1254" t="n">
        <x:v>42057</x:v>
      </x:c>
      <x:c r="H1254" t="str">
        <x:v>9663</x:v>
      </x:c>
      <x:c r="I1254" t="str">
        <x:v>https://www.smwcentral.net/?a=details&amp;id=9663&amp;p=section</x:v>
      </x:c>
      <x:c r="J1254" t="str">
        <x:v>https://dl.smwcentral.net/9663/nsmb.zip</x:v>
      </x:c>
    </x:row>
    <x:row r="1255">
      <x:c r="A1255" t="str">
        <x:v>New Super Mario Bros. SNES</x:v>
      </x:c>
      <x:c r="B1255" t="str">
        <x:v>New Super Mario Bros. SNES</x:v>
      </x:c>
      <x:c r="C1255" t="str">
        <x:v>Mr. Pixelator</x:v>
      </x:c>
      <x:c r="D1255" t="n">
        <x:v>21</x:v>
      </x:c>
      <x:c r="E1255" t="str">
        <x:v>Casual</x:v>
      </x:c>
      <x:c r="F1255" t="str">
        <x:v>Standard</x:v>
      </x:c>
      <x:c r="G1255" t="n">
        <x:v>43051</x:v>
      </x:c>
      <x:c r="H1255" t="str">
        <x:v>16558</x:v>
      </x:c>
      <x:c r="I1255" t="str">
        <x:v>https://www.smwcentral.net/?a=details&amp;id=16558&amp;p=section</x:v>
      </x:c>
      <x:c r="J1255" t="str">
        <x:v>https://dl.smwcentral.net/16558/New%20Super%20Mario%20Bros.%20SNES%20%28Demo%202%29.zip</x:v>
      </x:c>
    </x:row>
    <x:row r="1256">
      <x:c r="A1256" t="str">
        <x:v>New Super Mario Bros: The Lost Levels</x:v>
      </x:c>
      <x:c r="B1256" t="str">
        <x:v>New Super Mario Bros: The Lost Levels</x:v>
      </x:c>
      <x:c r="C1256" t="str">
        <x:v>RickyMario</x:v>
      </x:c>
      <x:c r="D1256" t="n">
        <x:v>6</x:v>
      </x:c>
      <x:c r="E1256" t="str">
        <x:v>Newcomer</x:v>
      </x:c>
      <x:c r="F1256" t="str">
        <x:v>Standard</x:v>
      </x:c>
      <x:c r="G1256" t="n">
        <x:v>42104</x:v>
      </x:c>
      <x:c r="H1256" t="str">
        <x:v>9763</x:v>
      </x:c>
      <x:c r="I1256" t="str">
        <x:v>https://www.smwcentral.net/?a=details&amp;id=9763&amp;p=section</x:v>
      </x:c>
      <x:c r="J1256" t="str">
        <x:v>https://dl.smwcentral.net/9763/New%20Super%20Mario%20Lost.zip</x:v>
      </x:c>
    </x:row>
    <x:row r="1257">
      <x:c r="A1257" t="str">
        <x:v>New Super Mario Illusion</x:v>
      </x:c>
      <x:c r="B1257" t="str">
        <x:v>New Super Mario Illusion</x:v>
      </x:c>
      <x:c r="C1257" t="str">
        <x:v>K3Blue64</x:v>
      </x:c>
      <x:c r="D1257" t="n">
        <x:v>17</x:v>
      </x:c>
      <x:c r="E1257" t="str">
        <x:v>Newcomer</x:v>
      </x:c>
      <x:c r="F1257" t="str">
        <x:v>Standard</x:v>
      </x:c>
      <x:c r="G1257" t="n">
        <x:v>42252</x:v>
      </x:c>
      <x:c r="H1257" t="str">
        <x:v>9979</x:v>
      </x:c>
      <x:c r="I1257" t="str">
        <x:v>https://www.smwcentral.net/?a=details&amp;id=9979&amp;p=section</x:v>
      </x:c>
      <x:c r="J1257" t="str">
        <x:v>https://dl.smwcentral.net/9979/smi.zip</x:v>
      </x:c>
    </x:row>
    <x:row r="1258">
      <x:c r="A1258" t="str">
        <x:v>New Super Mario Land</x:v>
      </x:c>
      <x:c r="B1258" t="str">
        <x:v>New Super Mario Land</x:v>
      </x:c>
      <x:c r="C1258" t="str">
        <x:v>El Cuh Fermin</x:v>
      </x:c>
      <x:c r="D1258" t="n">
        <x:v>11</x:v>
      </x:c>
      <x:c r="E1258" t="str">
        <x:v>Intermediate</x:v>
      </x:c>
      <x:c r="F1258" t="str">
        <x:v>Standard</x:v>
      </x:c>
      <x:c r="G1258" t="n">
        <x:v>43701</x:v>
      </x:c>
      <x:c r="H1258" t="str">
        <x:v>20885</x:v>
      </x:c>
      <x:c r="I1258" t="str">
        <x:v>https://www.smwcentral.net/?a=details&amp;id=20885&amp;p=section</x:v>
      </x:c>
      <x:c r="J1258" t="str">
        <x:v>https://dl.smwcentral.net/20885/New%20Super%20Mario%20Land.zip</x:v>
      </x:c>
    </x:row>
    <x:row r="1259">
      <x:c r="A1259" t="str">
        <x:v>New Super Mario Pants World</x:v>
      </x:c>
      <x:c r="B1259" t="str">
        <x:v>New Super Mario Pants World</x:v>
      </x:c>
      <x:c r="C1259" t="str">
        <x:v>Romano338</x:v>
      </x:c>
      <x:c r="D1259" t="n">
        <x:v>11</x:v>
      </x:c>
      <x:c r="E1259" t="str">
        <x:v>Expert</x:v>
      </x:c>
      <x:c r="F1259" t="str">
        <x:v>Kaizo</x:v>
      </x:c>
      <x:c r="G1259" t="n">
        <x:v>43679</x:v>
      </x:c>
      <x:c r="H1259" t="str">
        <x:v>20656</x:v>
      </x:c>
      <x:c r="I1259" t="str">
        <x:v>https://www.smwcentral.net/?a=details&amp;id=20656&amp;p=section</x:v>
      </x:c>
      <x:c r="J1259" t="str">
        <x:v>https://dl.smwcentral.net/20656/NSMPW.zip</x:v>
      </x:c>
    </x:row>
    <x:row r="1260">
      <x:c r="A1260" t="str">
        <x:v>New Super Mario World 1: The Twelve Magic Orbs</x:v>
      </x:c>
      <x:c r="B1260" t="str">
        <x:v>New Super Mario World 1: The Twelve Magic Orbs</x:v>
      </x:c>
      <x:c r="C1260" t="str">
        <x:v>Pink Gold Peach</x:v>
      </x:c>
      <x:c r="D1260" t="n">
        <x:v>112</x:v>
      </x:c>
      <x:c r="E1260" t="str">
        <x:v>Intermediate</x:v>
      </x:c>
      <x:c r="F1260" t="str">
        <x:v>Standard</x:v>
      </x:c>
      <x:c r="G1260" t="n">
        <x:v>42610</x:v>
      </x:c>
      <x:c r="H1260" t="str">
        <x:v>14059</x:v>
      </x:c>
      <x:c r="I1260" t="str">
        <x:v>https://www.smwcentral.net/?a=details&amp;id=14059&amp;p=section</x:v>
      </x:c>
      <x:c r="J1260" t="str">
        <x:v>https://dl.smwcentral.net/14059/New%20Super%20Mario%20World%201%20The%2012%20Magic%20Orbs%201.4.zip</x:v>
      </x:c>
    </x:row>
    <x:row r="1261">
      <x:c r="A1261" t="str">
        <x:v>New Super Mario World 1: The Twelve Magic Orbs Powered-Up</x:v>
      </x:c>
      <x:c r="B1261" t="str">
        <x:v>New Super Mario World 1: The Twelve Magic Orbs Powered-Up</x:v>
      </x:c>
      <x:c r="C1261" t="str">
        <x:v>Pink Gold Peach</x:v>
      </x:c>
      <x:c r="D1261" t="n">
        <x:v>112</x:v>
      </x:c>
      <x:c r="E1261" t="str">
        <x:v>Intermediate</x:v>
      </x:c>
      <x:c r="F1261" t="str">
        <x:v>Standard</x:v>
      </x:c>
      <x:c r="G1261" t="n">
        <x:v>45184</x:v>
      </x:c>
      <x:c r="H1261" t="str">
        <x:v>34324</x:v>
      </x:c>
      <x:c r="I1261" t="str">
        <x:v>https://www.smwcentral.net/?a=details&amp;id=34324&amp;p=section</x:v>
      </x:c>
      <x:c r="J1261" t="str">
        <x:v>https://dl.smwcentral.net/34324/New%20Super%20Mario%20World%201%20The%20Twelve%20Magic%20Orbs%20POWERED-UP%20v1.1.zip</x:v>
      </x:c>
    </x:row>
    <x:row r="1262">
      <x:c r="A1262" t="str">
        <x:v>New Super Mario World 2: Around The World</x:v>
      </x:c>
      <x:c r="B1262" t="str">
        <x:v>New Super Mario World 2: Around The World</x:v>
      </x:c>
      <x:c r="C1262" t="str">
        <x:v>Pink Gold Peach</x:v>
      </x:c>
      <x:c r="D1262" t="n">
        <x:v>119</x:v>
      </x:c>
      <x:c r="E1262" t="str">
        <x:v>Advanced</x:v>
      </x:c>
      <x:c r="F1262" t="str">
        <x:v>Standard</x:v>
      </x:c>
      <x:c r="G1262" t="n">
        <x:v>43809</x:v>
      </x:c>
      <x:c r="H1262" t="str">
        <x:v>21541</x:v>
      </x:c>
      <x:c r="I1262" t="str">
        <x:v>https://www.smwcentral.net/?a=details&amp;id=21541&amp;p=section</x:v>
      </x:c>
      <x:c r="J1262" t="str">
        <x:v>https://dl.smwcentral.net/21541/New%20Super%20Mario%20World%202%20Around%20The%20World.zip</x:v>
      </x:c>
    </x:row>
    <x:row r="1263">
      <x:c r="A1263" t="str">
        <x:v>New Super Mario World 2: Luigi's Quest</x:v>
      </x:c>
      <x:c r="B1263" t="str">
        <x:v>New Super Mario World 2: Luigi's Quest</x:v>
      </x:c>
      <x:c r="C1263" t="str">
        <x:v>Bullymario</x:v>
      </x:c>
      <x:c r="D1263" t="n">
        <x:v>100</x:v>
      </x:c>
      <x:c r="E1263" t="str">
        <x:v>Casual</x:v>
      </x:c>
      <x:c r="F1263" t="str">
        <x:v>Standard</x:v>
      </x:c>
      <x:c r="G1263" t="n">
        <x:v>45487</x:v>
      </x:c>
      <x:c r="H1263" t="str">
        <x:v>37998</x:v>
      </x:c>
      <x:c r="I1263" t="str">
        <x:v>https://www.smwcentral.net/?a=details&amp;id=37998&amp;p=section</x:v>
      </x:c>
      <x:c r="J1263" t="str">
        <x:v>https://dl.smwcentral.net/37998/NSMW2%20v2.2.1%20%28update%29.zip</x:v>
      </x:c>
    </x:row>
    <x:row r="1264">
      <x:c r="A1264" t="str">
        <x:v>New Super Mario World Edition 2023</x:v>
      </x:c>
      <x:c r="B1264" t="str">
        <x:v>New Super Mario World Edition 2023</x:v>
      </x:c>
      <x:c r="C1264" t="str">
        <x:v>Teaser</x:v>
      </x:c>
      <x:c r="D1264" t="n">
        <x:v>15</x:v>
      </x:c>
      <x:c r="E1264" t="str">
        <x:v>Casual</x:v>
      </x:c>
      <x:c r="F1264" t="str">
        <x:v>Standard</x:v>
      </x:c>
      <x:c r="G1264" t="n">
        <x:v>45020</x:v>
      </x:c>
      <x:c r="H1264" t="str">
        <x:v>33614</x:v>
      </x:c>
      <x:c r="I1264" t="str">
        <x:v>https://www.smwcentral.net/?a=details&amp;id=33614&amp;p=section</x:v>
      </x:c>
      <x:c r="J1264" t="str">
        <x:v>https://dl.smwcentral.net/33614/NSMWE%202023%20Demo%20Pt-Br%20%2B%20Usa%20Ver%201.1.zip</x:v>
      </x:c>
    </x:row>
    <x:row r="1265">
      <x:c r="A1265" t="str">
        <x:v>New Super Mario World: The Seven Crystals of Peace</x:v>
      </x:c>
      <x:c r="B1265" t="str">
        <x:v>New Super Mario World: The Seven Crystals of Peace</x:v>
      </x:c>
      <x:c r="C1265" t="str">
        <x:v>Zamo</x:v>
      </x:c>
      <x:c r="D1265" t="n">
        <x:v>17</x:v>
      </x:c>
      <x:c r="E1265" t="str">
        <x:v>Casual</x:v>
      </x:c>
      <x:c r="F1265" t="str">
        <x:v>Standard</x:v>
      </x:c>
      <x:c r="G1265" t="n">
        <x:v>41556</x:v>
      </x:c>
      <x:c r="H1265" t="str">
        <x:v>5473</x:v>
      </x:c>
      <x:c r="I1265" t="str">
        <x:v>https://www.smwcentral.net/?a=details&amp;id=5473&amp;p=section</x:v>
      </x:c>
      <x:c r="J1265" t="str">
        <x:v>https://dl.smwcentral.net/5473/hack.zip</x:v>
      </x:c>
    </x:row>
    <x:row r="1266">
      <x:c r="A1266" t="str">
        <x:v>New Territory</x:v>
      </x:c>
      <x:c r="B1266" t="str">
        <x:v>New Territory</x:v>
      </x:c>
      <x:c r="C1266" t="str">
        <x:v>Starboi's Coffee</x:v>
      </x:c>
      <x:c r="D1266" t="n">
        <x:v>8</x:v>
      </x:c>
      <x:c r="E1266" t="str">
        <x:v>Casual</x:v>
      </x:c>
      <x:c r="F1266" t="str">
        <x:v>Standard</x:v>
      </x:c>
      <x:c r="G1266" t="n">
        <x:v>43320</x:v>
      </x:c>
      <x:c r="H1266" t="str">
        <x:v>17987</x:v>
      </x:c>
      <x:c r="I1266" t="str">
        <x:v>https://www.smwcentral.net/?a=details&amp;id=17987&amp;p=section</x:v>
      </x:c>
      <x:c r="J1266" t="str">
        <x:v>https://dl.smwcentral.net/17987/NewTerritory%20v1.2%20DEMO.zip</x:v>
      </x:c>
    </x:row>
    <x:row r="1267">
      <x:c r="A1267" t="str">
        <x:v>NEW! Super Mario Land returns</x:v>
      </x:c>
      <x:c r="B1267" t="str">
        <x:v>NEW! Super Mario Land returns</x:v>
      </x:c>
      <x:c r="C1267" t="str">
        <x:v>Stivi</x:v>
      </x:c>
      <x:c r="D1267" t="n">
        <x:v>11</x:v>
      </x:c>
      <x:c r="E1267" t="str">
        <x:v>Intermediate</x:v>
      </x:c>
      <x:c r="F1267" t="str">
        <x:v>Standard</x:v>
      </x:c>
      <x:c r="G1267" t="n">
        <x:v>42555</x:v>
      </x:c>
      <x:c r="H1267" t="str">
        <x:v>13845</x:v>
      </x:c>
      <x:c r="I1267" t="str">
        <x:v>https://www.smwcentral.net/?a=details&amp;id=13845&amp;p=section</x:v>
      </x:c>
      <x:c r="J1267" t="str">
        <x:v>https://dl.smwcentral.net/13845/NSMLR%20demo.zip</x:v>
      </x:c>
    </x:row>
    <x:row r="1268">
      <x:c r="A1268" t="str">
        <x:v>new.sfc</x:v>
      </x:c>
      <x:c r="B1268" t="str">
        <x:v>new.sfc</x:v>
      </x:c>
      <x:c r="C1268" t="str">
        <x:v>danwaleby</x:v>
      </x:c>
      <x:c r="D1268" t="n">
        <x:v>1</x:v>
      </x:c>
      <x:c r="E1268" t="str">
        <x:v>Intermediate</x:v>
      </x:c>
      <x:c r="F1268" t="str">
        <x:v>Standard</x:v>
      </x:c>
      <x:c r="G1268" t="n">
        <x:v>43841</x:v>
      </x:c>
      <x:c r="H1268" t="str">
        <x:v>21909</x:v>
      </x:c>
      <x:c r="I1268" t="str">
        <x:v>https://www.smwcentral.net/?a=details&amp;id=21909&amp;p=section</x:v>
      </x:c>
      <x:c r="J1268" t="str">
        <x:v>https://dl.smwcentral.net/21909/newDOTsfc.zip</x:v>
      </x:c>
    </x:row>
    <x:row r="1269">
      <x:c r="A1269" t="str">
        <x:v>Newbie Kaizo World</x:v>
      </x:c>
      <x:c r="B1269" t="str">
        <x:v>Newbie Kaizo World</x:v>
      </x:c>
      <x:c r="C1269" t="str">
        <x:v>Azula16</x:v>
      </x:c>
      <x:c r="D1269" t="n">
        <x:v>11</x:v>
      </x:c>
      <x:c r="E1269" t="str">
        <x:v>Advanced</x:v>
      </x:c>
      <x:c r="F1269" t="str">
        <x:v>Kaizo</x:v>
      </x:c>
      <x:c r="G1269" t="n">
        <x:v>44573</x:v>
      </x:c>
      <x:c r="H1269" t="str">
        <x:v>29486</x:v>
      </x:c>
      <x:c r="I1269" t="str">
        <x:v>https://www.smwcentral.net/?a=details&amp;id=29486&amp;p=section</x:v>
      </x:c>
      <x:c r="J1269" t="str">
        <x:v>https://dl.smwcentral.net/29486/Newbie%20Kaizo%20World%20v2.zip</x:v>
      </x:c>
    </x:row>
    <x:row r="1270">
      <x:c r="A1270" t="str">
        <x:v>Nextl - Summer Special Demo</x:v>
      </x:c>
      <x:c r="B1270" t="str">
        <x:v>Nextl - Summer Special Demo</x:v>
      </x:c>
      <x:c r="C1270" t="str">
        <x:v>Yavooti</x:v>
      </x:c>
      <x:c r="D1270" t="n">
        <x:v>7</x:v>
      </x:c>
      <x:c r="E1270" t="str">
        <x:v>Casual</x:v>
      </x:c>
      <x:c r="F1270" t="str">
        <x:v>Standard</x:v>
      </x:c>
      <x:c r="G1270" t="n">
        <x:v>44754</x:v>
      </x:c>
      <x:c r="H1270" t="str">
        <x:v>31323</x:v>
      </x:c>
      <x:c r="I1270" t="str">
        <x:v>https://www.smwcentral.net/?a=details&amp;id=31323&amp;p=section</x:v>
      </x:c>
      <x:c r="J1270" t="str">
        <x:v>https://dl.smwcentral.net/31323/Nextl_-_Summer_Special_Demo_Release_10_juli_22.zip</x:v>
      </x:c>
    </x:row>
    <x:row r="1271">
      <x:c r="A1271" t="str">
        <x:v>Nextl: Christmas Chronicles - Demo</x:v>
      </x:c>
      <x:c r="B1271" t="str">
        <x:v>Nextl: Christmas Chronicles - Demo</x:v>
      </x:c>
      <x:c r="C1271" t="str">
        <x:v>Yavooti</x:v>
      </x:c>
      <x:c r="D1271" t="n">
        <x:v>6</x:v>
      </x:c>
      <x:c r="E1271" t="str">
        <x:v>Casual</x:v>
      </x:c>
      <x:c r="F1271" t="str">
        <x:v>Standard</x:v>
      </x:c>
      <x:c r="G1271" t="n">
        <x:v>44573</x:v>
      </x:c>
      <x:c r="H1271" t="str">
        <x:v>29066</x:v>
      </x:c>
      <x:c r="I1271" t="str">
        <x:v>https://www.smwcentral.net/?a=details&amp;id=29066&amp;p=section</x:v>
      </x:c>
      <x:c r="J1271" t="str">
        <x:v>https://dl.smwcentral.net/29066/Nextl_Christmas_Demo_-_1.1_.zip</x:v>
      </x:c>
    </x:row>
    <x:row r="1272">
      <x:c r="A1272" t="str">
        <x:v>NH World</x:v>
      </x:c>
      <x:c r="B1272" t="str">
        <x:v>NH World</x:v>
      </x:c>
      <x:c r="C1272" t="str">
        <x:v>l337f00l</x:v>
      </x:c>
      <x:c r="D1272" t="n">
        <x:v>6</x:v>
      </x:c>
      <x:c r="E1272" t="str">
        <x:v>Intermediate</x:v>
      </x:c>
      <x:c r="F1272" t="str">
        <x:v>Kaizo</x:v>
      </x:c>
      <x:c r="G1272" t="n">
        <x:v>45975</x:v>
      </x:c>
      <x:c r="H1272" t="str">
        <x:v>41036</x:v>
      </x:c>
      <x:c r="I1272" t="str">
        <x:v>https://www.smwcentral.net/?a=details&amp;id=41036&amp;p=section</x:v>
      </x:c>
      <x:c r="J1272" t="str">
        <x:v>https://dl.smwcentral.net/41036/NHWorld.v1.3.zip</x:v>
      </x:c>
    </x:row>
    <x:row r="1273">
      <x:c r="A1273" t="str">
        <x:v>NH World 2</x:v>
      </x:c>
      <x:c r="B1273" t="str">
        <x:v>NH World 2</x:v>
      </x:c>
      <x:c r="C1273" t="str">
        <x:v>l337f00l</x:v>
      </x:c>
      <x:c r="D1273" t="n">
        <x:v>10</x:v>
      </x:c>
      <x:c r="E1273" t="str">
        <x:v>Expert</x:v>
      </x:c>
      <x:c r="F1273" t="str">
        <x:v>Kaizo</x:v>
      </x:c>
      <x:c r="G1273" t="n">
        <x:v>45761</x:v>
      </x:c>
      <x:c r="H1273" t="str">
        <x:v>39731</x:v>
      </x:c>
      <x:c r="I1273" t="str">
        <x:v>https://www.smwcentral.net/?a=details&amp;id=39731&amp;p=section</x:v>
      </x:c>
      <x:c r="J1273" t="str">
        <x:v>https://dl.smwcentral.net/39731/NH_World_2.zip</x:v>
      </x:c>
    </x:row>
    <x:row r="1274">
      <x:c r="A1274" t="str">
        <x:v>Nightmare cafe</x:v>
      </x:c>
      <x:c r="B1274" t="str">
        <x:v>Nightmare cafe</x:v>
      </x:c>
      <x:c r="C1274" t="str">
        <x:v>Lush_50</x:v>
      </x:c>
      <x:c r="D1274" t="n">
        <x:v>0</x:v>
      </x:c>
      <x:c r="E1274" t="str">
        <x:v>Intermediate</x:v>
      </x:c>
      <x:c r="F1274" t="str">
        <x:v>Kaizo</x:v>
      </x:c>
      <x:c r="G1274" t="n">
        <x:v>44331</x:v>
      </x:c>
      <x:c r="H1274" t="str">
        <x:v>27026</x:v>
      </x:c>
      <x:c r="I1274" t="str">
        <x:v>https://www.smwcentral.net/?a=details&amp;id=27026&amp;p=section</x:v>
      </x:c>
      <x:c r="J1274" t="str">
        <x:v>https://dl.smwcentral.net/27026/Nightmare%20cafe%20v1.1.zip</x:v>
      </x:c>
    </x:row>
    <x:row r="1275">
      <x:c r="A1275" t="str">
        <x:v>Nightmare cafe - Ninji's Adventure</x:v>
      </x:c>
      <x:c r="B1275" t="str">
        <x:v>Nightmare cafe - Ninji's Adventure</x:v>
      </x:c>
      <x:c r="C1275" t="str">
        <x:v>Lush_50</x:v>
      </x:c>
      <x:c r="D1275" t="n">
        <x:v>1</x:v>
      </x:c>
      <x:c r="E1275" t="str">
        <x:v>Advanced</x:v>
      </x:c>
      <x:c r="F1275" t="str">
        <x:v>Kaizo</x:v>
      </x:c>
      <x:c r="G1275" t="n">
        <x:v>45491</x:v>
      </x:c>
      <x:c r="H1275" t="str">
        <x:v>38111</x:v>
      </x:c>
      <x:c r="I1275" t="str">
        <x:v>https://www.smwcentral.net/?a=details&amp;id=38111&amp;p=section</x:v>
      </x:c>
      <x:c r="J1275" t="str">
        <x:v>https://dl.smwcentral.net/38111/Nightmare%20Cafe%20-%20Ninji%27s%20Adventure%20V1.0A.zip</x:v>
      </x:c>
    </x:row>
    <x:row r="1276">
      <x:c r="A1276" t="str">
        <x:v>Nightmare cafe II</x:v>
      </x:c>
      <x:c r="B1276" t="str">
        <x:v>Nightmare cafe II</x:v>
      </x:c>
      <x:c r="C1276" t="str">
        <x:v>Lush_50</x:v>
      </x:c>
      <x:c r="D1276" t="n">
        <x:v>0</x:v>
      </x:c>
      <x:c r="E1276" t="str">
        <x:v>Intermediate</x:v>
      </x:c>
      <x:c r="F1276" t="str">
        <x:v>Kaizo</x:v>
      </x:c>
      <x:c r="G1276" t="n">
        <x:v>44398</x:v>
      </x:c>
      <x:c r="H1276" t="str">
        <x:v>27739</x:v>
      </x:c>
      <x:c r="I1276" t="str">
        <x:v>https://www.smwcentral.net/?a=details&amp;id=27739&amp;p=section</x:v>
      </x:c>
      <x:c r="J1276" t="str">
        <x:v>https://dl.smwcentral.net/27739/Nightmare%20cafe%20II%20v1.3.zip</x:v>
      </x:c>
    </x:row>
    <x:row r="1277">
      <x:c r="A1277" t="str">
        <x:v>Nightmare cafe III</x:v>
      </x:c>
      <x:c r="B1277" t="str">
        <x:v>Nightmare cafe III</x:v>
      </x:c>
      <x:c r="C1277" t="str">
        <x:v>Lush_50</x:v>
      </x:c>
      <x:c r="D1277" t="n">
        <x:v>0</x:v>
      </x:c>
      <x:c r="E1277" t="str">
        <x:v>Intermediate</x:v>
      </x:c>
      <x:c r="F1277" t="str">
        <x:v>Kaizo</x:v>
      </x:c>
      <x:c r="G1277" t="n">
        <x:v>44398</x:v>
      </x:c>
      <x:c r="H1277" t="str">
        <x:v>27737</x:v>
      </x:c>
      <x:c r="I1277" t="str">
        <x:v>https://www.smwcentral.net/?a=details&amp;id=27737&amp;p=section</x:v>
      </x:c>
      <x:c r="J1277" t="str">
        <x:v>https://dl.smwcentral.net/27737/Nightmare%20cafe%20III%20V1.3.zip</x:v>
      </x:c>
    </x:row>
    <x:row r="1278">
      <x:c r="A1278" t="str">
        <x:v>Nightmare cafe IV</x:v>
      </x:c>
      <x:c r="B1278" t="str">
        <x:v>Nightmare cafe IV</x:v>
      </x:c>
      <x:c r="C1278" t="str">
        <x:v>Lush_50</x:v>
      </x:c>
      <x:c r="D1278" t="n">
        <x:v>0</x:v>
      </x:c>
      <x:c r="E1278" t="str">
        <x:v>Intermediate</x:v>
      </x:c>
      <x:c r="F1278" t="str">
        <x:v>Kaizo</x:v>
      </x:c>
      <x:c r="G1278" t="n">
        <x:v>44398</x:v>
      </x:c>
      <x:c r="H1278" t="str">
        <x:v>27735</x:v>
      </x:c>
      <x:c r="I1278" t="str">
        <x:v>https://www.smwcentral.net/?a=details&amp;id=27735&amp;p=section</x:v>
      </x:c>
      <x:c r="J1278" t="str">
        <x:v>https://dl.smwcentral.net/27735/Nightmare%20cafe%20IV%20V1.3.zip</x:v>
      </x:c>
    </x:row>
    <x:row r="1279">
      <x:c r="A1279" t="str">
        <x:v>Nightmare cafe IX</x:v>
      </x:c>
      <x:c r="B1279" t="str">
        <x:v>Nightmare cafe IX</x:v>
      </x:c>
      <x:c r="C1279" t="str">
        <x:v>Lush_50</x:v>
      </x:c>
      <x:c r="D1279" t="n">
        <x:v>0</x:v>
      </x:c>
      <x:c r="E1279" t="str">
        <x:v>Intermediate</x:v>
      </x:c>
      <x:c r="F1279" t="str">
        <x:v>Kaizo</x:v>
      </x:c>
      <x:c r="G1279" t="n">
        <x:v>44398</x:v>
      </x:c>
      <x:c r="H1279" t="str">
        <x:v>27776</x:v>
      </x:c>
      <x:c r="I1279" t="str">
        <x:v>https://www.smwcentral.net/?a=details&amp;id=27776&amp;p=section</x:v>
      </x:c>
      <x:c r="J1279" t="str">
        <x:v>https://dl.smwcentral.net/27776/Nightmare%20cafe%20IX%20v1.0.zip</x:v>
      </x:c>
    </x:row>
    <x:row r="1280">
      <x:c r="A1280" t="str">
        <x:v>Nightmare cafe origins</x:v>
      </x:c>
      <x:c r="B1280" t="str">
        <x:v>Nightmare cafe origins</x:v>
      </x:c>
      <x:c r="C1280" t="str">
        <x:v>Lush_50</x:v>
      </x:c>
      <x:c r="D1280" t="n">
        <x:v>1</x:v>
      </x:c>
      <x:c r="E1280" t="str">
        <x:v>Advanced</x:v>
      </x:c>
      <x:c r="F1280" t="str">
        <x:v>Kaizo</x:v>
      </x:c>
      <x:c r="G1280" t="n">
        <x:v>45458</x:v>
      </x:c>
      <x:c r="H1280" t="str">
        <x:v>37949</x:v>
      </x:c>
      <x:c r="I1280" t="str">
        <x:v>https://www.smwcentral.net/?a=details&amp;id=37949&amp;p=section</x:v>
      </x:c>
      <x:c r="J1280" t="str">
        <x:v>https://dl.smwcentral.net/37949/Nightmare%20Cafe%20Origins%20V1.0.zip</x:v>
      </x:c>
    </x:row>
    <x:row r="1281">
      <x:c r="A1281" t="str">
        <x:v>Nightmare cafe seasons</x:v>
      </x:c>
      <x:c r="B1281" t="str">
        <x:v>Nightmare cafe seasons</x:v>
      </x:c>
      <x:c r="C1281" t="str">
        <x:v>Lush_50</x:v>
      </x:c>
      <x:c r="D1281" t="n">
        <x:v>1</x:v>
      </x:c>
      <x:c r="E1281" t="str">
        <x:v>Advanced</x:v>
      </x:c>
      <x:c r="F1281" t="str">
        <x:v>Kaizo</x:v>
      </x:c>
      <x:c r="G1281" t="n">
        <x:v>45641</x:v>
      </x:c>
      <x:c r="H1281" t="str">
        <x:v>38934</x:v>
      </x:c>
      <x:c r="I1281" t="str">
        <x:v>https://www.smwcentral.net/?a=details&amp;id=38934&amp;p=section</x:v>
      </x:c>
      <x:c r="J1281" t="str">
        <x:v>https://dl.smwcentral.net/38934/Nightmare%20Cafe%20Seasons%20V1.0%20%2B%20Credits.zip</x:v>
      </x:c>
    </x:row>
    <x:row r="1282">
      <x:c r="A1282" t="str">
        <x:v>Nightmare cafe V</x:v>
      </x:c>
      <x:c r="B1282" t="str">
        <x:v>Nightmare cafe V</x:v>
      </x:c>
      <x:c r="C1282" t="str">
        <x:v>Lush_50</x:v>
      </x:c>
      <x:c r="D1282" t="n">
        <x:v>0</x:v>
      </x:c>
      <x:c r="E1282" t="str">
        <x:v>Intermediate</x:v>
      </x:c>
      <x:c r="F1282" t="str">
        <x:v>Kaizo</x:v>
      </x:c>
      <x:c r="G1282" t="n">
        <x:v>44396</x:v>
      </x:c>
      <x:c r="H1282" t="str">
        <x:v>27732</x:v>
      </x:c>
      <x:c r="I1282" t="str">
        <x:v>https://www.smwcentral.net/?a=details&amp;id=27732&amp;p=section</x:v>
      </x:c>
      <x:c r="J1282" t="str">
        <x:v>https://dl.smwcentral.net/27732/Nightmare%20cafe%20V%20v1.3.zip</x:v>
      </x:c>
    </x:row>
    <x:row r="1283">
      <x:c r="A1283" t="str">
        <x:v>Nightmare cafe VI</x:v>
      </x:c>
      <x:c r="B1283" t="str">
        <x:v>Nightmare cafe VI</x:v>
      </x:c>
      <x:c r="C1283" t="str">
        <x:v>Lush_50</x:v>
      </x:c>
      <x:c r="D1283" t="n">
        <x:v>0</x:v>
      </x:c>
      <x:c r="E1283" t="str">
        <x:v>Intermediate</x:v>
      </x:c>
      <x:c r="F1283" t="str">
        <x:v>Kaizo</x:v>
      </x:c>
      <x:c r="G1283" t="n">
        <x:v>44396</x:v>
      </x:c>
      <x:c r="H1283" t="str">
        <x:v>27733</x:v>
      </x:c>
      <x:c r="I1283" t="str">
        <x:v>https://www.smwcentral.net/?a=details&amp;id=27733&amp;p=section</x:v>
      </x:c>
      <x:c r="J1283" t="str">
        <x:v>https://dl.smwcentral.net/27733/Nightmare%20Cafe%20VI%201.3.zip</x:v>
      </x:c>
    </x:row>
    <x:row r="1284">
      <x:c r="A1284" t="str">
        <x:v>Nightmare cafe VII</x:v>
      </x:c>
      <x:c r="B1284" t="str">
        <x:v>Nightmare cafe VII</x:v>
      </x:c>
      <x:c r="C1284" t="str">
        <x:v>Lush_50</x:v>
      </x:c>
      <x:c r="D1284" t="n">
        <x:v>0</x:v>
      </x:c>
      <x:c r="E1284" t="str">
        <x:v>Intermediate</x:v>
      </x:c>
      <x:c r="F1284" t="str">
        <x:v>Kaizo</x:v>
      </x:c>
      <x:c r="G1284" t="n">
        <x:v>44398</x:v>
      </x:c>
      <x:c r="H1284" t="str">
        <x:v>27734</x:v>
      </x:c>
      <x:c r="I1284" t="str">
        <x:v>https://www.smwcentral.net/?a=details&amp;id=27734&amp;p=section</x:v>
      </x:c>
      <x:c r="J1284" t="str">
        <x:v>https://dl.smwcentral.net/27734/Nightmare%20cafe%20VII%20v1.3.zip</x:v>
      </x:c>
    </x:row>
    <x:row r="1285">
      <x:c r="A1285" t="str">
        <x:v>Nightmare cafe VIII</x:v>
      </x:c>
      <x:c r="B1285" t="str">
        <x:v>Nightmare cafe VIII</x:v>
      </x:c>
      <x:c r="C1285" t="str">
        <x:v>Lush_50</x:v>
      </x:c>
      <x:c r="D1285" t="n">
        <x:v>0</x:v>
      </x:c>
      <x:c r="E1285" t="str">
        <x:v>Intermediate</x:v>
      </x:c>
      <x:c r="F1285" t="str">
        <x:v>Kaizo</x:v>
      </x:c>
      <x:c r="G1285" t="n">
        <x:v>44398</x:v>
      </x:c>
      <x:c r="H1285" t="str">
        <x:v>27738</x:v>
      </x:c>
      <x:c r="I1285" t="str">
        <x:v>https://www.smwcentral.net/?a=details&amp;id=27738&amp;p=section</x:v>
      </x:c>
      <x:c r="J1285" t="str">
        <x:v>https://dl.smwcentral.net/27738/Nightmare%20cafe%20VIII%20v1.3.zip</x:v>
      </x:c>
    </x:row>
    <x:row r="1286">
      <x:c r="A1286" t="str">
        <x:v>Nightmare cafe X</x:v>
      </x:c>
      <x:c r="B1286" t="str">
        <x:v>Nightmare cafe X</x:v>
      </x:c>
      <x:c r="C1286" t="str">
        <x:v>Lush_50</x:v>
      </x:c>
      <x:c r="D1286" t="n">
        <x:v>0</x:v>
      </x:c>
      <x:c r="E1286" t="str">
        <x:v>Intermediate</x:v>
      </x:c>
      <x:c r="F1286" t="str">
        <x:v>Kaizo</x:v>
      </x:c>
      <x:c r="G1286" t="n">
        <x:v>44398</x:v>
      </x:c>
      <x:c r="H1286" t="str">
        <x:v>27778</x:v>
      </x:c>
      <x:c r="I1286" t="str">
        <x:v>https://www.smwcentral.net/?a=details&amp;id=27778&amp;p=section</x:v>
      </x:c>
      <x:c r="J1286" t="str">
        <x:v>https://dl.smwcentral.net/27778/Nightmare%20cafe%20X%20v1.0.zip</x:v>
      </x:c>
    </x:row>
    <x:row r="1287">
      <x:c r="A1287" t="str">
        <x:v>Nightmares</x:v>
      </x:c>
      <x:c r="B1287" t="str">
        <x:v>Nightmares</x:v>
      </x:c>
      <x:c r="C1287" t="str">
        <x:v>Panicdream1</x:v>
      </x:c>
      <x:c r="D1287" t="n">
        <x:v>16</x:v>
      </x:c>
      <x:c r="E1287" t="str">
        <x:v>Expert</x:v>
      </x:c>
      <x:c r="F1287" t="str">
        <x:v>Kaizo</x:v>
      </x:c>
      <x:c r="G1287" t="n">
        <x:v>44712</x:v>
      </x:c>
      <x:c r="H1287" t="str">
        <x:v>31053</x:v>
      </x:c>
      <x:c r="I1287" t="str">
        <x:v>https://www.smwcentral.net/?a=details&amp;id=31053&amp;p=section</x:v>
      </x:c>
      <x:c r="J1287" t="str">
        <x:v>https://dl.smwcentral.net/31053/Nightmares.zip</x:v>
      </x:c>
    </x:row>
    <x:row r="1288">
      <x:c r="A1288" t="str">
        <x:v>Ninja World</x:v>
      </x:c>
      <x:c r="B1288" t="str">
        <x:v>Ninja World</x:v>
      </x:c>
      <x:c r="C1288" t="str">
        <x:v>VLSkoot</x:v>
      </x:c>
      <x:c r="D1288" t="n">
        <x:v>16</x:v>
      </x:c>
      <x:c r="E1288" t="str">
        <x:v>Advanced</x:v>
      </x:c>
      <x:c r="F1288" t="str">
        <x:v>Kaizo</x:v>
      </x:c>
      <x:c r="G1288" t="n">
        <x:v>43386</x:v>
      </x:c>
      <x:c r="H1288" t="str">
        <x:v>18284</x:v>
      </x:c>
      <x:c r="I1288" t="str">
        <x:v>https://www.smwcentral.net/?a=details&amp;id=18284&amp;p=section</x:v>
      </x:c>
      <x:c r="J1288" t="str">
        <x:v>https://dl.smwcentral.net/18284/Ninja%20World%20v1.2.zip</x:v>
      </x:c>
    </x:row>
    <x:row r="1289">
      <x:c r="A1289" t="str">
        <x:v>Ninja World 2</x:v>
      </x:c>
      <x:c r="B1289" t="str">
        <x:v>Ninja World 2</x:v>
      </x:c>
      <x:c r="C1289" t="str">
        <x:v>VLSkoot</x:v>
      </x:c>
      <x:c r="D1289" t="n">
        <x:v>20</x:v>
      </x:c>
      <x:c r="E1289" t="str">
        <x:v>Expert</x:v>
      </x:c>
      <x:c r="F1289" t="str">
        <x:v>Kaizo</x:v>
      </x:c>
      <x:c r="G1289" t="n">
        <x:v>43680</x:v>
      </x:c>
      <x:c r="H1289" t="str">
        <x:v>20801</x:v>
      </x:c>
      <x:c r="I1289" t="str">
        <x:v>https://www.smwcentral.net/?a=details&amp;id=20801&amp;p=section</x:v>
      </x:c>
      <x:c r="J1289" t="str">
        <x:v>https://dl.smwcentral.net/20801/Ninja%20World%202.zip</x:v>
      </x:c>
    </x:row>
    <x:row r="1290">
      <x:c r="A1290" t="str">
        <x:v>Ninja World 3</x:v>
      </x:c>
      <x:c r="B1290" t="str">
        <x:v>Ninja World 3</x:v>
      </x:c>
      <x:c r="C1290" t="str">
        <x:v>VLSkoot</x:v>
      </x:c>
      <x:c r="D1290" t="n">
        <x:v>12</x:v>
      </x:c>
      <x:c r="E1290" t="str">
        <x:v>Expert</x:v>
      </x:c>
      <x:c r="F1290" t="str">
        <x:v>Kaizo</x:v>
      </x:c>
      <x:c r="G1290" t="n">
        <x:v>43963</x:v>
      </x:c>
      <x:c r="H1290" t="str">
        <x:v>22901</x:v>
      </x:c>
      <x:c r="I1290" t="str">
        <x:v>https://www.smwcentral.net/?a=details&amp;id=22901&amp;p=section</x:v>
      </x:c>
      <x:c r="J1290" t="str">
        <x:v>https://dl.smwcentral.net/22901/Ninja%20World%203.zip</x:v>
      </x:c>
    </x:row>
    <x:row r="1291">
      <x:c r="A1291" t="str">
        <x:v>Ninji Burst!</x:v>
      </x:c>
      <x:c r="B1291" t="str">
        <x:v>Ninji Burst!</x:v>
      </x:c>
      <x:c r="C1291" t="str">
        <x:v>1UPdudes</x:v>
      </x:c>
      <x:c r="D1291" t="n">
        <x:v>14</x:v>
      </x:c>
      <x:c r="E1291" t="str">
        <x:v>Advanced</x:v>
      </x:c>
      <x:c r="F1291" t="str">
        <x:v>Standard</x:v>
      </x:c>
      <x:c r="G1291" t="n">
        <x:v>46029</x:v>
      </x:c>
      <x:c r="H1291" t="str">
        <x:v>41388</x:v>
      </x:c>
      <x:c r="I1291" t="str">
        <x:v>https://www.smwcentral.net/?a=details&amp;id=41388&amp;p=section</x:v>
      </x:c>
      <x:c r="J1291" t="str">
        <x:v>https://dl.smwcentral.net/41388/NinjiBurstV1.5.zip</x:v>
      </x:c>
    </x:row>
    <x:row r="1292">
      <x:c r="A1292" t="str">
        <x:v>Ninji Story + Mario mode</x:v>
      </x:c>
      <x:c r="B1292" t="str">
        <x:v>Ninji Story + Mario mode</x:v>
      </x:c>
      <x:c r="C1292" t="str">
        <x:v>Lush_50</x:v>
      </x:c>
      <x:c r="D1292" t="n">
        <x:v>27</x:v>
      </x:c>
      <x:c r="E1292" t="str">
        <x:v>Intermediate</x:v>
      </x:c>
      <x:c r="F1292" t="str">
        <x:v>Kaizo</x:v>
      </x:c>
      <x:c r="G1292" t="n">
        <x:v>44405</x:v>
      </x:c>
      <x:c r="H1292" t="str">
        <x:v>27585</x:v>
      </x:c>
      <x:c r="I1292" t="str">
        <x:v>https://www.smwcentral.net/?a=details&amp;id=27585&amp;p=section</x:v>
      </x:c>
      <x:c r="J1292" t="str">
        <x:v>https://dl.smwcentral.net/27585/Ninji%20story%20v1.1%20%2B%20Mario%20mode.zip</x:v>
      </x:c>
    </x:row>
    <x:row r="1293">
      <x:c r="A1293" t="str">
        <x:v>Ninji Story 2</x:v>
      </x:c>
      <x:c r="B1293" t="str">
        <x:v>Ninji Story 2</x:v>
      </x:c>
      <x:c r="C1293" t="str">
        <x:v>Lush_50</x:v>
      </x:c>
      <x:c r="D1293" t="n">
        <x:v>19</x:v>
      </x:c>
      <x:c r="E1293" t="str">
        <x:v>Expert</x:v>
      </x:c>
      <x:c r="F1293" t="str">
        <x:v>Kaizo</x:v>
      </x:c>
      <x:c r="G1293" t="n">
        <x:v>45305</x:v>
      </x:c>
      <x:c r="H1293" t="str">
        <x:v>35775</x:v>
      </x:c>
      <x:c r="I1293" t="str">
        <x:v>https://www.smwcentral.net/?a=details&amp;id=35775&amp;p=section</x:v>
      </x:c>
      <x:c r="J1293" t="str">
        <x:v>https://dl.smwcentral.net/35775/Ninji%20Story%202%20V1.0B.zip</x:v>
      </x:c>
    </x:row>
    <x:row r="1294">
      <x:c r="A1294" t="str">
        <x:v>Ninpp World</x:v>
      </x:c>
      <x:c r="B1294" t="str">
        <x:v>Ninpp World</x:v>
      </x:c>
      <x:c r="C1294" t="str">
        <x:v>TheTrueCommonSense</x:v>
      </x:c>
      <x:c r="D1294" t="n">
        <x:v>20</x:v>
      </x:c>
      <x:c r="E1294" t="str">
        <x:v>Expert</x:v>
      </x:c>
      <x:c r="F1294" t="str">
        <x:v>Kaizo</x:v>
      </x:c>
      <x:c r="G1294" t="n">
        <x:v>46212</x:v>
      </x:c>
      <x:c r="H1294" t="str">
        <x:v>42653</x:v>
      </x:c>
      <x:c r="I1294" t="str">
        <x:v>https://www.smwcentral.net/?a=details&amp;id=42653&amp;p=section</x:v>
      </x:c>
      <x:c r="J1294" t="str">
        <x:v>https://dl.smwcentral.net/42653/Ninpp%20World.zip</x:v>
      </x:c>
    </x:row>
    <x:row r="1295">
      <x:c r="A1295" t="str">
        <x:v>Nintense</x:v>
      </x:c>
      <x:c r="B1295" t="str">
        <x:v>Nintense</x:v>
      </x:c>
      <x:c r="C1295" t="str">
        <x:v>GunmaKuma</x:v>
      </x:c>
      <x:c r="D1295" t="n">
        <x:v>17</x:v>
      </x:c>
      <x:c r="E1295" t="str">
        <x:v>Expert</x:v>
      </x:c>
      <x:c r="F1295" t="str">
        <x:v>Kaizo</x:v>
      </x:c>
      <x:c r="G1295" t="n">
        <x:v>44445</x:v>
      </x:c>
      <x:c r="H1295" t="str">
        <x:v>28233</x:v>
      </x:c>
      <x:c r="I1295" t="str">
        <x:v>https://www.smwcentral.net/?a=details&amp;id=28233&amp;p=section</x:v>
      </x:c>
      <x:c r="J1295" t="str">
        <x:v>https://dl.smwcentral.net/28233/Nintense.zip</x:v>
      </x:c>
    </x:row>
    <x:row r="1296">
      <x:c r="A1296" t="str">
        <x:v>Nissay's beginning</x:v>
      </x:c>
      <x:c r="B1296" t="str">
        <x:v>Nissay's beginning</x:v>
      </x:c>
      <x:c r="C1296" t="str">
        <x:v>NissayTheCat, Yagami</x:v>
      </x:c>
      <x:c r="D1296" t="n">
        <x:v>1</x:v>
      </x:c>
      <x:c r="E1296" t="str">
        <x:v>Advanced</x:v>
      </x:c>
      <x:c r="F1296" t="str">
        <x:v>Kaizo</x:v>
      </x:c>
      <x:c r="G1296" t="n">
        <x:v>44263</x:v>
      </x:c>
      <x:c r="H1296" t="str">
        <x:v>26287</x:v>
      </x:c>
      <x:c r="I1296" t="str">
        <x:v>https://www.smwcentral.net/?a=details&amp;id=26287&amp;p=section</x:v>
      </x:c>
      <x:c r="J1296" t="str">
        <x:v>https://dl.smwcentral.net/26287/NTC_2.0.zip</x:v>
      </x:c>
    </x:row>
    <x:row r="1297">
      <x:c r="A1297" t="str">
        <x:v>No Biggie World</x:v>
      </x:c>
      <x:c r="B1297" t="str">
        <x:v>No Biggie World</x:v>
      </x:c>
      <x:c r="C1297" t="str">
        <x:v>Stunyboy</x:v>
      </x:c>
      <x:c r="D1297" t="n">
        <x:v>12</x:v>
      </x:c>
      <x:c r="E1297" t="str">
        <x:v>Expert</x:v>
      </x:c>
      <x:c r="F1297" t="str">
        <x:v>Kaizo</x:v>
      </x:c>
      <x:c r="G1297" t="n">
        <x:v>44840</x:v>
      </x:c>
      <x:c r="H1297" t="str">
        <x:v>32178</x:v>
      </x:c>
      <x:c r="I1297" t="str">
        <x:v>https://www.smwcentral.net/?a=details&amp;id=32178&amp;p=section</x:v>
      </x:c>
      <x:c r="J1297" t="str">
        <x:v>https://dl.smwcentral.net/32178/NoBiggieWorld1.1.zip</x:v>
      </x:c>
    </x:row>
    <x:row r="1298">
      <x:c r="A1298" t="str">
        <x:v>no name</x:v>
      </x:c>
      <x:c r="B1298" t="str">
        <x:v>no name</x:v>
      </x:c>
      <x:c r="C1298" t="str">
        <x:v>Daizo Dee Von</x:v>
      </x:c>
      <x:c r="D1298" t="n">
        <x:v>9</x:v>
      </x:c>
      <x:c r="E1298" t="str">
        <x:v>Advanced</x:v>
      </x:c>
      <x:c r="F1298" t="str">
        <x:v>Standard, Kaizo</x:v>
      </x:c>
      <x:c r="G1298" t="n">
        <x:v>44586</x:v>
      </x:c>
      <x:c r="H1298" t="str">
        <x:v>29572</x:v>
      </x:c>
      <x:c r="I1298" t="str">
        <x:v>https://www.smwcentral.net/?a=details&amp;id=29572&amp;p=section</x:v>
      </x:c>
      <x:c r="J1298" t="str">
        <x:v>https://dl.smwcentral.net/29572/%5BHack%5D%20no%20name.zip</x:v>
      </x:c>
    </x:row>
    <x:row r="1299">
      <x:c r="A1299" t="str">
        <x:v>No Villains</x:v>
      </x:c>
      <x:c r="B1299" t="str">
        <x:v>No Villains</x:v>
      </x:c>
      <x:c r="C1299" t="str">
        <x:v>Magikey</x:v>
      </x:c>
      <x:c r="D1299" t="n">
        <x:v>4</x:v>
      </x:c>
      <x:c r="E1299" t="str">
        <x:v>Master</x:v>
      </x:c>
      <x:c r="F1299" t="str">
        <x:v>Kaizo, Puzzle, Tool-Assisted</x:v>
      </x:c>
      <x:c r="G1299" t="n">
        <x:v>45799</x:v>
      </x:c>
      <x:c r="H1299" t="str">
        <x:v>39737</x:v>
      </x:c>
      <x:c r="I1299" t="str">
        <x:v>https://www.smwcentral.net/?a=details&amp;id=39737&amp;p=section</x:v>
      </x:c>
      <x:c r="J1299" t="str">
        <x:v>https://dl.smwcentral.net/39737/NoVillains.zip</x:v>
      </x:c>
    </x:row>
    <x:row r="1300">
      <x:c r="A1300" t="str">
        <x:v>Nobody Asked For This</x:v>
      </x:c>
      <x:c r="B1300" t="str">
        <x:v>Nobody Asked For This</x:v>
      </x:c>
      <x:c r="C1300" t="str">
        <x:v>Spirits</x:v>
      </x:c>
      <x:c r="D1300" t="n">
        <x:v>5</x:v>
      </x:c>
      <x:c r="E1300" t="str">
        <x:v>Expert</x:v>
      </x:c>
      <x:c r="F1300" t="str">
        <x:v>Kaizo</x:v>
      </x:c>
      <x:c r="G1300" t="n">
        <x:v>45003</x:v>
      </x:c>
      <x:c r="H1300" t="str">
        <x:v>33562</x:v>
      </x:c>
      <x:c r="I1300" t="str">
        <x:v>https://www.smwcentral.net/?a=details&amp;id=33562&amp;p=section</x:v>
      </x:c>
      <x:c r="J1300" t="str">
        <x:v>https://dl.smwcentral.net/33562/nobodyasked_1.0.zip</x:v>
      </x:c>
    </x:row>
    <x:row r="1301">
      <x:c r="A1301" t="str">
        <x:v>Noise's Fault</x:v>
      </x:c>
      <x:c r="B1301" t="str">
        <x:v>Noise's Fault</x:v>
      </x:c>
      <x:c r="C1301" t="str">
        <x:v>dacin</x:v>
      </x:c>
      <x:c r="D1301" t="n">
        <x:v>1</x:v>
      </x:c>
      <x:c r="E1301" t="str">
        <x:v>Grandmaster</x:v>
      </x:c>
      <x:c r="F1301" t="str">
        <x:v>Tool-Assisted, Pit</x:v>
      </x:c>
      <x:c r="G1301" t="n">
        <x:v>45403</x:v>
      </x:c>
      <x:c r="H1301" t="str">
        <x:v>37560</x:v>
      </x:c>
      <x:c r="I1301" t="str">
        <x:v>https://www.smwcentral.net/?a=details&amp;id=37560&amp;p=section</x:v>
      </x:c>
      <x:c r="J1301" t="str">
        <x:v>https://dl.smwcentral.net/37560/Noise%27s_Fault_1.1.zip</x:v>
      </x:c>
    </x:row>
    <x:row r="1302">
      <x:c r="A1302" t="str">
        <x:v>Nonsense</x:v>
      </x:c>
      <x:c r="B1302" t="str">
        <x:v>Nonsense</x:v>
      </x:c>
      <x:c r="C1302" t="str">
        <x:v>GbreezeSunset, MiracleWater, Various Authors</x:v>
      </x:c>
      <x:c r="D1302" t="n">
        <x:v>119</x:v>
      </x:c>
      <x:c r="E1302" t="str">
        <x:v>Expert</x:v>
      </x:c>
      <x:c r="F1302" t="str">
        <x:v>Standard</x:v>
      </x:c>
      <x:c r="G1302" t="n">
        <x:v>45433</x:v>
      </x:c>
      <x:c r="H1302" t="str">
        <x:v>37734</x:v>
      </x:c>
      <x:c r="I1302" t="str">
        <x:v>https://www.smwcentral.net/?a=details&amp;id=37734&amp;p=section</x:v>
      </x:c>
      <x:c r="J1302" t="str">
        <x:v>https://dl.smwcentral.net/37734/Nonsense%201.1.zip</x:v>
      </x:c>
    </x:row>
    <x:row r="1303">
      <x:c r="A1303" t="str">
        <x:v>Not Another Puzzle Hack</x:v>
      </x:c>
      <x:c r="B1303" t="str">
        <x:v>Not Another Puzzle Hack</x:v>
      </x:c>
      <x:c r="C1303" t="str">
        <x:v>TheBiob</x:v>
      </x:c>
      <x:c r="D1303" t="n">
        <x:v>20</x:v>
      </x:c>
      <x:c r="E1303" t="str">
        <x:v>Intermediate</x:v>
      </x:c>
      <x:c r="F1303" t="str">
        <x:v>Standard</x:v>
      </x:c>
      <x:c r="G1303" t="n">
        <x:v>43136</x:v>
      </x:c>
      <x:c r="H1303" t="str">
        <x:v>17088</x:v>
      </x:c>
      <x:c r="I1303" t="str">
        <x:v>https://www.smwcentral.net/?a=details&amp;id=17088&amp;p=section</x:v>
      </x:c>
      <x:c r="J1303" t="str">
        <x:v>https://dl.smwcentral.net/17088/naph.zip</x:v>
      </x:c>
    </x:row>
    <x:row r="1304">
      <x:c r="A1304" t="str">
        <x:v>Not Dracula's Castle</x:v>
      </x:c>
      <x:c r="B1304" t="str">
        <x:v>Not Dracula's Castle</x:v>
      </x:c>
      <x:c r="C1304" t="str">
        <x:v>Morsel</x:v>
      </x:c>
      <x:c r="D1304" t="n">
        <x:v>0</x:v>
      </x:c>
      <x:c r="E1304" t="str">
        <x:v>Master</x:v>
      </x:c>
      <x:c r="F1304" t="str">
        <x:v>Kaizo</x:v>
      </x:c>
      <x:c r="G1304" t="n">
        <x:v>43774</x:v>
      </x:c>
      <x:c r="H1304" t="str">
        <x:v>21406</x:v>
      </x:c>
      <x:c r="I1304" t="str">
        <x:v>https://www.smwcentral.net/?a=details&amp;id=21406&amp;p=section</x:v>
      </x:c>
      <x:c r="J1304" t="str">
        <x:v>https://dl.smwcentral.net/21406/dracula1.021.zip</x:v>
      </x:c>
    </x:row>
    <x:row r="1305">
      <x:c r="A1305" t="str">
        <x:v>NOT SO SADISTIC MARIO.</x:v>
      </x:c>
      <x:c r="B1305" t="str">
        <x:v>NOT SO SADISTIC MARIO.</x:v>
      </x:c>
      <x:c r="C1305" t="str">
        <x:v>lolyoshi</x:v>
      </x:c>
      <x:c r="D1305" t="n">
        <x:v>22</x:v>
      </x:c>
      <x:c r="E1305" t="str">
        <x:v>Advanced</x:v>
      </x:c>
      <x:c r="F1305" t="str">
        <x:v>Standard</x:v>
      </x:c>
      <x:c r="G1305" t="n">
        <x:v>43114</x:v>
      </x:c>
      <x:c r="H1305" t="str">
        <x:v>16909</x:v>
      </x:c>
      <x:c r="I1305" t="str">
        <x:v>https://www.smwcentral.net/?a=details&amp;id=16909&amp;p=section</x:v>
      </x:c>
      <x:c r="J1305" t="str">
        <x:v>https://dl.smwcentral.net/16909/NSSM_v0.2.zip</x:v>
      </x:c>
    </x:row>
    <x:row r="1306">
      <x:c r="A1306" t="str">
        <x:v>Nothing Crazy</x:v>
      </x:c>
      <x:c r="B1306" t="str">
        <x:v>Nothing Crazy</x:v>
      </x:c>
      <x:c r="C1306" t="str">
        <x:v>callmeCMDR</x:v>
      </x:c>
      <x:c r="D1306" t="n">
        <x:v>19</x:v>
      </x:c>
      <x:c r="E1306" t="str">
        <x:v>Intermediate</x:v>
      </x:c>
      <x:c r="F1306" t="str">
        <x:v>Standard</x:v>
      </x:c>
      <x:c r="G1306" t="n">
        <x:v>44266</x:v>
      </x:c>
      <x:c r="H1306" t="str">
        <x:v>25966</x:v>
      </x:c>
      <x:c r="I1306" t="str">
        <x:v>https://www.smwcentral.net/?a=details&amp;id=25966&amp;p=section</x:v>
      </x:c>
      <x:c r="J1306" t="str">
        <x:v>https://dl.smwcentral.net/25966/Nothing%20Crazy.zip</x:v>
      </x:c>
    </x:row>
    <x:row r="1307">
      <x:c r="A1307" t="str">
        <x:v>Nothing Special</x:v>
      </x:c>
      <x:c r="B1307" t="str">
        <x:v>Nothing Special</x:v>
      </x:c>
      <x:c r="C1307" t="str">
        <x:v>niko</x:v>
      </x:c>
      <x:c r="D1307" t="n">
        <x:v>32</x:v>
      </x:c>
      <x:c r="E1307" t="str">
        <x:v>Intermediate</x:v>
      </x:c>
      <x:c r="F1307" t="str">
        <x:v>Standard</x:v>
      </x:c>
      <x:c r="G1307" t="n">
        <x:v>42699</x:v>
      </x:c>
      <x:c r="H1307" t="str">
        <x:v>14689</x:v>
      </x:c>
      <x:c r="I1307" t="str">
        <x:v>https://www.smwcentral.net/?a=details&amp;id=14689&amp;p=section</x:v>
      </x:c>
      <x:c r="J1307" t="str">
        <x:v>https://dl.smwcentral.net/14689/Nothing%20Special%20Version%200.6.zip</x:v>
      </x:c>
    </x:row>
    <x:row r="1308">
      <x:c r="A1308" t="str">
        <x:v>Nothing Special (Remastered)</x:v>
      </x:c>
      <x:c r="B1308" t="str">
        <x:v>Nothing Special (Remastered)</x:v>
      </x:c>
      <x:c r="C1308" t="str">
        <x:v>niko</x:v>
      </x:c>
      <x:c r="D1308" t="n">
        <x:v>5</x:v>
      </x:c>
      <x:c r="E1308" t="str">
        <x:v>Intermediate</x:v>
      </x:c>
      <x:c r="F1308" t="str">
        <x:v>Standard</x:v>
      </x:c>
      <x:c r="G1308" t="n">
        <x:v>42709</x:v>
      </x:c>
      <x:c r="H1308" t="str">
        <x:v>14704</x:v>
      </x:c>
      <x:c r="I1308" t="str">
        <x:v>https://www.smwcentral.net/?a=details&amp;id=14704&amp;p=section</x:v>
      </x:c>
      <x:c r="J1308" t="str">
        <x:v>https://dl.smwcentral.net/14704/NS%20remastered%20music.zip</x:v>
      </x:c>
    </x:row>
    <x:row r="1309">
      <x:c r="A1309" t="str">
        <x:v>Nova Concept - a love letter to SIG</x:v>
      </x:c>
      <x:c r="B1309" t="str">
        <x:v>Nova Concept - a love letter to SIG</x:v>
      </x:c>
      <x:c r="C1309" t="str">
        <x:v>Nitrogen</x:v>
      </x:c>
      <x:c r="D1309" t="n">
        <x:v>12</x:v>
      </x:c>
      <x:c r="E1309" t="str">
        <x:v>Intermediate</x:v>
      </x:c>
      <x:c r="F1309" t="str">
        <x:v>Standard</x:v>
      </x:c>
      <x:c r="G1309" t="n">
        <x:v>44843</x:v>
      </x:c>
      <x:c r="H1309" t="str">
        <x:v>32303</x:v>
      </x:c>
      <x:c r="I1309" t="str">
        <x:v>https://www.smwcentral.net/?a=details&amp;id=32303&amp;p=section</x:v>
      </x:c>
      <x:c r="J1309" t="str">
        <x:v>https://dl.smwcentral.net/32303/Nova%20Concept%20-%20a%20love%20letter%20to%20SIG.zip</x:v>
      </x:c>
    </x:row>
    <x:row r="1310">
      <x:c r="A1310" t="str">
        <x:v>Nuatepra</x:v>
      </x:c>
      <x:c r="B1310" t="str">
        <x:v>Nuatepra</x:v>
      </x:c>
      <x:c r="C1310" t="str">
        <x:v>Aclais, ocked</x:v>
      </x:c>
      <x:c r="D1310" t="n">
        <x:v>22</x:v>
      </x:c>
      <x:c r="E1310" t="str">
        <x:v>Advanced</x:v>
      </x:c>
      <x:c r="F1310" t="str">
        <x:v>Kaizo</x:v>
      </x:c>
      <x:c r="G1310" t="n">
        <x:v>45399</x:v>
      </x:c>
      <x:c r="H1310" t="str">
        <x:v>37634</x:v>
      </x:c>
      <x:c r="I1310" t="str">
        <x:v>https://www.smwcentral.net/?a=details&amp;id=37634&amp;p=section</x:v>
      </x:c>
      <x:c r="J1310" t="str">
        <x:v>https://dl.smwcentral.net/37634/Nuatepra.zip</x:v>
      </x:c>
    </x:row>
    <x:row r="1311">
      <x:c r="A1311" t="str">
        <x:v>O Ninja Negro</x:v>
      </x:c>
      <x:c r="B1311" t="str">
        <x:v>O Ninja Negro</x:v>
      </x:c>
      <x:c r="C1311" t="str">
        <x:v>darken</x:v>
      </x:c>
      <x:c r="D1311" t="n">
        <x:v>39</x:v>
      </x:c>
      <x:c r="E1311" t="str">
        <x:v>Advanced</x:v>
      </x:c>
      <x:c r="F1311" t="str">
        <x:v>Standard</x:v>
      </x:c>
      <x:c r="G1311" t="n">
        <x:v>42671</x:v>
      </x:c>
      <x:c r="H1311" t="str">
        <x:v>14556</x:v>
      </x:c>
      <x:c r="I1311" t="str">
        <x:v>https://www.smwcentral.net/?a=details&amp;id=14556&amp;p=section</x:v>
      </x:c>
      <x:c r="J1311" t="str">
        <x:v>https://dl.smwcentral.net/14556/ONN.zip</x:v>
      </x:c>
    </x:row>
    <x:row r="1312">
      <x:c r="A1312" t="str">
        <x:v>O'Ghim!</x:v>
      </x:c>
      <x:c r="B1312" t="str">
        <x:v>O'Ghim!</x:v>
      </x:c>
      <x:c r="C1312" t="str">
        <x:v>microwave_brothr</x:v>
      </x:c>
      <x:c r="D1312" t="n">
        <x:v>28</x:v>
      </x:c>
      <x:c r="E1312" t="str">
        <x:v>Expert</x:v>
      </x:c>
      <x:c r="F1312" t="str">
        <x:v>Kaizo</x:v>
      </x:c>
      <x:c r="G1312" t="n">
        <x:v>44425</x:v>
      </x:c>
      <x:c r="H1312" t="str">
        <x:v>27992</x:v>
      </x:c>
      <x:c r="I1312" t="str">
        <x:v>https://www.smwcentral.net/?a=details&amp;id=27992&amp;p=section</x:v>
      </x:c>
      <x:c r="J1312" t="str">
        <x:v>https://dl.smwcentral.net/27992/GhimUpdate.zip</x:v>
      </x:c>
    </x:row>
    <x:row r="1313">
      <x:c r="A1313" t="str">
        <x:v>O'Ghim!: Scholar Of The First Ghim</x:v>
      </x:c>
      <x:c r="B1313" t="str">
        <x:v>O'Ghim!: Scholar Of The First Ghim</x:v>
      </x:c>
      <x:c r="C1313" t="str">
        <x:v>microwave_brothr</x:v>
      </x:c>
      <x:c r="D1313" t="n">
        <x:v>28</x:v>
      </x:c>
      <x:c r="E1313" t="str">
        <x:v>Expert</x:v>
      </x:c>
      <x:c r="F1313" t="str">
        <x:v>Kaizo</x:v>
      </x:c>
      <x:c r="G1313" t="n">
        <x:v>44964</x:v>
      </x:c>
      <x:c r="H1313" t="str">
        <x:v>33041</x:v>
      </x:c>
      <x:c r="I1313" t="str">
        <x:v>https://www.smwcentral.net/?a=details&amp;id=33041&amp;p=section</x:v>
      </x:c>
      <x:c r="J1313" t="str">
        <x:v>https://dl.smwcentral.net/33041/Ghim-Scholar.zip</x:v>
      </x:c>
    </x:row>
    <x:row r="1314">
      <x:c r="A1314" t="str">
        <x:v>Oblivion</x:v>
      </x:c>
      <x:c r="B1314" t="str">
        <x:v>Oblivion</x:v>
      </x:c>
      <x:c r="C1314" t="str">
        <x:v>Bruno_Peixoto</x:v>
      </x:c>
      <x:c r="D1314" t="n">
        <x:v>15</x:v>
      </x:c>
      <x:c r="E1314" t="str">
        <x:v>Expert</x:v>
      </x:c>
      <x:c r="F1314" t="str">
        <x:v>Kaizo</x:v>
      </x:c>
      <x:c r="G1314" t="n">
        <x:v>46173</x:v>
      </x:c>
      <x:c r="H1314" t="str">
        <x:v>42411</x:v>
      </x:c>
      <x:c r="I1314" t="str">
        <x:v>https://www.smwcentral.net/?a=details&amp;id=42411&amp;p=section</x:v>
      </x:c>
      <x:c r="J1314" t="str">
        <x:v>https://dl.smwcentral.net/42411/Oblivion.zip</x:v>
      </x:c>
    </x:row>
    <x:row r="1315">
      <x:c r="A1315" t="str">
        <x:v>Obscure</x:v>
      </x:c>
      <x:c r="B1315" t="str">
        <x:v>Obscure</x:v>
      </x:c>
      <x:c r="C1315" t="str">
        <x:v>Easy Difficulty</x:v>
      </x:c>
      <x:c r="D1315" t="n">
        <x:v>26</x:v>
      </x:c>
      <x:c r="E1315" t="str">
        <x:v>Advanced</x:v>
      </x:c>
      <x:c r="F1315" t="str">
        <x:v>Standard, Kaizo</x:v>
      </x:c>
      <x:c r="G1315" t="n">
        <x:v>44595</x:v>
      </x:c>
      <x:c r="H1315" t="str">
        <x:v>29614</x:v>
      </x:c>
      <x:c r="I1315" t="str">
        <x:v>https://www.smwcentral.net/?a=details&amp;id=29614&amp;p=section</x:v>
      </x:c>
      <x:c r="J1315" t="str">
        <x:v>https://dl.smwcentral.net/29614/Obscure.zip</x:v>
      </x:c>
    </x:row>
    <x:row r="1316">
      <x:c r="A1316" t="str">
        <x:v>Obstinate</x:v>
      </x:c>
      <x:c r="B1316" t="str">
        <x:v>Obstinate</x:v>
      </x:c>
      <x:c r="C1316" t="str">
        <x:v>drkrdnk</x:v>
      </x:c>
      <x:c r="D1316" t="n">
        <x:v>14</x:v>
      </x:c>
      <x:c r="E1316" t="str">
        <x:v>Expert</x:v>
      </x:c>
      <x:c r="F1316" t="str">
        <x:v>Kaizo</x:v>
      </x:c>
      <x:c r="G1316" t="n">
        <x:v>46017</x:v>
      </x:c>
      <x:c r="H1316" t="str">
        <x:v>41331</x:v>
      </x:c>
      <x:c r="I1316" t="str">
        <x:v>https://www.smwcentral.net/?a=details&amp;id=41331&amp;p=section</x:v>
      </x:c>
      <x:c r="J1316" t="str">
        <x:v>https://dl.smwcentral.net/41331/obstinate%20v1.0.zip</x:v>
      </x:c>
    </x:row>
    <x:row r="1317">
      <x:c r="A1317" t="str">
        <x:v>Octopus</x:v>
      </x:c>
      <x:c r="B1317" t="str">
        <x:v>Octopus</x:v>
      </x:c>
      <x:c r="C1317" t="str">
        <x:v>Joosh</x:v>
      </x:c>
      <x:c r="D1317" t="n">
        <x:v>7</x:v>
      </x:c>
      <x:c r="E1317" t="str">
        <x:v>Intermediate</x:v>
      </x:c>
      <x:c r="F1317" t="str">
        <x:v>Kaizo</x:v>
      </x:c>
      <x:c r="G1317" t="n">
        <x:v>45317</x:v>
      </x:c>
      <x:c r="H1317" t="str">
        <x:v>36658</x:v>
      </x:c>
      <x:c r="I1317" t="str">
        <x:v>https://www.smwcentral.net/?a=details&amp;id=36658&amp;p=section</x:v>
      </x:c>
      <x:c r="J1317" t="str">
        <x:v>https://dl.smwcentral.net/36658/Octopus_v3.zip</x:v>
      </x:c>
    </x:row>
    <x:row r="1318">
      <x:c r="A1318" t="str">
        <x:v>Odd Master Mario</x:v>
      </x:c>
      <x:c r="B1318" t="str">
        <x:v>Odd Master Mario</x:v>
      </x:c>
      <x:c r="C1318" t="str">
        <x:v>Youmu Konpaku</x:v>
      </x:c>
      <x:c r="D1318" t="n">
        <x:v>6</x:v>
      </x:c>
      <x:c r="E1318" t="str">
        <x:v>Newcomer</x:v>
      </x:c>
      <x:c r="F1318" t="str">
        <x:v>Standard</x:v>
      </x:c>
      <x:c r="G1318" t="n">
        <x:v>41461</x:v>
      </x:c>
      <x:c r="H1318" t="str">
        <x:v>5060</x:v>
      </x:c>
      <x:c r="I1318" t="str">
        <x:v>https://www.smwcentral.net/?a=details&amp;id=5060&amp;p=section</x:v>
      </x:c>
      <x:c r="J1318" t="str">
        <x:v>https://dl.smwcentral.net/5060/OMM%20with%20overworld%201.zip</x:v>
      </x:c>
    </x:row>
    <x:row r="1319">
      <x:c r="A1319" t="str">
        <x:v>Odd Sands</x:v>
      </x:c>
      <x:c r="B1319" t="str">
        <x:v>Odd Sands</x:v>
      </x:c>
      <x:c r="C1319" t="str">
        <x:v>GbreezeSunset, Lazy, MiracleWater</x:v>
      </x:c>
      <x:c r="D1319" t="n">
        <x:v>28</x:v>
      </x:c>
      <x:c r="E1319" t="str">
        <x:v>Master</x:v>
      </x:c>
      <x:c r="F1319" t="str">
        <x:v>Kaizo</x:v>
      </x:c>
      <x:c r="G1319" t="n">
        <x:v>45202</x:v>
      </x:c>
      <x:c r="H1319" t="str">
        <x:v>35139</x:v>
      </x:c>
      <x:c r="I1319" t="str">
        <x:v>https://www.smwcentral.net/?a=details&amp;id=35139&amp;p=section</x:v>
      </x:c>
      <x:c r="J1319" t="str">
        <x:v>https://dl.smwcentral.net/35139/Odd%20Sands.zip</x:v>
      </x:c>
    </x:row>
    <x:row r="1320">
      <x:c r="A1320" t="str">
        <x:v>Ode To The Original Sin</x:v>
      </x:c>
      <x:c r="B1320" t="str">
        <x:v>Ode To The Original Sin</x:v>
      </x:c>
      <x:c r="C1320" t="str">
        <x:v>Kaizo Literature Club, Selicre</x:v>
      </x:c>
      <x:c r="D1320" t="n">
        <x:v>26</x:v>
      </x:c>
      <x:c r="E1320" t="str">
        <x:v>Master</x:v>
      </x:c>
      <x:c r="F1320" t="str">
        <x:v>Kaizo</x:v>
      </x:c>
      <x:c r="G1320" t="n">
        <x:v>45654</x:v>
      </x:c>
      <x:c r="H1320" t="str">
        <x:v>38848</x:v>
      </x:c>
      <x:c r="I1320" t="str">
        <x:v>https://www.smwcentral.net/?a=details&amp;id=38848&amp;p=section</x:v>
      </x:c>
      <x:c r="J1320" t="str">
        <x:v>https://dl.smwcentral.net/38848/OdeToTheOriginalSin.zip</x:v>
      </x:c>
    </x:row>
    <x:row r="1321">
      <x:c r="A1321" t="str">
        <x:v>Of Heavy Riffs and Awesome Basslines</x:v>
      </x:c>
      <x:c r="B1321" t="str">
        <x:v>Of Heavy Riffs and Awesome Basslines</x:v>
      </x:c>
      <x:c r="C1321" t="str">
        <x:v>grisu</x:v>
      </x:c>
      <x:c r="D1321" t="n">
        <x:v>6</x:v>
      </x:c>
      <x:c r="E1321" t="str">
        <x:v>Intermediate</x:v>
      </x:c>
      <x:c r="F1321" t="str">
        <x:v>Kaizo</x:v>
      </x:c>
      <x:c r="G1321" t="n">
        <x:v>44426</x:v>
      </x:c>
      <x:c r="H1321" t="str">
        <x:v>28027</x:v>
      </x:c>
      <x:c r="I1321" t="str">
        <x:v>https://www.smwcentral.net/?a=details&amp;id=28027&amp;p=section</x:v>
      </x:c>
      <x:c r="J1321" t="str">
        <x:v>https://dl.smwcentral.net/28027/Of%20Heavy%20Riffs%20and%20Awesome%20Basslines.zip</x:v>
      </x:c>
    </x:row>
    <x:row r="1322">
      <x:c r="A1322" t="str">
        <x:v>Of Jumps and Platforms</x:v>
      </x:c>
      <x:c r="B1322" t="str">
        <x:v>Of Jumps and Platforms</x:v>
      </x:c>
      <x:c r="C1322" t="str">
        <x:v>Darolac</x:v>
      </x:c>
      <x:c r="D1322" t="n">
        <x:v>7</x:v>
      </x:c>
      <x:c r="E1322" t="str">
        <x:v>Intermediate</x:v>
      </x:c>
      <x:c r="F1322" t="str">
        <x:v>Standard</x:v>
      </x:c>
      <x:c r="G1322" t="n">
        <x:v>44025</x:v>
      </x:c>
      <x:c r="H1322" t="str">
        <x:v>23814</x:v>
      </x:c>
      <x:c r="I1322" t="str">
        <x:v>https://www.smwcentral.net/?a=details&amp;id=23814&amp;p=section</x:v>
      </x:c>
      <x:c r="J1322" t="str">
        <x:v>https://dl.smwcentral.net/23814/Of_Jumps_and_Platforms.zip</x:v>
      </x:c>
    </x:row>
    <x:row r="1323">
      <x:c r="A1323" t="str">
        <x:v>Of Precision &amp; Style</x:v>
      </x:c>
      <x:c r="B1323" t="str">
        <x:v>Of Precision &amp; Style</x:v>
      </x:c>
      <x:c r="C1323" t="str">
        <x:v>GRIMMKIN</x:v>
      </x:c>
      <x:c r="D1323" t="n">
        <x:v>3</x:v>
      </x:c>
      <x:c r="E1323" t="str">
        <x:v>Master</x:v>
      </x:c>
      <x:c r="F1323" t="str">
        <x:v>Kaizo</x:v>
      </x:c>
      <x:c r="G1323" t="n">
        <x:v>44673</x:v>
      </x:c>
      <x:c r="H1323" t="str">
        <x:v>30560</x:v>
      </x:c>
      <x:c r="I1323" t="str">
        <x:v>https://www.smwcentral.net/?a=details&amp;id=30560&amp;p=section</x:v>
      </x:c>
      <x:c r="J1323" t="str">
        <x:v>https://dl.smwcentral.net/30560/Of%20Style%20and%20Precision.zip</x:v>
      </x:c>
    </x:row>
    <x:row r="1324">
      <x:c r="A1324" t="str">
        <x:v>OK Mario</x:v>
      </x:c>
      <x:c r="B1324" t="str">
        <x:v>OK Mario</x:v>
      </x:c>
      <x:c r="C1324" t="str">
        <x:v>FiveFactor</x:v>
      </x:c>
      <x:c r="D1324" t="n">
        <x:v>15</x:v>
      </x:c>
      <x:c r="E1324" t="str">
        <x:v>Advanced</x:v>
      </x:c>
      <x:c r="F1324" t="str">
        <x:v>Kaizo</x:v>
      </x:c>
      <x:c r="G1324" t="n">
        <x:v>45424</x:v>
      </x:c>
      <x:c r="H1324" t="str">
        <x:v>37764</x:v>
      </x:c>
      <x:c r="I1324" t="str">
        <x:v>https://www.smwcentral.net/?a=details&amp;id=37764&amp;p=section</x:v>
      </x:c>
      <x:c r="J1324" t="str">
        <x:v>https://dl.smwcentral.net/37764/OKMario_1.2.zip</x:v>
      </x:c>
    </x:row>
    <x:row r="1325">
      <x:c r="A1325" t="str">
        <x:v>Olafs Shell Adventure</x:v>
      </x:c>
      <x:c r="B1325" t="str">
        <x:v>Olafs Shell Adventure</x:v>
      </x:c>
      <x:c r="C1325" t="str">
        <x:v>Justepic</x:v>
      </x:c>
      <x:c r="D1325" t="n">
        <x:v>16</x:v>
      </x:c>
      <x:c r="E1325" t="str">
        <x:v>Master</x:v>
      </x:c>
      <x:c r="F1325" t="str">
        <x:v>Kaizo</x:v>
      </x:c>
      <x:c r="G1325" t="n">
        <x:v>45740</x:v>
      </x:c>
      <x:c r="H1325" t="str">
        <x:v>39508</x:v>
      </x:c>
      <x:c r="I1325" t="str">
        <x:v>https://www.smwcentral.net/?a=details&amp;id=39508&amp;p=section</x:v>
      </x:c>
      <x:c r="J1325" t="str">
        <x:v>https://dl.smwcentral.net/39508/Olafs%20Shell%20Adventure.zip</x:v>
      </x:c>
    </x:row>
    <x:row r="1326">
      <x:c r="A1326" t="str">
        <x:v>Old Marine World</x:v>
      </x:c>
      <x:c r="B1326" t="str">
        <x:v>Old Marine World</x:v>
      </x:c>
      <x:c r="C1326" t="str">
        <x:v>MarioFan1337</x:v>
      </x:c>
      <x:c r="D1326" t="n">
        <x:v>6</x:v>
      </x:c>
      <x:c r="E1326" t="str">
        <x:v>Advanced</x:v>
      </x:c>
      <x:c r="F1326" t="str">
        <x:v>Kaizo</x:v>
      </x:c>
      <x:c r="G1326" t="n">
        <x:v>45468</x:v>
      </x:c>
      <x:c r="H1326" t="str">
        <x:v>37912</x:v>
      </x:c>
      <x:c r="I1326" t="str">
        <x:v>https://www.smwcentral.net/?a=details&amp;id=37912&amp;p=section</x:v>
      </x:c>
      <x:c r="J1326" t="str">
        <x:v>https://dl.smwcentral.net/37912/Old%20Marine%20World.zip</x:v>
      </x:c>
    </x:row>
    <x:row r="1327">
      <x:c r="A1327" t="str">
        <x:v>On The Edge</x:v>
      </x:c>
      <x:c r="B1327" t="str">
        <x:v>On The Edge</x:v>
      </x:c>
      <x:c r="C1327" t="str">
        <x:v>naBerada</x:v>
      </x:c>
      <x:c r="D1327" t="n">
        <x:v>8</x:v>
      </x:c>
      <x:c r="E1327" t="str">
        <x:v>Master</x:v>
      </x:c>
      <x:c r="F1327" t="str">
        <x:v>Kaizo</x:v>
      </x:c>
      <x:c r="G1327" t="n">
        <x:v>46117</x:v>
      </x:c>
      <x:c r="H1327" t="str">
        <x:v>42110</x:v>
      </x:c>
      <x:c r="I1327" t="str">
        <x:v>https://www.smwcentral.net/?a=details&amp;id=42110&amp;p=section</x:v>
      </x:c>
      <x:c r="J1327" t="str">
        <x:v>https://dl.smwcentral.net/42110/OnTheEdge.zip</x:v>
      </x:c>
    </x:row>
    <x:row r="1328">
      <x:c r="A1328" t="str">
        <x:v>Once Again</x:v>
      </x:c>
      <x:c r="B1328" t="str">
        <x:v>Once Again</x:v>
      </x:c>
      <x:c r="C1328" t="str">
        <x:v>Daffoxy</x:v>
      </x:c>
      <x:c r="D1328" t="n">
        <x:v>14</x:v>
      </x:c>
      <x:c r="E1328" t="str">
        <x:v>Advanced</x:v>
      </x:c>
      <x:c r="F1328" t="str">
        <x:v>Kaizo</x:v>
      </x:c>
      <x:c r="G1328" t="n">
        <x:v>45336</x:v>
      </x:c>
      <x:c r="H1328" t="str">
        <x:v>36841</x:v>
      </x:c>
      <x:c r="I1328" t="str">
        <x:v>https://www.smwcentral.net/?a=details&amp;id=36841&amp;p=section</x:v>
      </x:c>
      <x:c r="J1328" t="str">
        <x:v>https://dl.smwcentral.net/36841/OnceAgain_1.1.zip</x:v>
      </x:c>
    </x:row>
    <x:row r="1329">
      <x:c r="A1329" t="str">
        <x:v>ONE</x:v>
      </x:c>
      <x:c r="B1329" t="str">
        <x:v>ONE</x:v>
      </x:c>
      <x:c r="C1329" t="str">
        <x:v>Jordan</x:v>
      </x:c>
      <x:c r="D1329" t="n">
        <x:v>14</x:v>
      </x:c>
      <x:c r="E1329" t="str">
        <x:v>Advanced</x:v>
      </x:c>
      <x:c r="F1329" t="str">
        <x:v>Kaizo</x:v>
      </x:c>
      <x:c r="G1329" t="n">
        <x:v>45885</x:v>
      </x:c>
      <x:c r="H1329" t="str">
        <x:v>40252</x:v>
      </x:c>
      <x:c r="I1329" t="str">
        <x:v>https://www.smwcentral.net/?a=details&amp;id=40252&amp;p=section</x:v>
      </x:c>
      <x:c r="J1329" t="str">
        <x:v>https://dl.smwcentral.net/40252/ONE.zip</x:v>
      </x:c>
    </x:row>
    <x:row r="1330">
      <x:c r="A1330" t="str">
        <x:v>One Day The Sadness Will End</x:v>
      </x:c>
      <x:c r="B1330" t="str">
        <x:v>One Day The Sadness Will End</x:v>
      </x:c>
      <x:c r="C1330" t="str">
        <x:v>JUMP Team, Kevin, Koopster</x:v>
      </x:c>
      <x:c r="D1330" t="n">
        <x:v>10</x:v>
      </x:c>
      <x:c r="E1330" t="str">
        <x:v>Expert</x:v>
      </x:c>
      <x:c r="F1330" t="str">
        <x:v>Standard</x:v>
      </x:c>
      <x:c r="G1330" t="n">
        <x:v>45687</x:v>
      </x:c>
      <x:c r="H1330" t="str">
        <x:v>39110</x:v>
      </x:c>
      <x:c r="I1330" t="str">
        <x:v>https://www.smwcentral.net/?a=details&amp;id=39110&amp;p=section</x:v>
      </x:c>
      <x:c r="J1330" t="str">
        <x:v>https://dl.smwcentral.net/39110/sadness.zip</x:v>
      </x:c>
    </x:row>
    <x:row r="1331">
      <x:c r="A1331" t="str">
        <x:v>One screen puzzle N°1</x:v>
      </x:c>
      <x:c r="B1331" t="str">
        <x:v>One screen puzzle N°1</x:v>
      </x:c>
      <x:c r="C1331" t="str">
        <x:v>SwagDePaul</x:v>
      </x:c>
      <x:c r="D1331" t="n">
        <x:v>1</x:v>
      </x:c>
      <x:c r="E1331" t="str">
        <x:v>Intermediate</x:v>
      </x:c>
      <x:c r="F1331" t="str">
        <x:v>Kaizo</x:v>
      </x:c>
      <x:c r="G1331" t="n">
        <x:v>43021</x:v>
      </x:c>
      <x:c r="H1331" t="str">
        <x:v>16348</x:v>
      </x:c>
      <x:c r="I1331" t="str">
        <x:v>https://www.smwcentral.net/?a=details&amp;id=16348&amp;p=section</x:v>
      </x:c>
      <x:c r="J1331" t="str">
        <x:v>https://dl.smwcentral.net/16348/One%20screen%20puzzle%201.zip</x:v>
      </x:c>
    </x:row>
    <x:row r="1332">
      <x:c r="A1332" t="str">
        <x:v>Onegai My Melody - Detour Land Conquest</x:v>
      </x:c>
      <x:c r="B1332" t="str">
        <x:v>Onegai My Melody - Detour Land Conquest</x:v>
      </x:c>
      <x:c r="C1332" t="str">
        <x:v>Big Brawler</x:v>
      </x:c>
      <x:c r="D1332" t="n">
        <x:v>46</x:v>
      </x:c>
      <x:c r="E1332" t="str">
        <x:v>Intermediate</x:v>
      </x:c>
      <x:c r="F1332" t="str">
        <x:v>Standard</x:v>
      </x:c>
      <x:c r="G1332" t="n">
        <x:v>45649</x:v>
      </x:c>
      <x:c r="H1332" t="str">
        <x:v>38931</x:v>
      </x:c>
      <x:c r="I1332" t="str">
        <x:v>https://www.smwcentral.net/?a=details&amp;id=38931&amp;p=section</x:v>
      </x:c>
      <x:c r="J1332" t="str">
        <x:v>https://dl.smwcentral.net/38931/Onegai%20My%20Melody%20-%20Detour%20Land%20Conquest%20v1.1.zip</x:v>
      </x:c>
    </x:row>
    <x:row r="1333">
      <x:c r="A1333" t="str">
        <x:v>Onegai My Melody - My Melody Adventure</x:v>
      </x:c>
      <x:c r="B1333" t="str">
        <x:v>Onegai My Melody - My Melody Adventure</x:v>
      </x:c>
      <x:c r="C1333" t="str">
        <x:v>Big Brawler</x:v>
      </x:c>
      <x:c r="D1333" t="n">
        <x:v>92</x:v>
      </x:c>
      <x:c r="E1333" t="str">
        <x:v>Intermediate</x:v>
      </x:c>
      <x:c r="F1333" t="str">
        <x:v>Standard</x:v>
      </x:c>
      <x:c r="G1333" t="n">
        <x:v>45417</x:v>
      </x:c>
      <x:c r="H1333" t="str">
        <x:v>37004</x:v>
      </x:c>
      <x:c r="I1333" t="str">
        <x:v>https://www.smwcentral.net/?a=details&amp;id=37004&amp;p=section</x:v>
      </x:c>
      <x:c r="J1333" t="str">
        <x:v>https://dl.smwcentral.net/37004/Onegai%20My%20Melody%20Adventure%20v1.1.zip</x:v>
      </x:c>
    </x:row>
    <x:row r="1334">
      <x:c r="A1334" t="str">
        <x:v>ONLY UP</x:v>
      </x:c>
      <x:c r="B1334" t="str">
        <x:v>ONLY UP</x:v>
      </x:c>
      <x:c r="C1334" t="str">
        <x:v>magianegra21</x:v>
      </x:c>
      <x:c r="D1334" t="n">
        <x:v>1</x:v>
      </x:c>
      <x:c r="E1334" t="str">
        <x:v>Intermediate</x:v>
      </x:c>
      <x:c r="F1334" t="str">
        <x:v>Standard</x:v>
      </x:c>
      <x:c r="G1334" t="n">
        <x:v>45146</x:v>
      </x:c>
      <x:c r="H1334" t="str">
        <x:v>34773</x:v>
      </x:c>
      <x:c r="I1334" t="str">
        <x:v>https://www.smwcentral.net/?a=details&amp;id=34773&amp;p=section</x:v>
      </x:c>
      <x:c r="J1334" t="str">
        <x:v>https://dl.smwcentral.net/34773/only%20up.zip</x:v>
      </x:c>
    </x:row>
    <x:row r="1335">
      <x:c r="A1335" t="str">
        <x:v>Oogtar's Quest</x:v>
      </x:c>
      <x:c r="B1335" t="str">
        <x:v>Oogtar's Quest</x:v>
      </x:c>
      <x:c r="C1335" t="str">
        <x:v>Pseudogon</x:v>
      </x:c>
      <x:c r="D1335" t="n">
        <x:v>18</x:v>
      </x:c>
      <x:c r="E1335" t="str">
        <x:v>Newcomer</x:v>
      </x:c>
      <x:c r="F1335" t="str">
        <x:v>Standard</x:v>
      </x:c>
      <x:c r="G1335" t="n">
        <x:v>42381</x:v>
      </x:c>
      <x:c r="H1335" t="str">
        <x:v>13051</x:v>
      </x:c>
      <x:c r="I1335" t="str">
        <x:v>https://www.smwcentral.net/?a=details&amp;id=13051&amp;p=section</x:v>
      </x:c>
      <x:c r="J1335" t="str">
        <x:v>https://dl.smwcentral.net/13051/Oogtar%27s_Quest.zip</x:v>
      </x:c>
    </x:row>
    <x:row r="1336">
      <x:c r="A1336" t="str">
        <x:v>ooooo</x:v>
      </x:c>
      <x:c r="B1336" t="str">
        <x:v>ooooo</x:v>
      </x:c>
      <x:c r="C1336" t="str">
        <x:v>JUMP Team, Kevin</x:v>
      </x:c>
      <x:c r="D1336" t="n">
        <x:v>82</x:v>
      </x:c>
      <x:c r="E1336" t="str">
        <x:v>Master</x:v>
      </x:c>
      <x:c r="F1336" t="str">
        <x:v>Standard, Kaizo</x:v>
      </x:c>
      <x:c r="G1336" t="n">
        <x:v>45403</x:v>
      </x:c>
      <x:c r="H1336" t="str">
        <x:v>37470</x:v>
      </x:c>
      <x:c r="I1336" t="str">
        <x:v>https://www.smwcentral.net/?a=details&amp;id=37470&amp;p=section</x:v>
      </x:c>
      <x:c r="J1336" t="str">
        <x:v>https://dl.smwcentral.net/37470/ooooo.zip</x:v>
      </x:c>
    </x:row>
    <x:row r="1337">
      <x:c r="A1337" t="str">
        <x:v>Oops all keys</x:v>
      </x:c>
      <x:c r="B1337" t="str">
        <x:v>Oops all keys</x:v>
      </x:c>
      <x:c r="C1337" t="str">
        <x:v>Volpey</x:v>
      </x:c>
      <x:c r="D1337" t="n">
        <x:v>4</x:v>
      </x:c>
      <x:c r="E1337" t="str">
        <x:v>Master</x:v>
      </x:c>
      <x:c r="F1337" t="str">
        <x:v>Kaizo</x:v>
      </x:c>
      <x:c r="G1337" t="n">
        <x:v>43426</x:v>
      </x:c>
      <x:c r="H1337" t="str">
        <x:v>18376</x:v>
      </x:c>
      <x:c r="I1337" t="str">
        <x:v>https://www.smwcentral.net/?a=details&amp;id=18376&amp;p=section</x:v>
      </x:c>
      <x:c r="J1337" t="str">
        <x:v>https://dl.smwcentral.net/18376/Oops%20all%20keys.zip</x:v>
      </x:c>
    </x:row>
    <x:row r="1338">
      <x:c r="A1338" t="str">
        <x:v>Oops! All Fortresses</x:v>
      </x:c>
      <x:c r="B1338" t="str">
        <x:v>Oops! All Fortresses</x:v>
      </x:c>
      <x:c r="C1338" t="str">
        <x:v>MarsAmPear</x:v>
      </x:c>
      <x:c r="D1338" t="n">
        <x:v>5</x:v>
      </x:c>
      <x:c r="E1338" t="str">
        <x:v>Casual</x:v>
      </x:c>
      <x:c r="F1338" t="str">
        <x:v>Kaizo</x:v>
      </x:c>
      <x:c r="G1338" t="n">
        <x:v>45060</x:v>
      </x:c>
      <x:c r="H1338" t="str">
        <x:v>33927</x:v>
      </x:c>
      <x:c r="I1338" t="str">
        <x:v>https://www.smwcentral.net/?a=details&amp;id=33927&amp;p=section</x:v>
      </x:c>
      <x:c r="J1338" t="str">
        <x:v>https://dl.smwcentral.net/33927/Oops%21%20All%20Fortresses.zip</x:v>
      </x:c>
    </x:row>
    <x:row r="1339">
      <x:c r="A1339" t="str">
        <x:v>Oops, All Grasslands</x:v>
      </x:c>
      <x:c r="B1339" t="str">
        <x:v>Oops, All Grasslands</x:v>
      </x:c>
      <x:c r="C1339" t="str">
        <x:v>LouisDoucet</x:v>
      </x:c>
      <x:c r="D1339" t="n">
        <x:v>8</x:v>
      </x:c>
      <x:c r="E1339" t="str">
        <x:v>Grandmaster</x:v>
      </x:c>
      <x:c r="F1339" t="str">
        <x:v>Kaizo</x:v>
      </x:c>
      <x:c r="G1339" t="n">
        <x:v>44466</x:v>
      </x:c>
      <x:c r="H1339" t="str">
        <x:v>28356</x:v>
      </x:c>
      <x:c r="I1339" t="str">
        <x:v>https://www.smwcentral.net/?a=details&amp;id=28356&amp;p=section</x:v>
      </x:c>
      <x:c r="J1339" t="str">
        <x:v>https://dl.smwcentral.net/28356/Oops%2C%20All%20Grasslands.zip</x:v>
      </x:c>
    </x:row>
    <x:row r="1340">
      <x:c r="A1340" t="str">
        <x:v>Oops,Trials Mario</x:v>
      </x:c>
      <x:c r="B1340" t="str">
        <x:v>Oops,Trials Mario</x:v>
      </x:c>
      <x:c r="C1340" t="str">
        <x:v>Anonymous</x:v>
      </x:c>
      <x:c r="D1340" t="n">
        <x:v>7</x:v>
      </x:c>
      <x:c r="E1340" t="str">
        <x:v>Advanced</x:v>
      </x:c>
      <x:c r="F1340" t="str">
        <x:v>Kaizo</x:v>
      </x:c>
      <x:c r="G1340" t="n">
        <x:v>45779</x:v>
      </x:c>
      <x:c r="H1340" t="str">
        <x:v>39798</x:v>
      </x:c>
      <x:c r="I1340" t="str">
        <x:v>https://www.smwcentral.net/?a=details&amp;id=39798&amp;p=section</x:v>
      </x:c>
      <x:c r="J1340" t="str">
        <x:v>https://dl.smwcentral.net/39798/Oops%2CTrials%20Mario.zip</x:v>
      </x:c>
    </x:row>
    <x:row r="1341">
      <x:c r="A1341" t="str">
        <x:v>Oozitgarn</x:v>
      </x:c>
      <x:c r="B1341" t="str">
        <x:v>Oozitgarn</x:v>
      </x:c>
      <x:c r="C1341" t="str">
        <x:v>Kamikaizo</x:v>
      </x:c>
      <x:c r="D1341" t="n">
        <x:v>7</x:v>
      </x:c>
      <x:c r="E1341" t="str">
        <x:v>Master</x:v>
      </x:c>
      <x:c r="F1341" t="str">
        <x:v>Kaizo</x:v>
      </x:c>
      <x:c r="G1341" t="n">
        <x:v>45135</x:v>
      </x:c>
      <x:c r="H1341" t="str">
        <x:v>34381</x:v>
      </x:c>
      <x:c r="I1341" t="str">
        <x:v>https://www.smwcentral.net/?a=details&amp;id=34381&amp;p=section</x:v>
      </x:c>
      <x:c r="J1341" t="str">
        <x:v>https://dl.smwcentral.net/34381/Oozitgarn%20v1.0.zip</x:v>
      </x:c>
    </x:row>
    <x:row r="1342">
      <x:c r="A1342" t="str">
        <x:v>Orcus</x:v>
      </x:c>
      <x:c r="B1342" t="str">
        <x:v>Orcus</x:v>
      </x:c>
      <x:c r="C1342" t="str">
        <x:v>Jordan</x:v>
      </x:c>
      <x:c r="D1342" t="n">
        <x:v>25</x:v>
      </x:c>
      <x:c r="E1342" t="str">
        <x:v>Advanced</x:v>
      </x:c>
      <x:c r="F1342" t="str">
        <x:v>Kaizo</x:v>
      </x:c>
      <x:c r="G1342" t="n">
        <x:v>44400</x:v>
      </x:c>
      <x:c r="H1342" t="str">
        <x:v>27800</x:v>
      </x:c>
      <x:c r="I1342" t="str">
        <x:v>https://www.smwcentral.net/?a=details&amp;id=27800&amp;p=section</x:v>
      </x:c>
      <x:c r="J1342" t="str">
        <x:v>https://dl.smwcentral.net/27800/Orcus%20v1.1.zip</x:v>
      </x:c>
    </x:row>
    <x:row r="1343">
      <x:c r="A1343" t="str">
        <x:v>Our Wonderful Planet</x:v>
      </x:c>
      <x:c r="B1343" t="str">
        <x:v>Our Wonderful Planet</x:v>
      </x:c>
      <x:c r="C1343" t="str">
        <x:v>ChrisTheAussie</x:v>
      </x:c>
      <x:c r="D1343" t="n">
        <x:v>15</x:v>
      </x:c>
      <x:c r="E1343" t="str">
        <x:v>Advanced</x:v>
      </x:c>
      <x:c r="F1343" t="str">
        <x:v>Kaizo</x:v>
      </x:c>
      <x:c r="G1343" t="n">
        <x:v>44417</x:v>
      </x:c>
      <x:c r="H1343" t="str">
        <x:v>27912</x:v>
      </x:c>
      <x:c r="I1343" t="str">
        <x:v>https://www.smwcentral.net/?a=details&amp;id=27912&amp;p=section</x:v>
      </x:c>
      <x:c r="J1343" t="str">
        <x:v>https://dl.smwcentral.net/27912/Our%20Wonderful%20Planet.zip</x:v>
      </x:c>
    </x:row>
    <x:row r="1344">
      <x:c r="A1344" t="str">
        <x:v>Out of Ideas!</x:v>
      </x:c>
      <x:c r="B1344" t="str">
        <x:v>Out of Ideas!</x:v>
      </x:c>
      <x:c r="C1344" t="str">
        <x:v>AmazingChest</x:v>
      </x:c>
      <x:c r="D1344" t="n">
        <x:v>4</x:v>
      </x:c>
      <x:c r="E1344" t="str">
        <x:v>Expert</x:v>
      </x:c>
      <x:c r="F1344" t="str">
        <x:v>Kaizo</x:v>
      </x:c>
      <x:c r="G1344" t="n">
        <x:v>44972</x:v>
      </x:c>
      <x:c r="H1344" t="str">
        <x:v>33078</x:v>
      </x:c>
      <x:c r="I1344" t="str">
        <x:v>https://www.smwcentral.net/?a=details&amp;id=33078&amp;p=section</x:v>
      </x:c>
      <x:c r="J1344" t="str">
        <x:v>https://dl.smwcentral.net/33078/out-of-ideas.zip</x:v>
      </x:c>
    </x:row>
    <x:row r="1345">
      <x:c r="A1345" t="str">
        <x:v>Outrageous Mario World</x:v>
      </x:c>
      <x:c r="B1345" t="str">
        <x:v>Outrageous Mario World</x:v>
      </x:c>
      <x:c r="C1345" t="str">
        <x:v>AnybodyAgrees</x:v>
      </x:c>
      <x:c r="D1345" t="n">
        <x:v>12</x:v>
      </x:c>
      <x:c r="E1345" t="str">
        <x:v>Casual</x:v>
      </x:c>
      <x:c r="F1345" t="str">
        <x:v>Standard</x:v>
      </x:c>
      <x:c r="G1345" t="n">
        <x:v>42314</x:v>
      </x:c>
      <x:c r="H1345" t="str">
        <x:v>10283</x:v>
      </x:c>
      <x:c r="I1345" t="str">
        <x:v>https://www.smwcentral.net/?a=details&amp;id=10283&amp;p=section</x:v>
      </x:c>
      <x:c r="J1345" t="str">
        <x:v>https://dl.smwcentral.net/10283/Outrageous%20Mario%20World%206_2.zip</x:v>
      </x:c>
    </x:row>
    <x:row r="1346">
      <x:c r="A1346" t="str">
        <x:v>OWLVABOX</x:v>
      </x:c>
      <x:c r="B1346" t="str">
        <x:v>OWLVABOX</x:v>
      </x:c>
      <x:c r="C1346" t="str">
        <x:v>Daizo Dee Von</x:v>
      </x:c>
      <x:c r="D1346" t="n">
        <x:v>1</x:v>
      </x:c>
      <x:c r="E1346" t="str">
        <x:v>Casual</x:v>
      </x:c>
      <x:c r="F1346" t="str">
        <x:v>Standard, Puzzle, Tool-Assisted</x:v>
      </x:c>
      <x:c r="G1346" t="n">
        <x:v>45512</x:v>
      </x:c>
      <x:c r="H1346" t="str">
        <x:v>37926</x:v>
      </x:c>
      <x:c r="I1346" t="str">
        <x:v>https://www.smwcentral.net/?a=details&amp;id=37926&amp;p=section</x:v>
      </x:c>
      <x:c r="J1346" t="str">
        <x:v>https://dl.smwcentral.net/37926/OWLVABOX.zip</x:v>
      </x:c>
    </x:row>
    <x:row r="1347">
      <x:c r="A1347" t="str">
        <x:v>Oxworm</x:v>
      </x:c>
      <x:c r="B1347" t="str">
        <x:v>Oxworm</x:v>
      </x:c>
      <x:c r="C1347" t="str">
        <x:v>H3nt4ik4m3n, Maw, Twiced_, neidoodle, ocked</x:v>
      </x:c>
      <x:c r="D1347" t="n">
        <x:v>16</x:v>
      </x:c>
      <x:c r="E1347" t="str">
        <x:v>Expert</x:v>
      </x:c>
      <x:c r="F1347" t="str">
        <x:v>Kaizo</x:v>
      </x:c>
      <x:c r="G1347" t="n">
        <x:v>45035</x:v>
      </x:c>
      <x:c r="H1347" t="str">
        <x:v>33774</x:v>
      </x:c>
      <x:c r="I1347" t="str">
        <x:v>https://www.smwcentral.net/?a=details&amp;id=33774&amp;p=section</x:v>
      </x:c>
      <x:c r="J1347" t="str">
        <x:v>https://dl.smwcentral.net/33774/Oxworm.zip</x:v>
      </x:c>
    </x:row>
    <x:row r="1348">
      <x:c r="A1348" t="str">
        <x:v>Oxworm 2</x:v>
      </x:c>
      <x:c r="B1348" t="str">
        <x:v>Oxworm 2</x:v>
      </x:c>
      <x:c r="C1348" t="str">
        <x:v>ocked, thefoxx87</x:v>
      </x:c>
      <x:c r="D1348" t="n">
        <x:v>29</x:v>
      </x:c>
      <x:c r="E1348" t="str">
        <x:v>Expert</x:v>
      </x:c>
      <x:c r="F1348" t="str">
        <x:v>Kaizo</x:v>
      </x:c>
      <x:c r="G1348" t="n">
        <x:v>46206</x:v>
      </x:c>
      <x:c r="H1348" t="str">
        <x:v>42588</x:v>
      </x:c>
      <x:c r="I1348" t="str">
        <x:v>https://www.smwcentral.net/?a=details&amp;id=42588&amp;p=section</x:v>
      </x:c>
      <x:c r="J1348" t="str">
        <x:v>https://dl.smwcentral.net/42588/Oxworm2.zip</x:v>
      </x:c>
    </x:row>
    <x:row r="1349">
      <x:c r="A1349" t="str">
        <x:v>P-switch... The Legendary P-switch Void</x:v>
      </x:c>
      <x:c r="B1349" t="str">
        <x:v>P-switch... The Legendary P-switch Void</x:v>
      </x:c>
      <x:c r="C1349" t="str">
        <x:v>Daizo Dee Von</x:v>
      </x:c>
      <x:c r="D1349" t="n">
        <x:v>5</x:v>
      </x:c>
      <x:c r="E1349" t="str">
        <x:v>Casual</x:v>
      </x:c>
      <x:c r="F1349" t="str">
        <x:v>Standard</x:v>
      </x:c>
      <x:c r="G1349" t="n">
        <x:v>41856</x:v>
      </x:c>
      <x:c r="H1349" t="str">
        <x:v>6969</x:v>
      </x:c>
      <x:c r="I1349" t="str">
        <x:v>https://www.smwcentral.net/?a=details&amp;id=6969&amp;p=section</x:v>
      </x:c>
      <x:c r="J1349" t="str">
        <x:v>https://dl.smwcentral.net/6969/pswitch_v2.0.zip</x:v>
      </x:c>
    </x:row>
    <x:row r="1350">
      <x:c r="A1350" t="str">
        <x:v>P.A.U.L. (2022 Polished Edition)</x:v>
      </x:c>
      <x:c r="B1350" t="str">
        <x:v>P.A.U.L. (2022 Polished Edition)</x:v>
      </x:c>
      <x:c r="C1350" t="str">
        <x:v>danwaleby</x:v>
      </x:c>
      <x:c r="D1350" t="n">
        <x:v>41</x:v>
      </x:c>
      <x:c r="E1350" t="str">
        <x:v>Intermediate</x:v>
      </x:c>
      <x:c r="F1350" t="str">
        <x:v>Standard</x:v>
      </x:c>
      <x:c r="G1350" t="n">
        <x:v>44863</x:v>
      </x:c>
      <x:c r="H1350" t="str">
        <x:v>32445</x:v>
      </x:c>
      <x:c r="I1350" t="str">
        <x:v>https://www.smwcentral.net/?a=details&amp;id=32445&amp;p=section</x:v>
      </x:c>
      <x:c r="J1350" t="str">
        <x:v>https://dl.smwcentral.net/32445/Paul%20Remastered.zip</x:v>
      </x:c>
    </x:row>
    <x:row r="1351">
      <x:c r="A1351" t="str">
        <x:v>P1JDS World</x:v>
      </x:c>
      <x:c r="B1351" t="str">
        <x:v>P1JDS World</x:v>
      </x:c>
      <x:c r="C1351" t="str">
        <x:v>RicardoDeMelo</x:v>
      </x:c>
      <x:c r="D1351" t="n">
        <x:v>11</x:v>
      </x:c>
      <x:c r="E1351" t="str">
        <x:v>Advanced</x:v>
      </x:c>
      <x:c r="F1351" t="str">
        <x:v>Kaizo</x:v>
      </x:c>
      <x:c r="G1351" t="n">
        <x:v>44708</x:v>
      </x:c>
      <x:c r="H1351" t="str">
        <x:v>30972</x:v>
      </x:c>
      <x:c r="I1351" t="str">
        <x:v>https://www.smwcentral.net/?a=details&amp;id=30972&amp;p=section</x:v>
      </x:c>
      <x:c r="J1351" t="str">
        <x:v>https://dl.smwcentral.net/30972/P1JDS%20World.zip</x:v>
      </x:c>
    </x:row>
    <x:row r="1352">
      <x:c r="A1352" t="str">
        <x:v>Pac's Hac Demo</x:v>
      </x:c>
      <x:c r="B1352" t="str">
        <x:v>Pac's Hac Demo</x:v>
      </x:c>
      <x:c r="C1352" t="str">
        <x:v>pacmanboss256</x:v>
      </x:c>
      <x:c r="D1352" t="n">
        <x:v>7</x:v>
      </x:c>
      <x:c r="E1352" t="str">
        <x:v>Master</x:v>
      </x:c>
      <x:c r="F1352" t="str">
        <x:v>Kaizo</x:v>
      </x:c>
      <x:c r="G1352" t="n">
        <x:v>45699</x:v>
      </x:c>
      <x:c r="H1352" t="str">
        <x:v>39183</x:v>
      </x:c>
      <x:c r="I1352" t="str">
        <x:v>https://www.smwcentral.net/?a=details&amp;id=39183&amp;p=section</x:v>
      </x:c>
      <x:c r="J1352" t="str">
        <x:v>https://dl.smwcentral.net/39183/pacshacagain.zip</x:v>
      </x:c>
    </x:row>
    <x:row r="1353">
      <x:c r="A1353" t="str">
        <x:v>Pactos</x:v>
      </x:c>
      <x:c r="B1353" t="str">
        <x:v>Pactos</x:v>
      </x:c>
      <x:c r="C1353" t="str">
        <x:v>Deivid Borba</x:v>
      </x:c>
      <x:c r="D1353" t="n">
        <x:v>2</x:v>
      </x:c>
      <x:c r="E1353" t="str">
        <x:v>Master</x:v>
      </x:c>
      <x:c r="F1353" t="str">
        <x:v>Kaizo</x:v>
      </x:c>
      <x:c r="G1353" t="n">
        <x:v>45740</x:v>
      </x:c>
      <x:c r="H1353" t="str">
        <x:v>39513</x:v>
      </x:c>
      <x:c r="I1353" t="str">
        <x:v>https://www.smwcentral.net/?a=details&amp;id=39513&amp;p=section</x:v>
      </x:c>
      <x:c r="J1353" t="str">
        <x:v>https://dl.smwcentral.net/39513/Pactos%20v1.0.zip</x:v>
      </x:c>
    </x:row>
    <x:row r="1354">
      <x:c r="A1354" t="str">
        <x:v>Pandarosa</x:v>
      </x:c>
      <x:c r="B1354" t="str">
        <x:v>Pandarosa</x:v>
      </x:c>
      <x:c r="C1354" t="str">
        <x:v>YouTibbles</x:v>
      </x:c>
      <x:c r="D1354" t="n">
        <x:v>14</x:v>
      </x:c>
      <x:c r="E1354" t="str">
        <x:v>Expert</x:v>
      </x:c>
      <x:c r="F1354" t="str">
        <x:v>Kaizo</x:v>
      </x:c>
      <x:c r="G1354" t="n">
        <x:v>45709</x:v>
      </x:c>
      <x:c r="H1354" t="str">
        <x:v>39148</x:v>
      </x:c>
      <x:c r="I1354" t="str">
        <x:v>https://www.smwcentral.net/?a=details&amp;id=39148&amp;p=section</x:v>
      </x:c>
      <x:c r="J1354" t="str">
        <x:v>https://dl.smwcentral.net/39148/Pandarosa%20v1.6.zip</x:v>
      </x:c>
    </x:row>
    <x:row r="1355">
      <x:c r="A1355" t="str">
        <x:v>Pandemonium Fortress</x:v>
      </x:c>
      <x:c r="B1355" t="str">
        <x:v>Pandemonium Fortress</x:v>
      </x:c>
      <x:c r="C1355" t="str">
        <x:v>Caracc</x:v>
      </x:c>
      <x:c r="D1355" t="n">
        <x:v>20</x:v>
      </x:c>
      <x:c r="E1355" t="str">
        <x:v>Casual</x:v>
      </x:c>
      <x:c r="F1355" t="str">
        <x:v>Standard</x:v>
      </x:c>
      <x:c r="G1355" t="n">
        <x:v>42044</x:v>
      </x:c>
      <x:c r="H1355" t="str">
        <x:v>9691</x:v>
      </x:c>
      <x:c r="I1355" t="str">
        <x:v>https://www.smwcentral.net/?a=details&amp;id=9691&amp;p=section</x:v>
      </x:c>
      <x:c r="J1355" t="str">
        <x:v>https://dl.smwcentral.net/9691/Pandemonium%20Fortress.zip</x:v>
      </x:c>
    </x:row>
    <x:row r="1356">
      <x:c r="A1356" t="str">
        <x:v>Pandemonium Fortress 2</x:v>
      </x:c>
      <x:c r="B1356" t="str">
        <x:v>Pandemonium Fortress 2</x:v>
      </x:c>
      <x:c r="C1356" t="str">
        <x:v>Caracc</x:v>
      </x:c>
      <x:c r="D1356" t="n">
        <x:v>42</x:v>
      </x:c>
      <x:c r="E1356" t="str">
        <x:v>Intermediate</x:v>
      </x:c>
      <x:c r="F1356" t="str">
        <x:v>Standard</x:v>
      </x:c>
      <x:c r="G1356" t="n">
        <x:v>42224</x:v>
      </x:c>
      <x:c r="H1356" t="str">
        <x:v>9641</x:v>
      </x:c>
      <x:c r="I1356" t="str">
        <x:v>https://www.smwcentral.net/?a=details&amp;id=9641&amp;p=section</x:v>
      </x:c>
      <x:c r="J1356" t="str">
        <x:v>https://dl.smwcentral.net/9641/Pandemonium%20Fortress%202%20v1.02.zip</x:v>
      </x:c>
    </x:row>
    <x:row r="1357">
      <x:c r="A1357" t="str">
        <x:v>Pandora's Box (Legacy)</x:v>
      </x:c>
      <x:c r="B1357" t="str">
        <x:v>Pandora's Box (Legacy)</x:v>
      </x:c>
      <x:c r="C1357" t="str">
        <x:v>Samantha</x:v>
      </x:c>
      <x:c r="D1357" t="n">
        <x:v>1</x:v>
      </x:c>
      <x:c r="E1357" t="str">
        <x:v>Advanced</x:v>
      </x:c>
      <x:c r="F1357" t="str">
        <x:v>Kaizo, Tool-Assisted</x:v>
      </x:c>
      <x:c r="G1357" t="n">
        <x:v>42560</x:v>
      </x:c>
      <x:c r="H1357" t="str">
        <x:v>13941</x:v>
      </x:c>
      <x:c r="I1357" t="str">
        <x:v>https://www.smwcentral.net/?a=details&amp;id=13941&amp;p=section</x:v>
      </x:c>
      <x:c r="J1357" t="str">
        <x:v>https://dl.smwcentral.net/13941/Pandora%27s%20Box%20C3%20Demo.zip</x:v>
      </x:c>
    </x:row>
    <x:row r="1358">
      <x:c r="A1358" t="str">
        <x:v>Panga's Kaizo Kindergarten (For Dummies)</x:v>
      </x:c>
      <x:c r="B1358" t="str">
        <x:v>Panga's Kaizo Kindergarten (For Dummies)</x:v>
      </x:c>
      <x:c r="C1358" t="str">
        <x:v>PangaeaPanga</x:v>
      </x:c>
      <x:c r="D1358" t="n">
        <x:v>40</x:v>
      </x:c>
      <x:c r="E1358" t="str">
        <x:v>Expert</x:v>
      </x:c>
      <x:c r="F1358" t="str">
        <x:v>Kaizo</x:v>
      </x:c>
      <x:c r="G1358" t="n">
        <x:v>43630</x:v>
      </x:c>
      <x:c r="H1358" t="str">
        <x:v>20091</x:v>
      </x:c>
      <x:c r="I1358" t="str">
        <x:v>https://www.smwcentral.net/?a=details&amp;id=20091&amp;p=section</x:v>
      </x:c>
      <x:c r="J1358" t="str">
        <x:v>https://dl.smwcentral.net/20091/Kaizo%20Kindergarten%20v1.09.zip</x:v>
      </x:c>
    </x:row>
    <x:row r="1359">
      <x:c r="A1359" t="str">
        <x:v>Panic in the Mushroom Kingdom</x:v>
      </x:c>
      <x:c r="B1359" t="str">
        <x:v>Panic in the Mushroom Kingdom</x:v>
      </x:c>
      <x:c r="C1359" t="str">
        <x:v>ghettoyouth</x:v>
      </x:c>
      <x:c r="D1359" t="n">
        <x:v>58</x:v>
      </x:c>
      <x:c r="E1359" t="str">
        <x:v>Casual</x:v>
      </x:c>
      <x:c r="F1359" t="str">
        <x:v>Standard</x:v>
      </x:c>
      <x:c r="G1359" t="n">
        <x:v>43882</x:v>
      </x:c>
      <x:c r="H1359" t="str">
        <x:v>22045</x:v>
      </x:c>
      <x:c r="I1359" t="str">
        <x:v>https://www.smwcentral.net/?a=details&amp;id=22045&amp;p=section</x:v>
      </x:c>
      <x:c r="J1359" t="str">
        <x:v>https://dl.smwcentral.net/22045/PITMK-bothversions.zip</x:v>
      </x:c>
    </x:row>
    <x:row r="1360">
      <x:c r="A1360" t="str">
        <x:v>Panic in the Mushroom Kingdom 2</x:v>
      </x:c>
      <x:c r="B1360" t="str">
        <x:v>Panic in the Mushroom Kingdom 2</x:v>
      </x:c>
      <x:c r="C1360" t="str">
        <x:v>ghettoyouth</x:v>
      </x:c>
      <x:c r="D1360" t="n">
        <x:v>66</x:v>
      </x:c>
      <x:c r="E1360" t="str">
        <x:v>Casual</x:v>
      </x:c>
      <x:c r="F1360" t="str">
        <x:v>Standard</x:v>
      </x:c>
      <x:c r="G1360" t="n">
        <x:v>44435</x:v>
      </x:c>
      <x:c r="H1360" t="str">
        <x:v>27799</x:v>
      </x:c>
      <x:c r="I1360" t="str">
        <x:v>https://www.smwcentral.net/?a=details&amp;id=27799&amp;p=section</x:v>
      </x:c>
      <x:c r="J1360" t="str">
        <x:v>https://dl.smwcentral.net/27799/Pitmk2v1.03.zip</x:v>
      </x:c>
    </x:row>
    <x:row r="1361">
      <x:c r="A1361" t="str">
        <x:v>Papaya Mountain</x:v>
      </x:c>
      <x:c r="B1361" t="str">
        <x:v>Papaya Mountain</x:v>
      </x:c>
      <x:c r="C1361" t="str">
        <x:v>VLSkoot</x:v>
      </x:c>
      <x:c r="D1361" t="n">
        <x:v>14</x:v>
      </x:c>
      <x:c r="E1361" t="str">
        <x:v>Expert</x:v>
      </x:c>
      <x:c r="F1361" t="str">
        <x:v>Kaizo</x:v>
      </x:c>
      <x:c r="G1361" t="n">
        <x:v>44409</x:v>
      </x:c>
      <x:c r="H1361" t="str">
        <x:v>27854</x:v>
      </x:c>
      <x:c r="I1361" t="str">
        <x:v>https://www.smwcentral.net/?a=details&amp;id=27854&amp;p=section</x:v>
      </x:c>
      <x:c r="J1361" t="str">
        <x:v>https://dl.smwcentral.net/27854/Papaya%20Mountain.zip</x:v>
      </x:c>
    </x:row>
    <x:row r="1362">
      <x:c r="A1362" t="str">
        <x:v>Paper Mario: The Plasma Star</x:v>
      </x:c>
      <x:c r="B1362" t="str">
        <x:v>Paper Mario: The Plasma Star</x:v>
      </x:c>
      <x:c r="C1362" t="str">
        <x:v>7 up, Andyana Jonseph, TheJullasicFox, TheOrangeToad, tmauri</x:v>
      </x:c>
      <x:c r="D1362" t="n">
        <x:v>6</x:v>
      </x:c>
      <x:c r="E1362" t="str">
        <x:v>Casual</x:v>
      </x:c>
      <x:c r="F1362" t="str">
        <x:v>Standard</x:v>
      </x:c>
      <x:c r="G1362" t="n">
        <x:v>43109</x:v>
      </x:c>
      <x:c r="H1362" t="str">
        <x:v>16891</x:v>
      </x:c>
      <x:c r="I1362" t="str">
        <x:v>https://www.smwcentral.net/?a=details&amp;id=16891&amp;p=section</x:v>
      </x:c>
      <x:c r="J1362" t="str">
        <x:v>https://dl.smwcentral.net/16891/pmtps.zip</x:v>
      </x:c>
    </x:row>
    <x:row r="1363">
      <x:c r="A1363" t="str">
        <x:v>Paralysis</x:v>
      </x:c>
      <x:c r="B1363" t="str">
        <x:v>Paralysis</x:v>
      </x:c>
      <x:c r="C1363" t="str">
        <x:v>RandomType</x:v>
      </x:c>
      <x:c r="D1363" t="n">
        <x:v>16</x:v>
      </x:c>
      <x:c r="E1363" t="str">
        <x:v>Expert</x:v>
      </x:c>
      <x:c r="F1363" t="str">
        <x:v>Kaizo</x:v>
      </x:c>
      <x:c r="G1363" t="n">
        <x:v>45158</x:v>
      </x:c>
      <x:c r="H1363" t="str">
        <x:v>34888</x:v>
      </x:c>
      <x:c r="I1363" t="str">
        <x:v>https://www.smwcentral.net/?a=details&amp;id=34888&amp;p=section</x:v>
      </x:c>
      <x:c r="J1363" t="str">
        <x:v>https://dl.smwcentral.net/34888/Paralysis.zip</x:v>
      </x:c>
    </x:row>
    <x:row r="1364">
      <x:c r="A1364" t="str">
        <x:v>Paranormal Saga</x:v>
      </x:c>
      <x:c r="B1364" t="str">
        <x:v>Paranormal Saga</x:v>
      </x:c>
      <x:c r="C1364" t="str">
        <x:v>DrAnas</x:v>
      </x:c>
      <x:c r="D1364" t="n">
        <x:v>22</x:v>
      </x:c>
      <x:c r="E1364" t="str">
        <x:v>Advanced</x:v>
      </x:c>
      <x:c r="F1364" t="str">
        <x:v>Standard</x:v>
      </x:c>
      <x:c r="G1364" t="n">
        <x:v>45898</x:v>
      </x:c>
      <x:c r="H1364" t="str">
        <x:v>40444</x:v>
      </x:c>
      <x:c r="I1364" t="str">
        <x:v>https://www.smwcentral.net/?a=details&amp;id=40444&amp;p=section</x:v>
      </x:c>
      <x:c r="J1364" t="str">
        <x:v>https://dl.smwcentral.net/40444/pns_official_demo.zip</x:v>
      </x:c>
    </x:row>
    <x:row r="1365">
      <x:c r="A1365" t="str">
        <x:v>PATHMAKER</x:v>
      </x:c>
      <x:c r="B1365" t="str">
        <x:v>PATHMAKER</x:v>
      </x:c>
      <x:c r="C1365" t="str">
        <x:v>Tob</x:v>
      </x:c>
      <x:c r="D1365" t="n">
        <x:v>5</x:v>
      </x:c>
      <x:c r="E1365" t="str">
        <x:v>Intermediate</x:v>
      </x:c>
      <x:c r="F1365" t="str">
        <x:v>Puzzle</x:v>
      </x:c>
      <x:c r="G1365" t="n">
        <x:v>46092</x:v>
      </x:c>
      <x:c r="H1365" t="str">
        <x:v>41839</x:v>
      </x:c>
      <x:c r="I1365" t="str">
        <x:v>https://www.smwcentral.net/?a=details&amp;id=41839&amp;p=section</x:v>
      </x:c>
      <x:c r="J1365" t="str">
        <x:v>https://dl.smwcentral.net/41839/PATHMAKERv1.1.zip</x:v>
      </x:c>
    </x:row>
    <x:row r="1366">
      <x:c r="A1366" t="str">
        <x:v>Paths</x:v>
      </x:c>
      <x:c r="B1366" t="str">
        <x:v>Paths</x:v>
      </x:c>
      <x:c r="C1366" t="str">
        <x:v>FiveFactor</x:v>
      </x:c>
      <x:c r="D1366" t="n">
        <x:v>18</x:v>
      </x:c>
      <x:c r="E1366" t="str">
        <x:v>Expert</x:v>
      </x:c>
      <x:c r="F1366" t="str">
        <x:v>Kaizo</x:v>
      </x:c>
      <x:c r="G1366" t="n">
        <x:v>46136</x:v>
      </x:c>
      <x:c r="H1366" t="str">
        <x:v>42230</x:v>
      </x:c>
      <x:c r="I1366" t="str">
        <x:v>https://www.smwcentral.net/?a=details&amp;id=42230&amp;p=section</x:v>
      </x:c>
      <x:c r="J1366" t="str">
        <x:v>https://dl.smwcentral.net/42230/Paths%201.2.zip</x:v>
      </x:c>
    </x:row>
    <x:row r="1367">
      <x:c r="A1367" t="str">
        <x:v>Paul '96</x:v>
      </x:c>
      <x:c r="B1367" t="str">
        <x:v>Paul '96</x:v>
      </x:c>
      <x:c r="C1367" t="str">
        <x:v>danwaleby</x:v>
      </x:c>
      <x:c r="D1367" t="n">
        <x:v>12</x:v>
      </x:c>
      <x:c r="E1367" t="str">
        <x:v>Casual</x:v>
      </x:c>
      <x:c r="F1367" t="str">
        <x:v>Standard</x:v>
      </x:c>
      <x:c r="G1367" t="n">
        <x:v>43372</x:v>
      </x:c>
      <x:c r="H1367" t="str">
        <x:v>18146</x:v>
      </x:c>
      <x:c r="I1367" t="str">
        <x:v>https://www.smwcentral.net/?a=details&amp;id=18146&amp;p=section</x:v>
      </x:c>
      <x:c r="J1367" t="str">
        <x:v>https://dl.smwcentral.net/18146/Paul%20%2796%20final%20demo.zip</x:v>
      </x:c>
    </x:row>
    <x:row r="1368">
      <x:c r="A1368" t="str">
        <x:v>Peach and Daisy in Luigi's Rescue</x:v>
      </x:c>
      <x:c r="B1368" t="str">
        <x:v>Peach and Daisy in Luigi's Rescue</x:v>
      </x:c>
      <x:c r="C1368" t="str">
        <x:v>Marisa</x:v>
      </x:c>
      <x:c r="D1368" t="n">
        <x:v>7</x:v>
      </x:c>
      <x:c r="E1368" t="str">
        <x:v>Casual</x:v>
      </x:c>
      <x:c r="F1368" t="str">
        <x:v>Standard</x:v>
      </x:c>
      <x:c r="G1368" t="n">
        <x:v>42255</x:v>
      </x:c>
      <x:c r="H1368" t="str">
        <x:v>9961</x:v>
      </x:c>
      <x:c r="I1368" t="str">
        <x:v>https://www.smwcentral.net/?a=details&amp;id=9961&amp;p=section</x:v>
      </x:c>
      <x:c r="J1368" t="str">
        <x:v>https://dl.smwcentral.net/9961/PADILR.zip</x:v>
      </x:c>
    </x:row>
    <x:row r="1369">
      <x:c r="A1369" t="str">
        <x:v>Peach is Missing</x:v>
      </x:c>
      <x:c r="B1369" t="str">
        <x:v>Peach is Missing</x:v>
      </x:c>
      <x:c r="C1369" t="str">
        <x:v>Aurel509</x:v>
      </x:c>
      <x:c r="D1369" t="n">
        <x:v>77</x:v>
      </x:c>
      <x:c r="E1369" t="str">
        <x:v>Intermediate</x:v>
      </x:c>
      <x:c r="F1369" t="str">
        <x:v>Standard</x:v>
      </x:c>
      <x:c r="G1369" t="n">
        <x:v>42764</x:v>
      </x:c>
      <x:c r="H1369" t="str">
        <x:v>15088</x:v>
      </x:c>
      <x:c r="I1369" t="str">
        <x:v>https://www.smwcentral.net/?a=details&amp;id=15088&amp;p=section</x:v>
      </x:c>
      <x:c r="J1369" t="str">
        <x:v>https://dl.smwcentral.net/15088/PIM%20v1.4.1.zip</x:v>
      </x:c>
    </x:row>
    <x:row r="1370">
      <x:c r="A1370" t="str">
        <x:v>Peach Melba</x:v>
      </x:c>
      <x:c r="B1370" t="str">
        <x:v>Peach Melba</x:v>
      </x:c>
      <x:c r="C1370" t="str">
        <x:v>shrine</x:v>
      </x:c>
      <x:c r="D1370" t="n">
        <x:v>12</x:v>
      </x:c>
      <x:c r="E1370" t="str">
        <x:v>Casual</x:v>
      </x:c>
      <x:c r="F1370" t="str">
        <x:v>Standard</x:v>
      </x:c>
      <x:c r="G1370" t="n">
        <x:v>42309</x:v>
      </x:c>
      <x:c r="H1370" t="str">
        <x:v>9766</x:v>
      </x:c>
      <x:c r="I1370" t="str">
        <x:v>https://www.smwcentral.net/?a=details&amp;id=9766&amp;p=section</x:v>
      </x:c>
      <x:c r="J1370" t="str">
        <x:v>https://dl.smwcentral.net/9766/Peach%20Melba.zip</x:v>
      </x:c>
    </x:row>
    <x:row r="1371">
      <x:c r="A1371" t="str">
        <x:v>Peachy Moat World</x:v>
      </x:c>
      <x:c r="B1371" t="str">
        <x:v>Peachy Moat World</x:v>
      </x:c>
      <x:c r="C1371" t="str">
        <x:v>Dan2point5, Sparkysie</x:v>
      </x:c>
      <x:c r="D1371" t="n">
        <x:v>29</x:v>
      </x:c>
      <x:c r="E1371" t="str">
        <x:v>Expert</x:v>
      </x:c>
      <x:c r="F1371" t="str">
        <x:v>Kaizo</x:v>
      </x:c>
      <x:c r="G1371" t="n">
        <x:v>44054</x:v>
      </x:c>
      <x:c r="H1371" t="str">
        <x:v>24148</x:v>
      </x:c>
      <x:c r="I1371" t="str">
        <x:v>https://www.smwcentral.net/?a=details&amp;id=24148&amp;p=section</x:v>
      </x:c>
      <x:c r="J1371" t="str">
        <x:v>https://dl.smwcentral.net/24148/Peachy_Moat_World.zip</x:v>
      </x:c>
    </x:row>
    <x:row r="1372">
      <x:c r="A1372" t="str">
        <x:v>Peachy Moat World 2</x:v>
      </x:c>
      <x:c r="B1372" t="str">
        <x:v>Peachy Moat World 2</x:v>
      </x:c>
      <x:c r="C1372" t="str">
        <x:v>Dan2point5, Sparkysie</x:v>
      </x:c>
      <x:c r="D1372" t="n">
        <x:v>44</x:v>
      </x:c>
      <x:c r="E1372" t="str">
        <x:v>Expert</x:v>
      </x:c>
      <x:c r="F1372" t="str">
        <x:v>Kaizo</x:v>
      </x:c>
      <x:c r="G1372" t="n">
        <x:v>45857</x:v>
      </x:c>
      <x:c r="H1372" t="str">
        <x:v>40112</x:v>
      </x:c>
      <x:c r="I1372" t="str">
        <x:v>https://www.smwcentral.net/?a=details&amp;id=40112&amp;p=section</x:v>
      </x:c>
      <x:c r="J1372" t="str">
        <x:v>https://dl.smwcentral.net/40112/Peachy%20Moat%20World%202.zip</x:v>
      </x:c>
    </x:row>
    <x:row r="1373">
      <x:c r="A1373" t="str">
        <x:v>Perchance</x:v>
      </x:c>
      <x:c r="B1373" t="str">
        <x:v>Perchance</x:v>
      </x:c>
      <x:c r="C1373" t="str">
        <x:v>papanug</x:v>
      </x:c>
      <x:c r="D1373" t="n">
        <x:v>36</x:v>
      </x:c>
      <x:c r="E1373" t="str">
        <x:v>Master</x:v>
      </x:c>
      <x:c r="F1373" t="str">
        <x:v>Kaizo</x:v>
      </x:c>
      <x:c r="G1373" t="n">
        <x:v>45664</x:v>
      </x:c>
      <x:c r="H1373" t="str">
        <x:v>38173</x:v>
      </x:c>
      <x:c r="I1373" t="str">
        <x:v>https://www.smwcentral.net/?a=details&amp;id=38173&amp;p=section</x:v>
      </x:c>
      <x:c r="J1373" t="str">
        <x:v>https://dl.smwcentral.net/38173/Perchance.zip</x:v>
      </x:c>
    </x:row>
    <x:row r="1374">
      <x:c r="A1374" t="str">
        <x:v>Perfect theorem</x:v>
      </x:c>
      <x:c r="B1374" t="str">
        <x:v>Perfect theorem</x:v>
      </x:c>
      <x:c r="C1374" t="str">
        <x:v>TS_N</x:v>
      </x:c>
      <x:c r="D1374" t="n">
        <x:v>8</x:v>
      </x:c>
      <x:c r="E1374" t="str">
        <x:v>Master</x:v>
      </x:c>
      <x:c r="F1374" t="str">
        <x:v>Kaizo, Tool-Assisted</x:v>
      </x:c>
      <x:c r="G1374" t="n">
        <x:v>44561</x:v>
      </x:c>
      <x:c r="H1374" t="str">
        <x:v>28945</x:v>
      </x:c>
      <x:c r="I1374" t="str">
        <x:v>https://www.smwcentral.net/?a=details&amp;id=28945&amp;p=section</x:v>
      </x:c>
      <x:c r="J1374" t="str">
        <x:v>https://dl.smwcentral.net/28945/perfect%20theorem.zip</x:v>
      </x:c>
    </x:row>
    <x:row r="1375">
      <x:c r="A1375" t="str">
        <x:v>Persona Non Grata</x:v>
      </x:c>
      <x:c r="B1375" t="str">
        <x:v>Persona Non Grata</x:v>
      </x:c>
      <x:c r="C1375" t="str">
        <x:v>bluesaint</x:v>
      </x:c>
      <x:c r="D1375" t="n">
        <x:v>12</x:v>
      </x:c>
      <x:c r="E1375" t="str">
        <x:v>Expert</x:v>
      </x:c>
      <x:c r="F1375" t="str">
        <x:v>Kaizo</x:v>
      </x:c>
      <x:c r="G1375" t="n">
        <x:v>43493</x:v>
      </x:c>
      <x:c r="H1375" t="str">
        <x:v>18794</x:v>
      </x:c>
      <x:c r="I1375" t="str">
        <x:v>https://www.smwcentral.net/?a=details&amp;id=18794&amp;p=section</x:v>
      </x:c>
      <x:c r="J1375" t="str">
        <x:v>https://dl.smwcentral.net/18794/Persona%20Non%20Grata.zip</x:v>
      </x:c>
    </x:row>
    <x:row r="1376">
      <x:c r="A1376" t="str">
        <x:v>Persus: A Toad Adventure</x:v>
      </x:c>
      <x:c r="B1376" t="str">
        <x:v>Persus: A Toad Adventure</x:v>
      </x:c>
      <x:c r="C1376" t="str">
        <x:v>Fyord</x:v>
      </x:c>
      <x:c r="D1376" t="n">
        <x:v>1</x:v>
      </x:c>
      <x:c r="E1376" t="str">
        <x:v>Newcomer</x:v>
      </x:c>
      <x:c r="F1376" t="str">
        <x:v>Standard</x:v>
      </x:c>
      <x:c r="G1376" t="n">
        <x:v>41814</x:v>
      </x:c>
      <x:c r="H1376" t="str">
        <x:v>6763</x:v>
      </x:c>
      <x:c r="I1376" t="str">
        <x:v>https://www.smwcentral.net/?a=details&amp;id=6763&amp;p=section</x:v>
      </x:c>
      <x:c r="J1376" t="str">
        <x:v>https://dl.smwcentral.net/6763/Persus.zip</x:v>
      </x:c>
    </x:row>
    <x:row r="1377">
      <x:c r="A1377" t="str">
        <x:v>Phenomenal Mario World</x:v>
      </x:c>
      <x:c r="B1377" t="str">
        <x:v>Phenomenal Mario World</x:v>
      </x:c>
      <x:c r="C1377" t="str">
        <x:v>Stivi</x:v>
      </x:c>
      <x:c r="D1377" t="n">
        <x:v>11</x:v>
      </x:c>
      <x:c r="E1377" t="str">
        <x:v>Casual</x:v>
      </x:c>
      <x:c r="F1377" t="str">
        <x:v>Standard</x:v>
      </x:c>
      <x:c r="G1377" t="n">
        <x:v>42728</x:v>
      </x:c>
      <x:c r="H1377" t="str">
        <x:v>14791</x:v>
      </x:c>
      <x:c r="I1377" t="str">
        <x:v>https://www.smwcentral.net/?a=details&amp;id=14791&amp;p=section</x:v>
      </x:c>
      <x:c r="J1377" t="str">
        <x:v>https://dl.smwcentral.net/14791/Phenomenal%20Mario%20World%20Demo.zip</x:v>
      </x:c>
    </x:row>
    <x:row r="1378">
      <x:c r="A1378" t="str">
        <x:v>Pin's Grand Adventure ; The Real Deal</x:v>
      </x:c>
      <x:c r="B1378" t="str">
        <x:v>Pin's Grand Adventure ; The Real Deal</x:v>
      </x:c>
      <x:c r="C1378" t="str">
        <x:v>DougieBomber12</x:v>
      </x:c>
      <x:c r="D1378" t="n">
        <x:v>19</x:v>
      </x:c>
      <x:c r="E1378" t="str">
        <x:v>Casual</x:v>
      </x:c>
      <x:c r="F1378" t="str">
        <x:v>Standard</x:v>
      </x:c>
      <x:c r="G1378" t="n">
        <x:v>42855</x:v>
      </x:c>
      <x:c r="H1378" t="str">
        <x:v>15521</x:v>
      </x:c>
      <x:c r="I1378" t="str">
        <x:v>https://www.smwcentral.net/?a=details&amp;id=15521&amp;p=section</x:v>
      </x:c>
      <x:c r="J1378" t="str">
        <x:v>https://dl.smwcentral.net/15521/Pin%27s%20Grand%20Adventure.zip</x:v>
      </x:c>
    </x:row>
    <x:row r="1379">
      <x:c r="A1379" t="str">
        <x:v>Pineapple Porcupine</x:v>
      </x:c>
      <x:c r="B1379" t="str">
        <x:v>Pineapple Porcupine</x:v>
      </x:c>
      <x:c r="C1379" t="str">
        <x:v>Dan2point5</x:v>
      </x:c>
      <x:c r="D1379" t="n">
        <x:v>14</x:v>
      </x:c>
      <x:c r="E1379" t="str">
        <x:v>Expert</x:v>
      </x:c>
      <x:c r="F1379" t="str">
        <x:v>Kaizo</x:v>
      </x:c>
      <x:c r="G1379" t="n">
        <x:v>44991</x:v>
      </x:c>
      <x:c r="H1379" t="str">
        <x:v>33410</x:v>
      </x:c>
      <x:c r="I1379" t="str">
        <x:v>https://www.smwcentral.net/?a=details&amp;id=33410&amp;p=section</x:v>
      </x:c>
      <x:c r="J1379" t="str">
        <x:v>https://dl.smwcentral.net/33410/Pineapple%20Porcupine%20v1.1.zip</x:v>
      </x:c>
    </x:row>
    <x:row r="1380">
      <x:c r="A1380" t="str">
        <x:v>Pineapple Porcupine 2</x:v>
      </x:c>
      <x:c r="B1380" t="str">
        <x:v>Pineapple Porcupine 2</x:v>
      </x:c>
      <x:c r="C1380" t="str">
        <x:v>Dan2point5</x:v>
      </x:c>
      <x:c r="D1380" t="n">
        <x:v>25</x:v>
      </x:c>
      <x:c r="E1380" t="str">
        <x:v>Expert</x:v>
      </x:c>
      <x:c r="F1380" t="str">
        <x:v>Kaizo</x:v>
      </x:c>
      <x:c r="G1380" t="n">
        <x:v>46143</x:v>
      </x:c>
      <x:c r="H1380" t="str">
        <x:v>42291</x:v>
      </x:c>
      <x:c r="I1380" t="str">
        <x:v>https://www.smwcentral.net/?a=details&amp;id=42291&amp;p=section</x:v>
      </x:c>
      <x:c r="J1380" t="str">
        <x:v>https://dl.smwcentral.net/42291/Pineapple%20Porcupine%202.zip</x:v>
      </x:c>
    </x:row>
    <x:row r="1381">
      <x:c r="A1381" t="str">
        <x:v>Pipe City</x:v>
      </x:c>
      <x:c r="B1381" t="str">
        <x:v>Pipe City</x:v>
      </x:c>
      <x:c r="C1381" t="str">
        <x:v>Graystripe</x:v>
      </x:c>
      <x:c r="D1381" t="n">
        <x:v>4</x:v>
      </x:c>
      <x:c r="E1381" t="str">
        <x:v>Intermediate</x:v>
      </x:c>
      <x:c r="F1381" t="str">
        <x:v>Kaizo</x:v>
      </x:c>
      <x:c r="G1381" t="n">
        <x:v>45690</x:v>
      </x:c>
      <x:c r="H1381" t="str">
        <x:v>39132</x:v>
      </x:c>
      <x:c r="I1381" t="str">
        <x:v>https://www.smwcentral.net/?a=details&amp;id=39132&amp;p=section</x:v>
      </x:c>
      <x:c r="J1381" t="str">
        <x:v>https://dl.smwcentral.net/39132/Pipe_City_v1.1.zip</x:v>
      </x:c>
    </x:row>
    <x:row r="1382">
      <x:c r="A1382" t="str">
        <x:v>Pipetastic</x:v>
      </x:c>
      <x:c r="B1382" t="str">
        <x:v>Pipetastic</x:v>
      </x:c>
      <x:c r="C1382" t="str">
        <x:v>RandomType</x:v>
      </x:c>
      <x:c r="D1382" t="n">
        <x:v>8</x:v>
      </x:c>
      <x:c r="E1382" t="str">
        <x:v>Expert</x:v>
      </x:c>
      <x:c r="F1382" t="str">
        <x:v>Kaizo</x:v>
      </x:c>
      <x:c r="G1382" t="n">
        <x:v>45998</x:v>
      </x:c>
      <x:c r="H1382" t="str">
        <x:v>41226</x:v>
      </x:c>
      <x:c r="I1382" t="str">
        <x:v>https://www.smwcentral.net/?a=details&amp;id=41226&amp;p=section</x:v>
      </x:c>
      <x:c r="J1382" t="str">
        <x:v>https://dl.smwcentral.net/41226/Pipetastic1.1.zip</x:v>
      </x:c>
    </x:row>
    <x:row r="1383">
      <x:c r="A1383" t="str">
        <x:v>Piranhatopia</x:v>
      </x:c>
      <x:c r="B1383" t="str">
        <x:v>Piranhatopia</x:v>
      </x:c>
      <x:c r="C1383" t="str">
        <x:v>Vamperumbra</x:v>
      </x:c>
      <x:c r="D1383" t="n">
        <x:v>21</x:v>
      </x:c>
      <x:c r="E1383" t="str">
        <x:v>Intermediate</x:v>
      </x:c>
      <x:c r="F1383" t="str">
        <x:v>Standard</x:v>
      </x:c>
      <x:c r="G1383" t="n">
        <x:v>42784</x:v>
      </x:c>
      <x:c r="H1383" t="str">
        <x:v>15170</x:v>
      </x:c>
      <x:c r="I1383" t="str">
        <x:v>https://www.smwcentral.net/?a=details&amp;id=15170&amp;p=section</x:v>
      </x:c>
      <x:c r="J1383" t="str">
        <x:v>https://dl.smwcentral.net/15170/Piranhatopia.zip</x:v>
      </x:c>
    </x:row>
    <x:row r="1384">
      <x:c r="A1384" t="str">
        <x:v>Pirate Hack (Demo)</x:v>
      </x:c>
      <x:c r="B1384" t="str">
        <x:v>Pirate Hack (Demo)</x:v>
      </x:c>
      <x:c r="C1384" t="str">
        <x:v>Ziz</x:v>
      </x:c>
      <x:c r="D1384" t="n">
        <x:v>10</x:v>
      </x:c>
      <x:c r="E1384" t="str">
        <x:v>Intermediate</x:v>
      </x:c>
      <x:c r="F1384" t="str">
        <x:v>Standard</x:v>
      </x:c>
      <x:c r="G1384" t="n">
        <x:v>44766</x:v>
      </x:c>
      <x:c r="H1384" t="str">
        <x:v>31373</x:v>
      </x:c>
      <x:c r="I1384" t="str">
        <x:v>https://www.smwcentral.net/?a=details&amp;id=31373&amp;p=section</x:v>
      </x:c>
      <x:c r="J1384" t="str">
        <x:v>https://dl.smwcentral.net/31373/Pirate%20Hack%20Demo.zip</x:v>
      </x:c>
    </x:row>
    <x:row r="1385">
      <x:c r="A1385" t="str">
        <x:v>Pit of Abuse</x:v>
      </x:c>
      <x:c r="B1385" t="str">
        <x:v>Pit of Abuse</x:v>
      </x:c>
      <x:c r="C1385" t="str">
        <x:v>51690</x:v>
      </x:c>
      <x:c r="D1385" t="n">
        <x:v>1</x:v>
      </x:c>
      <x:c r="E1385" t="str">
        <x:v>Expert</x:v>
      </x:c>
      <x:c r="F1385" t="str">
        <x:v>Tool-Assisted, Pit</x:v>
      </x:c>
      <x:c r="G1385" t="n">
        <x:v>44912</x:v>
      </x:c>
      <x:c r="H1385" t="str">
        <x:v>32328</x:v>
      </x:c>
      <x:c r="I1385" t="str">
        <x:v>https://www.smwcentral.net/?a=details&amp;id=32328&amp;p=section</x:v>
      </x:c>
      <x:c r="J1385" t="str">
        <x:v>https://dl.smwcentral.net/32328/pit%20of%20abuse.zip</x:v>
      </x:c>
    </x:row>
    <x:row r="1386">
      <x:c r="A1386" t="str">
        <x:v>Pit of God</x:v>
      </x:c>
      <x:c r="B1386" t="str">
        <x:v>Pit of God</x:v>
      </x:c>
      <x:c r="C1386" t="str">
        <x:v>HKSo051</x:v>
      </x:c>
      <x:c r="D1386" t="n">
        <x:v>1</x:v>
      </x:c>
      <x:c r="E1386" t="str">
        <x:v>Grandmaster</x:v>
      </x:c>
      <x:c r="F1386" t="str">
        <x:v>Tool-Assisted, Pit</x:v>
      </x:c>
      <x:c r="G1386" t="n">
        <x:v>43458</x:v>
      </x:c>
      <x:c r="H1386" t="str">
        <x:v>18608</x:v>
      </x:c>
      <x:c r="I1386" t="str">
        <x:v>https://www.smwcentral.net/?a=details&amp;id=18608&amp;p=section</x:v>
      </x:c>
      <x:c r="J1386" t="str">
        <x:v>https://dl.smwcentral.net/18608/Pit%20Of%20God.zip</x:v>
      </x:c>
    </x:row>
    <x:row r="1387">
      <x:c r="A1387" t="str">
        <x:v>Pit of Gui!! (Reformulated Version)</x:v>
      </x:c>
      <x:c r="B1387" t="str">
        <x:v>Pit of Gui!! (Reformulated Version)</x:v>
      </x:c>
      <x:c r="C1387" t="str">
        <x:v>GuilhermeYT</x:v>
      </x:c>
      <x:c r="D1387" t="n">
        <x:v>1</x:v>
      </x:c>
      <x:c r="E1387" t="str">
        <x:v>Expert</x:v>
      </x:c>
      <x:c r="F1387" t="str">
        <x:v>Tool-Assisted, Pit</x:v>
      </x:c>
      <x:c r="G1387" t="n">
        <x:v>46211</x:v>
      </x:c>
      <x:c r="H1387" t="str">
        <x:v>42546</x:v>
      </x:c>
      <x:c r="I1387" t="str">
        <x:v>https://www.smwcentral.net/?a=details&amp;id=42546&amp;p=section</x:v>
      </x:c>
      <x:c r="J1387" t="str">
        <x:v>https://dl.smwcentral.net/42546/Pit%20of%20Gui%21%21%20V1.4%20%28Reformulated%20Version%29.zip</x:v>
      </x:c>
    </x:row>
    <x:row r="1388">
      <x:c r="A1388" t="str">
        <x:v>Pit of Insaneness</x:v>
      </x:c>
      <x:c r="B1388" t="str">
        <x:v>Pit of Insaneness</x:v>
      </x:c>
      <x:c r="C1388" t="str">
        <x:v>NBKevin98</x:v>
      </x:c>
      <x:c r="D1388" t="n">
        <x:v>1</x:v>
      </x:c>
      <x:c r="E1388" t="str">
        <x:v>Master</x:v>
      </x:c>
      <x:c r="F1388" t="str">
        <x:v>Tool-Assisted, Pit</x:v>
      </x:c>
      <x:c r="G1388" t="n">
        <x:v>43155</x:v>
      </x:c>
      <x:c r="H1388" t="str">
        <x:v>16829</x:v>
      </x:c>
      <x:c r="I1388" t="str">
        <x:v>https://www.smwcentral.net/?a=details&amp;id=16829&amp;p=section</x:v>
      </x:c>
      <x:c r="J1388" t="str">
        <x:v>https://dl.smwcentral.net/16829/Pit%20of%20Insaneness%20v.1.0.zip</x:v>
      </x:c>
    </x:row>
    <x:row r="1389">
      <x:c r="A1389" t="str">
        <x:v>Pit of Insaneness 2</x:v>
      </x:c>
      <x:c r="B1389" t="str">
        <x:v>Pit of Insaneness 2</x:v>
      </x:c>
      <x:c r="C1389" t="str">
        <x:v>NBKevin98</x:v>
      </x:c>
      <x:c r="D1389" t="n">
        <x:v>1</x:v>
      </x:c>
      <x:c r="E1389" t="str">
        <x:v>Grandmaster</x:v>
      </x:c>
      <x:c r="F1389" t="str">
        <x:v>Tool-Assisted, Pit</x:v>
      </x:c>
      <x:c r="G1389" t="n">
        <x:v>43109</x:v>
      </x:c>
      <x:c r="H1389" t="str">
        <x:v>16765</x:v>
      </x:c>
      <x:c r="I1389" t="str">
        <x:v>https://www.smwcentral.net/?a=details&amp;id=16765&amp;p=section</x:v>
      </x:c>
      <x:c r="J1389" t="str">
        <x:v>https://dl.smwcentral.net/16765/Pit%20of%20Insaneness%202.zip</x:v>
      </x:c>
    </x:row>
    <x:row r="1390">
      <x:c r="A1390" t="str">
        <x:v>Pit Of RTA</x:v>
      </x:c>
      <x:c r="B1390" t="str">
        <x:v>Pit Of RTA</x:v>
      </x:c>
      <x:c r="C1390" t="str">
        <x:v>Nowieso</x:v>
      </x:c>
      <x:c r="D1390" t="n">
        <x:v>6</x:v>
      </x:c>
      <x:c r="E1390" t="str">
        <x:v>Expert</x:v>
      </x:c>
      <x:c r="F1390" t="str">
        <x:v>Kaizo</x:v>
      </x:c>
      <x:c r="G1390" t="n">
        <x:v>45222</x:v>
      </x:c>
      <x:c r="H1390" t="str">
        <x:v>35328</x:v>
      </x:c>
      <x:c r="I1390" t="str">
        <x:v>https://www.smwcentral.net/?a=details&amp;id=35328&amp;p=section</x:v>
      </x:c>
      <x:c r="J1390" t="str">
        <x:v>https://dl.smwcentral.net/35328/Pit_Of_RTA.zip</x:v>
      </x:c>
    </x:row>
    <x:row r="1391">
      <x:c r="A1391" t="str">
        <x:v>Pizza of challenges</x:v>
      </x:c>
      <x:c r="B1391" t="str">
        <x:v>Pizza of challenges</x:v>
      </x:c>
      <x:c r="C1391" t="str">
        <x:v>Pizzagamer9791</x:v>
      </x:c>
      <x:c r="D1391" t="n">
        <x:v>9</x:v>
      </x:c>
      <x:c r="E1391" t="str">
        <x:v>Expert</x:v>
      </x:c>
      <x:c r="F1391" t="str">
        <x:v>Kaizo</x:v>
      </x:c>
      <x:c r="G1391" t="n">
        <x:v>45420</x:v>
      </x:c>
      <x:c r="H1391" t="str">
        <x:v>37733</x:v>
      </x:c>
      <x:c r="I1391" t="str">
        <x:v>https://www.smwcentral.net/?a=details&amp;id=37733&amp;p=section</x:v>
      </x:c>
      <x:c r="J1391" t="str">
        <x:v>https://dl.smwcentral.net/37733/Pizza%20of%20challenges.zip</x:v>
      </x:c>
    </x:row>
    <x:row r="1392">
      <x:c r="A1392" t="str">
        <x:v>Plain Cheese Pizza</x:v>
      </x:c>
      <x:c r="B1392" t="str">
        <x:v>Plain Cheese Pizza</x:v>
      </x:c>
      <x:c r="C1392" t="str">
        <x:v>MistaX88</x:v>
      </x:c>
      <x:c r="D1392" t="n">
        <x:v>24</x:v>
      </x:c>
      <x:c r="E1392" t="str">
        <x:v>Expert</x:v>
      </x:c>
      <x:c r="F1392" t="str">
        <x:v>Kaizo</x:v>
      </x:c>
      <x:c r="G1392" t="n">
        <x:v>45089</x:v>
      </x:c>
      <x:c r="H1392" t="str">
        <x:v>34061</x:v>
      </x:c>
      <x:c r="I1392" t="str">
        <x:v>https://www.smwcentral.net/?a=details&amp;id=34061&amp;p=section</x:v>
      </x:c>
      <x:c r="J1392" t="str">
        <x:v>https://dl.smwcentral.net/34061/PlainCheesePizza1.1.zip</x:v>
      </x:c>
    </x:row>
    <x:row r="1393">
      <x:c r="A1393" t="str">
        <x:v>planets</x:v>
      </x:c>
      <x:c r="B1393" t="str">
        <x:v>planets</x:v>
      </x:c>
      <x:c r="C1393" t="str">
        <x:v>VLSkoot</x:v>
      </x:c>
      <x:c r="D1393" t="n">
        <x:v>9</x:v>
      </x:c>
      <x:c r="E1393" t="str">
        <x:v>Expert</x:v>
      </x:c>
      <x:c r="F1393" t="str">
        <x:v>Kaizo</x:v>
      </x:c>
      <x:c r="G1393" t="n">
        <x:v>44901</x:v>
      </x:c>
      <x:c r="H1393" t="str">
        <x:v>32693</x:v>
      </x:c>
      <x:c r="I1393" t="str">
        <x:v>https://www.smwcentral.net/?a=details&amp;id=32693&amp;p=section</x:v>
      </x:c>
      <x:c r="J1393" t="str">
        <x:v>https://dl.smwcentral.net/32693/Planets.zip</x:v>
      </x:c>
    </x:row>
    <x:row r="1394">
      <x:c r="A1394" t="str">
        <x:v>Play To Win</x:v>
      </x:c>
      <x:c r="B1394" t="str">
        <x:v>Play To Win</x:v>
      </x:c>
      <x:c r="C1394" t="str">
        <x:v>Mr. MS</x:v>
      </x:c>
      <x:c r="D1394" t="n">
        <x:v>32</x:v>
      </x:c>
      <x:c r="E1394" t="str">
        <x:v>Casual</x:v>
      </x:c>
      <x:c r="F1394" t="str">
        <x:v>Standard</x:v>
      </x:c>
      <x:c r="G1394" t="n">
        <x:v>45232</x:v>
      </x:c>
      <x:c r="H1394" t="str">
        <x:v>35230</x:v>
      </x:c>
      <x:c r="I1394" t="str">
        <x:v>https://www.smwcentral.net/?a=details&amp;id=35230&amp;p=section</x:v>
      </x:c>
      <x:c r="J1394" t="str">
        <x:v>https://dl.smwcentral.net/35230/PlayToWin_1_6_0.zip</x:v>
      </x:c>
    </x:row>
    <x:row r="1395">
      <x:c r="A1395" t="str">
        <x:v>Playground Kaizo</x:v>
      </x:c>
      <x:c r="B1395" t="str">
        <x:v>Playground Kaizo</x:v>
      </x:c>
      <x:c r="C1395" t="str">
        <x:v>RicardoDeMelo</x:v>
      </x:c>
      <x:c r="D1395" t="n">
        <x:v>6</x:v>
      </x:c>
      <x:c r="E1395" t="str">
        <x:v>Casual</x:v>
      </x:c>
      <x:c r="F1395" t="str">
        <x:v>Kaizo</x:v>
      </x:c>
      <x:c r="G1395" t="n">
        <x:v>46066</x:v>
      </x:c>
      <x:c r="H1395" t="str">
        <x:v>41584</x:v>
      </x:c>
      <x:c r="I1395" t="str">
        <x:v>https://www.smwcentral.net/?a=details&amp;id=41584&amp;p=section</x:v>
      </x:c>
      <x:c r="J1395" t="str">
        <x:v>https://dl.smwcentral.net/41584/Playground%20Kaizo.zip</x:v>
      </x:c>
    </x:row>
    <x:row r="1396">
      <x:c r="A1396" t="str">
        <x:v>Playground Kaizo 2</x:v>
      </x:c>
      <x:c r="B1396" t="str">
        <x:v>Playground Kaizo 2</x:v>
      </x:c>
      <x:c r="C1396" t="str">
        <x:v>RicardoDeMelo</x:v>
      </x:c>
      <x:c r="D1396" t="n">
        <x:v>8</x:v>
      </x:c>
      <x:c r="E1396" t="str">
        <x:v>Casual</x:v>
      </x:c>
      <x:c r="F1396" t="str">
        <x:v>Kaizo</x:v>
      </x:c>
      <x:c r="G1396" t="n">
        <x:v>46126</x:v>
      </x:c>
      <x:c r="H1396" t="str">
        <x:v>42098</x:v>
      </x:c>
      <x:c r="I1396" t="str">
        <x:v>https://www.smwcentral.net/?a=details&amp;id=42098&amp;p=section</x:v>
      </x:c>
      <x:c r="J1396" t="str">
        <x:v>https://dl.smwcentral.net/42098/Playground%20Kaizo%202.zip</x:v>
      </x:c>
    </x:row>
    <x:row r="1397">
      <x:c r="A1397" t="str">
        <x:v>PLAYTIME</x:v>
      </x:c>
      <x:c r="B1397" t="str">
        <x:v>PLAYTIME</x:v>
      </x:c>
      <x:c r="C1397" t="str">
        <x:v>Insanit</x:v>
      </x:c>
      <x:c r="D1397" t="n">
        <x:v>17</x:v>
      </x:c>
      <x:c r="E1397" t="str">
        <x:v>Expert</x:v>
      </x:c>
      <x:c r="F1397" t="str">
        <x:v>Kaizo</x:v>
      </x:c>
      <x:c r="G1397" t="n">
        <x:v>46196</x:v>
      </x:c>
      <x:c r="H1397" t="str">
        <x:v>42543</x:v>
      </x:c>
      <x:c r="I1397" t="str">
        <x:v>https://www.smwcentral.net/?a=details&amp;id=42543&amp;p=section</x:v>
      </x:c>
      <x:c r="J1397" t="str">
        <x:v>https://dl.smwcentral.net/42543/playtime_1.11.zip</x:v>
      </x:c>
    </x:row>
    <x:row r="1398">
      <x:c r="A1398" t="str">
        <x:v>Plombier du Fromage</x:v>
      </x:c>
      <x:c r="B1398" t="str">
        <x:v>Plombier du Fromage</x:v>
      </x:c>
      <x:c r="C1398" t="str">
        <x:v>Fumu</x:v>
      </x:c>
      <x:c r="D1398" t="n">
        <x:v>8</x:v>
      </x:c>
      <x:c r="E1398" t="str">
        <x:v>Advanced</x:v>
      </x:c>
      <x:c r="F1398" t="str">
        <x:v>Standard</x:v>
      </x:c>
      <x:c r="G1398" t="n">
        <x:v>44068</x:v>
      </x:c>
      <x:c r="H1398" t="str">
        <x:v>24373</x:v>
      </x:c>
      <x:c r="I1398" t="str">
        <x:v>https://www.smwcentral.net/?a=details&amp;id=24373&amp;p=section</x:v>
      </x:c>
      <x:c r="J1398" t="str">
        <x:v>https://dl.smwcentral.net/24373/plombier%20du%20fromage.zip</x:v>
      </x:c>
    </x:row>
    <x:row r="1399">
      <x:c r="A1399" t="str">
        <x:v>Po's adventure neko burst</x:v>
      </x:c>
      <x:c r="B1399" t="str">
        <x:v>Po's adventure neko burst</x:v>
      </x:c>
      <x:c r="C1399" t="str">
        <x:v>nathanx365</x:v>
      </x:c>
      <x:c r="D1399" t="n">
        <x:v>12</x:v>
      </x:c>
      <x:c r="E1399" t="str">
        <x:v>Newcomer</x:v>
      </x:c>
      <x:c r="F1399" t="str">
        <x:v>Standard</x:v>
      </x:c>
      <x:c r="G1399" t="n">
        <x:v>42742</x:v>
      </x:c>
      <x:c r="H1399" t="str">
        <x:v>14907</x:v>
      </x:c>
      <x:c r="I1399" t="str">
        <x:v>https://www.smwcentral.net/?a=details&amp;id=14907&amp;p=section</x:v>
      </x:c>
      <x:c r="J1399" t="str">
        <x:v>https://dl.smwcentral.net/14907/Po%27s%20adventure%20neko%20burst.zip</x:v>
      </x:c>
    </x:row>
    <x:row r="1400">
      <x:c r="A1400" t="str">
        <x:v>Pointless</x:v>
      </x:c>
      <x:c r="B1400" t="str">
        <x:v>Pointless</x:v>
      </x:c>
      <x:c r="C1400" t="str">
        <x:v>SonofSolaire</x:v>
      </x:c>
      <x:c r="D1400" t="n">
        <x:v>12</x:v>
      </x:c>
      <x:c r="E1400" t="str">
        <x:v>Advanced</x:v>
      </x:c>
      <x:c r="F1400" t="str">
        <x:v>Kaizo</x:v>
      </x:c>
      <x:c r="G1400" t="n">
        <x:v>46219</x:v>
      </x:c>
      <x:c r="H1400" t="str">
        <x:v>42699</x:v>
      </x:c>
      <x:c r="I1400" t="str">
        <x:v>https://www.smwcentral.net/?a=details&amp;id=42699&amp;p=section</x:v>
      </x:c>
      <x:c r="J1400" t="str">
        <x:v>https://dl.smwcentral.net/42699/Pointless%201.0.zip</x:v>
      </x:c>
    </x:row>
    <x:row r="1401">
      <x:c r="A1401" t="str">
        <x:v>Poked</x:v>
      </x:c>
      <x:c r="B1401" t="str">
        <x:v>Poked</x:v>
      </x:c>
      <x:c r="C1401" t="str">
        <x:v>akseliv</x:v>
      </x:c>
      <x:c r="D1401" t="n">
        <x:v>3</x:v>
      </x:c>
      <x:c r="E1401" t="str">
        <x:v>Intermediate</x:v>
      </x:c>
      <x:c r="F1401" t="str">
        <x:v>Standard, Kaizo</x:v>
      </x:c>
      <x:c r="G1401" t="n">
        <x:v>45699</x:v>
      </x:c>
      <x:c r="H1401" t="str">
        <x:v>39121</x:v>
      </x:c>
      <x:c r="I1401" t="str">
        <x:v>https://www.smwcentral.net/?a=details&amp;id=39121&amp;p=section</x:v>
      </x:c>
      <x:c r="J1401" t="str">
        <x:v>https://dl.smwcentral.net/39121/Poked.zip</x:v>
      </x:c>
    </x:row>
    <x:row r="1402">
      <x:c r="A1402" t="str">
        <x:v>Pokey's Adventure</x:v>
      </x:c>
      <x:c r="B1402" t="str">
        <x:v>Pokey's Adventure</x:v>
      </x:c>
      <x:c r="C1402" t="str">
        <x:v>wye</x:v>
      </x:c>
      <x:c r="D1402" t="n">
        <x:v>7</x:v>
      </x:c>
      <x:c r="E1402" t="str">
        <x:v>Newcomer</x:v>
      </x:c>
      <x:c r="F1402" t="str">
        <x:v>Standard</x:v>
      </x:c>
      <x:c r="G1402" t="n">
        <x:v>41464</x:v>
      </x:c>
      <x:c r="H1402" t="str">
        <x:v>5131</x:v>
      </x:c>
      <x:c r="I1402" t="str">
        <x:v>https://www.smwcentral.net/?a=details&amp;id=5131&amp;p=section</x:v>
      </x:c>
      <x:c r="J1402" t="str">
        <x:v>https://dl.smwcentral.net/5131/Pokeys_Adventure_Demo1_v11.zip</x:v>
      </x:c>
    </x:row>
    <x:row r="1403">
      <x:c r="A1403" t="str">
        <x:v>Pokémon Darkness</x:v>
      </x:c>
      <x:c r="B1403" t="str">
        <x:v>Pokémon Darkness</x:v>
      </x:c>
      <x:c r="C1403" t="str">
        <x:v>Lexator</x:v>
      </x:c>
      <x:c r="D1403" t="n">
        <x:v>50</x:v>
      </x:c>
      <x:c r="E1403" t="str">
        <x:v>Casual</x:v>
      </x:c>
      <x:c r="F1403" t="str">
        <x:v>Standard</x:v>
      </x:c>
      <x:c r="G1403" t="n">
        <x:v>42286</x:v>
      </x:c>
      <x:c r="H1403" t="str">
        <x:v>9998</x:v>
      </x:c>
      <x:c r="I1403" t="str">
        <x:v>https://www.smwcentral.net/?a=details&amp;id=9998&amp;p=section</x:v>
      </x:c>
      <x:c r="J1403" t="str">
        <x:v>https://dl.smwcentral.net/9998/Pok%C3%A9mon%20Darkness%20final%20version.zip</x:v>
      </x:c>
    </x:row>
    <x:row r="1404">
      <x:c r="A1404" t="str">
        <x:v>Polyphony</x:v>
      </x:c>
      <x:c r="B1404" t="str">
        <x:v>Polyphony</x:v>
      </x:c>
      <x:c r="C1404" t="str">
        <x:v>TomatoPhalanges</x:v>
      </x:c>
      <x:c r="D1404" t="n">
        <x:v>24</x:v>
      </x:c>
      <x:c r="E1404" t="str">
        <x:v>Advanced</x:v>
      </x:c>
      <x:c r="F1404" t="str">
        <x:v>Standard, Kaizo</x:v>
      </x:c>
      <x:c r="G1404" t="n">
        <x:v>44423</x:v>
      </x:c>
      <x:c r="H1404" t="str">
        <x:v>27893</x:v>
      </x:c>
      <x:c r="I1404" t="str">
        <x:v>https://www.smwcentral.net/?a=details&amp;id=27893&amp;p=section</x:v>
      </x:c>
      <x:c r="J1404" t="str">
        <x:v>https://dl.smwcentral.net/27893/POLYPHONY_1.1.1.zip</x:v>
      </x:c>
    </x:row>
    <x:row r="1405">
      <x:c r="A1405" t="str">
        <x:v>poop jump</x:v>
      </x:c>
      <x:c r="B1405" t="str">
        <x:v>poop jump</x:v>
      </x:c>
      <x:c r="C1405" t="str">
        <x:v>Blaagon, Poop Team</x:v>
      </x:c>
      <x:c r="D1405" t="n">
        <x:v>75</x:v>
      </x:c>
      <x:c r="E1405" t="str">
        <x:v>Grandmaster</x:v>
      </x:c>
      <x:c r="F1405" t="str">
        <x:v>Kaizo</x:v>
      </x:c>
      <x:c r="G1405" t="n">
        <x:v>45474</x:v>
      </x:c>
      <x:c r="H1405" t="str">
        <x:v>37953</x:v>
      </x:c>
      <x:c r="I1405" t="str">
        <x:v>https://www.smwcentral.net/?a=details&amp;id=37953&amp;p=section</x:v>
      </x:c>
      <x:c r="J1405" t="str">
        <x:v>https://dl.smwcentral.net/37953/pj.zip</x:v>
      </x:c>
    </x:row>
    <x:row r="1406">
      <x:c r="A1406" t="str">
        <x:v>poop jump cafe</x:v>
      </x:c>
      <x:c r="B1406" t="str">
        <x:v>poop jump cafe</x:v>
      </x:c>
      <x:c r="C1406" t="str">
        <x:v>Blaagon, deported</x:v>
      </x:c>
      <x:c r="D1406" t="n">
        <x:v>1</x:v>
      </x:c>
      <x:c r="E1406" t="str">
        <x:v>Master</x:v>
      </x:c>
      <x:c r="F1406" t="str">
        <x:v>Kaizo</x:v>
      </x:c>
      <x:c r="G1406" t="n">
        <x:v>45500</x:v>
      </x:c>
      <x:c r="H1406" t="str">
        <x:v>38118</x:v>
      </x:c>
      <x:c r="I1406" t="str">
        <x:v>https://www.smwcentral.net/?a=details&amp;id=38118&amp;p=section</x:v>
      </x:c>
      <x:c r="J1406" t="str">
        <x:v>https://dl.smwcentral.net/38118/pjcafe.zip</x:v>
      </x:c>
    </x:row>
    <x:row r="1407">
      <x:c r="A1407" t="str">
        <x:v>popi world</x:v>
      </x:c>
      <x:c r="B1407" t="str">
        <x:v>popi world</x:v>
      </x:c>
      <x:c r="C1407" t="str">
        <x:v>alvinluis</x:v>
      </x:c>
      <x:c r="D1407" t="n">
        <x:v>5</x:v>
      </x:c>
      <x:c r="E1407" t="str">
        <x:v>Advanced</x:v>
      </x:c>
      <x:c r="F1407" t="str">
        <x:v>Kaizo</x:v>
      </x:c>
      <x:c r="G1407" t="n">
        <x:v>44628</x:v>
      </x:c>
      <x:c r="H1407" t="str">
        <x:v>30068</x:v>
      </x:c>
      <x:c r="I1407" t="str">
        <x:v>https://www.smwcentral.net/?a=details&amp;id=30068&amp;p=section</x:v>
      </x:c>
      <x:c r="J1407" t="str">
        <x:v>https://dl.smwcentral.net/30068/popi%20world.zip</x:v>
      </x:c>
    </x:row>
    <x:row r="1408">
      <x:c r="A1408" t="str">
        <x:v>popi world 2</x:v>
      </x:c>
      <x:c r="B1408" t="str">
        <x:v>popi world 2</x:v>
      </x:c>
      <x:c r="C1408" t="str">
        <x:v>alvinluis</x:v>
      </x:c>
      <x:c r="D1408" t="n">
        <x:v>10</x:v>
      </x:c>
      <x:c r="E1408" t="str">
        <x:v>Advanced</x:v>
      </x:c>
      <x:c r="F1408" t="str">
        <x:v>Kaizo</x:v>
      </x:c>
      <x:c r="G1408" t="n">
        <x:v>44677</x:v>
      </x:c>
      <x:c r="H1408" t="str">
        <x:v>30609</x:v>
      </x:c>
      <x:c r="I1408" t="str">
        <x:v>https://www.smwcentral.net/?a=details&amp;id=30609&amp;p=section</x:v>
      </x:c>
      <x:c r="J1408" t="str">
        <x:v>https://dl.smwcentral.net/30609/popi%20world%202.zip</x:v>
      </x:c>
    </x:row>
    <x:row r="1409">
      <x:c r="A1409" t="str">
        <x:v>Post Traumatic Stress Disorder</x:v>
      </x:c>
      <x:c r="B1409" t="str">
        <x:v>Post Traumatic Stress Disorder</x:v>
      </x:c>
      <x:c r="C1409" t="str">
        <x:v>fanfan21</x:v>
      </x:c>
      <x:c r="D1409" t="n">
        <x:v>9</x:v>
      </x:c>
      <x:c r="E1409" t="str">
        <x:v>Advanced</x:v>
      </x:c>
      <x:c r="F1409" t="str">
        <x:v>Kaizo</x:v>
      </x:c>
      <x:c r="G1409" t="n">
        <x:v>45673</x:v>
      </x:c>
      <x:c r="H1409" t="str">
        <x:v>38956</x:v>
      </x:c>
      <x:c r="I1409" t="str">
        <x:v>https://www.smwcentral.net/?a=details&amp;id=38956&amp;p=section</x:v>
      </x:c>
      <x:c r="J1409" t="str">
        <x:v>https://dl.smwcentral.net/38956/SMW%20-%20PTSD%20%281.1%29.zip</x:v>
      </x:c>
    </x:row>
    <x:row r="1410">
      <x:c r="A1410" t="str">
        <x:v>Power Guy World</x:v>
      </x:c>
      <x:c r="B1410" t="str">
        <x:v>Power Guy World</x:v>
      </x:c>
      <x:c r="C1410" t="str">
        <x:v>LucasMegaStriker</x:v>
      </x:c>
      <x:c r="D1410" t="n">
        <x:v>30</x:v>
      </x:c>
      <x:c r="E1410" t="str">
        <x:v>Intermediate</x:v>
      </x:c>
      <x:c r="F1410" t="str">
        <x:v>Standard</x:v>
      </x:c>
      <x:c r="G1410" t="n">
        <x:v>45153</x:v>
      </x:c>
      <x:c r="H1410" t="str">
        <x:v>34843</x:v>
      </x:c>
      <x:c r="I1410" t="str">
        <x:v>https://www.smwcentral.net/?a=details&amp;id=34843&amp;p=section</x:v>
      </x:c>
      <x:c r="J1410" t="str">
        <x:v>https://dl.smwcentral.net/34843/PowerGuyWorld.zip</x:v>
      </x:c>
    </x:row>
    <x:row r="1411">
      <x:c r="A1411" t="str">
        <x:v>Power Journey</x:v>
      </x:c>
      <x:c r="B1411" t="str">
        <x:v>Power Journey</x:v>
      </x:c>
      <x:c r="C1411" t="str">
        <x:v>BlueSkye209</x:v>
      </x:c>
      <x:c r="D1411" t="n">
        <x:v>12</x:v>
      </x:c>
      <x:c r="E1411" t="str">
        <x:v>Intermediate</x:v>
      </x:c>
      <x:c r="F1411" t="str">
        <x:v>Standard</x:v>
      </x:c>
      <x:c r="G1411" t="n">
        <x:v>44173</x:v>
      </x:c>
      <x:c r="H1411" t="str">
        <x:v>24866</x:v>
      </x:c>
      <x:c r="I1411" t="str">
        <x:v>https://www.smwcentral.net/?a=details&amp;id=24866&amp;p=section</x:v>
      </x:c>
      <x:c r="J1411" t="str">
        <x:v>https://dl.smwcentral.net/24866/PowerJourney.zip</x:v>
      </x:c>
    </x:row>
    <x:row r="1412">
      <x:c r="A1412" t="str">
        <x:v>Powerup Party</x:v>
      </x:c>
      <x:c r="B1412" t="str">
        <x:v>Powerup Party</x:v>
      </x:c>
      <x:c r="C1412" t="str">
        <x:v>Spedinja</x:v>
      </x:c>
      <x:c r="D1412" t="n">
        <x:v>2</x:v>
      </x:c>
      <x:c r="E1412" t="str">
        <x:v>Intermediate</x:v>
      </x:c>
      <x:c r="F1412" t="str">
        <x:v>Kaizo</x:v>
      </x:c>
      <x:c r="G1412" t="n">
        <x:v>45397</x:v>
      </x:c>
      <x:c r="H1412" t="str">
        <x:v>37624</x:v>
      </x:c>
      <x:c r="I1412" t="str">
        <x:v>https://www.smwcentral.net/?a=details&amp;id=37624&amp;p=section</x:v>
      </x:c>
      <x:c r="J1412" t="str">
        <x:v>https://dl.smwcentral.net/37624/PowerupParty.zip</x:v>
      </x:c>
    </x:row>
    <x:row r="1413">
      <x:c r="A1413" t="str">
        <x:v>Practice Makes Purrfect</x:v>
      </x:c>
      <x:c r="B1413" t="str">
        <x:v>Practice Makes Purrfect</x:v>
      </x:c>
      <x:c r="C1413" t="str">
        <x:v>sunwarrior25</x:v>
      </x:c>
      <x:c r="D1413" t="n">
        <x:v>15</x:v>
      </x:c>
      <x:c r="E1413" t="str">
        <x:v>Casual</x:v>
      </x:c>
      <x:c r="F1413" t="str">
        <x:v>Standard</x:v>
      </x:c>
      <x:c r="G1413" t="n">
        <x:v>42288</x:v>
      </x:c>
      <x:c r="H1413" t="str">
        <x:v>9654</x:v>
      </x:c>
      <x:c r="I1413" t="str">
        <x:v>https://www.smwcentral.net/?a=details&amp;id=9654&amp;p=section</x:v>
      </x:c>
      <x:c r="J1413" t="str">
        <x:v>https://dl.smwcentral.net/9654/PMPc3demo.zip</x:v>
      </x:c>
    </x:row>
    <x:row r="1414">
      <x:c r="A1414" t="str">
        <x:v>Precise Perfection</x:v>
      </x:c>
      <x:c r="B1414" t="str">
        <x:v>Precise Perfection</x:v>
      </x:c>
      <x:c r="C1414" t="str">
        <x:v>HoorayForJay</x:v>
      </x:c>
      <x:c r="D1414" t="n">
        <x:v>1</x:v>
      </x:c>
      <x:c r="E1414" t="str">
        <x:v>Grandmaster</x:v>
      </x:c>
      <x:c r="F1414" t="str">
        <x:v>Tool-Assisted, Pit</x:v>
      </x:c>
      <x:c r="G1414" t="n">
        <x:v>42839</x:v>
      </x:c>
      <x:c r="H1414" t="str">
        <x:v>15341</x:v>
      </x:c>
      <x:c r="I1414" t="str">
        <x:v>https://www.smwcentral.net/?a=details&amp;id=15341&amp;p=section</x:v>
      </x:c>
      <x:c r="J1414" t="str">
        <x:v>https://dl.smwcentral.net/15341/PrecisePerfection.zip</x:v>
      </x:c>
    </x:row>
    <x:row r="1415">
      <x:c r="A1415" t="str">
        <x:v>Precision86</x:v>
      </x:c>
      <x:c r="B1415" t="str">
        <x:v>Precision86</x:v>
      </x:c>
      <x:c r="C1415" t="str">
        <x:v>Nowieso</x:v>
      </x:c>
      <x:c r="D1415" t="n">
        <x:v>3</x:v>
      </x:c>
      <x:c r="E1415" t="str">
        <x:v>Master</x:v>
      </x:c>
      <x:c r="F1415" t="str">
        <x:v>Kaizo</x:v>
      </x:c>
      <x:c r="G1415" t="n">
        <x:v>43892</x:v>
      </x:c>
      <x:c r="H1415" t="str">
        <x:v>22240</x:v>
      </x:c>
      <x:c r="I1415" t="str">
        <x:v>https://www.smwcentral.net/?a=details&amp;id=22240&amp;p=section</x:v>
      </x:c>
      <x:c r="J1415" t="str">
        <x:v>https://dl.smwcentral.net/22240/Precision86%20Demo.zip</x:v>
      </x:c>
    </x:row>
    <x:row r="1416">
      <x:c r="A1416" t="str">
        <x:v>Precision86 Part II : The Forgotten Kingdom (DEMO)</x:v>
      </x:c>
      <x:c r="B1416" t="str">
        <x:v>Precision86 Part II : The Forgotten Kingdom (DEMO)</x:v>
      </x:c>
      <x:c r="C1416" t="str">
        <x:v>Nowieso</x:v>
      </x:c>
      <x:c r="D1416" t="n">
        <x:v>7</x:v>
      </x:c>
      <x:c r="E1416" t="str">
        <x:v>Master</x:v>
      </x:c>
      <x:c r="F1416" t="str">
        <x:v>Kaizo</x:v>
      </x:c>
      <x:c r="G1416" t="n">
        <x:v>46137</x:v>
      </x:c>
      <x:c r="H1416" t="str">
        <x:v>42028</x:v>
      </x:c>
      <x:c r="I1416" t="str">
        <x:v>https://www.smwcentral.net/?a=details&amp;id=42028&amp;p=section</x:v>
      </x:c>
      <x:c r="J1416" t="str">
        <x:v>https://dl.smwcentral.net/42028/Precision86%20Part%20II%20Demo%20V1_2.zip</x:v>
      </x:c>
    </x:row>
    <x:row r="1417">
      <x:c r="A1417" t="str">
        <x:v>Prickly Goo to the Rescue</x:v>
      </x:c>
      <x:c r="B1417" t="str">
        <x:v>Prickly Goo to the Rescue</x:v>
      </x:c>
      <x:c r="C1417" t="str">
        <x:v>LashLaRue24</x:v>
      </x:c>
      <x:c r="D1417" t="n">
        <x:v>9</x:v>
      </x:c>
      <x:c r="E1417" t="str">
        <x:v>Advanced</x:v>
      </x:c>
      <x:c r="F1417" t="str">
        <x:v>Kaizo</x:v>
      </x:c>
      <x:c r="G1417" t="n">
        <x:v>45334</x:v>
      </x:c>
      <x:c r="H1417" t="str">
        <x:v>36836</x:v>
      </x:c>
      <x:c r="I1417" t="str">
        <x:v>https://www.smwcentral.net/?a=details&amp;id=36836&amp;p=section</x:v>
      </x:c>
      <x:c r="J1417" t="str">
        <x:v>https://dl.smwcentral.net/36836/PricklyGoo.zip</x:v>
      </x:c>
    </x:row>
    <x:row r="1418">
      <x:c r="A1418" t="str">
        <x:v>Primal Mario World</x:v>
      </x:c>
      <x:c r="B1418" t="str">
        <x:v>Primal Mario World</x:v>
      </x:c>
      <x:c r="C1418" t="str">
        <x:v>PineappleProducer</x:v>
      </x:c>
      <x:c r="D1418" t="n">
        <x:v>44</x:v>
      </x:c>
      <x:c r="E1418" t="str">
        <x:v>Newcomer</x:v>
      </x:c>
      <x:c r="F1418" t="str">
        <x:v>Standard</x:v>
      </x:c>
      <x:c r="G1418" t="n">
        <x:v>42275</x:v>
      </x:c>
      <x:c r="H1418" t="str">
        <x:v>10042</x:v>
      </x:c>
      <x:c r="I1418" t="str">
        <x:v>https://www.smwcentral.net/?a=details&amp;id=10042&amp;p=section</x:v>
      </x:c>
      <x:c r="J1418" t="str">
        <x:v>https://dl.smwcentral.net/10042/PMW%20%28Demo%202%29.zip</x:v>
      </x:c>
    </x:row>
    <x:row r="1419">
      <x:c r="A1419" t="str">
        <x:v>Primal Shells</x:v>
      </x:c>
      <x:c r="B1419" t="str">
        <x:v>Primal Shells</x:v>
      </x:c>
      <x:c r="C1419" t="str">
        <x:v>Eryck</x:v>
      </x:c>
      <x:c r="D1419" t="n">
        <x:v>18</x:v>
      </x:c>
      <x:c r="E1419" t="str">
        <x:v>Master</x:v>
      </x:c>
      <x:c r="F1419" t="str">
        <x:v>Kaizo</x:v>
      </x:c>
      <x:c r="G1419" t="n">
        <x:v>44870</x:v>
      </x:c>
      <x:c r="H1419" t="str">
        <x:v>32472</x:v>
      </x:c>
      <x:c r="I1419" t="str">
        <x:v>https://www.smwcentral.net/?a=details&amp;id=32472&amp;p=section</x:v>
      </x:c>
      <x:c r="J1419" t="str">
        <x:v>https://dl.smwcentral.net/32472/Primal%20Shells.zip</x:v>
      </x:c>
    </x:row>
    <x:row r="1420">
      <x:c r="A1420" t="str">
        <x:v>Princess Kaizo Land</x:v>
      </x:c>
      <x:c r="B1420" t="str">
        <x:v>Princess Kaizo Land</x:v>
      </x:c>
      <x:c r="C1420" t="str">
        <x:v>ChaosComposer</x:v>
      </x:c>
      <x:c r="D1420" t="n">
        <x:v>14</x:v>
      </x:c>
      <x:c r="E1420" t="str">
        <x:v>Advanced</x:v>
      </x:c>
      <x:c r="F1420" t="str">
        <x:v>Kaizo</x:v>
      </x:c>
      <x:c r="G1420" t="n">
        <x:v>43274</x:v>
      </x:c>
      <x:c r="H1420" t="str">
        <x:v>17633</x:v>
      </x:c>
      <x:c r="I1420" t="str">
        <x:v>https://www.smwcentral.net/?a=details&amp;id=17633&amp;p=section</x:v>
      </x:c>
      <x:c r="J1420" t="str">
        <x:v>https://dl.smwcentral.net/17633/PrincessKaizoLand.zip</x:v>
      </x:c>
    </x:row>
    <x:row r="1421">
      <x:c r="A1421" t="str">
        <x:v>Project Brutality</x:v>
      </x:c>
      <x:c r="B1421" t="str">
        <x:v>Project Brutality</x:v>
      </x:c>
      <x:c r="C1421" t="str">
        <x:v>Sweetdude</x:v>
      </x:c>
      <x:c r="D1421" t="n">
        <x:v>1</x:v>
      </x:c>
      <x:c r="E1421" t="str">
        <x:v>Master</x:v>
      </x:c>
      <x:c r="F1421" t="str">
        <x:v>Kaizo</x:v>
      </x:c>
      <x:c r="G1421" t="n">
        <x:v>43775</x:v>
      </x:c>
      <x:c r="H1421" t="str">
        <x:v>21331</x:v>
      </x:c>
      <x:c r="I1421" t="str">
        <x:v>https://www.smwcentral.net/?a=details&amp;id=21331&amp;p=section</x:v>
      </x:c>
      <x:c r="J1421" t="str">
        <x:v>https://dl.smwcentral.net/21331/Death%20and%20Despair.zip</x:v>
      </x:c>
    </x:row>
    <x:row r="1422">
      <x:c r="A1422" t="str">
        <x:v>Project Frick 2019</x:v>
      </x:c>
      <x:c r="B1422" t="str">
        <x:v>Project Frick 2019</x:v>
      </x:c>
      <x:c r="C1422" t="str">
        <x:v>DynastyLobster</x:v>
      </x:c>
      <x:c r="D1422" t="n">
        <x:v>8</x:v>
      </x:c>
      <x:c r="E1422" t="str">
        <x:v>Casual</x:v>
      </x:c>
      <x:c r="F1422" t="str">
        <x:v>Standard</x:v>
      </x:c>
      <x:c r="G1422" t="n">
        <x:v>44509</x:v>
      </x:c>
      <x:c r="H1422" t="str">
        <x:v>28751</x:v>
      </x:c>
      <x:c r="I1422" t="str">
        <x:v>https://www.smwcentral.net/?a=details&amp;id=28751&amp;p=section</x:v>
      </x:c>
      <x:c r="J1422" t="str">
        <x:v>https://dl.smwcentral.net/28751/project%20frick.zip</x:v>
      </x:c>
    </x:row>
    <x:row r="1423">
      <x:c r="A1423" t="str">
        <x:v>Project Jonny Hacks 2 - Yoshi´s Journey of Justice</x:v>
      </x:c>
      <x:c r="B1423" t="str">
        <x:v>Project Jonny Hacks 2 - Yoshi´s Journey of Justice</x:v>
      </x:c>
      <x:c r="C1423" t="str">
        <x:v>T-Jonny</x:v>
      </x:c>
      <x:c r="D1423" t="n">
        <x:v>16</x:v>
      </x:c>
      <x:c r="E1423" t="str">
        <x:v>Casual</x:v>
      </x:c>
      <x:c r="F1423" t="str">
        <x:v>Standard</x:v>
      </x:c>
      <x:c r="G1423" t="n">
        <x:v>43464</x:v>
      </x:c>
      <x:c r="H1423" t="str">
        <x:v>18695</x:v>
      </x:c>
      <x:c r="I1423" t="str">
        <x:v>https://www.smwcentral.net/?a=details&amp;id=18695&amp;p=section</x:v>
      </x:c>
      <x:c r="J1423" t="str">
        <x:v>https://dl.smwcentral.net/18695/PJH%202%20-%20YJoJ.zip</x:v>
      </x:c>
    </x:row>
    <x:row r="1424">
      <x:c r="A1424" t="str">
        <x:v>Project Jonny Hacks 3 - My Last Mission</x:v>
      </x:c>
      <x:c r="B1424" t="str">
        <x:v>Project Jonny Hacks 3 - My Last Mission</x:v>
      </x:c>
      <x:c r="C1424" t="str">
        <x:v>T-Jonny</x:v>
      </x:c>
      <x:c r="D1424" t="n">
        <x:v>39</x:v>
      </x:c>
      <x:c r="E1424" t="str">
        <x:v>Intermediate</x:v>
      </x:c>
      <x:c r="F1424" t="str">
        <x:v>Standard</x:v>
      </x:c>
      <x:c r="G1424" t="n">
        <x:v>43308</x:v>
      </x:c>
      <x:c r="H1424" t="str">
        <x:v>17956</x:v>
      </x:c>
      <x:c r="I1424" t="str">
        <x:v>https://www.smwcentral.net/?a=details&amp;id=17956&amp;p=section</x:v>
      </x:c>
      <x:c r="J1424" t="str">
        <x:v>https://dl.smwcentral.net/17956/PJH%203%20-%20MLM.zip</x:v>
      </x:c>
    </x:row>
    <x:row r="1425">
      <x:c r="A1425" t="str">
        <x:v>Project L 1.0B</x:v>
      </x:c>
      <x:c r="B1425" t="str">
        <x:v>Project L 1.0B</x:v>
      </x:c>
      <x:c r="C1425" t="str">
        <x:v>DanTheCreator</x:v>
      </x:c>
      <x:c r="D1425" t="n">
        <x:v>5</x:v>
      </x:c>
      <x:c r="E1425" t="str">
        <x:v>Casual</x:v>
      </x:c>
      <x:c r="F1425" t="str">
        <x:v>Standard</x:v>
      </x:c>
      <x:c r="G1425" t="n">
        <x:v>43081</x:v>
      </x:c>
      <x:c r="H1425" t="str">
        <x:v>16709</x:v>
      </x:c>
      <x:c r="I1425" t="str">
        <x:v>https://www.smwcentral.net/?a=details&amp;id=16709&amp;p=section</x:v>
      </x:c>
      <x:c r="J1425" t="str">
        <x:v>https://dl.smwcentral.net/16709/ProjectL.zip</x:v>
      </x:c>
    </x:row>
    <x:row r="1426">
      <x:c r="A1426" t="str">
        <x:v>Project Underscore</x:v>
      </x:c>
      <x:c r="B1426" t="str">
        <x:v>Project Underscore</x:v>
      </x:c>
      <x:c r="C1426" t="str">
        <x:v>Teyla</x:v>
      </x:c>
      <x:c r="D1426" t="n">
        <x:v>10</x:v>
      </x:c>
      <x:c r="E1426" t="str">
        <x:v>Casual</x:v>
      </x:c>
      <x:c r="F1426" t="str">
        <x:v>Standard</x:v>
      </x:c>
      <x:c r="G1426" t="n">
        <x:v>44446</x:v>
      </x:c>
      <x:c r="H1426" t="str">
        <x:v>28223</x:v>
      </x:c>
      <x:c r="I1426" t="str">
        <x:v>https://www.smwcentral.net/?a=details&amp;id=28223&amp;p=section</x:v>
      </x:c>
      <x:c r="J1426" t="str">
        <x:v>https://dl.smwcentral.net/28223/Teyla%20-%20Project%20Underscore.zip</x:v>
      </x:c>
    </x:row>
    <x:row r="1427">
      <x:c r="A1427" t="str">
        <x:v>Project_Bonestorm.tar.gz (A Mega Man/X-Styled SMW ROM Hack)</x:v>
      </x:c>
      <x:c r="B1427" t="str">
        <x:v>Project_Bonestorm.tar.gz (A Mega Man/X-Styled SMW ROM Hack)</x:v>
      </x:c>
      <x:c r="C1427" t="str">
        <x:v>EE_02.tar.gz</x:v>
      </x:c>
      <x:c r="D1427" t="n">
        <x:v>17</x:v>
      </x:c>
      <x:c r="E1427" t="str">
        <x:v>Intermediate</x:v>
      </x:c>
      <x:c r="F1427" t="str">
        <x:v>Standard</x:v>
      </x:c>
      <x:c r="G1427" t="n">
        <x:v>45731</x:v>
      </x:c>
      <x:c r="H1427" t="str">
        <x:v>38743</x:v>
      </x:c>
      <x:c r="I1427" t="str">
        <x:v>https://www.smwcentral.net/?a=details&amp;id=38743&amp;p=section</x:v>
      </x:c>
      <x:c r="J1427" t="str">
        <x:v>https://dl.smwcentral.net/38743/Project_Bonestorm.tar.gz_.zip</x:v>
      </x:c>
    </x:row>
    <x:row r="1428">
      <x:c r="A1428" t="str">
        <x:v>PropL\R Block</x:v>
      </x:c>
      <x:c r="B1428" t="str">
        <x:v>PropL\R Block</x:v>
      </x:c>
      <x:c r="C1428" t="str">
        <x:v>MarsAmPear</x:v>
      </x:c>
      <x:c r="D1428" t="n">
        <x:v>0</x:v>
      </x:c>
      <x:c r="E1428" t="str">
        <x:v>Master</x:v>
      </x:c>
      <x:c r="F1428" t="str">
        <x:v>Kaizo</x:v>
      </x:c>
      <x:c r="G1428" t="n">
        <x:v>45307</x:v>
      </x:c>
      <x:c r="H1428" t="str">
        <x:v>35878</x:v>
      </x:c>
      <x:c r="I1428" t="str">
        <x:v>https://www.smwcentral.net/?a=details&amp;id=35878&amp;p=section</x:v>
      </x:c>
      <x:c r="J1428" t="str">
        <x:v>https://dl.smwcentral.net/35878/PropL-R%20Block.zip</x:v>
      </x:c>
    </x:row>
    <x:row r="1429">
      <x:c r="A1429" t="str">
        <x:v>Pumpkins and Slaughter</x:v>
      </x:c>
      <x:c r="B1429" t="str">
        <x:v>Pumpkins and Slaughter</x:v>
      </x:c>
      <x:c r="C1429" t="str">
        <x:v>HLXY</x:v>
      </x:c>
      <x:c r="D1429" t="n">
        <x:v>1</x:v>
      </x:c>
      <x:c r="E1429" t="str">
        <x:v>Expert</x:v>
      </x:c>
      <x:c r="F1429" t="str">
        <x:v>Kaizo</x:v>
      </x:c>
      <x:c r="G1429" t="n">
        <x:v>43404</x:v>
      </x:c>
      <x:c r="H1429" t="str">
        <x:v>18384</x:v>
      </x:c>
      <x:c r="I1429" t="str">
        <x:v>https://www.smwcentral.net/?a=details&amp;id=18384&amp;p=section</x:v>
      </x:c>
      <x:c r="J1429" t="str">
        <x:v>https://dl.smwcentral.net/18384/P%26S.zip</x:v>
      </x:c>
    </x:row>
    <x:row r="1430">
      <x:c r="A1430" t="str">
        <x:v>Punishing Pothole 2</x:v>
      </x:c>
      <x:c r="B1430" t="str">
        <x:v>Punishing Pothole 2</x:v>
      </x:c>
      <x:c r="C1430" t="str">
        <x:v>Sokobansolver</x:v>
      </x:c>
      <x:c r="D1430" t="n">
        <x:v>2</x:v>
      </x:c>
      <x:c r="E1430" t="str">
        <x:v>Advanced</x:v>
      </x:c>
      <x:c r="F1430" t="str">
        <x:v>Kaizo, Tool-Assisted</x:v>
      </x:c>
      <x:c r="G1430" t="n">
        <x:v>42199</x:v>
      </x:c>
      <x:c r="H1430" t="str">
        <x:v>11350</x:v>
      </x:c>
      <x:c r="I1430" t="str">
        <x:v>https://www.smwcentral.net/?a=details&amp;id=11350&amp;p=section</x:v>
      </x:c>
      <x:c r="J1430" t="str">
        <x:v>https://dl.smwcentral.net/11350/PunishingPothole2.zip</x:v>
      </x:c>
    </x:row>
    <x:row r="1431">
      <x:c r="A1431" t="str">
        <x:v>Punishing Pothole 3</x:v>
      </x:c>
      <x:c r="B1431" t="str">
        <x:v>Punishing Pothole 3</x:v>
      </x:c>
      <x:c r="C1431" t="str">
        <x:v>Sokobansolver</x:v>
      </x:c>
      <x:c r="D1431" t="n">
        <x:v>1</x:v>
      </x:c>
      <x:c r="E1431" t="str">
        <x:v>Advanced</x:v>
      </x:c>
      <x:c r="F1431" t="str">
        <x:v>Kaizo, Tool-Assisted</x:v>
      </x:c>
      <x:c r="G1431" t="n">
        <x:v>45158</x:v>
      </x:c>
      <x:c r="H1431" t="str">
        <x:v>34156</x:v>
      </x:c>
      <x:c r="I1431" t="str">
        <x:v>https://www.smwcentral.net/?a=details&amp;id=34156&amp;p=section</x:v>
      </x:c>
      <x:c r="J1431" t="str">
        <x:v>https://dl.smwcentral.net/34156/PunishingPothole3.zip</x:v>
      </x:c>
    </x:row>
    <x:row r="1432">
      <x:c r="A1432" t="str">
        <x:v>Purgatory</x:v>
      </x:c>
      <x:c r="B1432" t="str">
        <x:v>Purgatory</x:v>
      </x:c>
      <x:c r="C1432" t="str">
        <x:v>Fyre150</x:v>
      </x:c>
      <x:c r="D1432" t="n">
        <x:v>21</x:v>
      </x:c>
      <x:c r="E1432" t="str">
        <x:v>Expert</x:v>
      </x:c>
      <x:c r="F1432" t="str">
        <x:v>Kaizo</x:v>
      </x:c>
      <x:c r="G1432" t="n">
        <x:v>44462</x:v>
      </x:c>
      <x:c r="H1432" t="str">
        <x:v>28386</x:v>
      </x:c>
      <x:c r="I1432" t="str">
        <x:v>https://www.smwcentral.net/?a=details&amp;id=28386&amp;p=section</x:v>
      </x:c>
      <x:c r="J1432" t="str">
        <x:v>https://dl.smwcentral.net/28386/Purgatory.zip</x:v>
      </x:c>
    </x:row>
    <x:row r="1433">
      <x:c r="A1433" t="str">
        <x:v>Quest for Corgi Butts</x:v>
      </x:c>
      <x:c r="B1433" t="str">
        <x:v>Quest for Corgi Butts</x:v>
      </x:c>
      <x:c r="C1433" t="str">
        <x:v>TDWarrior</x:v>
      </x:c>
      <x:c r="D1433" t="n">
        <x:v>18</x:v>
      </x:c>
      <x:c r="E1433" t="str">
        <x:v>Advanced</x:v>
      </x:c>
      <x:c r="F1433" t="str">
        <x:v>Kaizo</x:v>
      </x:c>
      <x:c r="G1433" t="n">
        <x:v>44168</x:v>
      </x:c>
      <x:c r="H1433" t="str">
        <x:v>25307</x:v>
      </x:c>
      <x:c r="I1433" t="str">
        <x:v>https://www.smwcentral.net/?a=details&amp;id=25307&amp;p=section</x:v>
      </x:c>
      <x:c r="J1433" t="str">
        <x:v>https://dl.smwcentral.net/25307/QuestforCorgiButtsv1.1.zip</x:v>
      </x:c>
    </x:row>
    <x:row r="1434">
      <x:c r="A1434" t="str">
        <x:v>Quest for milk</x:v>
      </x:c>
      <x:c r="B1434" t="str">
        <x:v>Quest for milk</x:v>
      </x:c>
      <x:c r="C1434" t="str">
        <x:v>Lush_50</x:v>
      </x:c>
      <x:c r="D1434" t="n">
        <x:v>6</x:v>
      </x:c>
      <x:c r="E1434" t="str">
        <x:v>Intermediate</x:v>
      </x:c>
      <x:c r="F1434" t="str">
        <x:v>Kaizo</x:v>
      </x:c>
      <x:c r="G1434" t="n">
        <x:v>44868</x:v>
      </x:c>
      <x:c r="H1434" t="str">
        <x:v>32480</x:v>
      </x:c>
      <x:c r="I1434" t="str">
        <x:v>https://www.smwcentral.net/?a=details&amp;id=32480&amp;p=section</x:v>
      </x:c>
      <x:c r="J1434" t="str">
        <x:v>https://dl.smwcentral.net/32480/QUEST%20FOR%20MILK%20%28v1.2%29.zip</x:v>
      </x:c>
    </x:row>
    <x:row r="1435">
      <x:c r="A1435" t="str">
        <x:v>Quest for the Dragon Coins</x:v>
      </x:c>
      <x:c r="B1435" t="str">
        <x:v>Quest for the Dragon Coins</x:v>
      </x:c>
      <x:c r="C1435" t="str">
        <x:v>s4ys</x:v>
      </x:c>
      <x:c r="D1435" t="n">
        <x:v>4</x:v>
      </x:c>
      <x:c r="E1435" t="str">
        <x:v>Advanced</x:v>
      </x:c>
      <x:c r="F1435" t="str">
        <x:v>Kaizo</x:v>
      </x:c>
      <x:c r="G1435" t="n">
        <x:v>44196</x:v>
      </x:c>
      <x:c r="H1435" t="str">
        <x:v>25582</x:v>
      </x:c>
      <x:c r="I1435" t="str">
        <x:v>https://www.smwcentral.net/?a=details&amp;id=25582&amp;p=section</x:v>
      </x:c>
      <x:c r="J1435" t="str">
        <x:v>https://dl.smwcentral.net/25582/Quest_for_the_Dragon_Coins_%28DEMO%29.zip</x:v>
      </x:c>
    </x:row>
    <x:row r="1436">
      <x:c r="A1436" t="str">
        <x:v>Quest in the Mushroom Kingdom</x:v>
      </x:c>
      <x:c r="B1436" t="str">
        <x:v>Quest in the Mushroom Kingdom</x:v>
      </x:c>
      <x:c r="C1436" t="str">
        <x:v>pieguy1372</x:v>
      </x:c>
      <x:c r="D1436" t="n">
        <x:v>23</x:v>
      </x:c>
      <x:c r="E1436" t="str">
        <x:v>Intermediate</x:v>
      </x:c>
      <x:c r="F1436" t="str">
        <x:v>Standard</x:v>
      </x:c>
      <x:c r="G1436" t="n">
        <x:v>42227</x:v>
      </x:c>
      <x:c r="H1436" t="str">
        <x:v>9795</x:v>
      </x:c>
      <x:c r="I1436" t="str">
        <x:v>https://www.smwcentral.net/?a=details&amp;id=9795&amp;p=section</x:v>
      </x:c>
      <x:c r="J1436" t="str">
        <x:v>https://dl.smwcentral.net/9795/qimk_demo2.zip</x:v>
      </x:c>
    </x:row>
    <x:row r="1437">
      <x:c r="A1437" t="str">
        <x:v>Quest on Full Moon Island</x:v>
      </x:c>
      <x:c r="B1437" t="str">
        <x:v>Quest on Full Moon Island</x:v>
      </x:c>
      <x:c r="C1437" t="str">
        <x:v>Stormkyleis</x:v>
      </x:c>
      <x:c r="D1437" t="n">
        <x:v>32</x:v>
      </x:c>
      <x:c r="E1437" t="str">
        <x:v>Intermediate</x:v>
      </x:c>
      <x:c r="F1437" t="str">
        <x:v>Standard</x:v>
      </x:c>
      <x:c r="G1437" t="n">
        <x:v>41530</x:v>
      </x:c>
      <x:c r="H1437" t="str">
        <x:v>5399</x:v>
      </x:c>
      <x:c r="I1437" t="str">
        <x:v>https://www.smwcentral.net/?a=details&amp;id=5399&amp;p=section</x:v>
      </x:c>
      <x:c r="J1437" t="str">
        <x:v>https://dl.smwcentral.net/5399/Quest%20on%20Full%20Moon%20Island%20v1.2.zip</x:v>
      </x:c>
    </x:row>
    <x:row r="1438">
      <x:c r="A1438" t="str">
        <x:v>Quest on Full Moon Island v1.3 ita</x:v>
      </x:c>
      <x:c r="B1438" t="str">
        <x:v>Quest on Full Moon Island v1.3 ita</x:v>
      </x:c>
      <x:c r="C1438" t="str">
        <x:v>Gio Gio, Stormkyleis</x:v>
      </x:c>
      <x:c r="D1438" t="n">
        <x:v>32</x:v>
      </x:c>
      <x:c r="E1438" t="str">
        <x:v>Intermediate</x:v>
      </x:c>
      <x:c r="F1438" t="str">
        <x:v>Standard</x:v>
      </x:c>
      <x:c r="G1438" t="n">
        <x:v>45138</x:v>
      </x:c>
      <x:c r="H1438" t="str">
        <x:v>34164</x:v>
      </x:c>
      <x:c r="I1438" t="str">
        <x:v>https://www.smwcentral.net/?a=details&amp;id=34164&amp;p=section</x:v>
      </x:c>
      <x:c r="J1438" t="str">
        <x:v>https://dl.smwcentral.net/34164/Quest%20on%20Full%20Moon%20Island%20v1.3%20ita.zip</x:v>
      </x:c>
    </x:row>
    <x:row r="1439">
      <x:c r="A1439" t="str">
        <x:v>Quick Delivery</x:v>
      </x:c>
      <x:c r="B1439" t="str">
        <x:v>Quick Delivery</x:v>
      </x:c>
      <x:c r="C1439" t="str">
        <x:v>superman6791</x:v>
      </x:c>
      <x:c r="D1439" t="n">
        <x:v>4</x:v>
      </x:c>
      <x:c r="E1439" t="str">
        <x:v>Casual</x:v>
      </x:c>
      <x:c r="F1439" t="str">
        <x:v>Standard</x:v>
      </x:c>
      <x:c r="G1439" t="n">
        <x:v>42276</x:v>
      </x:c>
      <x:c r="H1439" t="str">
        <x:v>9985</x:v>
      </x:c>
      <x:c r="I1439" t="str">
        <x:v>https://www.smwcentral.net/?a=details&amp;id=9985&amp;p=section</x:v>
      </x:c>
      <x:c r="J1439" t="str">
        <x:v>https://dl.smwcentral.net/9985/Quick%20Delivery%5BDemo%5D.zip</x:v>
      </x:c>
    </x:row>
    <x:row r="1440">
      <x:c r="A1440" t="str">
        <x:v>Quickie World</x:v>
      </x:c>
      <x:c r="B1440" t="str">
        <x:v>Quickie World</x:v>
      </x:c>
      <x:c r="C1440" t="str">
        <x:v>Valdio</x:v>
      </x:c>
      <x:c r="D1440" t="n">
        <x:v>14</x:v>
      </x:c>
      <x:c r="E1440" t="str">
        <x:v>Advanced</x:v>
      </x:c>
      <x:c r="F1440" t="str">
        <x:v>Kaizo</x:v>
      </x:c>
      <x:c r="G1440" t="n">
        <x:v>43214</x:v>
      </x:c>
      <x:c r="H1440" t="str">
        <x:v>17441</x:v>
      </x:c>
      <x:c r="I1440" t="str">
        <x:v>https://www.smwcentral.net/?a=details&amp;id=17441&amp;p=section</x:v>
      </x:c>
      <x:c r="J1440" t="str">
        <x:v>https://dl.smwcentral.net/17441/QuickieWorld1.12.zip</x:v>
      </x:c>
    </x:row>
    <x:row r="1441">
      <x:c r="A1441" t="str">
        <x:v>Quickie World 2</x:v>
      </x:c>
      <x:c r="B1441" t="str">
        <x:v>Quickie World 2</x:v>
      </x:c>
      <x:c r="C1441" t="str">
        <x:v>Valdio</x:v>
      </x:c>
      <x:c r="D1441" t="n">
        <x:v>22</x:v>
      </x:c>
      <x:c r="E1441" t="str">
        <x:v>Intermediate</x:v>
      </x:c>
      <x:c r="F1441" t="str">
        <x:v>Kaizo</x:v>
      </x:c>
      <x:c r="G1441" t="n">
        <x:v>43532</x:v>
      </x:c>
      <x:c r="H1441" t="str">
        <x:v>19279</x:v>
      </x:c>
      <x:c r="I1441" t="str">
        <x:v>https://www.smwcentral.net/?a=details&amp;id=19279&amp;p=section</x:v>
      </x:c>
      <x:c r="J1441" t="str">
        <x:v>https://dl.smwcentral.net/19279/Quickie%20World%202.zip</x:v>
      </x:c>
    </x:row>
    <x:row r="1442">
      <x:c r="A1442" t="str">
        <x:v>Quickie World: With a Vengeance</x:v>
      </x:c>
      <x:c r="B1442" t="str">
        <x:v>Quickie World: With a Vengeance</x:v>
      </x:c>
      <x:c r="C1442" t="str">
        <x:v>Valdio</x:v>
      </x:c>
      <x:c r="D1442" t="n">
        <x:v>9</x:v>
      </x:c>
      <x:c r="E1442" t="str">
        <x:v>Advanced</x:v>
      </x:c>
      <x:c r="F1442" t="str">
        <x:v>Kaizo</x:v>
      </x:c>
      <x:c r="G1442" t="n">
        <x:v>44599</x:v>
      </x:c>
      <x:c r="H1442" t="str">
        <x:v>29695</x:v>
      </x:c>
      <x:c r="I1442" t="str">
        <x:v>https://www.smwcentral.net/?a=details&amp;id=29695&amp;p=section</x:v>
      </x:c>
      <x:c r="J1442" t="str">
        <x:v>https://dl.smwcentral.net/29695/QWwav.zip</x:v>
      </x:c>
    </x:row>
    <x:row r="1443">
      <x:c r="A1443" t="str">
        <x:v>Qzeq Pls Download Game</x:v>
      </x:c>
      <x:c r="B1443" t="str">
        <x:v>Qzeq Pls Download Game</x:v>
      </x:c>
      <x:c r="C1443" t="str">
        <x:v>PurpleShiny</x:v>
      </x:c>
      <x:c r="D1443" t="n">
        <x:v>20</x:v>
      </x:c>
      <x:c r="E1443" t="str">
        <x:v>Casual</x:v>
      </x:c>
      <x:c r="F1443" t="str">
        <x:v>Standard</x:v>
      </x:c>
      <x:c r="G1443" t="n">
        <x:v>45379</x:v>
      </x:c>
      <x:c r="H1443" t="str">
        <x:v>36598</x:v>
      </x:c>
      <x:c r="I1443" t="str">
        <x:v>https://www.smwcentral.net/?a=details&amp;id=36598&amp;p=section</x:v>
      </x:c>
      <x:c r="J1443" t="str">
        <x:v>https://dl.smwcentral.net/36598/QZEQ%20PLS%20DOWNLOAD%20GAME%20%28v1.3%29.zip</x:v>
      </x:c>
    </x:row>
    <x:row r="1444">
      <x:c r="A1444" t="str">
        <x:v>R-ACK</x:v>
      </x:c>
      <x:c r="B1444" t="str">
        <x:v>R-ACK</x:v>
      </x:c>
      <x:c r="C1444" t="str">
        <x:v>Daizo Dee Von, Team JANK</x:v>
      </x:c>
      <x:c r="D1444" t="n">
        <x:v>50</x:v>
      </x:c>
      <x:c r="E1444" t="str">
        <x:v>Advanced</x:v>
      </x:c>
      <x:c r="F1444" t="str">
        <x:v>Standard</x:v>
      </x:c>
      <x:c r="G1444" t="n">
        <x:v>44334</x:v>
      </x:c>
      <x:c r="H1444" t="str">
        <x:v>27001</x:v>
      </x:c>
      <x:c r="I1444" t="str">
        <x:v>https://www.smwcentral.net/?a=details&amp;id=27001&amp;p=section</x:v>
      </x:c>
      <x:c r="J1444" t="str">
        <x:v>https://dl.smwcentral.net/27001/R-ACK.zip</x:v>
      </x:c>
    </x:row>
    <x:row r="1445">
      <x:c r="A1445" t="str">
        <x:v>Race to the finish</x:v>
      </x:c>
      <x:c r="B1445" t="str">
        <x:v>Race to the finish</x:v>
      </x:c>
      <x:c r="C1445" t="str">
        <x:v>Lush_50</x:v>
      </x:c>
      <x:c r="D1445" t="n">
        <x:v>0</x:v>
      </x:c>
      <x:c r="E1445" t="str">
        <x:v>Advanced</x:v>
      </x:c>
      <x:c r="F1445" t="str">
        <x:v>Kaizo</x:v>
      </x:c>
      <x:c r="G1445" t="n">
        <x:v>44894</x:v>
      </x:c>
      <x:c r="H1445" t="str">
        <x:v>32644</x:v>
      </x:c>
      <x:c r="I1445" t="str">
        <x:v>https://www.smwcentral.net/?a=details&amp;id=32644&amp;p=section</x:v>
      </x:c>
      <x:c r="J1445" t="str">
        <x:v>https://dl.smwcentral.net/32644/Race%20to%20the%20finish%20V1.0.zip</x:v>
      </x:c>
    </x:row>
    <x:row r="1446">
      <x:c r="A1446" t="str">
        <x:v>Rachell's Melin Rescue!</x:v>
      </x:c>
      <x:c r="B1446" t="str">
        <x:v>Rachell's Melin Rescue!</x:v>
      </x:c>
      <x:c r="C1446" t="str">
        <x:v>ZG STAFF</x:v>
      </x:c>
      <x:c r="D1446" t="n">
        <x:v>13</x:v>
      </x:c>
      <x:c r="E1446" t="str">
        <x:v>Casual</x:v>
      </x:c>
      <x:c r="F1446" t="str">
        <x:v>Standard</x:v>
      </x:c>
      <x:c r="G1446" t="n">
        <x:v>42293</x:v>
      </x:c>
      <x:c r="H1446" t="str">
        <x:v>10108</x:v>
      </x:c>
      <x:c r="I1446" t="str">
        <x:v>https://www.smwcentral.net/?a=details&amp;id=10108&amp;p=section</x:v>
      </x:c>
      <x:c r="J1446" t="str">
        <x:v>https://dl.smwcentral.net/10108/MelinRescue.zip</x:v>
      </x:c>
    </x:row>
    <x:row r="1447">
      <x:c r="A1447" t="str">
        <x:v>Rakugaki Mario</x:v>
      </x:c>
      <x:c r="B1447" t="str">
        <x:v>Rakugaki Mario</x:v>
      </x:c>
      <x:c r="C1447" t="str">
        <x:v>Various Authors</x:v>
      </x:c>
      <x:c r="D1447" t="n">
        <x:v>85</x:v>
      </x:c>
      <x:c r="E1447" t="str">
        <x:v>Grandmaster</x:v>
      </x:c>
      <x:c r="F1447" t="str">
        <x:v>Standard, Kaizo</x:v>
      </x:c>
      <x:c r="G1447" t="n">
        <x:v>44722</x:v>
      </x:c>
      <x:c r="H1447" t="str">
        <x:v>30623</x:v>
      </x:c>
      <x:c r="I1447" t="str">
        <x:v>https://www.smwcentral.net/?a=details&amp;id=30623&amp;p=section</x:v>
      </x:c>
      <x:c r="J1447" t="str">
        <x:v>https://dl.smwcentral.net/30623/Rakugaki_Mario_1.11.zip</x:v>
      </x:c>
    </x:row>
    <x:row r="1448">
      <x:c r="A1448" t="str">
        <x:v>RamzaNeko</x:v>
      </x:c>
      <x:c r="B1448" t="str">
        <x:v>RamzaNeko</x:v>
      </x:c>
      <x:c r="C1448" t="str">
        <x:v>YamiRamzaNeko</x:v>
      </x:c>
      <x:c r="D1448" t="n">
        <x:v>8</x:v>
      </x:c>
      <x:c r="E1448" t="str">
        <x:v>Casual</x:v>
      </x:c>
      <x:c r="F1448" t="str">
        <x:v>Standard</x:v>
      </x:c>
      <x:c r="G1448" t="n">
        <x:v>42104</x:v>
      </x:c>
      <x:c r="H1448" t="str">
        <x:v>9711</x:v>
      </x:c>
      <x:c r="I1448" t="str">
        <x:v>https://www.smwcentral.net/?a=details&amp;id=9711&amp;p=section</x:v>
      </x:c>
      <x:c r="J1448" t="str">
        <x:v>https://dl.smwcentral.net/9711/NekoNeko.zip</x:v>
      </x:c>
    </x:row>
    <x:row r="1449">
      <x:c r="A1449" t="str">
        <x:v>Random Access Memoby</x:v>
      </x:c>
      <x:c r="B1449" t="str">
        <x:v>Random Access Memoby</x:v>
      </x:c>
      <x:c r="C1449" t="str">
        <x:v>Alex, Lazy, Mellonpizza, snoruntpyro</x:v>
      </x:c>
      <x:c r="D1449" t="n">
        <x:v>5</x:v>
      </x:c>
      <x:c r="E1449" t="str">
        <x:v>Master</x:v>
      </x:c>
      <x:c r="F1449" t="str">
        <x:v>Standard</x:v>
      </x:c>
      <x:c r="G1449" t="n">
        <x:v>45450</x:v>
      </x:c>
      <x:c r="H1449" t="str">
        <x:v>37882</x:v>
      </x:c>
      <x:c r="I1449" t="str">
        <x:v>https://www.smwcentral.net/?a=details&amp;id=37882&amp;p=section</x:v>
      </x:c>
      <x:c r="J1449" t="str">
        <x:v>https://dl.smwcentral.net/37882/Random%20Access%20Memoby.zip</x:v>
      </x:c>
    </x:row>
    <x:row r="1450">
      <x:c r="A1450" t="str">
        <x:v>Random BS Go</x:v>
      </x:c>
      <x:c r="B1450" t="str">
        <x:v>Random BS Go</x:v>
      </x:c>
      <x:c r="C1450" t="str">
        <x:v>l337f00l</x:v>
      </x:c>
      <x:c r="D1450" t="n">
        <x:v>12</x:v>
      </x:c>
      <x:c r="E1450" t="str">
        <x:v>Master</x:v>
      </x:c>
      <x:c r="F1450" t="str">
        <x:v>Kaizo</x:v>
      </x:c>
      <x:c r="G1450" t="n">
        <x:v>45219</x:v>
      </x:c>
      <x:c r="H1450" t="str">
        <x:v>35284</x:v>
      </x:c>
      <x:c r="I1450" t="str">
        <x:v>https://www.smwcentral.net/?a=details&amp;id=35284&amp;p=section</x:v>
      </x:c>
      <x:c r="J1450" t="str">
        <x:v>https://dl.smwcentral.net/35284/Random_BS_Go.zip</x:v>
      </x:c>
    </x:row>
    <x:row r="1451">
      <x:c r="A1451" t="str">
        <x:v>Raphael's Revenge</x:v>
      </x:c>
      <x:c r="B1451" t="str">
        <x:v>Raphael's Revenge</x:v>
      </x:c>
      <x:c r="C1451" t="str">
        <x:v>Arity, manadream</x:v>
      </x:c>
      <x:c r="D1451" t="n">
        <x:v>10</x:v>
      </x:c>
      <x:c r="E1451" t="str">
        <x:v>Expert</x:v>
      </x:c>
      <x:c r="F1451" t="str">
        <x:v>Kaizo</x:v>
      </x:c>
      <x:c r="G1451" t="n">
        <x:v>45092</x:v>
      </x:c>
      <x:c r="H1451" t="str">
        <x:v>33916</x:v>
      </x:c>
      <x:c r="I1451" t="str">
        <x:v>https://www.smwcentral.net/?a=details&amp;id=33916&amp;p=section</x:v>
      </x:c>
      <x:c r="J1451" t="str">
        <x:v>https://dl.smwcentral.net/33916/RaphaelsRevengeV1.1.zip</x:v>
      </x:c>
    </x:row>
    <x:row r="1452">
      <x:c r="A1452" t="str">
        <x:v>Really Neat Gimmicks</x:v>
      </x:c>
      <x:c r="B1452" t="str">
        <x:v>Really Neat Gimmicks</x:v>
      </x:c>
      <x:c r="C1452" t="str">
        <x:v>Jeffw</x:v>
      </x:c>
      <x:c r="D1452" t="n">
        <x:v>14</x:v>
      </x:c>
      <x:c r="E1452" t="str">
        <x:v>Grandmaster</x:v>
      </x:c>
      <x:c r="F1452" t="str">
        <x:v>Standard, Kaizo</x:v>
      </x:c>
      <x:c r="G1452" t="n">
        <x:v>46099</x:v>
      </x:c>
      <x:c r="H1452" t="str">
        <x:v>40631</x:v>
      </x:c>
      <x:c r="I1452" t="str">
        <x:v>https://www.smwcentral.net/?a=details&amp;id=40631&amp;p=section</x:v>
      </x:c>
      <x:c r="J1452" t="str">
        <x:v>https://dl.smwcentral.net/40631/gimmicks.zip</x:v>
      </x:c>
    </x:row>
    <x:row r="1453">
      <x:c r="A1453" t="str">
        <x:v>Red City</x:v>
      </x:c>
      <x:c r="B1453" t="str">
        <x:v>Red City</x:v>
      </x:c>
      <x:c r="C1453" t="str">
        <x:v>redkiller</x:v>
      </x:c>
      <x:c r="D1453" t="n">
        <x:v>7</x:v>
      </x:c>
      <x:c r="E1453" t="str">
        <x:v>Master</x:v>
      </x:c>
      <x:c r="F1453" t="str">
        <x:v>Kaizo</x:v>
      </x:c>
      <x:c r="G1453" t="n">
        <x:v>45279</x:v>
      </x:c>
      <x:c r="H1453" t="str">
        <x:v>35680</x:v>
      </x:c>
      <x:c r="I1453" t="str">
        <x:v>https://www.smwcentral.net/?a=details&amp;id=35680&amp;p=section</x:v>
      </x:c>
      <x:c r="J1453" t="str">
        <x:v>https://dl.smwcentral.net/35680/RedCity.zip</x:v>
      </x:c>
    </x:row>
    <x:row r="1454">
      <x:c r="A1454" t="str">
        <x:v>Red Hero Endgame</x:v>
      </x:c>
      <x:c r="B1454" t="str">
        <x:v>Red Hero Endgame</x:v>
      </x:c>
      <x:c r="C1454" t="str">
        <x:v>Jukeboxi_</x:v>
      </x:c>
      <x:c r="D1454" t="n">
        <x:v>29</x:v>
      </x:c>
      <x:c r="E1454" t="str">
        <x:v>Expert</x:v>
      </x:c>
      <x:c r="F1454" t="str">
        <x:v>Kaizo</x:v>
      </x:c>
      <x:c r="G1454" t="n">
        <x:v>45348</x:v>
      </x:c>
      <x:c r="H1454" t="str">
        <x:v>36825</x:v>
      </x:c>
      <x:c r="I1454" t="str">
        <x:v>https://www.smwcentral.net/?a=details&amp;id=36825&amp;p=section</x:v>
      </x:c>
      <x:c r="J1454" t="str">
        <x:v>https://dl.smwcentral.net/36825/Red%20Hero%20Endgame%20V1.1.zip</x:v>
      </x:c>
    </x:row>
    <x:row r="1455">
      <x:c r="A1455" t="str">
        <x:v>Red Hero's Journey</x:v>
      </x:c>
      <x:c r="B1455" t="str">
        <x:v>Red Hero's Journey</x:v>
      </x:c>
      <x:c r="C1455" t="str">
        <x:v>Jukeboxi_</x:v>
      </x:c>
      <x:c r="D1455" t="n">
        <x:v>20</x:v>
      </x:c>
      <x:c r="E1455" t="str">
        <x:v>Expert</x:v>
      </x:c>
      <x:c r="F1455" t="str">
        <x:v>Kaizo</x:v>
      </x:c>
      <x:c r="G1455" t="n">
        <x:v>45007</x:v>
      </x:c>
      <x:c r="H1455" t="str">
        <x:v>33491</x:v>
      </x:c>
      <x:c r="I1455" t="str">
        <x:v>https://www.smwcentral.net/?a=details&amp;id=33491&amp;p=section</x:v>
      </x:c>
      <x:c r="J1455" t="str">
        <x:v>https://dl.smwcentral.net/33491/Red%20Hero%27s%20Journey.zip</x:v>
      </x:c>
    </x:row>
    <x:row r="1456">
      <x:c r="A1456" t="str">
        <x:v>Red Hero's Legacy</x:v>
      </x:c>
      <x:c r="B1456" t="str">
        <x:v>Red Hero's Legacy</x:v>
      </x:c>
      <x:c r="C1456" t="str">
        <x:v>Jukeboxi_</x:v>
      </x:c>
      <x:c r="D1456" t="n">
        <x:v>17</x:v>
      </x:c>
      <x:c r="E1456" t="str">
        <x:v>Expert</x:v>
      </x:c>
      <x:c r="F1456" t="str">
        <x:v>Kaizo</x:v>
      </x:c>
      <x:c r="G1456" t="n">
        <x:v>45152</x:v>
      </x:c>
      <x:c r="H1456" t="str">
        <x:v>34786</x:v>
      </x:c>
      <x:c r="I1456" t="str">
        <x:v>https://www.smwcentral.net/?a=details&amp;id=34786&amp;p=section</x:v>
      </x:c>
      <x:c r="J1456" t="str">
        <x:v>https://dl.smwcentral.net/34786/redheroslegacy.zip</x:v>
      </x:c>
    </x:row>
    <x:row r="1457">
      <x:c r="A1457" t="str">
        <x:v>Red Wario</x:v>
      </x:c>
      <x:c r="B1457" t="str">
        <x:v>Red Wario</x:v>
      </x:c>
      <x:c r="C1457" t="str">
        <x:v>SMWHackedHACK</x:v>
      </x:c>
      <x:c r="D1457" t="n">
        <x:v>4</x:v>
      </x:c>
      <x:c r="E1457" t="str">
        <x:v>Casual</x:v>
      </x:c>
      <x:c r="F1457" t="str">
        <x:v>Standard</x:v>
      </x:c>
      <x:c r="G1457" t="n">
        <x:v>42333</x:v>
      </x:c>
      <x:c r="H1457" t="str">
        <x:v>12691</x:v>
      </x:c>
      <x:c r="I1457" t="str">
        <x:v>https://www.smwcentral.net/?a=details&amp;id=12691&amp;p=section</x:v>
      </x:c>
      <x:c r="J1457" t="str">
        <x:v>https://dl.smwcentral.net/12691/rwario.zip</x:v>
      </x:c>
    </x:row>
    <x:row r="1458">
      <x:c r="A1458" t="str">
        <x:v>Red's Christmas Party!</x:v>
      </x:c>
      <x:c r="B1458" t="str">
        <x:v>Red's Christmas Party!</x:v>
      </x:c>
      <x:c r="C1458" t="str">
        <x:v>RedToonLink</x:v>
      </x:c>
      <x:c r="D1458" t="n">
        <x:v>1</x:v>
      </x:c>
      <x:c r="E1458" t="str">
        <x:v>Intermediate</x:v>
      </x:c>
      <x:c r="F1458" t="str">
        <x:v>Standard</x:v>
      </x:c>
      <x:c r="G1458" t="n">
        <x:v>45291</x:v>
      </x:c>
      <x:c r="H1458" t="str">
        <x:v>35559</x:v>
      </x:c>
      <x:c r="I1458" t="str">
        <x:v>https://www.smwcentral.net/?a=details&amp;id=35559&amp;p=section</x:v>
      </x:c>
      <x:c r="J1458" t="str">
        <x:v>https://dl.smwcentral.net/35559/Red%27s%20Christmas%20Party_fixed.zip</x:v>
      </x:c>
    </x:row>
    <x:row r="1459">
      <x:c r="A1459" t="str">
        <x:v>Redeeming Peach</x:v>
      </x:c>
      <x:c r="B1459" t="str">
        <x:v>Redeeming Peach</x:v>
      </x:c>
      <x:c r="C1459" t="str">
        <x:v>AntoineG782</x:v>
      </x:c>
      <x:c r="D1459" t="n">
        <x:v>1</x:v>
      </x:c>
      <x:c r="E1459" t="str">
        <x:v>Intermediate</x:v>
      </x:c>
      <x:c r="F1459" t="str">
        <x:v>Standard</x:v>
      </x:c>
      <x:c r="G1459" t="n">
        <x:v>42057</x:v>
      </x:c>
      <x:c r="H1459" t="str">
        <x:v>10173</x:v>
      </x:c>
      <x:c r="I1459" t="str">
        <x:v>https://www.smwcentral.net/?a=details&amp;id=10173&amp;p=section</x:v>
      </x:c>
      <x:c r="J1459" t="str">
        <x:v>https://dl.smwcentral.net/10173/Redeeming%20Peach%20%28V.%201.2%29.zip</x:v>
      </x:c>
    </x:row>
    <x:row r="1460">
      <x:c r="A1460" t="str">
        <x:v>Remember ALF!?</x:v>
      </x:c>
      <x:c r="B1460" t="str">
        <x:v>Remember ALF!?</x:v>
      </x:c>
      <x:c r="C1460" t="str">
        <x:v>shovda</x:v>
      </x:c>
      <x:c r="D1460" t="n">
        <x:v>1</x:v>
      </x:c>
      <x:c r="E1460" t="str">
        <x:v>Master</x:v>
      </x:c>
      <x:c r="F1460" t="str">
        <x:v>Kaizo</x:v>
      </x:c>
      <x:c r="G1460" t="n">
        <x:v>44317</x:v>
      </x:c>
      <x:c r="H1460" t="str">
        <x:v>26873</x:v>
      </x:c>
      <x:c r="I1460" t="str">
        <x:v>https://www.smwcentral.net/?a=details&amp;id=26873&amp;p=section</x:v>
      </x:c>
      <x:c r="J1460" t="str">
        <x:v>https://dl.smwcentral.net/26873/Remember%20ALF.zip</x:v>
      </x:c>
    </x:row>
    <x:row r="1461">
      <x:c r="A1461" t="str">
        <x:v>REMIX</x:v>
      </x:c>
      <x:c r="B1461" t="str">
        <x:v>REMIX</x:v>
      </x:c>
      <x:c r="C1461" t="str">
        <x:v>Prestinator13</x:v>
      </x:c>
      <x:c r="D1461" t="n">
        <x:v>12</x:v>
      </x:c>
      <x:c r="E1461" t="str">
        <x:v>Expert</x:v>
      </x:c>
      <x:c r="F1461" t="str">
        <x:v>Kaizo</x:v>
      </x:c>
      <x:c r="G1461" t="n">
        <x:v>45532</x:v>
      </x:c>
      <x:c r="H1461" t="str">
        <x:v>38314</x:v>
      </x:c>
      <x:c r="I1461" t="str">
        <x:v>https://www.smwcentral.net/?a=details&amp;id=38314&amp;p=section</x:v>
      </x:c>
      <x:c r="J1461" t="str">
        <x:v>https://dl.smwcentral.net/38314/REMIX_FINAL1.1.zip</x:v>
      </x:c>
    </x:row>
    <x:row r="1462">
      <x:c r="A1462" t="str">
        <x:v>Repeat Offender</x:v>
      </x:c>
      <x:c r="B1462" t="str">
        <x:v>Repeat Offender</x:v>
      </x:c>
      <x:c r="C1462" t="str">
        <x:v>Multibella</x:v>
      </x:c>
      <x:c r="D1462" t="n">
        <x:v>10</x:v>
      </x:c>
      <x:c r="E1462" t="str">
        <x:v>Casual</x:v>
      </x:c>
      <x:c r="F1462" t="str">
        <x:v>Standard</x:v>
      </x:c>
      <x:c r="G1462" t="n">
        <x:v>42010</x:v>
      </x:c>
      <x:c r="H1462" t="str">
        <x:v>10233</x:v>
      </x:c>
      <x:c r="I1462" t="str">
        <x:v>https://www.smwcentral.net/?a=details&amp;id=10233&amp;p=section</x:v>
      </x:c>
      <x:c r="J1462" t="str">
        <x:v>https://dl.smwcentral.net/10233/RepOff%20patch.zip</x:v>
      </x:c>
    </x:row>
    <x:row r="1463">
      <x:c r="A1463" t="str">
        <x:v>Replica</x:v>
      </x:c>
      <x:c r="B1463" t="str">
        <x:v>Replica</x:v>
      </x:c>
      <x:c r="C1463" t="str">
        <x:v>Saela</x:v>
      </x:c>
      <x:c r="D1463" t="n">
        <x:v>11</x:v>
      </x:c>
      <x:c r="E1463" t="str">
        <x:v>Expert</x:v>
      </x:c>
      <x:c r="F1463" t="str">
        <x:v>Kaizo</x:v>
      </x:c>
      <x:c r="G1463" t="n">
        <x:v>45993</x:v>
      </x:c>
      <x:c r="H1463" t="str">
        <x:v>41191</x:v>
      </x:c>
      <x:c r="I1463" t="str">
        <x:v>https://www.smwcentral.net/?a=details&amp;id=41191&amp;p=section</x:v>
      </x:c>
      <x:c r="J1463" t="str">
        <x:v>https://dl.smwcentral.net/41191/Replica.zip</x:v>
      </x:c>
    </x:row>
    <x:row r="1464">
      <x:c r="A1464" t="str">
        <x:v>Rescue of Rochie</x:v>
      </x:c>
      <x:c r="B1464" t="str">
        <x:v>Rescue of Rochie</x:v>
      </x:c>
      <x:c r="C1464" t="str">
        <x:v>Alexis</x:v>
      </x:c>
      <x:c r="D1464" t="n">
        <x:v>80</x:v>
      </x:c>
      <x:c r="E1464" t="str">
        <x:v>Casual</x:v>
      </x:c>
      <x:c r="F1464" t="str">
        <x:v>Standard</x:v>
      </x:c>
      <x:c r="G1464" t="n">
        <x:v>42217</x:v>
      </x:c>
      <x:c r="H1464" t="str">
        <x:v>11902</x:v>
      </x:c>
      <x:c r="I1464" t="str">
        <x:v>https://www.smwcentral.net/?a=details&amp;id=11902&amp;p=section</x:v>
      </x:c>
      <x:c r="J1464" t="str">
        <x:v>https://dl.smwcentral.net/11902/rescue.v1.0.zip</x:v>
      </x:c>
    </x:row>
    <x:row r="1465">
      <x:c r="A1465" t="str">
        <x:v>ReSMW</x:v>
      </x:c>
      <x:c r="B1465" t="str">
        <x:v>ReSMW</x:v>
      </x:c>
      <x:c r="C1465" t="str">
        <x:v>coolhack</x:v>
      </x:c>
      <x:c r="D1465" t="n">
        <x:v>5</x:v>
      </x:c>
      <x:c r="E1465" t="str">
        <x:v>Newcomer</x:v>
      </x:c>
      <x:c r="F1465" t="str">
        <x:v>Standard</x:v>
      </x:c>
      <x:c r="G1465" t="n">
        <x:v>42280</x:v>
      </x:c>
      <x:c r="H1465" t="str">
        <x:v>10180</x:v>
      </x:c>
      <x:c r="I1465" t="str">
        <x:v>https://www.smwcentral.net/?a=details&amp;id=10180&amp;p=section</x:v>
      </x:c>
      <x:c r="J1465" t="str">
        <x:v>https://dl.smwcentral.net/10180/RESMW.zip</x:v>
      </x:c>
    </x:row>
    <x:row r="1466">
      <x:c r="A1466" t="str">
        <x:v>Retro Mario World - Super Mario Bros.</x:v>
      </x:c>
      <x:c r="B1466" t="str">
        <x:v>Retro Mario World - Super Mario Bros.</x:v>
      </x:c>
      <x:c r="C1466" t="str">
        <x:v>GameGuy10</x:v>
      </x:c>
      <x:c r="D1466" t="n">
        <x:v>32</x:v>
      </x:c>
      <x:c r="E1466" t="str">
        <x:v>Newcomer</x:v>
      </x:c>
      <x:c r="F1466" t="str">
        <x:v>Standard</x:v>
      </x:c>
      <x:c r="G1466" t="n">
        <x:v>42384</x:v>
      </x:c>
      <x:c r="H1466" t="str">
        <x:v>13087</x:v>
      </x:c>
      <x:c r="I1466" t="str">
        <x:v>https://www.smwcentral.net/?a=details&amp;id=13087&amp;p=section</x:v>
      </x:c>
      <x:c r="J1466" t="str">
        <x:v>https://dl.smwcentral.net/13087/SMB%20REMAKE.zip</x:v>
      </x:c>
    </x:row>
    <x:row r="1467">
      <x:c r="A1467" t="str">
        <x:v>Retro Marioland</x:v>
      </x:c>
      <x:c r="B1467" t="str">
        <x:v>Retro Marioland</x:v>
      </x:c>
      <x:c r="C1467" t="str">
        <x:v>LocoFuzzyPants</x:v>
      </x:c>
      <x:c r="D1467" t="n">
        <x:v>10</x:v>
      </x:c>
      <x:c r="E1467" t="str">
        <x:v>Advanced</x:v>
      </x:c>
      <x:c r="F1467" t="str">
        <x:v>Kaizo</x:v>
      </x:c>
      <x:c r="G1467" t="n">
        <x:v>45572</x:v>
      </x:c>
      <x:c r="H1467" t="str">
        <x:v>38510</x:v>
      </x:c>
      <x:c r="I1467" t="str">
        <x:v>https://www.smwcentral.net/?a=details&amp;id=38510&amp;p=section</x:v>
      </x:c>
      <x:c r="J1467" t="str">
        <x:v>https://dl.smwcentral.net/38510/Retro%20Marioland%20v1.2.zip</x:v>
      </x:c>
    </x:row>
    <x:row r="1468">
      <x:c r="A1468" t="str">
        <x:v>Retrograde Nine</x:v>
      </x:c>
      <x:c r="B1468" t="str">
        <x:v>Retrograde Nine</x:v>
      </x:c>
      <x:c r="C1468" t="str">
        <x:v>MarsAmPear</x:v>
      </x:c>
      <x:c r="D1468" t="n">
        <x:v>0</x:v>
      </x:c>
      <x:c r="E1468" t="str">
        <x:v>Expert</x:v>
      </x:c>
      <x:c r="F1468" t="str">
        <x:v>Kaizo</x:v>
      </x:c>
      <x:c r="G1468" t="n">
        <x:v>45198</x:v>
      </x:c>
      <x:c r="H1468" t="str">
        <x:v>35107</x:v>
      </x:c>
      <x:c r="I1468" t="str">
        <x:v>https://www.smwcentral.net/?a=details&amp;id=35107&amp;p=section</x:v>
      </x:c>
      <x:c r="J1468" t="str">
        <x:v>https://dl.smwcentral.net/35107/Retrograde%20Nine%201.02.zip</x:v>
      </x:c>
    </x:row>
    <x:row r="1469">
      <x:c r="A1469" t="str">
        <x:v>Return Mario World Luner Editon</x:v>
      </x:c>
      <x:c r="B1469" t="str">
        <x:v>Return Mario World Luner Editon</x:v>
      </x:c>
      <x:c r="C1469" t="str">
        <x:v>TheOrangeToad</x:v>
      </x:c>
      <x:c r="D1469" t="n">
        <x:v>5</x:v>
      </x:c>
      <x:c r="E1469" t="str">
        <x:v>Newcomer</x:v>
      </x:c>
      <x:c r="F1469" t="str">
        <x:v>Standard</x:v>
      </x:c>
      <x:c r="G1469" t="n">
        <x:v>42565</x:v>
      </x:c>
      <x:c r="H1469" t="str">
        <x:v>14000</x:v>
      </x:c>
      <x:c r="I1469" t="str">
        <x:v>https://www.smwcentral.net/?a=details&amp;id=14000&amp;p=section</x:v>
      </x:c>
      <x:c r="J1469" t="str">
        <x:v>https://dl.smwcentral.net/14000/Hack%20demo%202.zip</x:v>
      </x:c>
    </x:row>
    <x:row r="1470">
      <x:c r="A1470" t="str">
        <x:v>Return Of Shadower</x:v>
      </x:c>
      <x:c r="B1470" t="str">
        <x:v>Return Of Shadower</x:v>
      </x:c>
      <x:c r="C1470" t="str">
        <x:v>darken</x:v>
      </x:c>
      <x:c r="D1470" t="n">
        <x:v>28</x:v>
      </x:c>
      <x:c r="E1470" t="str">
        <x:v>Intermediate</x:v>
      </x:c>
      <x:c r="F1470" t="str">
        <x:v>Standard</x:v>
      </x:c>
      <x:c r="G1470" t="n">
        <x:v>42614</x:v>
      </x:c>
      <x:c r="H1470" t="str">
        <x:v>14026</x:v>
      </x:c>
      <x:c r="I1470" t="str">
        <x:v>https://www.smwcentral.net/?a=details&amp;id=14026&amp;p=section</x:v>
      </x:c>
      <x:c r="J1470" t="str">
        <x:v>https://dl.smwcentral.net/14026/ROS.zip</x:v>
      </x:c>
    </x:row>
    <x:row r="1471">
      <x:c r="A1471" t="str">
        <x:v>Return Trip</x:v>
      </x:c>
      <x:c r="B1471" t="str">
        <x:v>Return Trip</x:v>
      </x:c>
      <x:c r="C1471" t="str">
        <x:v>levelengine</x:v>
      </x:c>
      <x:c r="D1471" t="n">
        <x:v>33</x:v>
      </x:c>
      <x:c r="E1471" t="str">
        <x:v>Intermediate</x:v>
      </x:c>
      <x:c r="F1471" t="str">
        <x:v>Standard</x:v>
      </x:c>
      <x:c r="G1471" t="n">
        <x:v>43896</x:v>
      </x:c>
      <x:c r="H1471" t="str">
        <x:v>21865</x:v>
      </x:c>
      <x:c r="I1471" t="str">
        <x:v>https://www.smwcentral.net/?a=details&amp;id=21865&amp;p=section</x:v>
      </x:c>
      <x:c r="J1471" t="str">
        <x:v>https://dl.smwcentral.net/21865/Return_Trip_%283rd%29.zip</x:v>
      </x:c>
    </x:row>
    <x:row r="1472">
      <x:c r="A1472" t="str">
        <x:v>Revenge of Bowser - Legend of the Seven Eggs</x:v>
      </x:c>
      <x:c r="B1472" t="str">
        <x:v>Revenge of Bowser - Legend of the Seven Eggs</x:v>
      </x:c>
      <x:c r="C1472" t="str">
        <x:v>omegaLakitu</x:v>
      </x:c>
      <x:c r="D1472" t="n">
        <x:v>9</x:v>
      </x:c>
      <x:c r="E1472" t="str">
        <x:v>Newcomer</x:v>
      </x:c>
      <x:c r="F1472" t="str">
        <x:v>Standard</x:v>
      </x:c>
      <x:c r="G1472" t="n">
        <x:v>41501</x:v>
      </x:c>
      <x:c r="H1472" t="str">
        <x:v>4964</x:v>
      </x:c>
      <x:c r="I1472" t="str">
        <x:v>https://www.smwcentral.net/?a=details&amp;id=4964&amp;p=section</x:v>
      </x:c>
      <x:c r="J1472" t="str">
        <x:v>https://dl.smwcentral.net/4964/revenge%20of%20bowser%20and%20the%20legend%20of%20the%20seven%20eggs.zip</x:v>
      </x:c>
    </x:row>
    <x:row r="1473">
      <x:c r="A1473" t="str">
        <x:v>REVENGE OF SWITCHES PRESSED</x:v>
      </x:c>
      <x:c r="B1473" t="str">
        <x:v>REVENGE OF SWITCHES PRESSED</x:v>
      </x:c>
      <x:c r="C1473" t="str">
        <x:v>GbreezeSunset, Lazy, MiracleWater, lolyoshi</x:v>
      </x:c>
      <x:c r="D1473" t="n">
        <x:v>4</x:v>
      </x:c>
      <x:c r="E1473" t="str">
        <x:v>Advanced</x:v>
      </x:c>
      <x:c r="F1473" t="str">
        <x:v>Standard</x:v>
      </x:c>
      <x:c r="G1473" t="n">
        <x:v>45702</x:v>
      </x:c>
      <x:c r="H1473" t="str">
        <x:v>39161</x:v>
      </x:c>
      <x:c r="I1473" t="str">
        <x:v>https://www.smwcentral.net/?a=details&amp;id=39161&amp;p=section</x:v>
      </x:c>
      <x:c r="J1473" t="str">
        <x:v>https://dl.smwcentral.net/39161/ROSP.zip</x:v>
      </x:c>
    </x:row>
    <x:row r="1474">
      <x:c r="A1474" t="str">
        <x:v>Reverie</x:v>
      </x:c>
      <x:c r="B1474" t="str">
        <x:v>Reverie</x:v>
      </x:c>
      <x:c r="C1474" t="str">
        <x:v>Abdu, Fyre150</x:v>
      </x:c>
      <x:c r="D1474" t="n">
        <x:v>2</x:v>
      </x:c>
      <x:c r="E1474" t="str">
        <x:v>Casual</x:v>
      </x:c>
      <x:c r="F1474" t="str">
        <x:v>Standard, Puzzle</x:v>
      </x:c>
      <x:c r="G1474" t="n">
        <x:v>46005</x:v>
      </x:c>
      <x:c r="H1474" t="str">
        <x:v>40108</x:v>
      </x:c>
      <x:c r="I1474" t="str">
        <x:v>https://www.smwcentral.net/?a=details&amp;id=40108&amp;p=section</x:v>
      </x:c>
      <x:c r="J1474" t="str">
        <x:v>https://dl.smwcentral.net/40108/Reverie.zip</x:v>
      </x:c>
    </x:row>
    <x:row r="1475">
      <x:c r="A1475" t="str">
        <x:v>Riff World 2</x:v>
      </x:c>
      <x:c r="B1475" t="str">
        <x:v>Riff World 2</x:v>
      </x:c>
      <x:c r="C1475" t="str">
        <x:v>Freakin_HA</x:v>
      </x:c>
      <x:c r="D1475" t="n">
        <x:v>32</x:v>
      </x:c>
      <x:c r="E1475" t="str">
        <x:v>Master</x:v>
      </x:c>
      <x:c r="F1475" t="str">
        <x:v>Kaizo</x:v>
      </x:c>
      <x:c r="G1475" t="n">
        <x:v>44226</x:v>
      </x:c>
      <x:c r="H1475" t="str">
        <x:v>26042</x:v>
      </x:c>
      <x:c r="I1475" t="str">
        <x:v>https://www.smwcentral.net/?a=details&amp;id=26042&amp;p=section</x:v>
      </x:c>
      <x:c r="J1475" t="str">
        <x:v>https://dl.smwcentral.net/26042/Riff%20World%202.zip</x:v>
      </x:c>
    </x:row>
    <x:row r="1476">
      <x:c r="A1476" t="str">
        <x:v>Rikaizo Shells</x:v>
      </x:c>
      <x:c r="B1476" t="str">
        <x:v>Rikaizo Shells</x:v>
      </x:c>
      <x:c r="C1476" t="str">
        <x:v>arantes</x:v>
      </x:c>
      <x:c r="D1476" t="n">
        <x:v>12</x:v>
      </x:c>
      <x:c r="E1476" t="str">
        <x:v>Master</x:v>
      </x:c>
      <x:c r="F1476" t="str">
        <x:v>Kaizo</x:v>
      </x:c>
      <x:c r="G1476" t="n">
        <x:v>44859</x:v>
      </x:c>
      <x:c r="H1476" t="str">
        <x:v>32290</x:v>
      </x:c>
      <x:c r="I1476" t="str">
        <x:v>https://www.smwcentral.net/?a=details&amp;id=32290&amp;p=section</x:v>
      </x:c>
      <x:c r="J1476" t="str">
        <x:v>https://dl.smwcentral.net/32290/Rikaizo%20Shells%201.1.zip</x:v>
      </x:c>
    </x:row>
    <x:row r="1477">
      <x:c r="A1477" t="str">
        <x:v>Rise of Horst: Baby Park</x:v>
      </x:c>
      <x:c r="B1477" t="str">
        <x:v>Rise of Horst: Baby Park</x:v>
      </x:c>
      <x:c r="C1477" t="str">
        <x:v>Hannes37</x:v>
      </x:c>
      <x:c r="D1477" t="n">
        <x:v>2</x:v>
      </x:c>
      <x:c r="E1477" t="str">
        <x:v>Intermediate</x:v>
      </x:c>
      <x:c r="F1477" t="str">
        <x:v>Kaizo, Tool-Assisted</x:v>
      </x:c>
      <x:c r="G1477" t="n">
        <x:v>44802</x:v>
      </x:c>
      <x:c r="H1477" t="str">
        <x:v>31374</x:v>
      </x:c>
      <x:c r="I1477" t="str">
        <x:v>https://www.smwcentral.net/?a=details&amp;id=31374&amp;p=section</x:v>
      </x:c>
      <x:c r="J1477" t="str">
        <x:v>https://dl.smwcentral.net/31374/Rise%20of%20Horst%20BabyPark.zip</x:v>
      </x:c>
    </x:row>
    <x:row r="1478">
      <x:c r="A1478" t="str">
        <x:v>Rise to the Challenge</x:v>
      </x:c>
      <x:c r="B1478" t="str">
        <x:v>Rise to the Challenge</x:v>
      </x:c>
      <x:c r="C1478" t="str">
        <x:v>AxemJinx</x:v>
      </x:c>
      <x:c r="D1478" t="n">
        <x:v>53</x:v>
      </x:c>
      <x:c r="E1478" t="str">
        <x:v>Intermediate</x:v>
      </x:c>
      <x:c r="F1478" t="str">
        <x:v>Standard</x:v>
      </x:c>
      <x:c r="G1478" t="n">
        <x:v>41870</x:v>
      </x:c>
      <x:c r="H1478" t="str">
        <x:v>9029</x:v>
      </x:c>
      <x:c r="I1478" t="str">
        <x:v>https://www.smwcentral.net/?a=details&amp;id=9029&amp;p=section</x:v>
      </x:c>
      <x:c r="J1478" t="str">
        <x:v>https://dl.smwcentral.net/9029/RttC-1.3.zip</x:v>
      </x:c>
    </x:row>
    <x:row r="1479">
      <x:c r="A1479" t="str">
        <x:v>River Song</x:v>
      </x:c>
      <x:c r="B1479" t="str">
        <x:v>River Song</x:v>
      </x:c>
      <x:c r="C1479" t="str">
        <x:v>Monkeyfist</x:v>
      </x:c>
      <x:c r="D1479" t="n">
        <x:v>18</x:v>
      </x:c>
      <x:c r="E1479" t="str">
        <x:v>Advanced</x:v>
      </x:c>
      <x:c r="F1479" t="str">
        <x:v>Kaizo</x:v>
      </x:c>
      <x:c r="G1479" t="n">
        <x:v>43921</x:v>
      </x:c>
      <x:c r="H1479" t="str">
        <x:v>22513</x:v>
      </x:c>
      <x:c r="I1479" t="str">
        <x:v>https://www.smwcentral.net/?a=details&amp;id=22513&amp;p=section</x:v>
      </x:c>
      <x:c r="J1479" t="str">
        <x:v>https://dl.smwcentral.net/22513/Riversong.zip</x:v>
      </x:c>
    </x:row>
    <x:row r="1480">
      <x:c r="A1480" t="str">
        <x:v>Road to New Haven</x:v>
      </x:c>
      <x:c r="B1480" t="str">
        <x:v>Road to New Haven</x:v>
      </x:c>
      <x:c r="C1480" t="str">
        <x:v>DashGamer</x:v>
      </x:c>
      <x:c r="D1480" t="n">
        <x:v>5</x:v>
      </x:c>
      <x:c r="E1480" t="str">
        <x:v>Intermediate</x:v>
      </x:c>
      <x:c r="F1480" t="str">
        <x:v>Kaizo</x:v>
      </x:c>
      <x:c r="G1480" t="n">
        <x:v>44821</x:v>
      </x:c>
      <x:c r="H1480" t="str">
        <x:v>32137</x:v>
      </x:c>
      <x:c r="I1480" t="str">
        <x:v>https://www.smwcentral.net/?a=details&amp;id=32137&amp;p=section</x:v>
      </x:c>
      <x:c r="J1480" t="str">
        <x:v>https://dl.smwcentral.net/32137/Road%20to%20New%20Haven.zip</x:v>
      </x:c>
    </x:row>
    <x:row r="1481">
      <x:c r="A1481" t="str">
        <x:v>Rob-omb's Quest: Easy</x:v>
      </x:c>
      <x:c r="B1481" t="str">
        <x:v>Rob-omb's Quest: Easy</x:v>
      </x:c>
      <x:c r="C1481" t="str">
        <x:v>videogamerpat</x:v>
      </x:c>
      <x:c r="D1481" t="n">
        <x:v>84</x:v>
      </x:c>
      <x:c r="E1481" t="str">
        <x:v>Casual</x:v>
      </x:c>
      <x:c r="F1481" t="str">
        <x:v>Standard</x:v>
      </x:c>
      <x:c r="G1481" t="n">
        <x:v>42221</x:v>
      </x:c>
      <x:c r="H1481" t="str">
        <x:v>9736</x:v>
      </x:c>
      <x:c r="I1481" t="str">
        <x:v>https://www.smwcentral.net/?a=details&amp;id=9736&amp;p=section</x:v>
      </x:c>
      <x:c r="J1481" t="str">
        <x:v>https://dl.smwcentral.net/9736/Rob-omb%27s%20Quest%20Easy.zip</x:v>
      </x:c>
    </x:row>
    <x:row r="1482">
      <x:c r="A1482" t="str">
        <x:v>Rob-omb's Quest: Hard</x:v>
      </x:c>
      <x:c r="B1482" t="str">
        <x:v>Rob-omb's Quest: Hard</x:v>
      </x:c>
      <x:c r="C1482" t="str">
        <x:v>videogamerpat</x:v>
      </x:c>
      <x:c r="D1482" t="n">
        <x:v>84</x:v>
      </x:c>
      <x:c r="E1482" t="str">
        <x:v>Casual</x:v>
      </x:c>
      <x:c r="F1482" t="str">
        <x:v>Standard</x:v>
      </x:c>
      <x:c r="G1482" t="n">
        <x:v>42221</x:v>
      </x:c>
      <x:c r="H1482" t="str">
        <x:v>9735</x:v>
      </x:c>
      <x:c r="I1482" t="str">
        <x:v>https://www.smwcentral.net/?a=details&amp;id=9735&amp;p=section</x:v>
      </x:c>
      <x:c r="J1482" t="str">
        <x:v>https://dl.smwcentral.net/9735/Rob-omb%27s%20Quest%20Hard.zip</x:v>
      </x:c>
    </x:row>
    <x:row r="1483">
      <x:c r="A1483" t="str">
        <x:v>Robfather World</x:v>
      </x:c>
      <x:c r="B1483" t="str">
        <x:v>Robfather World</x:v>
      </x:c>
      <x:c r="C1483" t="str">
        <x:v>DanOfMostTrades</x:v>
      </x:c>
      <x:c r="D1483" t="n">
        <x:v>14</x:v>
      </x:c>
      <x:c r="E1483" t="str">
        <x:v>Intermediate</x:v>
      </x:c>
      <x:c r="F1483" t="str">
        <x:v>Kaizo</x:v>
      </x:c>
      <x:c r="G1483" t="n">
        <x:v>43629</x:v>
      </x:c>
      <x:c r="H1483" t="str">
        <x:v>20190</x:v>
      </x:c>
      <x:c r="I1483" t="str">
        <x:v>https://www.smwcentral.net/?a=details&amp;id=20190&amp;p=section</x:v>
      </x:c>
      <x:c r="J1483" t="str">
        <x:v>https://dl.smwcentral.net/20190/Robfather_World_v1_1.zip</x:v>
      </x:c>
    </x:row>
    <x:row r="1484">
      <x:c r="A1484" t="str">
        <x:v>Roger Gang Vol 1</x:v>
      </x:c>
      <x:c r="B1484" t="str">
        <x:v>Roger Gang Vol 1</x:v>
      </x:c>
      <x:c r="C1484" t="str">
        <x:v>BigDeutsch, BoozeWash, Brakkie, Daffoxy, Fryinb, Ixitxachitl, Jenboo, KatMakes, TDWarrior, TacosTheCasual, The4thBackpack, ViviMeowerson, l337f00l, shaoshao, xamexer</x:v>
      </x:c>
      <x:c r="D1484" t="n">
        <x:v>15</x:v>
      </x:c>
      <x:c r="E1484" t="str">
        <x:v>Expert</x:v>
      </x:c>
      <x:c r="F1484" t="str">
        <x:v>Kaizo</x:v>
      </x:c>
      <x:c r="G1484" t="n">
        <x:v>44369</x:v>
      </x:c>
      <x:c r="H1484" t="str">
        <x:v>27312</x:v>
      </x:c>
      <x:c r="I1484" t="str">
        <x:v>https://www.smwcentral.net/?a=details&amp;id=27312&amp;p=section</x:v>
      </x:c>
      <x:c r="J1484" t="str">
        <x:v>https://dl.smwcentral.net/27312/Roger%20Gang%20Vol%201.zip</x:v>
      </x:c>
    </x:row>
    <x:row r="1485">
      <x:c r="A1485" t="str">
        <x:v>ROKE HELL</x:v>
      </x:c>
      <x:c r="B1485" t="str">
        <x:v>ROKE HELL</x:v>
      </x:c>
      <x:c r="C1485" t="str">
        <x:v>alvinluis</x:v>
      </x:c>
      <x:c r="D1485" t="n">
        <x:v>14</x:v>
      </x:c>
      <x:c r="E1485" t="str">
        <x:v>Expert</x:v>
      </x:c>
      <x:c r="F1485" t="str">
        <x:v>Kaizo</x:v>
      </x:c>
      <x:c r="G1485" t="n">
        <x:v>45079</x:v>
      </x:c>
      <x:c r="H1485" t="str">
        <x:v>33959</x:v>
      </x:c>
      <x:c r="I1485" t="str">
        <x:v>https://www.smwcentral.net/?a=details&amp;id=33959&amp;p=section</x:v>
      </x:c>
      <x:c r="J1485" t="str">
        <x:v>https://dl.smwcentral.net/33959/ROKE%20HELL.zip</x:v>
      </x:c>
    </x:row>
    <x:row r="1486">
      <x:c r="A1486" t="str">
        <x:v>Roke Shell</x:v>
      </x:c>
      <x:c r="B1486" t="str">
        <x:v>Roke Shell</x:v>
      </x:c>
      <x:c r="C1486" t="str">
        <x:v>magianegra21</x:v>
      </x:c>
      <x:c r="D1486" t="n">
        <x:v>14</x:v>
      </x:c>
      <x:c r="E1486" t="str">
        <x:v>Advanced</x:v>
      </x:c>
      <x:c r="F1486" t="str">
        <x:v>Kaizo</x:v>
      </x:c>
      <x:c r="G1486" t="n">
        <x:v>45343</x:v>
      </x:c>
      <x:c r="H1486" t="str">
        <x:v>36801</x:v>
      </x:c>
      <x:c r="I1486" t="str">
        <x:v>https://www.smwcentral.net/?a=details&amp;id=36801&amp;p=section</x:v>
      </x:c>
      <x:c r="J1486" t="str">
        <x:v>https://dl.smwcentral.net/36801/roke%20shell.zip</x:v>
      </x:c>
    </x:row>
    <x:row r="1487">
      <x:c r="A1487" t="str">
        <x:v>rokeshell 2</x:v>
      </x:c>
      <x:c r="B1487" t="str">
        <x:v>rokeshell 2</x:v>
      </x:c>
      <x:c r="C1487" t="str">
        <x:v>elwawa</x:v>
      </x:c>
      <x:c r="D1487" t="n">
        <x:v>13</x:v>
      </x:c>
      <x:c r="E1487" t="str">
        <x:v>Expert</x:v>
      </x:c>
      <x:c r="F1487" t="str">
        <x:v>Kaizo</x:v>
      </x:c>
      <x:c r="G1487" t="n">
        <x:v>46213</x:v>
      </x:c>
      <x:c r="H1487" t="str">
        <x:v>42671</x:v>
      </x:c>
      <x:c r="I1487" t="str">
        <x:v>https://www.smwcentral.net/?a=details&amp;id=42671&amp;p=section</x:v>
      </x:c>
      <x:c r="J1487" t="str">
        <x:v>https://dl.smwcentral.net/42671/rokeshell2.zip</x:v>
      </x:c>
    </x:row>
    <x:row r="1488">
      <x:c r="A1488" t="str">
        <x:v>Romhack Races - Season 1 Compilation</x:v>
      </x:c>
      <x:c r="B1488" t="str">
        <x:v>Romhack Races - Season 1 Compilation</x:v>
      </x:c>
      <x:c r="C1488" t="str">
        <x:v>Romhack Races Team</x:v>
      </x:c>
      <x:c r="D1488" t="n">
        <x:v>15</x:v>
      </x:c>
      <x:c r="E1488" t="str">
        <x:v>Expert</x:v>
      </x:c>
      <x:c r="F1488" t="str">
        <x:v>Kaizo</x:v>
      </x:c>
      <x:c r="G1488" t="n">
        <x:v>43573</x:v>
      </x:c>
      <x:c r="H1488" t="str">
        <x:v>19683</x:v>
      </x:c>
      <x:c r="I1488" t="str">
        <x:v>https://www.smwcentral.net/?a=details&amp;id=19683&amp;p=section</x:v>
      </x:c>
      <x:c r="J1488" t="str">
        <x:v>https://dl.smwcentral.net/19683/RHRS1.zip</x:v>
      </x:c>
    </x:row>
    <x:row r="1489">
      <x:c r="A1489" t="str">
        <x:v>Romhack Races - Season 2 Compilation</x:v>
      </x:c>
      <x:c r="B1489" t="str">
        <x:v>Romhack Races - Season 2 Compilation</x:v>
      </x:c>
      <x:c r="C1489" t="str">
        <x:v>Romhack Races Team</x:v>
      </x:c>
      <x:c r="D1489" t="n">
        <x:v>13</x:v>
      </x:c>
      <x:c r="E1489" t="str">
        <x:v>Expert</x:v>
      </x:c>
      <x:c r="F1489" t="str">
        <x:v>Kaizo</x:v>
      </x:c>
      <x:c r="G1489" t="n">
        <x:v>43573</x:v>
      </x:c>
      <x:c r="H1489" t="str">
        <x:v>19684</x:v>
      </x:c>
      <x:c r="I1489" t="str">
        <x:v>https://www.smwcentral.net/?a=details&amp;id=19684&amp;p=section</x:v>
      </x:c>
      <x:c r="J1489" t="str">
        <x:v>https://dl.smwcentral.net/19684/RHRS2.zip</x:v>
      </x:c>
    </x:row>
    <x:row r="1490">
      <x:c r="A1490" t="str">
        <x:v>Romhack Races - Season 3 Compilation</x:v>
      </x:c>
      <x:c r="B1490" t="str">
        <x:v>Romhack Races - Season 3 Compilation</x:v>
      </x:c>
      <x:c r="C1490" t="str">
        <x:v>Romhack Races Team</x:v>
      </x:c>
      <x:c r="D1490" t="n">
        <x:v>13</x:v>
      </x:c>
      <x:c r="E1490" t="str">
        <x:v>Expert</x:v>
      </x:c>
      <x:c r="F1490" t="str">
        <x:v>Kaizo</x:v>
      </x:c>
      <x:c r="G1490" t="n">
        <x:v>43703</x:v>
      </x:c>
      <x:c r="H1490" t="str">
        <x:v>20845</x:v>
      </x:c>
      <x:c r="I1490" t="str">
        <x:v>https://www.smwcentral.net/?a=details&amp;id=20845&amp;p=section</x:v>
      </x:c>
      <x:c r="J1490" t="str">
        <x:v>https://dl.smwcentral.net/20845/RHR%20Season%203%20Collaboration.zip</x:v>
      </x:c>
    </x:row>
    <x:row r="1491">
      <x:c r="A1491" t="str">
        <x:v>Romhack Races - Season 4 Compilation</x:v>
      </x:c>
      <x:c r="B1491" t="str">
        <x:v>Romhack Races - Season 4 Compilation</x:v>
      </x:c>
      <x:c r="C1491" t="str">
        <x:v>Romhack Races Team</x:v>
      </x:c>
      <x:c r="D1491" t="n">
        <x:v>12</x:v>
      </x:c>
      <x:c r="E1491" t="str">
        <x:v>Expert</x:v>
      </x:c>
      <x:c r="F1491" t="str">
        <x:v>Kaizo</x:v>
      </x:c>
      <x:c r="G1491" t="n">
        <x:v>43875</x:v>
      </x:c>
      <x:c r="H1491" t="str">
        <x:v>22112</x:v>
      </x:c>
      <x:c r="I1491" t="str">
        <x:v>https://www.smwcentral.net/?a=details&amp;id=22112&amp;p=section</x:v>
      </x:c>
      <x:c r="J1491" t="str">
        <x:v>https://dl.smwcentral.net/22112/RHRS4C.zip</x:v>
      </x:c>
    </x:row>
    <x:row r="1492">
      <x:c r="A1492" t="str">
        <x:v>Romp of Otters</x:v>
      </x:c>
      <x:c r="B1492" t="str">
        <x:v>Romp of Otters</x:v>
      </x:c>
      <x:c r="C1492" t="str">
        <x:v>JonnyManjiro</x:v>
      </x:c>
      <x:c r="D1492" t="n">
        <x:v>23</x:v>
      </x:c>
      <x:c r="E1492" t="str">
        <x:v>Expert</x:v>
      </x:c>
      <x:c r="F1492" t="str">
        <x:v>Kaizo</x:v>
      </x:c>
      <x:c r="G1492" t="n">
        <x:v>44366</x:v>
      </x:c>
      <x:c r="H1492" t="str">
        <x:v>27140</x:v>
      </x:c>
      <x:c r="I1492" t="str">
        <x:v>https://www.smwcentral.net/?a=details&amp;id=27140&amp;p=section</x:v>
      </x:c>
      <x:c r="J1492" t="str">
        <x:v>https://dl.smwcentral.net/27140/Romp%20of%20Otters%201.1.zip</x:v>
      </x:c>
    </x:row>
    <x:row r="1493">
      <x:c r="A1493" t="str">
        <x:v>Rooms for Kids</x:v>
      </x:c>
      <x:c r="B1493" t="str">
        <x:v>Rooms for Kids</x:v>
      </x:c>
      <x:c r="C1493" t="str">
        <x:v>Saphros</x:v>
      </x:c>
      <x:c r="D1493" t="n">
        <x:v>1</x:v>
      </x:c>
      <x:c r="E1493" t="str">
        <x:v>Intermediate</x:v>
      </x:c>
      <x:c r="F1493" t="str">
        <x:v>Kaizo</x:v>
      </x:c>
      <x:c r="G1493" t="n">
        <x:v>46060</x:v>
      </x:c>
      <x:c r="H1493" t="str">
        <x:v>41533</x:v>
      </x:c>
      <x:c r="I1493" t="str">
        <x:v>https://www.smwcentral.net/?a=details&amp;id=41533&amp;p=section</x:v>
      </x:c>
      <x:c r="J1493" t="str">
        <x:v>https://dl.smwcentral.net/41533/Rooms%20for%20Kids.zip</x:v>
      </x:c>
    </x:row>
    <x:row r="1494">
      <x:c r="A1494" t="str">
        <x:v>Rooms of Despair</x:v>
      </x:c>
      <x:c r="B1494" t="str">
        <x:v>Rooms of Despair</x:v>
      </x:c>
      <x:c r="C1494" t="str">
        <x:v>Nowieso</x:v>
      </x:c>
      <x:c r="D1494" t="n">
        <x:v>1</x:v>
      </x:c>
      <x:c r="E1494" t="str">
        <x:v>Expert</x:v>
      </x:c>
      <x:c r="F1494" t="str">
        <x:v>Kaizo</x:v>
      </x:c>
      <x:c r="G1494" t="n">
        <x:v>45216</x:v>
      </x:c>
      <x:c r="H1494" t="str">
        <x:v>35290</x:v>
      </x:c>
      <x:c r="I1494" t="str">
        <x:v>https://www.smwcentral.net/?a=details&amp;id=35290&amp;p=section</x:v>
      </x:c>
      <x:c r="J1494" t="str">
        <x:v>https://dl.smwcentral.net/35290/Rooms%20of%20Despair.zip</x:v>
      </x:c>
    </x:row>
    <x:row r="1495">
      <x:c r="A1495" t="str">
        <x:v>Rosalina's Gold Saga</x:v>
      </x:c>
      <x:c r="B1495" t="str">
        <x:v>Rosalina's Gold Saga</x:v>
      </x:c>
      <x:c r="C1495" t="str">
        <x:v>Tiozinho</x:v>
      </x:c>
      <x:c r="D1495" t="n">
        <x:v>44</x:v>
      </x:c>
      <x:c r="E1495" t="str">
        <x:v>Intermediate</x:v>
      </x:c>
      <x:c r="F1495" t="str">
        <x:v>Standard</x:v>
      </x:c>
      <x:c r="G1495" t="n">
        <x:v>46146</x:v>
      </x:c>
      <x:c r="H1495" t="str">
        <x:v>42259</x:v>
      </x:c>
      <x:c r="I1495" t="str">
        <x:v>https://www.smwcentral.net/?a=details&amp;id=42259&amp;p=section</x:v>
      </x:c>
      <x:c r="J1495" t="str">
        <x:v>https://dl.smwcentral.net/42259/Rosalina%27s%20Gold%20Saga.zip</x:v>
      </x:c>
    </x:row>
    <x:row r="1496">
      <x:c r="A1496" t="str">
        <x:v>Rose Tinted Glasses</x:v>
      </x:c>
      <x:c r="B1496" t="str">
        <x:v>Rose Tinted Glasses</x:v>
      </x:c>
      <x:c r="C1496" t="str">
        <x:v>ponypowerboi</x:v>
      </x:c>
      <x:c r="D1496" t="n">
        <x:v>5</x:v>
      </x:c>
      <x:c r="E1496" t="str">
        <x:v>Intermediate</x:v>
      </x:c>
      <x:c r="F1496" t="str">
        <x:v>Kaizo</x:v>
      </x:c>
      <x:c r="G1496" t="n">
        <x:v>45214</x:v>
      </x:c>
      <x:c r="H1496" t="str">
        <x:v>35251</x:v>
      </x:c>
      <x:c r="I1496" t="str">
        <x:v>https://www.smwcentral.net/?a=details&amp;id=35251&amp;p=section</x:v>
      </x:c>
      <x:c r="J1496" t="str">
        <x:v>https://dl.smwcentral.net/35251/Rose%20Tinted%20Glasses.zip</x:v>
      </x:c>
    </x:row>
    <x:row r="1497">
      <x:c r="A1497" t="str">
        <x:v>Roy's Armada</x:v>
      </x:c>
      <x:c r="B1497" t="str">
        <x:v>Roy's Armada</x:v>
      </x:c>
      <x:c r="C1497" t="str">
        <x:v>Atma</x:v>
      </x:c>
      <x:c r="D1497" t="n">
        <x:v>18</x:v>
      </x:c>
      <x:c r="E1497" t="str">
        <x:v>Casual</x:v>
      </x:c>
      <x:c r="F1497" t="str">
        <x:v>Standard</x:v>
      </x:c>
      <x:c r="G1497" t="n">
        <x:v>42284</x:v>
      </x:c>
      <x:c r="H1497" t="str">
        <x:v>10119</x:v>
      </x:c>
      <x:c r="I1497" t="str">
        <x:v>https://www.smwcentral.net/?a=details&amp;id=10119&amp;p=section</x:v>
      </x:c>
      <x:c r="J1497" t="str">
        <x:v>https://dl.smwcentral.net/10119/Armada.zip</x:v>
      </x:c>
    </x:row>
    <x:row r="1498">
      <x:c r="A1498" t="str">
        <x:v>Rozen Maiden: The Lapislazuri Travel</x:v>
      </x:c>
      <x:c r="B1498" t="str">
        <x:v>Rozen Maiden: The Lapislazuri Travel</x:v>
      </x:c>
      <x:c r="C1498" t="str">
        <x:v>BokuNES</x:v>
      </x:c>
      <x:c r="D1498" t="n">
        <x:v>5</x:v>
      </x:c>
      <x:c r="E1498" t="str">
        <x:v>Casual</x:v>
      </x:c>
      <x:c r="F1498" t="str">
        <x:v>Standard</x:v>
      </x:c>
      <x:c r="G1498" t="n">
        <x:v>42057</x:v>
      </x:c>
      <x:c r="H1498" t="str">
        <x:v>10272</x:v>
      </x:c>
      <x:c r="I1498" t="str">
        <x:v>https://www.smwcentral.net/?a=details&amp;id=10272&amp;p=section</x:v>
      </x:c>
      <x:c r="J1498" t="str">
        <x:v>https://dl.smwcentral.net/10272/Rozen%20Maiden%20%28The%20Lapislazuri%20Travel%29%20%28Demo%29.zip</x:v>
      </x:c>
    </x:row>
    <x:row r="1499">
      <x:c r="A1499" t="str">
        <x:v>RTA Abuse</x:v>
      </x:c>
      <x:c r="B1499" t="str">
        <x:v>RTA Abuse</x:v>
      </x:c>
      <x:c r="C1499" t="str">
        <x:v>51690</x:v>
      </x:c>
      <x:c r="D1499" t="n">
        <x:v>1</x:v>
      </x:c>
      <x:c r="E1499" t="str">
        <x:v>Master</x:v>
      </x:c>
      <x:c r="F1499" t="str">
        <x:v>Kaizo</x:v>
      </x:c>
      <x:c r="G1499" t="n">
        <x:v>44683</x:v>
      </x:c>
      <x:c r="H1499" t="str">
        <x:v>30649</x:v>
      </x:c>
      <x:c r="I1499" t="str">
        <x:v>https://www.smwcentral.net/?a=details&amp;id=30649&amp;p=section</x:v>
      </x:c>
      <x:c r="J1499" t="str">
        <x:v>https://dl.smwcentral.net/30649/rta%20abuse%201.1.zip</x:v>
      </x:c>
    </x:row>
    <x:row r="1500">
      <x:c r="A1500" t="str">
        <x:v>RTA Abuse 2</x:v>
      </x:c>
      <x:c r="B1500" t="str">
        <x:v>RTA Abuse 2</x:v>
      </x:c>
      <x:c r="C1500" t="str">
        <x:v>51690</x:v>
      </x:c>
      <x:c r="D1500" t="n">
        <x:v>0</x:v>
      </x:c>
      <x:c r="E1500" t="str">
        <x:v>Master</x:v>
      </x:c>
      <x:c r="F1500" t="str">
        <x:v>Kaizo</x:v>
      </x:c>
      <x:c r="G1500" t="n">
        <x:v>44736</x:v>
      </x:c>
      <x:c r="H1500" t="str">
        <x:v>31185</x:v>
      </x:c>
      <x:c r="I1500" t="str">
        <x:v>https://www.smwcentral.net/?a=details&amp;id=31185&amp;p=section</x:v>
      </x:c>
      <x:c r="J1500" t="str">
        <x:v>https://dl.smwcentral.net/31185/rta%20abuse%202.zip</x:v>
      </x:c>
    </x:row>
    <x:row r="1501">
      <x:c r="A1501" t="str">
        <x:v>RTA Abuse 3</x:v>
      </x:c>
      <x:c r="B1501" t="str">
        <x:v>RTA Abuse 3</x:v>
      </x:c>
      <x:c r="C1501" t="str">
        <x:v>51690</x:v>
      </x:c>
      <x:c r="D1501" t="n">
        <x:v>1</x:v>
      </x:c>
      <x:c r="E1501" t="str">
        <x:v>Master</x:v>
      </x:c>
      <x:c r="F1501" t="str">
        <x:v>Kaizo</x:v>
      </x:c>
      <x:c r="G1501" t="n">
        <x:v>44739</x:v>
      </x:c>
      <x:c r="H1501" t="str">
        <x:v>31184</x:v>
      </x:c>
      <x:c r="I1501" t="str">
        <x:v>https://www.smwcentral.net/?a=details&amp;id=31184&amp;p=section</x:v>
      </x:c>
      <x:c r="J1501" t="str">
        <x:v>https://dl.smwcentral.net/31184/rta%20abuse%203.zip</x:v>
      </x:c>
    </x:row>
    <x:row r="1502">
      <x:c r="A1502" t="str">
        <x:v>Run Away from Mario's Past</x:v>
      </x:c>
      <x:c r="B1502" t="str">
        <x:v>Run Away from Mario's Past</x:v>
      </x:c>
      <x:c r="C1502" t="str">
        <x:v>Green Jerry</x:v>
      </x:c>
      <x:c r="D1502" t="n">
        <x:v>10</x:v>
      </x:c>
      <x:c r="E1502" t="str">
        <x:v>Intermediate</x:v>
      </x:c>
      <x:c r="F1502" t="str">
        <x:v>Standard</x:v>
      </x:c>
      <x:c r="G1502" t="n">
        <x:v>46101</x:v>
      </x:c>
      <x:c r="H1502" t="str">
        <x:v>41900</x:v>
      </x:c>
      <x:c r="I1502" t="str">
        <x:v>https://www.smwcentral.net/?a=details&amp;id=41900&amp;p=section</x:v>
      </x:c>
      <x:c r="J1502" t="str">
        <x:v>https://dl.smwcentral.net/41900/Run%20Away%20from%20Mario%27s%20Past%20v1.4.zip</x:v>
      </x:c>
    </x:row>
    <x:row r="1503">
      <x:c r="A1503" t="str">
        <x:v>Run the Gauntlet</x:v>
      </x:c>
      <x:c r="B1503" t="str">
        <x:v>Run the Gauntlet</x:v>
      </x:c>
      <x:c r="C1503" t="str">
        <x:v>MiracleWater</x:v>
      </x:c>
      <x:c r="D1503" t="n">
        <x:v>5</x:v>
      </x:c>
      <x:c r="E1503" t="str">
        <x:v>Grandmaster</x:v>
      </x:c>
      <x:c r="F1503" t="str">
        <x:v>Standard</x:v>
      </x:c>
      <x:c r="G1503" t="n">
        <x:v>46074</x:v>
      </x:c>
      <x:c r="H1503" t="str">
        <x:v>41539</x:v>
      </x:c>
      <x:c r="I1503" t="str">
        <x:v>https://www.smwcentral.net/?a=details&amp;id=41539&amp;p=section</x:v>
      </x:c>
      <x:c r="J1503" t="str">
        <x:v>https://dl.smwcentral.net/41539/RTG%201.0.zip</x:v>
      </x:c>
    </x:row>
    <x:row r="1504">
      <x:c r="A1504" t="str">
        <x:v>Run!</x:v>
      </x:c>
      <x:c r="B1504" t="str">
        <x:v>Run!</x:v>
      </x:c>
      <x:c r="C1504" t="str">
        <x:v>NaxciS</x:v>
      </x:c>
      <x:c r="D1504" t="n">
        <x:v>11</x:v>
      </x:c>
      <x:c r="E1504" t="str">
        <x:v>Expert</x:v>
      </x:c>
      <x:c r="F1504" t="str">
        <x:v>Kaizo</x:v>
      </x:c>
      <x:c r="G1504" t="n">
        <x:v>44384</x:v>
      </x:c>
      <x:c r="H1504" t="str">
        <x:v>27430</x:v>
      </x:c>
      <x:c r="I1504" t="str">
        <x:v>https://www.smwcentral.net/?a=details&amp;id=27430&amp;p=section</x:v>
      </x:c>
      <x:c r="J1504" t="str">
        <x:v>https://dl.smwcentral.net/27430/Run%21.zip</x:v>
      </x:c>
    </x:row>
    <x:row r="1505">
      <x:c r="A1505" t="str">
        <x:v>Run! 2 - Don't Stop Running</x:v>
      </x:c>
      <x:c r="B1505" t="str">
        <x:v>Run! 2 - Don't Stop Running</x:v>
      </x:c>
      <x:c r="C1505" t="str">
        <x:v>NaxciS</x:v>
      </x:c>
      <x:c r="D1505" t="n">
        <x:v>14</x:v>
      </x:c>
      <x:c r="E1505" t="str">
        <x:v>Expert</x:v>
      </x:c>
      <x:c r="F1505" t="str">
        <x:v>Kaizo</x:v>
      </x:c>
      <x:c r="G1505" t="n">
        <x:v>45026</x:v>
      </x:c>
      <x:c r="H1505" t="str">
        <x:v>33634</x:v>
      </x:c>
      <x:c r="I1505" t="str">
        <x:v>https://www.smwcentral.net/?a=details&amp;id=33634&amp;p=section</x:v>
      </x:c>
      <x:c r="J1505" t="str">
        <x:v>https://dl.smwcentral.net/33634/Run%21%202%20Don%27t%20Stop%20Running.zip</x:v>
      </x:c>
    </x:row>
    <x:row r="1506">
      <x:c r="A1506" t="str">
        <x:v>S.O.B mario world</x:v>
      </x:c>
      <x:c r="B1506" t="str">
        <x:v>S.O.B mario world</x:v>
      </x:c>
      <x:c r="C1506" t="str">
        <x:v>ageVerrly</x:v>
      </x:c>
      <x:c r="D1506" t="n">
        <x:v>14</x:v>
      </x:c>
      <x:c r="E1506" t="str">
        <x:v>Master</x:v>
      </x:c>
      <x:c r="F1506" t="str">
        <x:v>Kaizo</x:v>
      </x:c>
      <x:c r="G1506" t="n">
        <x:v>44515</x:v>
      </x:c>
      <x:c r="H1506" t="str">
        <x:v>28308</x:v>
      </x:c>
      <x:c r="I1506" t="str">
        <x:v>https://www.smwcentral.net/?a=details&amp;id=28308&amp;p=section</x:v>
      </x:c>
      <x:c r="J1506" t="str">
        <x:v>https://dl.smwcentral.net/28308/S.O.B.zip</x:v>
      </x:c>
    </x:row>
    <x:row r="1507">
      <x:c r="A1507" t="str">
        <x:v>SA-1: Special Adventure - 1</x:v>
      </x:c>
      <x:c r="B1507" t="str">
        <x:v>SA-1: Special Adventure - 1</x:v>
      </x:c>
      <x:c r="C1507" t="str">
        <x:v>Hayashi Neru</x:v>
      </x:c>
      <x:c r="D1507" t="n">
        <x:v>118</x:v>
      </x:c>
      <x:c r="E1507" t="str">
        <x:v>Intermediate</x:v>
      </x:c>
      <x:c r="F1507" t="str">
        <x:v>Standard</x:v>
      </x:c>
      <x:c r="G1507" t="n">
        <x:v>45416</x:v>
      </x:c>
      <x:c r="H1507" t="str">
        <x:v>37596</x:v>
      </x:c>
      <x:c r="I1507" t="str">
        <x:v>https://www.smwcentral.net/?a=details&amp;id=37596&amp;p=section</x:v>
      </x:c>
      <x:c r="J1507" t="str">
        <x:v>https://dl.smwcentral.net/37596/SA-1%EF%BC%9A%20Special%20Adventure%20-%201.zip</x:v>
      </x:c>
    </x:row>
    <x:row r="1508">
      <x:c r="A1508" t="str">
        <x:v>Safespace Challenge</x:v>
      </x:c>
      <x:c r="B1508" t="str">
        <x:v>Safespace Challenge</x:v>
      </x:c>
      <x:c r="C1508" t="str">
        <x:v>MarsAmPear</x:v>
      </x:c>
      <x:c r="D1508" t="n">
        <x:v>1</x:v>
      </x:c>
      <x:c r="E1508" t="str">
        <x:v>Grandmaster</x:v>
      </x:c>
      <x:c r="F1508" t="str">
        <x:v>Kaizo</x:v>
      </x:c>
      <x:c r="G1508" t="n">
        <x:v>45483</x:v>
      </x:c>
      <x:c r="H1508" t="str">
        <x:v>38077</x:v>
      </x:c>
      <x:c r="I1508" t="str">
        <x:v>https://www.smwcentral.net/?a=details&amp;id=38077&amp;p=section</x:v>
      </x:c>
      <x:c r="J1508" t="str">
        <x:v>https://dl.smwcentral.net/38077/Safespace%20Challenge.zip</x:v>
      </x:c>
    </x:row>
    <x:row r="1509">
      <x:c r="A1509" t="str">
        <x:v>Sakaya Sanctuary</x:v>
      </x:c>
      <x:c r="B1509" t="str">
        <x:v>Sakaya Sanctuary</x:v>
      </x:c>
      <x:c r="C1509" t="str">
        <x:v>Jeff2342, JinRokhZenobi, RandomType, Saphros, Spedinja, TheTrueCommonSense, neidoodle, ocked</x:v>
      </x:c>
      <x:c r="D1509" t="n">
        <x:v>20</x:v>
      </x:c>
      <x:c r="E1509" t="str">
        <x:v>Expert</x:v>
      </x:c>
      <x:c r="F1509" t="str">
        <x:v>Kaizo</x:v>
      </x:c>
      <x:c r="G1509" t="n">
        <x:v>46141</x:v>
      </x:c>
      <x:c r="H1509" t="str">
        <x:v>42274</x:v>
      </x:c>
      <x:c r="I1509" t="str">
        <x:v>https://www.smwcentral.net/?a=details&amp;id=42274&amp;p=section</x:v>
      </x:c>
      <x:c r="J1509" t="str">
        <x:v>https://dl.smwcentral.net/42274/Sakaya%20Sanctuary%201.2.zip</x:v>
      </x:c>
    </x:row>
    <x:row r="1510">
      <x:c r="A1510" t="str">
        <x:v>Salty Sagan World</x:v>
      </x:c>
      <x:c r="B1510" t="str">
        <x:v>Salty Sagan World</x:v>
      </x:c>
      <x:c r="C1510" t="str">
        <x:v>Oskise</x:v>
      </x:c>
      <x:c r="D1510" t="n">
        <x:v>22</x:v>
      </x:c>
      <x:c r="E1510" t="str">
        <x:v>Master</x:v>
      </x:c>
      <x:c r="F1510" t="str">
        <x:v>Kaizo</x:v>
      </x:c>
      <x:c r="G1510" t="n">
        <x:v>43210</x:v>
      </x:c>
      <x:c r="H1510" t="str">
        <x:v>17384</x:v>
      </x:c>
      <x:c r="I1510" t="str">
        <x:v>https://www.smwcentral.net/?a=details&amp;id=17384&amp;p=section</x:v>
      </x:c>
      <x:c r="J1510" t="str">
        <x:v>https://dl.smwcentral.net/17384/Salty%20Sagan%20World%201.11.zip</x:v>
      </x:c>
    </x:row>
    <x:row r="1511">
      <x:c r="A1511" t="str">
        <x:v>Same Sprites, Different Levels</x:v>
      </x:c>
      <x:c r="B1511" t="str">
        <x:v>Same Sprites, Different Levels</x:v>
      </x:c>
      <x:c r="C1511" t="str">
        <x:v>eltiolavara9</x:v>
      </x:c>
      <x:c r="D1511" t="n">
        <x:v>92</x:v>
      </x:c>
      <x:c r="E1511" t="str">
        <x:v>Intermediate</x:v>
      </x:c>
      <x:c r="F1511" t="str">
        <x:v>Standard</x:v>
      </x:c>
      <x:c r="G1511" t="n">
        <x:v>44062</x:v>
      </x:c>
      <x:c r="H1511" t="str">
        <x:v>24141</x:v>
      </x:c>
      <x:c r="I1511" t="str">
        <x:v>https://www.smwcentral.net/?a=details&amp;id=24141&amp;p=section</x:v>
      </x:c>
      <x:c r="J1511" t="str">
        <x:v>https://dl.smwcentral.net/24141/Same%20Sprites%2C%20Different%20Levels.zip</x:v>
      </x:c>
    </x:row>
    <x:row r="1512">
      <x:c r="A1512" t="str">
        <x:v>Samsara Mario World</x:v>
      </x:c>
      <x:c r="B1512" t="str">
        <x:v>Samsara Mario World</x:v>
      </x:c>
      <x:c r="C1512" t="str">
        <x:v>margot</x:v>
      </x:c>
      <x:c r="D1512" t="n">
        <x:v>22</x:v>
      </x:c>
      <x:c r="E1512" t="str">
        <x:v>Expert</x:v>
      </x:c>
      <x:c r="F1512" t="str">
        <x:v>Kaizo</x:v>
      </x:c>
      <x:c r="G1512" t="n">
        <x:v>43884</x:v>
      </x:c>
      <x:c r="H1512" t="str">
        <x:v>22102</x:v>
      </x:c>
      <x:c r="I1512" t="str">
        <x:v>https://www.smwcentral.net/?a=details&amp;id=22102&amp;p=section</x:v>
      </x:c>
      <x:c r="J1512" t="str">
        <x:v>https://dl.smwcentral.net/22102/Samsara%20Mario%20World.zip</x:v>
      </x:c>
    </x:row>
    <x:row r="1513">
      <x:c r="A1513" t="str">
        <x:v>Saphros Blind Races #1</x:v>
      </x:c>
      <x:c r="B1513" t="str">
        <x:v>Saphros Blind Races #1</x:v>
      </x:c>
      <x:c r="C1513" t="str">
        <x:v>Saphros</x:v>
      </x:c>
      <x:c r="D1513" t="n">
        <x:v>4</x:v>
      </x:c>
      <x:c r="E1513" t="str">
        <x:v>Advanced</x:v>
      </x:c>
      <x:c r="F1513" t="str">
        <x:v>Kaizo</x:v>
      </x:c>
      <x:c r="G1513" t="n">
        <x:v>45679</x:v>
      </x:c>
      <x:c r="H1513" t="str">
        <x:v>39086</x:v>
      </x:c>
      <x:c r="I1513" t="str">
        <x:v>https://www.smwcentral.net/?a=details&amp;id=39086&amp;p=section</x:v>
      </x:c>
      <x:c r="J1513" t="str">
        <x:v>https://dl.smwcentral.net/39086/Saphros_Blindrace_1.zip</x:v>
      </x:c>
    </x:row>
    <x:row r="1514">
      <x:c r="A1514" t="str">
        <x:v>Saphros Blindrace #2</x:v>
      </x:c>
      <x:c r="B1514" t="str">
        <x:v>Saphros Blindrace #2</x:v>
      </x:c>
      <x:c r="C1514" t="str">
        <x:v>Saphros</x:v>
      </x:c>
      <x:c r="D1514" t="n">
        <x:v>4</x:v>
      </x:c>
      <x:c r="E1514" t="str">
        <x:v>Expert</x:v>
      </x:c>
      <x:c r="F1514" t="str">
        <x:v>Kaizo</x:v>
      </x:c>
      <x:c r="G1514" t="n">
        <x:v>45754</x:v>
      </x:c>
      <x:c r="H1514" t="str">
        <x:v>39701</x:v>
      </x:c>
      <x:c r="I1514" t="str">
        <x:v>https://www.smwcentral.net/?a=details&amp;id=39701&amp;p=section</x:v>
      </x:c>
      <x:c r="J1514" t="str">
        <x:v>https://dl.smwcentral.net/39701/Saphros_Blindrace_2.zip</x:v>
      </x:c>
    </x:row>
    <x:row r="1515">
      <x:c r="A1515" t="str">
        <x:v>Sauna Mario World</x:v>
      </x:c>
      <x:c r="B1515" t="str">
        <x:v>Sauna Mario World</x:v>
      </x:c>
      <x:c r="C1515" t="str">
        <x:v>pnaha</x:v>
      </x:c>
      <x:c r="D1515" t="n">
        <x:v>15</x:v>
      </x:c>
      <x:c r="E1515" t="str">
        <x:v>Advanced</x:v>
      </x:c>
      <x:c r="F1515" t="str">
        <x:v>Kaizo</x:v>
      </x:c>
      <x:c r="G1515" t="n">
        <x:v>45335</x:v>
      </x:c>
      <x:c r="H1515" t="str">
        <x:v>36760</x:v>
      </x:c>
      <x:c r="I1515" t="str">
        <x:v>https://www.smwcentral.net/?a=details&amp;id=36760&amp;p=section</x:v>
      </x:c>
      <x:c r="J1515" t="str">
        <x:v>https://dl.smwcentral.net/36760/Sauna%20Mario%20World%201.5.zip</x:v>
      </x:c>
    </x:row>
    <x:row r="1516">
      <x:c r="A1516" t="str">
        <x:v>Sauna Mario World 2</x:v>
      </x:c>
      <x:c r="B1516" t="str">
        <x:v>Sauna Mario World 2</x:v>
      </x:c>
      <x:c r="C1516" t="str">
        <x:v>pnaha</x:v>
      </x:c>
      <x:c r="D1516" t="n">
        <x:v>21</x:v>
      </x:c>
      <x:c r="E1516" t="str">
        <x:v>Expert</x:v>
      </x:c>
      <x:c r="F1516" t="str">
        <x:v>Kaizo</x:v>
      </x:c>
      <x:c r="G1516" t="n">
        <x:v>46081</x:v>
      </x:c>
      <x:c r="H1516" t="str">
        <x:v>41690</x:v>
      </x:c>
      <x:c r="I1516" t="str">
        <x:v>https://www.smwcentral.net/?a=details&amp;id=41690&amp;p=section</x:v>
      </x:c>
      <x:c r="J1516" t="str">
        <x:v>https://dl.smwcentral.net/41690/Sauna%20Mario%20World%202%20v1.31.zip</x:v>
      </x:c>
    </x:row>
    <x:row r="1517">
      <x:c r="A1517" t="str">
        <x:v>Save Luigi</x:v>
      </x:c>
      <x:c r="B1517" t="str">
        <x:v>Save Luigi</x:v>
      </x:c>
      <x:c r="C1517" t="str">
        <x:v>Overcomon7</x:v>
      </x:c>
      <x:c r="D1517" t="n">
        <x:v>30</x:v>
      </x:c>
      <x:c r="E1517" t="str">
        <x:v>Expert</x:v>
      </x:c>
      <x:c r="F1517" t="str">
        <x:v>Kaizo</x:v>
      </x:c>
      <x:c r="G1517" t="n">
        <x:v>44260</x:v>
      </x:c>
      <x:c r="H1517" t="str">
        <x:v>26096</x:v>
      </x:c>
      <x:c r="I1517" t="str">
        <x:v>https://www.smwcentral.net/?a=details&amp;id=26096&amp;p=section</x:v>
      </x:c>
      <x:c r="J1517" t="str">
        <x:v>https://dl.smwcentral.net/26096/SaveLuigiV5.1.zip</x:v>
      </x:c>
    </x:row>
    <x:row r="1518">
      <x:c r="A1518" t="str">
        <x:v>Saving Libertys Kaizo Adventure</x:v>
      </x:c>
      <x:c r="B1518" t="str">
        <x:v>Saving Libertys Kaizo Adventure</x:v>
      </x:c>
      <x:c r="C1518" t="str">
        <x:v>Savingliberty</x:v>
      </x:c>
      <x:c r="D1518" t="n">
        <x:v>13</x:v>
      </x:c>
      <x:c r="E1518" t="str">
        <x:v>Advanced</x:v>
      </x:c>
      <x:c r="F1518" t="str">
        <x:v>Kaizo</x:v>
      </x:c>
      <x:c r="G1518" t="n">
        <x:v>45114</x:v>
      </x:c>
      <x:c r="H1518" t="str">
        <x:v>34245</x:v>
      </x:c>
      <x:c r="I1518" t="str">
        <x:v>https://www.smwcentral.net/?a=details&amp;id=34245&amp;p=section</x:v>
      </x:c>
      <x:c r="J1518" t="str">
        <x:v>https://dl.smwcentral.net/34245/Saving_Libertys_Kaizo_Adventure.zip</x:v>
      </x:c>
    </x:row>
    <x:row r="1519">
      <x:c r="A1519" t="str">
        <x:v>Sayonara Mario World</x:v>
      </x:c>
      <x:c r="B1519" t="str">
        <x:v>Sayonara Mario World</x:v>
      </x:c>
      <x:c r="C1519" t="str">
        <x:v>margot</x:v>
      </x:c>
      <x:c r="D1519" t="n">
        <x:v>13</x:v>
      </x:c>
      <x:c r="E1519" t="str">
        <x:v>Expert</x:v>
      </x:c>
      <x:c r="F1519" t="str">
        <x:v>Kaizo</x:v>
      </x:c>
      <x:c r="G1519" t="n">
        <x:v>44108</x:v>
      </x:c>
      <x:c r="H1519" t="str">
        <x:v>24739</x:v>
      </x:c>
      <x:c r="I1519" t="str">
        <x:v>https://www.smwcentral.net/?a=details&amp;id=24739&amp;p=section</x:v>
      </x:c>
      <x:c r="J1519" t="str">
        <x:v>https://dl.smwcentral.net/24739/Sayonara%201.1.zip</x:v>
      </x:c>
    </x:row>
    <x:row r="1520">
      <x:c r="A1520" t="str">
        <x:v>Sayonara Mario World 2</x:v>
      </x:c>
      <x:c r="B1520" t="str">
        <x:v>Sayonara Mario World 2</x:v>
      </x:c>
      <x:c r="C1520" t="str">
        <x:v>margot</x:v>
      </x:c>
      <x:c r="D1520" t="n">
        <x:v>16</x:v>
      </x:c>
      <x:c r="E1520" t="str">
        <x:v>Master</x:v>
      </x:c>
      <x:c r="F1520" t="str">
        <x:v>Kaizo</x:v>
      </x:c>
      <x:c r="G1520" t="n">
        <x:v>44749</x:v>
      </x:c>
      <x:c r="H1520" t="str">
        <x:v>31276</x:v>
      </x:c>
      <x:c r="I1520" t="str">
        <x:v>https://www.smwcentral.net/?a=details&amp;id=31276&amp;p=section</x:v>
      </x:c>
      <x:c r="J1520" t="str">
        <x:v>https://dl.smwcentral.net/31276/Sayonara%20Mario%20World%202.zip</x:v>
      </x:c>
    </x:row>
    <x:row r="1521">
      <x:c r="A1521" t="str">
        <x:v>Scary Bosses and Nice Sprites</x:v>
      </x:c>
      <x:c r="B1521" t="str">
        <x:v>Scary Bosses and Nice Sprites</x:v>
      </x:c>
      <x:c r="C1521" t="str">
        <x:v>Darolac</x:v>
      </x:c>
      <x:c r="D1521" t="n">
        <x:v>10</x:v>
      </x:c>
      <x:c r="E1521" t="str">
        <x:v>Advanced</x:v>
      </x:c>
      <x:c r="F1521" t="str">
        <x:v>Standard, Kaizo</x:v>
      </x:c>
      <x:c r="G1521" t="n">
        <x:v>44585</x:v>
      </x:c>
      <x:c r="H1521" t="str">
        <x:v>29498</x:v>
      </x:c>
      <x:c r="I1521" t="str">
        <x:v>https://www.smwcentral.net/?a=details&amp;id=29498&amp;p=section</x:v>
      </x:c>
      <x:c r="J1521" t="str">
        <x:v>https://dl.smwcentral.net/29498/Scary_Bosses_and_Nice_Sprites.zip</x:v>
      </x:c>
    </x:row>
    <x:row r="1522">
      <x:c r="A1522" t="str">
        <x:v>Scyther Our Savior</x:v>
      </x:c>
      <x:c r="B1522" t="str">
        <x:v>Scyther Our Savior</x:v>
      </x:c>
      <x:c r="C1522" t="str">
        <x:v>Gamet2004</x:v>
      </x:c>
      <x:c r="D1522" t="n">
        <x:v>32</x:v>
      </x:c>
      <x:c r="E1522" t="str">
        <x:v>Intermediate</x:v>
      </x:c>
      <x:c r="F1522" t="str">
        <x:v>Standard</x:v>
      </x:c>
      <x:c r="G1522" t="n">
        <x:v>45655</x:v>
      </x:c>
      <x:c r="H1522" t="str">
        <x:v>38971</x:v>
      </x:c>
      <x:c r="I1522" t="str">
        <x:v>https://www.smwcentral.net/?a=details&amp;id=38971&amp;p=section</x:v>
      </x:c>
      <x:c r="J1522" t="str">
        <x:v>https://dl.smwcentral.net/38971/AWildScytherAppeared.zip</x:v>
      </x:c>
    </x:row>
    <x:row r="1523">
      <x:c r="A1523" t="str">
        <x:v>Season of Ice</x:v>
      </x:c>
      <x:c r="B1523" t="str">
        <x:v>Season of Ice</x:v>
      </x:c>
      <x:c r="C1523" t="str">
        <x:v>PercentN</x:v>
      </x:c>
      <x:c r="D1523" t="n">
        <x:v>7</x:v>
      </x:c>
      <x:c r="E1523" t="str">
        <x:v>Newcomer</x:v>
      </x:c>
      <x:c r="F1523" t="str">
        <x:v>Standard</x:v>
      </x:c>
      <x:c r="G1523" t="n">
        <x:v>42246</x:v>
      </x:c>
      <x:c r="H1523" t="str">
        <x:v>9924</x:v>
      </x:c>
      <x:c r="I1523" t="str">
        <x:v>https://www.smwcentral.net/?a=details&amp;id=9924&amp;p=section</x:v>
      </x:c>
      <x:c r="J1523" t="str">
        <x:v>https://dl.smwcentral.net/9924/Season%20of%20ice.zip</x:v>
      </x:c>
    </x:row>
    <x:row r="1524">
      <x:c r="A1524" t="str">
        <x:v>Second Nature</x:v>
      </x:c>
      <x:c r="B1524" t="str">
        <x:v>Second Nature</x:v>
      </x:c>
      <x:c r="C1524" t="str">
        <x:v>VLSkoot</x:v>
      </x:c>
      <x:c r="D1524" t="n">
        <x:v>19</x:v>
      </x:c>
      <x:c r="E1524" t="str">
        <x:v>Expert</x:v>
      </x:c>
      <x:c r="F1524" t="str">
        <x:v>Kaizo</x:v>
      </x:c>
      <x:c r="G1524" t="n">
        <x:v>45389</x:v>
      </x:c>
      <x:c r="H1524" t="str">
        <x:v>37602</x:v>
      </x:c>
      <x:c r="I1524" t="str">
        <x:v>https://www.smwcentral.net/?a=details&amp;id=37602&amp;p=section</x:v>
      </x:c>
      <x:c r="J1524" t="str">
        <x:v>https://dl.smwcentral.net/37602/Second%20Nature.zip</x:v>
      </x:c>
    </x:row>
    <x:row r="1525">
      <x:c r="A1525" t="str">
        <x:v>Secret of Mario</x:v>
      </x:c>
      <x:c r="B1525" t="str">
        <x:v>Secret of Mario</x:v>
      </x:c>
      <x:c r="C1525" t="str">
        <x:v>dtothefourth</x:v>
      </x:c>
      <x:c r="D1525" t="n">
        <x:v>0</x:v>
      </x:c>
      <x:c r="E1525" t="str">
        <x:v>Advanced</x:v>
      </x:c>
      <x:c r="F1525" t="str">
        <x:v>Kaizo</x:v>
      </x:c>
      <x:c r="G1525" t="n">
        <x:v>43641</x:v>
      </x:c>
      <x:c r="H1525" t="str">
        <x:v>20200</x:v>
      </x:c>
      <x:c r="I1525" t="str">
        <x:v>https://www.smwcentral.net/?a=details&amp;id=20200&amp;p=section</x:v>
      </x:c>
      <x:c r="J1525" t="str">
        <x:v>https://dl.smwcentral.net/20200/Secret_Of_Mario.zip</x:v>
      </x:c>
    </x:row>
    <x:row r="1526">
      <x:c r="A1526" t="str">
        <x:v>Seek the Discrepancy</x:v>
      </x:c>
      <x:c r="B1526" t="str">
        <x:v>Seek the Discrepancy</x:v>
      </x:c>
      <x:c r="C1526" t="str">
        <x:v>Fyre150</x:v>
      </x:c>
      <x:c r="D1526" t="n">
        <x:v>15</x:v>
      </x:c>
      <x:c r="E1526" t="str">
        <x:v>Casual</x:v>
      </x:c>
      <x:c r="F1526" t="str">
        <x:v>Standard, Puzzle</x:v>
      </x:c>
      <x:c r="G1526" t="n">
        <x:v>45049</x:v>
      </x:c>
      <x:c r="H1526" t="str">
        <x:v>33861</x:v>
      </x:c>
      <x:c r="I1526" t="str">
        <x:v>https://www.smwcentral.net/?a=details&amp;id=33861&amp;p=section</x:v>
      </x:c>
      <x:c r="J1526" t="str">
        <x:v>https://dl.smwcentral.net/33861/SeekTheDiscrepancy.zip</x:v>
      </x:c>
    </x:row>
    <x:row r="1527">
      <x:c r="A1527" t="str">
        <x:v>Send Your Regrets to the Czar</x:v>
      </x:c>
      <x:c r="B1527" t="str">
        <x:v>Send Your Regrets to the Czar</x:v>
      </x:c>
      <x:c r="C1527" t="str">
        <x:v>JUMP Team, Koopster</x:v>
      </x:c>
      <x:c r="D1527" t="n">
        <x:v>24</x:v>
      </x:c>
      <x:c r="E1527" t="str">
        <x:v>Master</x:v>
      </x:c>
      <x:c r="F1527" t="str">
        <x:v>Kaizo</x:v>
      </x:c>
      <x:c r="G1527" t="n">
        <x:v>44592</x:v>
      </x:c>
      <x:c r="H1527" t="str">
        <x:v>29645</x:v>
      </x:c>
      <x:c r="I1527" t="str">
        <x:v>https://www.smwcentral.net/?a=details&amp;id=29645&amp;p=section</x:v>
      </x:c>
      <x:c r="J1527" t="str">
        <x:v>https://dl.smwcentral.net/29645/Send%20Your%20Regrets%20to%20the%20Czar%20v1.2.zip</x:v>
      </x:c>
    </x:row>
    <x:row r="1528">
      <x:c r="A1528" t="str">
        <x:v>Sendy's World</x:v>
      </x:c>
      <x:c r="B1528" t="str">
        <x:v>Sendy's World</x:v>
      </x:c>
      <x:c r="C1528" t="str">
        <x:v>Sendy</x:v>
      </x:c>
      <x:c r="D1528" t="n">
        <x:v>27</x:v>
      </x:c>
      <x:c r="E1528" t="str">
        <x:v>Intermediate</x:v>
      </x:c>
      <x:c r="F1528" t="str">
        <x:v>Standard</x:v>
      </x:c>
      <x:c r="G1528" t="n">
        <x:v>41580</x:v>
      </x:c>
      <x:c r="H1528" t="str">
        <x:v>5074</x:v>
      </x:c>
      <x:c r="I1528" t="str">
        <x:v>https://www.smwcentral.net/?a=details&amp;id=5074&amp;p=section</x:v>
      </x:c>
      <x:c r="J1528" t="str">
        <x:v>https://dl.smwcentral.net/5074/sendysworldv0.3.zip</x:v>
      </x:c>
    </x:row>
    <x:row r="1529">
      <x:c r="A1529" t="str">
        <x:v>Separate Ways Remastered</x:v>
      </x:c>
      <x:c r="B1529" t="str">
        <x:v>Separate Ways Remastered</x:v>
      </x:c>
      <x:c r="C1529" t="str">
        <x:v>mmmdoggy</x:v>
      </x:c>
      <x:c r="D1529" t="n">
        <x:v>14</x:v>
      </x:c>
      <x:c r="E1529" t="str">
        <x:v>Advanced</x:v>
      </x:c>
      <x:c r="F1529" t="str">
        <x:v>Kaizo</x:v>
      </x:c>
      <x:c r="G1529" t="n">
        <x:v>45634</x:v>
      </x:c>
      <x:c r="H1529" t="str">
        <x:v>38878</x:v>
      </x:c>
      <x:c r="I1529" t="str">
        <x:v>https://www.smwcentral.net/?a=details&amp;id=38878&amp;p=section</x:v>
      </x:c>
      <x:c r="J1529" t="str">
        <x:v>https://dl.smwcentral.net/38878/Separate%20Ways%20Remastered.zip</x:v>
      </x:c>
    </x:row>
    <x:row r="1530">
      <x:c r="A1530" t="str">
        <x:v>Seven Cursed Eggs</x:v>
      </x:c>
      <x:c r="B1530" t="str">
        <x:v>Seven Cursed Eggs</x:v>
      </x:c>
      <x:c r="C1530" t="str">
        <x:v>SyStemkraSh</x:v>
      </x:c>
      <x:c r="D1530" t="n">
        <x:v>10</x:v>
      </x:c>
      <x:c r="E1530" t="str">
        <x:v>Casual</x:v>
      </x:c>
      <x:c r="F1530" t="str">
        <x:v>Standard</x:v>
      </x:c>
      <x:c r="G1530" t="n">
        <x:v>41451</x:v>
      </x:c>
      <x:c r="H1530" t="str">
        <x:v>5099</x:v>
      </x:c>
      <x:c r="I1530" t="str">
        <x:v>https://www.smwcentral.net/?a=details&amp;id=5099&amp;p=section</x:v>
      </x:c>
      <x:c r="J1530" t="str">
        <x:v>https://dl.smwcentral.net/5099/Seven%20Cursed%20Eggs.zip</x:v>
      </x:c>
    </x:row>
    <x:row r="1531">
      <x:c r="A1531" t="str">
        <x:v>Seven Vanilla Levels</x:v>
      </x:c>
      <x:c r="B1531" t="str">
        <x:v>Seven Vanilla Levels</x:v>
      </x:c>
      <x:c r="C1531" t="str">
        <x:v>Stivi</x:v>
      </x:c>
      <x:c r="D1531" t="n">
        <x:v>9</x:v>
      </x:c>
      <x:c r="E1531" t="str">
        <x:v>Intermediate</x:v>
      </x:c>
      <x:c r="F1531" t="str">
        <x:v>Standard</x:v>
      </x:c>
      <x:c r="G1531" t="n">
        <x:v>45352</x:v>
      </x:c>
      <x:c r="H1531" t="str">
        <x:v>37146</x:v>
      </x:c>
      <x:c r="I1531" t="str">
        <x:v>https://www.smwcentral.net/?a=details&amp;id=37146&amp;p=section</x:v>
      </x:c>
      <x:c r="J1531" t="str">
        <x:v>https://dl.smwcentral.net/37146/Seven_Vanilla_Levels.zip</x:v>
      </x:c>
    </x:row>
    <x:row r="1532">
      <x:c r="A1532" t="str">
        <x:v>Shadow of the Mountain</x:v>
      </x:c>
      <x:c r="B1532" t="str">
        <x:v>Shadow of the Mountain</x:v>
      </x:c>
      <x:c r="C1532" t="str">
        <x:v>Firstnamebutt</x:v>
      </x:c>
      <x:c r="D1532" t="n">
        <x:v>17</x:v>
      </x:c>
      <x:c r="E1532" t="str">
        <x:v>Advanced</x:v>
      </x:c>
      <x:c r="F1532" t="str">
        <x:v>Kaizo</x:v>
      </x:c>
      <x:c r="G1532" t="n">
        <x:v>45938</x:v>
      </x:c>
      <x:c r="H1532" t="str">
        <x:v>40746</x:v>
      </x:c>
      <x:c r="I1532" t="str">
        <x:v>https://www.smwcentral.net/?a=details&amp;id=40746&amp;p=section</x:v>
      </x:c>
      <x:c r="J1532" t="str">
        <x:v>https://dl.smwcentral.net/40746/SOTM.zip</x:v>
      </x:c>
    </x:row>
    <x:row r="1533">
      <x:c r="A1533" t="str">
        <x:v>Shallow and Pedantic</x:v>
      </x:c>
      <x:c r="B1533" t="str">
        <x:v>Shallow and Pedantic</x:v>
      </x:c>
      <x:c r="C1533" t="str">
        <x:v>cur, detdu</x:v>
      </x:c>
      <x:c r="D1533" t="n">
        <x:v>5</x:v>
      </x:c>
      <x:c r="E1533" t="str">
        <x:v>Expert</x:v>
      </x:c>
      <x:c r="F1533" t="str">
        <x:v>Kaizo</x:v>
      </x:c>
      <x:c r="G1533" t="n">
        <x:v>44565</x:v>
      </x:c>
      <x:c r="H1533" t="str">
        <x:v>29143</x:v>
      </x:c>
      <x:c r="I1533" t="str">
        <x:v>https://www.smwcentral.net/?a=details&amp;id=29143&amp;p=section</x:v>
      </x:c>
      <x:c r="J1533" t="str">
        <x:v>https://dl.smwcentral.net/29143/Shallow%20and%20Pedantic.zip</x:v>
      </x:c>
    </x:row>
    <x:row r="1534">
      <x:c r="A1534" t="str">
        <x:v>Shallow Pits</x:v>
      </x:c>
      <x:c r="B1534" t="str">
        <x:v>Shallow Pits</x:v>
      </x:c>
      <x:c r="C1534" t="str">
        <x:v>AmperSam</x:v>
      </x:c>
      <x:c r="D1534" t="n">
        <x:v>1</x:v>
      </x:c>
      <x:c r="E1534" t="str">
        <x:v>Master</x:v>
      </x:c>
      <x:c r="F1534" t="str">
        <x:v>Kaizo</x:v>
      </x:c>
      <x:c r="G1534" t="n">
        <x:v>44412</x:v>
      </x:c>
      <x:c r="H1534" t="str">
        <x:v>27874</x:v>
      </x:c>
      <x:c r="I1534" t="str">
        <x:v>https://www.smwcentral.net/?a=details&amp;id=27874&amp;p=section</x:v>
      </x:c>
      <x:c r="J1534" t="str">
        <x:v>https://dl.smwcentral.net/27874/ShallowPits.v1.1.zip</x:v>
      </x:c>
    </x:row>
    <x:row r="1535">
      <x:c r="A1535" t="str">
        <x:v>Shallow Pits 2</x:v>
      </x:c>
      <x:c r="B1535" t="str">
        <x:v>Shallow Pits 2</x:v>
      </x:c>
      <x:c r="C1535" t="str">
        <x:v>AmperSam</x:v>
      </x:c>
      <x:c r="D1535" t="n">
        <x:v>1</x:v>
      </x:c>
      <x:c r="E1535" t="str">
        <x:v>Expert</x:v>
      </x:c>
      <x:c r="F1535" t="str">
        <x:v>Kaizo</x:v>
      </x:c>
      <x:c r="G1535" t="n">
        <x:v>44853</x:v>
      </x:c>
      <x:c r="H1535" t="str">
        <x:v>32256</x:v>
      </x:c>
      <x:c r="I1535" t="str">
        <x:v>https://www.smwcentral.net/?a=details&amp;id=32256&amp;p=section</x:v>
      </x:c>
      <x:c r="J1535" t="str">
        <x:v>https://dl.smwcentral.net/32256/Pits2_v1.1.zip</x:v>
      </x:c>
    </x:row>
    <x:row r="1536">
      <x:c r="A1536" t="str">
        <x:v>Shattered Land</x:v>
      </x:c>
      <x:c r="B1536" t="str">
        <x:v>Shattered Land</x:v>
      </x:c>
      <x:c r="C1536" t="str">
        <x:v>random_box</x:v>
      </x:c>
      <x:c r="D1536" t="n">
        <x:v>5</x:v>
      </x:c>
      <x:c r="E1536" t="str">
        <x:v>Expert</x:v>
      </x:c>
      <x:c r="F1536" t="str">
        <x:v>Kaizo</x:v>
      </x:c>
      <x:c r="G1536" t="n">
        <x:v>44557</x:v>
      </x:c>
      <x:c r="H1536" t="str">
        <x:v>28509</x:v>
      </x:c>
      <x:c r="I1536" t="str">
        <x:v>https://www.smwcentral.net/?a=details&amp;id=28509&amp;p=section</x:v>
      </x:c>
      <x:c r="J1536" t="str">
        <x:v>https://dl.smwcentral.net/28509/Shattered%20Land%201.3.zip</x:v>
      </x:c>
    </x:row>
    <x:row r="1537">
      <x:c r="A1537" t="str">
        <x:v>SHATTERED PLAINS</x:v>
      </x:c>
      <x:c r="B1537" t="str">
        <x:v>SHATTERED PLAINS</x:v>
      </x:c>
      <x:c r="C1537" t="str">
        <x:v>ageVerrly</x:v>
      </x:c>
      <x:c r="D1537" t="n">
        <x:v>0</x:v>
      </x:c>
      <x:c r="E1537" t="str">
        <x:v>Master</x:v>
      </x:c>
      <x:c r="F1537" t="str">
        <x:v>Standard</x:v>
      </x:c>
      <x:c r="G1537" t="n">
        <x:v>45182</x:v>
      </x:c>
      <x:c r="H1537" t="str">
        <x:v>34840</x:v>
      </x:c>
      <x:c r="I1537" t="str">
        <x:v>https://www.smwcentral.net/?a=details&amp;id=34840&amp;p=section</x:v>
      </x:c>
      <x:c r="J1537" t="str">
        <x:v>https://dl.smwcentral.net/34840/plains.zip</x:v>
      </x:c>
    </x:row>
    <x:row r="1538">
      <x:c r="A1538" t="str">
        <x:v>Sheffy 99</x:v>
      </x:c>
      <x:c r="B1538" t="str">
        <x:v>Sheffy 99</x:v>
      </x:c>
      <x:c r="C1538" t="str">
        <x:v>51690</x:v>
      </x:c>
      <x:c r="D1538" t="n">
        <x:v>8</x:v>
      </x:c>
      <x:c r="E1538" t="str">
        <x:v>Master</x:v>
      </x:c>
      <x:c r="F1538" t="str">
        <x:v>Kaizo</x:v>
      </x:c>
      <x:c r="G1538" t="n">
        <x:v>44613</x:v>
      </x:c>
      <x:c r="H1538" t="str">
        <x:v>29776</x:v>
      </x:c>
      <x:c r="I1538" t="str">
        <x:v>https://www.smwcentral.net/?a=details&amp;id=29776&amp;p=section</x:v>
      </x:c>
      <x:c r="J1538" t="str">
        <x:v>https://dl.smwcentral.net/29776/sheffy%2099%20v1.1.zip</x:v>
      </x:c>
    </x:row>
    <x:row r="1539">
      <x:c r="A1539" t="str">
        <x:v>Shell is Cool</x:v>
      </x:c>
      <x:c r="B1539" t="str">
        <x:v>Shell is Cool</x:v>
      </x:c>
      <x:c r="C1539" t="str">
        <x:v>Deivid Borba</x:v>
      </x:c>
      <x:c r="D1539" t="n">
        <x:v>8</x:v>
      </x:c>
      <x:c r="E1539" t="str">
        <x:v>Expert</x:v>
      </x:c>
      <x:c r="F1539" t="str">
        <x:v>Kaizo</x:v>
      </x:c>
      <x:c r="G1539" t="n">
        <x:v>44216</x:v>
      </x:c>
      <x:c r="H1539" t="str">
        <x:v>25999</x:v>
      </x:c>
      <x:c r="I1539" t="str">
        <x:v>https://www.smwcentral.net/?a=details&amp;id=25999&amp;p=section</x:v>
      </x:c>
      <x:c r="J1539" t="str">
        <x:v>https://dl.smwcentral.net/25999/Shell%20is%20Cool.zip</x:v>
      </x:c>
    </x:row>
    <x:row r="1540">
      <x:c r="A1540" t="str">
        <x:v>Shell Motel</x:v>
      </x:c>
      <x:c r="B1540" t="str">
        <x:v>Shell Motel</x:v>
      </x:c>
      <x:c r="C1540" t="str">
        <x:v>Riu_69</x:v>
      </x:c>
      <x:c r="D1540" t="n">
        <x:v>1</x:v>
      </x:c>
      <x:c r="E1540" t="str">
        <x:v>Advanced</x:v>
      </x:c>
      <x:c r="F1540" t="str">
        <x:v>Kaizo</x:v>
      </x:c>
      <x:c r="G1540" t="n">
        <x:v>46004</x:v>
      </x:c>
      <x:c r="H1540" t="str">
        <x:v>41263</x:v>
      </x:c>
      <x:c r="I1540" t="str">
        <x:v>https://www.smwcentral.net/?a=details&amp;id=41263&amp;p=section</x:v>
      </x:c>
      <x:c r="J1540" t="str">
        <x:v>https://dl.smwcentral.net/41263/Shell%20Motel.zip</x:v>
      </x:c>
    </x:row>
    <x:row r="1541">
      <x:c r="A1541" t="str">
        <x:v>Shell Or Die</x:v>
      </x:c>
      <x:c r="B1541" t="str">
        <x:v>Shell Or Die</x:v>
      </x:c>
      <x:c r="C1541" t="str">
        <x:v>BielDusty</x:v>
      </x:c>
      <x:c r="D1541" t="n">
        <x:v>15</x:v>
      </x:c>
      <x:c r="E1541" t="str">
        <x:v>Master</x:v>
      </x:c>
      <x:c r="F1541" t="str">
        <x:v>Kaizo</x:v>
      </x:c>
      <x:c r="G1541" t="n">
        <x:v>46157</x:v>
      </x:c>
      <x:c r="H1541" t="str">
        <x:v>42160</x:v>
      </x:c>
      <x:c r="I1541" t="str">
        <x:v>https://www.smwcentral.net/?a=details&amp;id=42160&amp;p=section</x:v>
      </x:c>
      <x:c r="J1541" t="str">
        <x:v>https://dl.smwcentral.net/42160/ShellOrDie.zip</x:v>
      </x:c>
    </x:row>
    <x:row r="1542">
      <x:c r="A1542" t="str">
        <x:v>Shell Out</x:v>
      </x:c>
      <x:c r="B1542" t="str">
        <x:v>Shell Out</x:v>
      </x:c>
      <x:c r="C1542" t="str">
        <x:v>kaigem</x:v>
      </x:c>
      <x:c r="D1542" t="n">
        <x:v>1</x:v>
      </x:c>
      <x:c r="E1542" t="str">
        <x:v>Expert</x:v>
      </x:c>
      <x:c r="F1542" t="str">
        <x:v>Kaizo</x:v>
      </x:c>
      <x:c r="G1542" t="n">
        <x:v>44198</x:v>
      </x:c>
      <x:c r="H1542" t="str">
        <x:v>25586</x:v>
      </x:c>
      <x:c r="I1542" t="str">
        <x:v>https://www.smwcentral.net/?a=details&amp;id=25586&amp;p=section</x:v>
      </x:c>
      <x:c r="J1542" t="str">
        <x:v>https://dl.smwcentral.net/25586/Shell%20Out.zip</x:v>
      </x:c>
    </x:row>
    <x:row r="1543">
      <x:c r="A1543" t="str">
        <x:v>Shell Reaper</x:v>
      </x:c>
      <x:c r="B1543" t="str">
        <x:v>Shell Reaper</x:v>
      </x:c>
      <x:c r="C1543" t="str">
        <x:v>Ryuoxel, mtheordinarygamer</x:v>
      </x:c>
      <x:c r="D1543" t="n">
        <x:v>6</x:v>
      </x:c>
      <x:c r="E1543" t="str">
        <x:v>Master</x:v>
      </x:c>
      <x:c r="F1543" t="str">
        <x:v>Kaizo</x:v>
      </x:c>
      <x:c r="G1543" t="n">
        <x:v>45492</x:v>
      </x:c>
      <x:c r="H1543" t="str">
        <x:v>38108</x:v>
      </x:c>
      <x:c r="I1543" t="str">
        <x:v>https://www.smwcentral.net/?a=details&amp;id=38108&amp;p=section</x:v>
      </x:c>
      <x:c r="J1543" t="str">
        <x:v>https://dl.smwcentral.net/38108/Shell%20Reaper.zip</x:v>
      </x:c>
    </x:row>
    <x:row r="1544">
      <x:c r="A1544" t="str">
        <x:v>Shell'S 4 KidUlt'S</x:v>
      </x:c>
      <x:c r="B1544" t="str">
        <x:v>Shell'S 4 KidUlt'S</x:v>
      </x:c>
      <x:c r="C1544" t="str">
        <x:v>nets</x:v>
      </x:c>
      <x:c r="D1544" t="n">
        <x:v>4</x:v>
      </x:c>
      <x:c r="E1544" t="str">
        <x:v>Expert</x:v>
      </x:c>
      <x:c r="F1544" t="str">
        <x:v>Kaizo</x:v>
      </x:c>
      <x:c r="G1544" t="n">
        <x:v>46041</x:v>
      </x:c>
      <x:c r="H1544" t="str">
        <x:v>41448</x:v>
      </x:c>
      <x:c r="I1544" t="str">
        <x:v>https://www.smwcentral.net/?a=details&amp;id=41448&amp;p=section</x:v>
      </x:c>
      <x:c r="J1544" t="str">
        <x:v>https://dl.smwcentral.net/41448/SHELLS%204%20KIDULTS%20BY%20N3TS.zip</x:v>
      </x:c>
    </x:row>
    <x:row r="1545">
      <x:c r="A1545" t="str">
        <x:v>Shell's Redeemer</x:v>
      </x:c>
      <x:c r="B1545" t="str">
        <x:v>Shell's Redeemer</x:v>
      </x:c>
      <x:c r="C1545" t="str">
        <x:v>Cartesius</x:v>
      </x:c>
      <x:c r="D1545" t="n">
        <x:v>12</x:v>
      </x:c>
      <x:c r="E1545" t="str">
        <x:v>Expert</x:v>
      </x:c>
      <x:c r="F1545" t="str">
        <x:v>Kaizo</x:v>
      </x:c>
      <x:c r="G1545" t="n">
        <x:v>44096</x:v>
      </x:c>
      <x:c r="H1545" t="str">
        <x:v>24544</x:v>
      </x:c>
      <x:c r="I1545" t="str">
        <x:v>https://www.smwcentral.net/?a=details&amp;id=24544&amp;p=section</x:v>
      </x:c>
      <x:c r="J1545" t="str">
        <x:v>https://dl.smwcentral.net/24544/redeemer.zip</x:v>
      </x:c>
    </x:row>
    <x:row r="1546">
      <x:c r="A1546" t="str">
        <x:v>Shell's Retriever</x:v>
      </x:c>
      <x:c r="B1546" t="str">
        <x:v>Shell's Retriever</x:v>
      </x:c>
      <x:c r="C1546" t="str">
        <x:v>Cartesius</x:v>
      </x:c>
      <x:c r="D1546" t="n">
        <x:v>7</x:v>
      </x:c>
      <x:c r="E1546" t="str">
        <x:v>Expert</x:v>
      </x:c>
      <x:c r="F1546" t="str">
        <x:v>Kaizo</x:v>
      </x:c>
      <x:c r="G1546" t="n">
        <x:v>43486</x:v>
      </x:c>
      <x:c r="H1546" t="str">
        <x:v>18729</x:v>
      </x:c>
      <x:c r="I1546" t="str">
        <x:v>https://www.smwcentral.net/?a=details&amp;id=18729&amp;p=section</x:v>
      </x:c>
      <x:c r="J1546" t="str">
        <x:v>https://dl.smwcentral.net/18729/shellsretriever.zip</x:v>
      </x:c>
    </x:row>
    <x:row r="1547">
      <x:c r="A1547" t="str">
        <x:v>Shella Sick (A Hella Sick Shell Hack)</x:v>
      </x:c>
      <x:c r="B1547" t="str">
        <x:v>Shella Sick (A Hella Sick Shell Hack)</x:v>
      </x:c>
      <x:c r="C1547" t="str">
        <x:v>JeepySol</x:v>
      </x:c>
      <x:c r="D1547" t="n">
        <x:v>14</x:v>
      </x:c>
      <x:c r="E1547" t="str">
        <x:v>Expert</x:v>
      </x:c>
      <x:c r="F1547" t="str">
        <x:v>Kaizo</x:v>
      </x:c>
      <x:c r="G1547" t="n">
        <x:v>46180</x:v>
      </x:c>
      <x:c r="H1547" t="str">
        <x:v>42489</x:v>
      </x:c>
      <x:c r="I1547" t="str">
        <x:v>https://www.smwcentral.net/?a=details&amp;id=42489&amp;p=section</x:v>
      </x:c>
      <x:c r="J1547" t="str">
        <x:v>https://dl.smwcentral.net/42489/Shella%20Sick%20%28A%20Hella%20Sick%20Shell%20Hack%29%20v1_1.zip</x:v>
      </x:c>
    </x:row>
    <x:row r="1548">
      <x:c r="A1548" t="str">
        <x:v>Shellab</x:v>
      </x:c>
      <x:c r="B1548" t="str">
        <x:v>Shellab</x:v>
      </x:c>
      <x:c r="C1548" t="str">
        <x:v>Cracka, Firstnamebutt, Inflagrandy, Saphros, SwiggittyWiggitty, bald_ridge, l337f00l, mtheordinarygamer, neidoodle, xMANGRAVYx</x:v>
      </x:c>
      <x:c r="D1548" t="n">
        <x:v>10</x:v>
      </x:c>
      <x:c r="E1548" t="str">
        <x:v>Expert</x:v>
      </x:c>
      <x:c r="F1548" t="str">
        <x:v>Kaizo</x:v>
      </x:c>
      <x:c r="G1548" t="n">
        <x:v>45977</x:v>
      </x:c>
      <x:c r="H1548" t="str">
        <x:v>41048</x:v>
      </x:c>
      <x:c r="I1548" t="str">
        <x:v>https://www.smwcentral.net/?a=details&amp;id=41048&amp;p=section</x:v>
      </x:c>
      <x:c r="J1548" t="str">
        <x:v>https://dl.smwcentral.net/41048/Shellab.zip</x:v>
      </x:c>
    </x:row>
    <x:row r="1549">
      <x:c r="A1549" t="str">
        <x:v>Shellax</x:v>
      </x:c>
      <x:c r="B1549" t="str">
        <x:v>Shellax</x:v>
      </x:c>
      <x:c r="C1549" t="str">
        <x:v>Fryinb</x:v>
      </x:c>
      <x:c r="D1549" t="n">
        <x:v>7</x:v>
      </x:c>
      <x:c r="E1549" t="str">
        <x:v>Expert</x:v>
      </x:c>
      <x:c r="F1549" t="str">
        <x:v>Kaizo</x:v>
      </x:c>
      <x:c r="G1549" t="n">
        <x:v>44317</x:v>
      </x:c>
      <x:c r="H1549" t="str">
        <x:v>26886</x:v>
      </x:c>
      <x:c r="I1549" t="str">
        <x:v>https://www.smwcentral.net/?a=details&amp;id=26886&amp;p=section</x:v>
      </x:c>
      <x:c r="J1549" t="str">
        <x:v>https://dl.smwcentral.net/26886/Shellax1.1.zip</x:v>
      </x:c>
    </x:row>
    <x:row r="1550">
      <x:c r="A1550" t="str">
        <x:v>Shellenge</x:v>
      </x:c>
      <x:c r="B1550" t="str">
        <x:v>Shellenge</x:v>
      </x:c>
      <x:c r="C1550" t="str">
        <x:v>Saphros</x:v>
      </x:c>
      <x:c r="D1550" t="n">
        <x:v>11</x:v>
      </x:c>
      <x:c r="E1550" t="str">
        <x:v>Advanced</x:v>
      </x:c>
      <x:c r="F1550" t="str">
        <x:v>Kaizo</x:v>
      </x:c>
      <x:c r="G1550" t="n">
        <x:v>45935</x:v>
      </x:c>
      <x:c r="H1550" t="str">
        <x:v>40736</x:v>
      </x:c>
      <x:c r="I1550" t="str">
        <x:v>https://www.smwcentral.net/?a=details&amp;id=40736&amp;p=section</x:v>
      </x:c>
      <x:c r="J1550" t="str">
        <x:v>https://dl.smwcentral.net/40736/Shellenge.zip</x:v>
      </x:c>
    </x:row>
    <x:row r="1551">
      <x:c r="A1551" t="str">
        <x:v>Shello</x:v>
      </x:c>
      <x:c r="B1551" t="str">
        <x:v>Shello</x:v>
      </x:c>
      <x:c r="C1551" t="str">
        <x:v>Inflagrandy</x:v>
      </x:c>
      <x:c r="D1551" t="n">
        <x:v>12</x:v>
      </x:c>
      <x:c r="E1551" t="str">
        <x:v>Expert</x:v>
      </x:c>
      <x:c r="F1551" t="str">
        <x:v>Kaizo</x:v>
      </x:c>
      <x:c r="G1551" t="n">
        <x:v>45516</x:v>
      </x:c>
      <x:c r="H1551" t="str">
        <x:v>38203</x:v>
      </x:c>
      <x:c r="I1551" t="str">
        <x:v>https://www.smwcentral.net/?a=details&amp;id=38203&amp;p=section</x:v>
      </x:c>
      <x:c r="J1551" t="str">
        <x:v>https://dl.smwcentral.net/38203/Shello.zip</x:v>
      </x:c>
    </x:row>
    <x:row r="1552">
      <x:c r="A1552" t="str">
        <x:v>Shelloween</x:v>
      </x:c>
      <x:c r="B1552" t="str">
        <x:v>Shelloween</x:v>
      </x:c>
      <x:c r="C1552" t="str">
        <x:v>Steffi4689Lol</x:v>
      </x:c>
      <x:c r="D1552" t="n">
        <x:v>10</x:v>
      </x:c>
      <x:c r="E1552" t="str">
        <x:v>Advanced</x:v>
      </x:c>
      <x:c r="F1552" t="str">
        <x:v>Kaizo</x:v>
      </x:c>
      <x:c r="G1552" t="n">
        <x:v>44900</x:v>
      </x:c>
      <x:c r="H1552" t="str">
        <x:v>32697</x:v>
      </x:c>
      <x:c r="I1552" t="str">
        <x:v>https://www.smwcentral.net/?a=details&amp;id=32697&amp;p=section</x:v>
      </x:c>
      <x:c r="J1552" t="str">
        <x:v>https://dl.smwcentral.net/32697/Shelloween.zip</x:v>
      </x:c>
    </x:row>
    <x:row r="1553">
      <x:c r="A1553" t="str">
        <x:v>Shells 3 &amp; Knuckles</x:v>
      </x:c>
      <x:c r="B1553" t="str">
        <x:v>Shells 3 &amp; Knuckles</x:v>
      </x:c>
      <x:c r="C1553" t="str">
        <x:v>TheGremlin</x:v>
      </x:c>
      <x:c r="D1553" t="n">
        <x:v>8</x:v>
      </x:c>
      <x:c r="E1553" t="str">
        <x:v>Expert</x:v>
      </x:c>
      <x:c r="F1553" t="str">
        <x:v>Kaizo</x:v>
      </x:c>
      <x:c r="G1553" t="n">
        <x:v>45079</x:v>
      </x:c>
      <x:c r="H1553" t="str">
        <x:v>34009</x:v>
      </x:c>
      <x:c r="I1553" t="str">
        <x:v>https://www.smwcentral.net/?a=details&amp;id=34009&amp;p=section</x:v>
      </x:c>
      <x:c r="J1553" t="str">
        <x:v>https://dl.smwcentral.net/34009/Shells3AndKnuckles.zip</x:v>
      </x:c>
    </x:row>
    <x:row r="1554">
      <x:c r="A1554" t="str">
        <x:v>Shells Delivery Deluxe</x:v>
      </x:c>
      <x:c r="B1554" t="str">
        <x:v>Shells Delivery Deluxe</x:v>
      </x:c>
      <x:c r="C1554" t="str">
        <x:v>TheMURAmatsu</x:v>
      </x:c>
      <x:c r="D1554" t="n">
        <x:v>8</x:v>
      </x:c>
      <x:c r="E1554" t="str">
        <x:v>Advanced</x:v>
      </x:c>
      <x:c r="F1554" t="str">
        <x:v>Kaizo</x:v>
      </x:c>
      <x:c r="G1554" t="n">
        <x:v>44185</x:v>
      </x:c>
      <x:c r="H1554" t="str">
        <x:v>25495</x:v>
      </x:c>
      <x:c r="I1554" t="str">
        <x:v>https://www.smwcentral.net/?a=details&amp;id=25495&amp;p=section</x:v>
      </x:c>
      <x:c r="J1554" t="str">
        <x:v>https://dl.smwcentral.net/25495/ShellsDeliveryDeluxe.zip</x:v>
      </x:c>
    </x:row>
    <x:row r="1555">
      <x:c r="A1555" t="str">
        <x:v>Shells Kitchen: Leos Journey</x:v>
      </x:c>
      <x:c r="B1555" t="str">
        <x:v>Shells Kitchen: Leos Journey</x:v>
      </x:c>
      <x:c r="C1555" t="str">
        <x:v>Saphros</x:v>
      </x:c>
      <x:c r="D1555" t="n">
        <x:v>10</x:v>
      </x:c>
      <x:c r="E1555" t="str">
        <x:v>Intermediate</x:v>
      </x:c>
      <x:c r="F1555" t="str">
        <x:v>Kaizo</x:v>
      </x:c>
      <x:c r="G1555" t="n">
        <x:v>45436</x:v>
      </x:c>
      <x:c r="H1555" t="str">
        <x:v>37822</x:v>
      </x:c>
      <x:c r="I1555" t="str">
        <x:v>https://www.smwcentral.net/?a=details&amp;id=37822&amp;p=section</x:v>
      </x:c>
      <x:c r="J1555" t="str">
        <x:v>https://dl.smwcentral.net/37822/ShellsKitchen_Leos_Journey.zip</x:v>
      </x:c>
    </x:row>
    <x:row r="1556">
      <x:c r="A1556" t="str">
        <x:v>Shells Kitchen: Nicos Journey</x:v>
      </x:c>
      <x:c r="B1556" t="str">
        <x:v>Shells Kitchen: Nicos Journey</x:v>
      </x:c>
      <x:c r="C1556" t="str">
        <x:v>Saphros</x:v>
      </x:c>
      <x:c r="D1556" t="n">
        <x:v>10</x:v>
      </x:c>
      <x:c r="E1556" t="str">
        <x:v>Advanced</x:v>
      </x:c>
      <x:c r="F1556" t="str">
        <x:v>Kaizo</x:v>
      </x:c>
      <x:c r="G1556" t="n">
        <x:v>45429</x:v>
      </x:c>
      <x:c r="H1556" t="str">
        <x:v>37792</x:v>
      </x:c>
      <x:c r="I1556" t="str">
        <x:v>https://www.smwcentral.net/?a=details&amp;id=37792&amp;p=section</x:v>
      </x:c>
      <x:c r="J1556" t="str">
        <x:v>https://dl.smwcentral.net/37792/ShellsKitchen_Nicos_Journey_v1.0.zip</x:v>
      </x:c>
    </x:row>
    <x:row r="1557">
      <x:c r="A1557" t="str">
        <x:v>Shellshock</x:v>
      </x:c>
      <x:c r="B1557" t="str">
        <x:v>Shellshock</x:v>
      </x:c>
      <x:c r="C1557" t="str">
        <x:v>Riu_69</x:v>
      </x:c>
      <x:c r="D1557" t="n">
        <x:v>9</x:v>
      </x:c>
      <x:c r="E1557" t="str">
        <x:v>Grandmaster</x:v>
      </x:c>
      <x:c r="F1557" t="str">
        <x:v>Kaizo</x:v>
      </x:c>
      <x:c r="G1557" t="n">
        <x:v>46083</x:v>
      </x:c>
      <x:c r="H1557" t="str">
        <x:v>41542</x:v>
      </x:c>
      <x:c r="I1557" t="str">
        <x:v>https://www.smwcentral.net/?a=details&amp;id=41542&amp;p=section</x:v>
      </x:c>
      <x:c r="J1557" t="str">
        <x:v>https://dl.smwcentral.net/41542/Shellshock%20V%201.3.zip</x:v>
      </x:c>
    </x:row>
    <x:row r="1558">
      <x:c r="A1558" t="str">
        <x:v>Shelltopia</x:v>
      </x:c>
      <x:c r="B1558" t="str">
        <x:v>Shelltopia</x:v>
      </x:c>
      <x:c r="C1558" t="str">
        <x:v>Vidli</x:v>
      </x:c>
      <x:c r="D1558" t="n">
        <x:v>9</x:v>
      </x:c>
      <x:c r="E1558" t="str">
        <x:v>Advanced</x:v>
      </x:c>
      <x:c r="F1558" t="str">
        <x:v>Kaizo</x:v>
      </x:c>
      <x:c r="G1558" t="n">
        <x:v>44991</x:v>
      </x:c>
      <x:c r="H1558" t="str">
        <x:v>33434</x:v>
      </x:c>
      <x:c r="I1558" t="str">
        <x:v>https://www.smwcentral.net/?a=details&amp;id=33434&amp;p=section</x:v>
      </x:c>
      <x:c r="J1558" t="str">
        <x:v>https://dl.smwcentral.net/33434/Shelltopia.zip</x:v>
      </x:c>
    </x:row>
    <x:row r="1559">
      <x:c r="A1559" t="str">
        <x:v>Shellventure</x:v>
      </x:c>
      <x:c r="B1559" t="str">
        <x:v>Shellventure</x:v>
      </x:c>
      <x:c r="C1559" t="str">
        <x:v>mikeeeeee83</x:v>
      </x:c>
      <x:c r="D1559" t="n">
        <x:v>9</x:v>
      </x:c>
      <x:c r="E1559" t="str">
        <x:v>Expert</x:v>
      </x:c>
      <x:c r="F1559" t="str">
        <x:v>Kaizo</x:v>
      </x:c>
      <x:c r="G1559" t="n">
        <x:v>45698</x:v>
      </x:c>
      <x:c r="H1559" t="str">
        <x:v>39179</x:v>
      </x:c>
      <x:c r="I1559" t="str">
        <x:v>https://www.smwcentral.net/?a=details&amp;id=39179&amp;p=section</x:v>
      </x:c>
      <x:c r="J1559" t="str">
        <x:v>https://dl.smwcentral.net/39179/shellventure10.zip</x:v>
      </x:c>
    </x:row>
    <x:row r="1560">
      <x:c r="A1560" t="str">
        <x:v>Shellz</x:v>
      </x:c>
      <x:c r="B1560" t="str">
        <x:v>Shellz</x:v>
      </x:c>
      <x:c r="C1560" t="str">
        <x:v>Bodacious_snail</x:v>
      </x:c>
      <x:c r="D1560" t="n">
        <x:v>9</x:v>
      </x:c>
      <x:c r="E1560" t="str">
        <x:v>Expert</x:v>
      </x:c>
      <x:c r="F1560" t="str">
        <x:v>Kaizo</x:v>
      </x:c>
      <x:c r="G1560" t="n">
        <x:v>44931</x:v>
      </x:c>
      <x:c r="H1560" t="str">
        <x:v>32877</x:v>
      </x:c>
      <x:c r="I1560" t="str">
        <x:v>https://www.smwcentral.net/?a=details&amp;id=32877&amp;p=section</x:v>
      </x:c>
      <x:c r="J1560" t="str">
        <x:v>https://dl.smwcentral.net/32877/Shellz.zip</x:v>
      </x:c>
    </x:row>
    <x:row r="1561">
      <x:c r="A1561" t="str">
        <x:v>SHINE</x:v>
      </x:c>
      <x:c r="B1561" t="str">
        <x:v>SHINE</x:v>
      </x:c>
      <x:c r="C1561" t="str">
        <x:v>Doopu</x:v>
      </x:c>
      <x:c r="D1561" t="n">
        <x:v>12</x:v>
      </x:c>
      <x:c r="E1561" t="str">
        <x:v>Expert</x:v>
      </x:c>
      <x:c r="F1561" t="str">
        <x:v>Kaizo</x:v>
      </x:c>
      <x:c r="G1561" t="n">
        <x:v>45749</x:v>
      </x:c>
      <x:c r="H1561" t="str">
        <x:v>39649</x:v>
      </x:c>
      <x:c r="I1561" t="str">
        <x:v>https://www.smwcentral.net/?a=details&amp;id=39649&amp;p=section</x:v>
      </x:c>
      <x:c r="J1561" t="str">
        <x:v>https://dl.smwcentral.net/39649/SHINE%20v1.1.zip</x:v>
      </x:c>
    </x:row>
    <x:row r="1562">
      <x:c r="A1562" t="str">
        <x:v>Shipwrecked</x:v>
      </x:c>
      <x:c r="B1562" t="str">
        <x:v>Shipwrecked</x:v>
      </x:c>
      <x:c r="C1562" t="str">
        <x:v>GloriousWater</x:v>
      </x:c>
      <x:c r="D1562" t="n">
        <x:v>24</x:v>
      </x:c>
      <x:c r="E1562" t="str">
        <x:v>Casual</x:v>
      </x:c>
      <x:c r="F1562" t="str">
        <x:v>Standard</x:v>
      </x:c>
      <x:c r="G1562" t="n">
        <x:v>41629</x:v>
      </x:c>
      <x:c r="H1562" t="str">
        <x:v>5997</x:v>
      </x:c>
      <x:c r="I1562" t="str">
        <x:v>https://www.smwcentral.net/?a=details&amp;id=5997&amp;p=section</x:v>
      </x:c>
      <x:c r="J1562" t="str">
        <x:v>https://dl.smwcentral.net/5997/Shipwrecked_V1.21.zip</x:v>
      </x:c>
    </x:row>
    <x:row r="1563">
      <x:c r="A1563" t="str">
        <x:v>Shooey</x:v>
      </x:c>
      <x:c r="B1563" t="str">
        <x:v>Shooey</x:v>
      </x:c>
      <x:c r="C1563" t="str">
        <x:v>bald_ridge</x:v>
      </x:c>
      <x:c r="D1563" t="n">
        <x:v>10</x:v>
      </x:c>
      <x:c r="E1563" t="str">
        <x:v>Expert</x:v>
      </x:c>
      <x:c r="F1563" t="str">
        <x:v>Kaizo</x:v>
      </x:c>
      <x:c r="G1563" t="n">
        <x:v>45484</x:v>
      </x:c>
      <x:c r="H1563" t="str">
        <x:v>38084</x:v>
      </x:c>
      <x:c r="I1563" t="str">
        <x:v>https://www.smwcentral.net/?a=details&amp;id=38084&amp;p=section</x:v>
      </x:c>
      <x:c r="J1563" t="str">
        <x:v>https://dl.smwcentral.net/38084/Shooey.zip</x:v>
      </x:c>
    </x:row>
    <x:row r="1564">
      <x:c r="A1564" t="str">
        <x:v>Short 'n Sweet</x:v>
      </x:c>
      <x:c r="B1564" t="str">
        <x:v>Short 'n Sweet</x:v>
      </x:c>
      <x:c r="C1564" t="str">
        <x:v>Anonymous</x:v>
      </x:c>
      <x:c r="D1564" t="n">
        <x:v>7</x:v>
      </x:c>
      <x:c r="E1564" t="str">
        <x:v>Intermediate</x:v>
      </x:c>
      <x:c r="F1564" t="str">
        <x:v>Kaizo</x:v>
      </x:c>
      <x:c r="G1564" t="n">
        <x:v>44409</x:v>
      </x:c>
      <x:c r="H1564" t="str">
        <x:v>27802</x:v>
      </x:c>
      <x:c r="I1564" t="str">
        <x:v>https://www.smwcentral.net/?a=details&amp;id=27802&amp;p=section</x:v>
      </x:c>
      <x:c r="J1564" t="str">
        <x:v>https://dl.smwcentral.net/27802/Short%20%27n%20Sweet%20DemoAnon.zip</x:v>
      </x:c>
    </x:row>
    <x:row r="1565">
      <x:c r="A1565" t="str">
        <x:v>Short and Hard: A midair Shellhack</x:v>
      </x:c>
      <x:c r="B1565" t="str">
        <x:v>Short and Hard: A midair Shellhack</x:v>
      </x:c>
      <x:c r="C1565" t="str">
        <x:v>kurtistrydiz</x:v>
      </x:c>
      <x:c r="D1565" t="n">
        <x:v>19</x:v>
      </x:c>
      <x:c r="E1565" t="str">
        <x:v>Master</x:v>
      </x:c>
      <x:c r="F1565" t="str">
        <x:v>Kaizo</x:v>
      </x:c>
      <x:c r="G1565" t="n">
        <x:v>44933</x:v>
      </x:c>
      <x:c r="H1565" t="str">
        <x:v>32716</x:v>
      </x:c>
      <x:c r="I1565" t="str">
        <x:v>https://www.smwcentral.net/?a=details&amp;id=32716&amp;p=section</x:v>
      </x:c>
      <x:c r="J1565" t="str">
        <x:v>https://dl.smwcentral.net/32716/ShortnHard%20v1.3.zip</x:v>
      </x:c>
    </x:row>
    <x:row r="1566">
      <x:c r="A1566" t="str">
        <x:v>Short and Sweet</x:v>
      </x:c>
      <x:c r="B1566" t="str">
        <x:v>Short and Sweet</x:v>
      </x:c>
      <x:c r="C1566" t="str">
        <x:v>Hiroki</x:v>
      </x:c>
      <x:c r="D1566" t="n">
        <x:v>11</x:v>
      </x:c>
      <x:c r="E1566" t="str">
        <x:v>Advanced</x:v>
      </x:c>
      <x:c r="F1566" t="str">
        <x:v>Kaizo</x:v>
      </x:c>
      <x:c r="G1566" t="n">
        <x:v>44502</x:v>
      </x:c>
      <x:c r="H1566" t="str">
        <x:v>28657</x:v>
      </x:c>
      <x:c r="I1566" t="str">
        <x:v>https://www.smwcentral.net/?a=details&amp;id=28657&amp;p=section</x:v>
      </x:c>
      <x:c r="J1566" t="str">
        <x:v>https://dl.smwcentral.net/28657/short%20and%20sweet%20v1.2.zip</x:v>
      </x:c>
    </x:row>
    <x:row r="1567">
      <x:c r="A1567" t="str">
        <x:v>Short but Savage</x:v>
      </x:c>
      <x:c r="B1567" t="str">
        <x:v>Short but Savage</x:v>
      </x:c>
      <x:c r="C1567" t="str">
        <x:v>H3nt4ik4m3n</x:v>
      </x:c>
      <x:c r="D1567" t="n">
        <x:v>5</x:v>
      </x:c>
      <x:c r="E1567" t="str">
        <x:v>Master</x:v>
      </x:c>
      <x:c r="F1567" t="str">
        <x:v>Kaizo</x:v>
      </x:c>
      <x:c r="G1567" t="n">
        <x:v>45240</x:v>
      </x:c>
      <x:c r="H1567" t="str">
        <x:v>35462</x:v>
      </x:c>
      <x:c r="I1567" t="str">
        <x:v>https://www.smwcentral.net/?a=details&amp;id=35462&amp;p=section</x:v>
      </x:c>
      <x:c r="J1567" t="str">
        <x:v>https://dl.smwcentral.net/35462/Short%20but%20Savage.zip</x:v>
      </x:c>
    </x:row>
    <x:row r="1568">
      <x:c r="A1568" t="str">
        <x:v>short mario adventure</x:v>
      </x:c>
      <x:c r="B1568" t="str">
        <x:v>short mario adventure</x:v>
      </x:c>
      <x:c r="C1568" t="str">
        <x:v>Verliezer18</x:v>
      </x:c>
      <x:c r="D1568" t="n">
        <x:v>7</x:v>
      </x:c>
      <x:c r="E1568" t="str">
        <x:v>Newcomer</x:v>
      </x:c>
      <x:c r="F1568" t="str">
        <x:v>Standard</x:v>
      </x:c>
      <x:c r="G1568" t="n">
        <x:v>43305</x:v>
      </x:c>
      <x:c r="H1568" t="str">
        <x:v>17922</x:v>
      </x:c>
      <x:c r="I1568" t="str">
        <x:v>https://www.smwcentral.net/?a=details&amp;id=17922&amp;p=section</x:v>
      </x:c>
      <x:c r="J1568" t="str">
        <x:v>https://dl.smwcentral.net/17922/ShortMarioAdventure.zip</x:v>
      </x:c>
    </x:row>
    <x:row r="1569">
      <x:c r="A1569" t="str">
        <x:v>Showtime</x:v>
      </x:c>
      <x:c r="B1569" t="str">
        <x:v>Showtime</x:v>
      </x:c>
      <x:c r="C1569" t="str">
        <x:v>TheMorganah</x:v>
      </x:c>
      <x:c r="D1569" t="n">
        <x:v>30</x:v>
      </x:c>
      <x:c r="E1569" t="str">
        <x:v>Advanced</x:v>
      </x:c>
      <x:c r="F1569" t="str">
        <x:v>Standard</x:v>
      </x:c>
      <x:c r="G1569" t="n">
        <x:v>45929</x:v>
      </x:c>
      <x:c r="H1569" t="str">
        <x:v>40687</x:v>
      </x:c>
      <x:c r="I1569" t="str">
        <x:v>https://www.smwcentral.net/?a=details&amp;id=40687&amp;p=section</x:v>
      </x:c>
      <x:c r="J1569" t="str">
        <x:v>https://dl.smwcentral.net/40687/%5B2025%5D%20Showtime%20v1.7%20%28U%29.zip</x:v>
      </x:c>
    </x:row>
    <x:row r="1570">
      <x:c r="A1570" t="str">
        <x:v>Shy Guy's Adventure</x:v>
      </x:c>
      <x:c r="B1570" t="str">
        <x:v>Shy Guy's Adventure</x:v>
      </x:c>
      <x:c r="C1570" t="str">
        <x:v>K3fka</x:v>
      </x:c>
      <x:c r="D1570" t="n">
        <x:v>5</x:v>
      </x:c>
      <x:c r="E1570" t="str">
        <x:v>Casual</x:v>
      </x:c>
      <x:c r="F1570" t="str">
        <x:v>Standard</x:v>
      </x:c>
      <x:c r="G1570" t="n">
        <x:v>41527</x:v>
      </x:c>
      <x:c r="H1570" t="str">
        <x:v>5533</x:v>
      </x:c>
      <x:c r="I1570" t="str">
        <x:v>https://www.smwcentral.net/?a=details&amp;id=5533&amp;p=section</x:v>
      </x:c>
      <x:c r="J1570" t="str">
        <x:v>https://dl.smwcentral.net/5533/Shy%20Guy%27s%20Adventure%20C3%20Demo.zip</x:v>
      </x:c>
    </x:row>
    <x:row r="1571">
      <x:c r="A1571" t="str">
        <x:v>Shy-Guy Quest</x:v>
      </x:c>
      <x:c r="B1571" t="str">
        <x:v>Shy-Guy Quest</x:v>
      </x:c>
      <x:c r="C1571" t="str">
        <x:v>DgBarca</x:v>
      </x:c>
      <x:c r="D1571" t="n">
        <x:v>6</x:v>
      </x:c>
      <x:c r="E1571" t="str">
        <x:v>Casual</x:v>
      </x:c>
      <x:c r="F1571" t="str">
        <x:v>Standard</x:v>
      </x:c>
      <x:c r="G1571" t="n">
        <x:v>42329</x:v>
      </x:c>
      <x:c r="H1571" t="str">
        <x:v>9651</x:v>
      </x:c>
      <x:c r="I1571" t="str">
        <x:v>https://www.smwcentral.net/?a=details&amp;id=9651&amp;p=section</x:v>
      </x:c>
      <x:c r="J1571" t="str">
        <x:v>https://dl.smwcentral.net/9651/Shy-Guy_Quest_C3.zip</x:v>
      </x:c>
    </x:row>
    <x:row r="1572">
      <x:c r="A1572" t="str">
        <x:v>ShyGuy Kaizo Dream</x:v>
      </x:c>
      <x:c r="B1572" t="str">
        <x:v>ShyGuy Kaizo Dream</x:v>
      </x:c>
      <x:c r="C1572" t="str">
        <x:v>P1JDS</x:v>
      </x:c>
      <x:c r="D1572" t="n">
        <x:v>8</x:v>
      </x:c>
      <x:c r="E1572" t="str">
        <x:v>Expert</x:v>
      </x:c>
      <x:c r="F1572" t="str">
        <x:v>Kaizo</x:v>
      </x:c>
      <x:c r="G1572" t="n">
        <x:v>44211</x:v>
      </x:c>
      <x:c r="H1572" t="str">
        <x:v>25911</x:v>
      </x:c>
      <x:c r="I1572" t="str">
        <x:v>https://www.smwcentral.net/?a=details&amp;id=25911&amp;p=section</x:v>
      </x:c>
      <x:c r="J1572" t="str">
        <x:v>https://dl.smwcentral.net/25911/ShyGuyKaizoDream1.2.zip</x:v>
      </x:c>
    </x:row>
    <x:row r="1573">
      <x:c r="A1573" t="str">
        <x:v>ShyGuy Kaizo Dream 2 - Shy Guy's Awakening</x:v>
      </x:c>
      <x:c r="B1573" t="str">
        <x:v>ShyGuy Kaizo Dream 2 - Shy Guy's Awakening</x:v>
      </x:c>
      <x:c r="C1573" t="str">
        <x:v>P1JDS</x:v>
      </x:c>
      <x:c r="D1573" t="n">
        <x:v>20</x:v>
      </x:c>
      <x:c r="E1573" t="str">
        <x:v>Expert</x:v>
      </x:c>
      <x:c r="F1573" t="str">
        <x:v>Kaizo</x:v>
      </x:c>
      <x:c r="G1573" t="n">
        <x:v>44593</x:v>
      </x:c>
      <x:c r="H1573" t="str">
        <x:v>29653</x:v>
      </x:c>
      <x:c r="I1573" t="str">
        <x:v>https://www.smwcentral.net/?a=details&amp;id=29653&amp;p=section</x:v>
      </x:c>
      <x:c r="J1573" t="str">
        <x:v>https://dl.smwcentral.net/29653/ShyGuy%20Kaizo%20Dream%202%20-%20Shy%20Guy%27s%20Awakening%201.1.zip</x:v>
      </x:c>
    </x:row>
    <x:row r="1574">
      <x:c r="A1574" t="str">
        <x:v>Sicari</x:v>
      </x:c>
      <x:c r="B1574" t="str">
        <x:v>Sicari</x:v>
      </x:c>
      <x:c r="C1574" t="str">
        <x:v>Eevee</x:v>
      </x:c>
      <x:c r="D1574" t="n">
        <x:v>35</x:v>
      </x:c>
      <x:c r="E1574" t="str">
        <x:v>Casual</x:v>
      </x:c>
      <x:c r="F1574" t="str">
        <x:v>Standard</x:v>
      </x:c>
      <x:c r="G1574" t="n">
        <x:v>41609</x:v>
      </x:c>
      <x:c r="H1574" t="str">
        <x:v>5950</x:v>
      </x:c>
      <x:c r="I1574" t="str">
        <x:v>https://www.smwcentral.net/?a=details&amp;id=5950&amp;p=section</x:v>
      </x:c>
      <x:c r="J1574" t="str">
        <x:v>https://dl.smwcentral.net/5950/Sicari.zip</x:v>
      </x:c>
    </x:row>
    <x:row r="1575">
      <x:c r="A1575" t="str">
        <x:v>Sicari 2 - The Brink of Time</x:v>
      </x:c>
      <x:c r="B1575" t="str">
        <x:v>Sicari 2 - The Brink of Time</x:v>
      </x:c>
      <x:c r="C1575" t="str">
        <x:v>Eevee</x:v>
      </x:c>
      <x:c r="D1575" t="n">
        <x:v>46</x:v>
      </x:c>
      <x:c r="E1575" t="str">
        <x:v>Intermediate</x:v>
      </x:c>
      <x:c r="F1575" t="str">
        <x:v>Standard</x:v>
      </x:c>
      <x:c r="G1575" t="n">
        <x:v>44862</x:v>
      </x:c>
      <x:c r="H1575" t="str">
        <x:v>32095</x:v>
      </x:c>
      <x:c r="I1575" t="str">
        <x:v>https://www.smwcentral.net/?a=details&amp;id=32095&amp;p=section</x:v>
      </x:c>
      <x:c r="J1575" t="str">
        <x:v>https://dl.smwcentral.net/32095/Sicari2%201.61.zip</x:v>
      </x:c>
    </x:row>
    <x:row r="1576">
      <x:c r="A1576" t="str">
        <x:v>Sicari Remastered</x:v>
      </x:c>
      <x:c r="B1576" t="str">
        <x:v>Sicari Remastered</x:v>
      </x:c>
      <x:c r="C1576" t="str">
        <x:v>Eevee</x:v>
      </x:c>
      <x:c r="D1576" t="n">
        <x:v>68</x:v>
      </x:c>
      <x:c r="E1576" t="str">
        <x:v>Intermediate</x:v>
      </x:c>
      <x:c r="F1576" t="str">
        <x:v>Standard</x:v>
      </x:c>
      <x:c r="G1576" t="n">
        <x:v>44236</x:v>
      </x:c>
      <x:c r="H1576" t="str">
        <x:v>25665</x:v>
      </x:c>
      <x:c r="I1576" t="str">
        <x:v>https://www.smwcentral.net/?a=details&amp;id=25665&amp;p=section</x:v>
      </x:c>
      <x:c r="J1576" t="str">
        <x:v>https://dl.smwcentral.net/25665/SRUpdate.zip</x:v>
      </x:c>
    </x:row>
    <x:row r="1577">
      <x:c r="A1577" t="str">
        <x:v>Sif World</x:v>
      </x:c>
      <x:c r="B1577" t="str">
        <x:v>Sif World</x:v>
      </x:c>
      <x:c r="C1577" t="str">
        <x:v>Erik_The_Swift</x:v>
      </x:c>
      <x:c r="D1577" t="n">
        <x:v>17</x:v>
      </x:c>
      <x:c r="E1577" t="str">
        <x:v>Expert</x:v>
      </x:c>
      <x:c r="F1577" t="str">
        <x:v>Kaizo</x:v>
      </x:c>
      <x:c r="G1577" t="n">
        <x:v>44643</x:v>
      </x:c>
      <x:c r="H1577" t="str">
        <x:v>30144</x:v>
      </x:c>
      <x:c r="I1577" t="str">
        <x:v>https://www.smwcentral.net/?a=details&amp;id=30144&amp;p=section</x:v>
      </x:c>
      <x:c r="J1577" t="str">
        <x:v>https://dl.smwcentral.net/30144/Sif%20World.zip</x:v>
      </x:c>
    </x:row>
    <x:row r="1578">
      <x:c r="A1578" t="str">
        <x:v>Signals</x:v>
      </x:c>
      <x:c r="B1578" t="str">
        <x:v>Signals</x:v>
      </x:c>
      <x:c r="C1578" t="str">
        <x:v>LightAligns, Saela</x:v>
      </x:c>
      <x:c r="D1578" t="n">
        <x:v>6</x:v>
      </x:c>
      <x:c r="E1578" t="str">
        <x:v>Expert</x:v>
      </x:c>
      <x:c r="F1578" t="str">
        <x:v>Kaizo</x:v>
      </x:c>
      <x:c r="G1578" t="n">
        <x:v>45597</x:v>
      </x:c>
      <x:c r="H1578" t="str">
        <x:v>38720</x:v>
      </x:c>
      <x:c r="I1578" t="str">
        <x:v>https://www.smwcentral.net/?a=details&amp;id=38720&amp;p=section</x:v>
      </x:c>
      <x:c r="J1578" t="str">
        <x:v>https://dl.smwcentral.net/38720/Signals.zip</x:v>
      </x:c>
    </x:row>
    <x:row r="1579">
      <x:c r="A1579" t="str">
        <x:v>Silencio</x:v>
      </x:c>
      <x:c r="B1579" t="str">
        <x:v>Silencio</x:v>
      </x:c>
      <x:c r="C1579" t="str">
        <x:v>Saela</x:v>
      </x:c>
      <x:c r="D1579" t="n">
        <x:v>20</x:v>
      </x:c>
      <x:c r="E1579" t="str">
        <x:v>Expert</x:v>
      </x:c>
      <x:c r="F1579" t="str">
        <x:v>Kaizo</x:v>
      </x:c>
      <x:c r="G1579" t="n">
        <x:v>44354</x:v>
      </x:c>
      <x:c r="H1579" t="str">
        <x:v>27199</x:v>
      </x:c>
      <x:c r="I1579" t="str">
        <x:v>https://www.smwcentral.net/?a=details&amp;id=27199&amp;p=section</x:v>
      </x:c>
      <x:c r="J1579" t="str">
        <x:v>https://dl.smwcentral.net/27199/Silencio1.1.zip</x:v>
      </x:c>
    </x:row>
    <x:row r="1580">
      <x:c r="A1580" t="str">
        <x:v>Silver level pack</x:v>
      </x:c>
      <x:c r="B1580" t="str">
        <x:v>Silver level pack</x:v>
      </x:c>
      <x:c r="C1580" t="str">
        <x:v>Silver Wind</x:v>
      </x:c>
      <x:c r="D1580" t="n">
        <x:v>7</x:v>
      </x:c>
      <x:c r="E1580" t="str">
        <x:v>Casual</x:v>
      </x:c>
      <x:c r="F1580" t="str">
        <x:v>Standard</x:v>
      </x:c>
      <x:c r="G1580" t="n">
        <x:v>44782</x:v>
      </x:c>
      <x:c r="H1580" t="str">
        <x:v>31747</x:v>
      </x:c>
      <x:c r="I1580" t="str">
        <x:v>https://www.smwcentral.net/?a=details&amp;id=31747&amp;p=section</x:v>
      </x:c>
      <x:c r="J1580" t="str">
        <x:v>https://dl.smwcentral.net/31747/Silver%20level%20pack.zip</x:v>
      </x:c>
    </x:row>
    <x:row r="1581">
      <x:c r="A1581" t="str">
        <x:v>Simpatico</x:v>
      </x:c>
      <x:c r="B1581" t="str">
        <x:v>Simpatico</x:v>
      </x:c>
      <x:c r="C1581" t="str">
        <x:v>BigRedBoy, realbchin</x:v>
      </x:c>
      <x:c r="D1581" t="n">
        <x:v>26</x:v>
      </x:c>
      <x:c r="E1581" t="str">
        <x:v>Master</x:v>
      </x:c>
      <x:c r="F1581" t="str">
        <x:v>Kaizo</x:v>
      </x:c>
      <x:c r="G1581" t="n">
        <x:v>45613</x:v>
      </x:c>
      <x:c r="H1581" t="str">
        <x:v>38712</x:v>
      </x:c>
      <x:c r="I1581" t="str">
        <x:v>https://www.smwcentral.net/?a=details&amp;id=38712&amp;p=section</x:v>
      </x:c>
      <x:c r="J1581" t="str">
        <x:v>https://dl.smwcentral.net/38712/simpatico.zip</x:v>
      </x:c>
    </x:row>
    <x:row r="1582">
      <x:c r="A1582" t="str">
        <x:v>Simple Symphony</x:v>
      </x:c>
      <x:c r="B1582" t="str">
        <x:v>Simple Symphony</x:v>
      </x:c>
      <x:c r="C1582" t="str">
        <x:v>revolug</x:v>
      </x:c>
      <x:c r="D1582" t="n">
        <x:v>11</x:v>
      </x:c>
      <x:c r="E1582" t="str">
        <x:v>Master</x:v>
      </x:c>
      <x:c r="F1582" t="str">
        <x:v>Kaizo</x:v>
      </x:c>
      <x:c r="G1582" t="n">
        <x:v>45449</x:v>
      </x:c>
      <x:c r="H1582" t="str">
        <x:v>37886</x:v>
      </x:c>
      <x:c r="I1582" t="str">
        <x:v>https://www.smwcentral.net/?a=details&amp;id=37886&amp;p=section</x:v>
      </x:c>
      <x:c r="J1582" t="str">
        <x:v>https://dl.smwcentral.net/37886/Simple%20Symphony%201.2%20%281%29.zip</x:v>
      </x:c>
    </x:row>
    <x:row r="1583">
      <x:c r="A1583" t="str">
        <x:v>Simply Delicious</x:v>
      </x:c>
      <x:c r="B1583" t="str">
        <x:v>Simply Delicious</x:v>
      </x:c>
      <x:c r="C1583" t="str">
        <x:v>Sixcorby</x:v>
      </x:c>
      <x:c r="D1583" t="n">
        <x:v>11</x:v>
      </x:c>
      <x:c r="E1583" t="str">
        <x:v>Advanced</x:v>
      </x:c>
      <x:c r="F1583" t="str">
        <x:v>Standard</x:v>
      </x:c>
      <x:c r="G1583" t="n">
        <x:v>46072</x:v>
      </x:c>
      <x:c r="H1583" t="str">
        <x:v>41660</x:v>
      </x:c>
      <x:c r="I1583" t="str">
        <x:v>https://www.smwcentral.net/?a=details&amp;id=41660&amp;p=section</x:v>
      </x:c>
      <x:c r="J1583" t="str">
        <x:v>https://dl.smwcentral.net/41660/simplydelicious.zip</x:v>
      </x:c>
    </x:row>
    <x:row r="1584">
      <x:c r="A1584" t="str">
        <x:v>Simply Kaizo</x:v>
      </x:c>
      <x:c r="B1584" t="str">
        <x:v>Simply Kaizo</x:v>
      </x:c>
      <x:c r="C1584" t="str">
        <x:v>Pottsie</x:v>
      </x:c>
      <x:c r="D1584" t="n">
        <x:v>11</x:v>
      </x:c>
      <x:c r="E1584" t="str">
        <x:v>Intermediate</x:v>
      </x:c>
      <x:c r="F1584" t="str">
        <x:v>Kaizo</x:v>
      </x:c>
      <x:c r="G1584" t="n">
        <x:v>46215</x:v>
      </x:c>
      <x:c r="H1584" t="str">
        <x:v>42650</x:v>
      </x:c>
      <x:c r="I1584" t="str">
        <x:v>https://www.smwcentral.net/?a=details&amp;id=42650&amp;p=section</x:v>
      </x:c>
      <x:c r="J1584" t="str">
        <x:v>https://dl.smwcentral.net/42650/Simply%20Kaizo.zip</x:v>
      </x:c>
    </x:row>
    <x:row r="1585">
      <x:c r="A1585" t="str">
        <x:v>Simply Mario Shells 'n Bells</x:v>
      </x:c>
      <x:c r="B1585" t="str">
        <x:v>Simply Mario Shells 'n Bells</x:v>
      </x:c>
      <x:c r="C1585" t="str">
        <x:v>Picayune</x:v>
      </x:c>
      <x:c r="D1585" t="n">
        <x:v>1</x:v>
      </x:c>
      <x:c r="E1585" t="str">
        <x:v>Expert</x:v>
      </x:c>
      <x:c r="F1585" t="str">
        <x:v>Kaizo</x:v>
      </x:c>
      <x:c r="G1585" t="n">
        <x:v>44146</x:v>
      </x:c>
      <x:c r="H1585" t="str">
        <x:v>24919</x:v>
      </x:c>
      <x:c r="I1585" t="str">
        <x:v>https://www.smwcentral.net/?a=details&amp;id=24919&amp;p=section</x:v>
      </x:c>
      <x:c r="J1585" t="str">
        <x:v>https://dl.smwcentral.net/24919/Simply%20Mario%20Shells%20%27n%20Bells%20Demo%20V1.1.zip</x:v>
      </x:c>
    </x:row>
    <x:row r="1586">
      <x:c r="A1586" t="str">
        <x:v>Single Level Collaboration</x:v>
      </x:c>
      <x:c r="B1586" t="str">
        <x:v>Single Level Collaboration</x:v>
      </x:c>
      <x:c r="C1586" t="str">
        <x:v>Various Authors</x:v>
      </x:c>
      <x:c r="D1586" t="n">
        <x:v>0</x:v>
      </x:c>
      <x:c r="E1586" t="str">
        <x:v>Intermediate</x:v>
      </x:c>
      <x:c r="F1586" t="str">
        <x:v>Standard</x:v>
      </x:c>
      <x:c r="G1586" t="n">
        <x:v>45146</x:v>
      </x:c>
      <x:c r="H1586" t="str">
        <x:v>34478</x:v>
      </x:c>
      <x:c r="I1586" t="str">
        <x:v>https://www.smwcentral.net/?a=details&amp;id=34478&amp;p=section</x:v>
      </x:c>
      <x:c r="J1586" t="str">
        <x:v>https://dl.smwcentral.net/34478/singlelevelcollab.zip</x:v>
      </x:c>
    </x:row>
    <x:row r="1587">
      <x:c r="A1587" t="str">
        <x:v>Sio's Dino Mayhem</x:v>
      </x:c>
      <x:c r="B1587" t="str">
        <x:v>Sio's Dino Mayhem</x:v>
      </x:c>
      <x:c r="C1587" t="str">
        <x:v>Super_Mike</x:v>
      </x:c>
      <x:c r="D1587" t="n">
        <x:v>1</x:v>
      </x:c>
      <x:c r="E1587" t="str">
        <x:v>Expert</x:v>
      </x:c>
      <x:c r="F1587" t="str">
        <x:v>Kaizo</x:v>
      </x:c>
      <x:c r="G1587" t="n">
        <x:v>44474</x:v>
      </x:c>
      <x:c r="H1587" t="str">
        <x:v>28512</x:v>
      </x:c>
      <x:c r="I1587" t="str">
        <x:v>https://www.smwcentral.net/?a=details&amp;id=28512&amp;p=section</x:v>
      </x:c>
      <x:c r="J1587" t="str">
        <x:v>https://dl.smwcentral.net/28512/Sio%27s%20Dino%20Mayhem.zip</x:v>
      </x:c>
    </x:row>
    <x:row r="1588">
      <x:c r="A1588" t="str">
        <x:v>SIW Cruel or Cruel Edition</x:v>
      </x:c>
      <x:c r="B1588" t="str">
        <x:v>SIW Cruel or Cruel Edition</x:v>
      </x:c>
      <x:c r="C1588" t="str">
        <x:v>51690</x:v>
      </x:c>
      <x:c r="D1588" t="n">
        <x:v>9</x:v>
      </x:c>
      <x:c r="E1588" t="str">
        <x:v>Intermediate</x:v>
      </x:c>
      <x:c r="F1588" t="str">
        <x:v>Kaizo, Tool-Assisted</x:v>
      </x:c>
      <x:c r="G1588" t="n">
        <x:v>44854</x:v>
      </x:c>
      <x:c r="H1588" t="str">
        <x:v>32079</x:v>
      </x:c>
      <x:c r="I1588" t="str">
        <x:v>https://www.smwcentral.net/?a=details&amp;id=32079&amp;p=section</x:v>
      </x:c>
      <x:c r="J1588" t="str">
        <x:v>https://dl.smwcentral.net/32079/siw%20c%20%26%20c.zip</x:v>
      </x:c>
    </x:row>
    <x:row r="1589">
      <x:c r="A1589" t="str">
        <x:v>Six Pack: VLDC Compilation</x:v>
      </x:c>
      <x:c r="B1589" t="str">
        <x:v>Six Pack: VLDC Compilation</x:v>
      </x:c>
      <x:c r="C1589" t="str">
        <x:v>Ragey, SMW Central</x:v>
      </x:c>
      <x:c r="D1589" t="n">
        <x:v>622</x:v>
      </x:c>
      <x:c r="E1589" t="str">
        <x:v>Advanced</x:v>
      </x:c>
      <x:c r="F1589" t="str">
        <x:v>Standard</x:v>
      </x:c>
      <x:c r="G1589" t="n">
        <x:v>45328</x:v>
      </x:c>
      <x:c r="H1589" t="str">
        <x:v>35347</x:v>
      </x:c>
      <x:c r="I1589" t="str">
        <x:v>https://www.smwcentral.net/?a=details&amp;id=35347&amp;p=section</x:v>
      </x:c>
      <x:c r="J1589" t="str">
        <x:v>https://dl.smwcentral.net/35347/Six%20Pack.zip</x:v>
      </x:c>
    </x:row>
    <x:row r="1590">
      <x:c r="A1590" t="str">
        <x:v>Sixth Grade Kaizo</x:v>
      </x:c>
      <x:c r="B1590" t="str">
        <x:v>Sixth Grade Kaizo</x:v>
      </x:c>
      <x:c r="C1590" t="str">
        <x:v>drspork</x:v>
      </x:c>
      <x:c r="D1590" t="n">
        <x:v>9</x:v>
      </x:c>
      <x:c r="E1590" t="str">
        <x:v>Advanced</x:v>
      </x:c>
      <x:c r="F1590" t="str">
        <x:v>Kaizo</x:v>
      </x:c>
      <x:c r="G1590" t="n">
        <x:v>45353</x:v>
      </x:c>
      <x:c r="H1590" t="str">
        <x:v>37314</x:v>
      </x:c>
      <x:c r="I1590" t="str">
        <x:v>https://www.smwcentral.net/?a=details&amp;id=37314&amp;p=section</x:v>
      </x:c>
      <x:c r="J1590" t="str">
        <x:v>https://dl.smwcentral.net/37314/Sixth%20Grade%20Kaizo.zip</x:v>
      </x:c>
    </x:row>
    <x:row r="1591">
      <x:c r="A1591" t="str">
        <x:v>Sleepy World</x:v>
      </x:c>
      <x:c r="B1591" t="str">
        <x:v>Sleepy World</x:v>
      </x:c>
      <x:c r="C1591" t="str">
        <x:v>Schlafkopf</x:v>
      </x:c>
      <x:c r="D1591" t="n">
        <x:v>15</x:v>
      </x:c>
      <x:c r="E1591" t="str">
        <x:v>Advanced</x:v>
      </x:c>
      <x:c r="F1591" t="str">
        <x:v>Kaizo</x:v>
      </x:c>
      <x:c r="G1591" t="n">
        <x:v>44511</x:v>
      </x:c>
      <x:c r="H1591" t="str">
        <x:v>28702</x:v>
      </x:c>
      <x:c r="I1591" t="str">
        <x:v>https://www.smwcentral.net/?a=details&amp;id=28702&amp;p=section</x:v>
      </x:c>
      <x:c r="J1591" t="str">
        <x:v>https://dl.smwcentral.net/28702/Sleepy%20World%201.2.zip</x:v>
      </x:c>
    </x:row>
    <x:row r="1592">
      <x:c r="A1592" t="str">
        <x:v>Slow and Slower</x:v>
      </x:c>
      <x:c r="B1592" t="str">
        <x:v>Slow and Slower</x:v>
      </x:c>
      <x:c r="C1592" t="str">
        <x:v>Captain_Hacko</x:v>
      </x:c>
      <x:c r="D1592" t="n">
        <x:v>6</x:v>
      </x:c>
      <x:c r="E1592" t="str">
        <x:v>Expert</x:v>
      </x:c>
      <x:c r="F1592" t="str">
        <x:v>Kaizo</x:v>
      </x:c>
      <x:c r="G1592" t="n">
        <x:v>45159</x:v>
      </x:c>
      <x:c r="H1592" t="str">
        <x:v>34912</x:v>
      </x:c>
      <x:c r="I1592" t="str">
        <x:v>https://www.smwcentral.net/?a=details&amp;id=34912&amp;p=section</x:v>
      </x:c>
      <x:c r="J1592" t="str">
        <x:v>https://dl.smwcentral.net/34912/Slow_and_Slower.zip</x:v>
      </x:c>
    </x:row>
    <x:row r="1593">
      <x:c r="A1593" t="str">
        <x:v>slurdgery</x:v>
      </x:c>
      <x:c r="B1593" t="str">
        <x:v>slurdgery</x:v>
      </x:c>
      <x:c r="C1593" t="str">
        <x:v>Sixcorby</x:v>
      </x:c>
      <x:c r="D1593" t="n">
        <x:v>9</x:v>
      </x:c>
      <x:c r="E1593" t="str">
        <x:v>Advanced</x:v>
      </x:c>
      <x:c r="F1593" t="str">
        <x:v>Standard</x:v>
      </x:c>
      <x:c r="G1593" t="n">
        <x:v>43835</x:v>
      </x:c>
      <x:c r="H1593" t="str">
        <x:v>21787</x:v>
      </x:c>
      <x:c r="I1593" t="str">
        <x:v>https://www.smwcentral.net/?a=details&amp;id=21787&amp;p=section</x:v>
      </x:c>
      <x:c r="J1593" t="str">
        <x:v>https://dl.smwcentral.net/21787/slurdgery.zip</x:v>
      </x:c>
    </x:row>
    <x:row r="1594">
      <x:c r="A1594" t="str">
        <x:v>Smithereens</x:v>
      </x:c>
      <x:c r="B1594" t="str">
        <x:v>Smithereens</x:v>
      </x:c>
      <x:c r="C1594" t="str">
        <x:v>Miscalc</x:v>
      </x:c>
      <x:c r="D1594" t="n">
        <x:v>13</x:v>
      </x:c>
      <x:c r="E1594" t="str">
        <x:v>Advanced</x:v>
      </x:c>
      <x:c r="F1594" t="str">
        <x:v>Kaizo</x:v>
      </x:c>
      <x:c r="G1594" t="n">
        <x:v>44445</x:v>
      </x:c>
      <x:c r="H1594" t="str">
        <x:v>28210</x:v>
      </x:c>
      <x:c r="I1594" t="str">
        <x:v>https://www.smwcentral.net/?a=details&amp;id=28210&amp;p=section</x:v>
      </x:c>
      <x:c r="J1594" t="str">
        <x:v>https://dl.smwcentral.net/28210/smithereens.zip</x:v>
      </x:c>
    </x:row>
    <x:row r="1595">
      <x:c r="A1595" t="str">
        <x:v>Smoked Fish and Cabbage</x:v>
      </x:c>
      <x:c r="B1595" t="str">
        <x:v>Smoked Fish and Cabbage</x:v>
      </x:c>
      <x:c r="C1595" t="str">
        <x:v>xMANGRAVYx</x:v>
      </x:c>
      <x:c r="D1595" t="n">
        <x:v>7</x:v>
      </x:c>
      <x:c r="E1595" t="str">
        <x:v>Intermediate</x:v>
      </x:c>
      <x:c r="F1595" t="str">
        <x:v>Standard, Kaizo</x:v>
      </x:c>
      <x:c r="G1595" t="n">
        <x:v>46212</x:v>
      </x:c>
      <x:c r="H1595" t="str">
        <x:v>42654</x:v>
      </x:c>
      <x:c r="I1595" t="str">
        <x:v>https://www.smwcentral.net/?a=details&amp;id=42654&amp;p=section</x:v>
      </x:c>
      <x:c r="J1595" t="str">
        <x:v>https://dl.smwcentral.net/42654/Smoked%20Fish%20and%20Cabbage%20v2.1.zip</x:v>
      </x:c>
    </x:row>
    <x:row r="1596">
      <x:c r="A1596" t="str">
        <x:v>Smoked Fish and Cabbage 2</x:v>
      </x:c>
      <x:c r="B1596" t="str">
        <x:v>Smoked Fish and Cabbage 2</x:v>
      </x:c>
      <x:c r="C1596" t="str">
        <x:v>xMANGRAVYx</x:v>
      </x:c>
      <x:c r="D1596" t="n">
        <x:v>28</x:v>
      </x:c>
      <x:c r="E1596" t="str">
        <x:v>Intermediate</x:v>
      </x:c>
      <x:c r="F1596" t="str">
        <x:v>Kaizo</x:v>
      </x:c>
      <x:c r="G1596" t="n">
        <x:v>46219</x:v>
      </x:c>
      <x:c r="H1596" t="str">
        <x:v>42687</x:v>
      </x:c>
      <x:c r="I1596" t="str">
        <x:v>https://www.smwcentral.net/?a=details&amp;id=42687&amp;p=section</x:v>
      </x:c>
      <x:c r="J1596" t="str">
        <x:v>https://dl.smwcentral.net/42687/Smoked%20Fish%20and%20Cabbage%202%20v1.1.zip</x:v>
      </x:c>
    </x:row>
    <x:row r="1597">
      <x:c r="A1597" t="str">
        <x:v>Smoked Fish and Cabbage 3</x:v>
      </x:c>
      <x:c r="B1597" t="str">
        <x:v>Smoked Fish and Cabbage 3</x:v>
      </x:c>
      <x:c r="C1597" t="str">
        <x:v>xMANGRAVYx</x:v>
      </x:c>
      <x:c r="D1597" t="n">
        <x:v>28</x:v>
      </x:c>
      <x:c r="E1597" t="str">
        <x:v>Advanced</x:v>
      </x:c>
      <x:c r="F1597" t="str">
        <x:v>Kaizo</x:v>
      </x:c>
      <x:c r="G1597" t="n">
        <x:v>45374</x:v>
      </x:c>
      <x:c r="H1597" t="str">
        <x:v>37442</x:v>
      </x:c>
      <x:c r="I1597" t="str">
        <x:v>https://www.smwcentral.net/?a=details&amp;id=37442&amp;p=section</x:v>
      </x:c>
      <x:c r="J1597" t="str">
        <x:v>https://dl.smwcentral.net/37442/Smoked%20Fish%20and%20Cabbage%203.zip</x:v>
      </x:c>
    </x:row>
    <x:row r="1598">
      <x:c r="A1598" t="str">
        <x:v>smol</x:v>
      </x:c>
      <x:c r="B1598" t="str">
        <x:v>smol</x:v>
      </x:c>
      <x:c r="C1598" t="str">
        <x:v>Blaagon</x:v>
      </x:c>
      <x:c r="D1598" t="n">
        <x:v>7</x:v>
      </x:c>
      <x:c r="E1598" t="str">
        <x:v>Expert</x:v>
      </x:c>
      <x:c r="F1598" t="str">
        <x:v>Kaizo</x:v>
      </x:c>
      <x:c r="G1598" t="n">
        <x:v>44585</x:v>
      </x:c>
      <x:c r="H1598" t="str">
        <x:v>29542</x:v>
      </x:c>
      <x:c r="I1598" t="str">
        <x:v>https://www.smwcentral.net/?a=details&amp;id=29542&amp;p=section</x:v>
      </x:c>
      <x:c r="J1598" t="str">
        <x:v>https://dl.smwcentral.net/29542/smol%201.1.zip</x:v>
      </x:c>
    </x:row>
    <x:row r="1599">
      <x:c r="A1599" t="str">
        <x:v>SMW 2012: Master Hand's Doomsday</x:v>
      </x:c>
      <x:c r="B1599" t="str">
        <x:v>SMW 2012: Master Hand's Doomsday</x:v>
      </x:c>
      <x:c r="C1599" t="str">
        <x:v>Roberto zampari</x:v>
      </x:c>
      <x:c r="D1599" t="n">
        <x:v>42</x:v>
      </x:c>
      <x:c r="E1599" t="str">
        <x:v>Casual</x:v>
      </x:c>
      <x:c r="F1599" t="str">
        <x:v>Standard</x:v>
      </x:c>
      <x:c r="G1599" t="n">
        <x:v>42213</x:v>
      </x:c>
      <x:c r="H1599" t="str">
        <x:v>10257</x:v>
      </x:c>
      <x:c r="I1599" t="str">
        <x:v>https://www.smwcentral.net/?a=details&amp;id=10257&amp;p=section</x:v>
      </x:c>
      <x:c r="J1599" t="str">
        <x:v>https://dl.smwcentral.net/10257/2012%20Final%202.0.zip</x:v>
      </x:c>
    </x:row>
    <x:row r="1600">
      <x:c r="A1600" t="str">
        <x:v>SMW Christmas special</x:v>
      </x:c>
      <x:c r="B1600" t="str">
        <x:v>SMW Christmas special</x:v>
      </x:c>
      <x:c r="C1600" t="str">
        <x:v>tfpivman</x:v>
      </x:c>
      <x:c r="D1600" t="n">
        <x:v>4</x:v>
      </x:c>
      <x:c r="E1600" t="str">
        <x:v>Newcomer</x:v>
      </x:c>
      <x:c r="F1600" t="str">
        <x:v>Standard</x:v>
      </x:c>
      <x:c r="G1600" t="n">
        <x:v>42279</x:v>
      </x:c>
      <x:c r="H1600" t="str">
        <x:v>10107</x:v>
      </x:c>
      <x:c r="I1600" t="str">
        <x:v>https://www.smwcentral.net/?a=details&amp;id=10107&amp;p=section</x:v>
      </x:c>
      <x:c r="J1600" t="str">
        <x:v>https://dl.smwcentral.net/10107/SMWCS.zip</x:v>
      </x:c>
    </x:row>
    <x:row r="1601">
      <x:c r="A1601" t="str">
        <x:v>SMW Coin Chaos</x:v>
      </x:c>
      <x:c r="B1601" t="str">
        <x:v>SMW Coin Chaos</x:v>
      </x:c>
      <x:c r="C1601" t="str">
        <x:v>JP32</x:v>
      </x:c>
      <x:c r="D1601" t="n">
        <x:v>15</x:v>
      </x:c>
      <x:c r="E1601" t="str">
        <x:v>Casual</x:v>
      </x:c>
      <x:c r="F1601" t="str">
        <x:v>Standard</x:v>
      </x:c>
      <x:c r="G1601" t="n">
        <x:v>44303</x:v>
      </x:c>
      <x:c r="H1601" t="str">
        <x:v>26494</x:v>
      </x:c>
      <x:c r="I1601" t="str">
        <x:v>https://www.smwcentral.net/?a=details&amp;id=26494&amp;p=section</x:v>
      </x:c>
      <x:c r="J1601" t="str">
        <x:v>https://dl.smwcentral.net/26494/SMW%20coin%20chaos%20v1.4.zip</x:v>
      </x:c>
    </x:row>
    <x:row r="1602">
      <x:c r="A1602" t="str">
        <x:v>SMW For Your Kids Only</x:v>
      </x:c>
      <x:c r="B1602" t="str">
        <x:v>SMW For Your Kids Only</x:v>
      </x:c>
      <x:c r="C1602" t="str">
        <x:v>Clouthhh</x:v>
      </x:c>
      <x:c r="D1602" t="n">
        <x:v>20</x:v>
      </x:c>
      <x:c r="E1602" t="str">
        <x:v>Newcomer</x:v>
      </x:c>
      <x:c r="F1602" t="str">
        <x:v>Standard</x:v>
      </x:c>
      <x:c r="G1602" t="n">
        <x:v>44907</x:v>
      </x:c>
      <x:c r="H1602" t="str">
        <x:v>32609</x:v>
      </x:c>
      <x:c r="I1602" t="str">
        <x:v>https://www.smwcentral.net/?a=details&amp;id=32609&amp;p=section</x:v>
      </x:c>
      <x:c r="J1602" t="str">
        <x:v>https://dl.smwcentral.net/32609/SMW_FOR_YOUR_KIDS_ONLY_v2.zip</x:v>
      </x:c>
    </x:row>
    <x:row r="1603">
      <x:c r="A1603" t="str">
        <x:v>SMW Friends and Rivalry</x:v>
      </x:c>
      <x:c r="B1603" t="str">
        <x:v>SMW Friends and Rivalry</x:v>
      </x:c>
      <x:c r="C1603" t="str">
        <x:v>bandicoot</x:v>
      </x:c>
      <x:c r="D1603" t="n">
        <x:v>118</x:v>
      </x:c>
      <x:c r="E1603" t="str">
        <x:v>Intermediate</x:v>
      </x:c>
      <x:c r="F1603" t="str">
        <x:v>Standard</x:v>
      </x:c>
      <x:c r="G1603" t="n">
        <x:v>46023</x:v>
      </x:c>
      <x:c r="H1603" t="str">
        <x:v>41305</x:v>
      </x:c>
      <x:c r="I1603" t="str">
        <x:v>https://www.smwcentral.net/?a=details&amp;id=41305&amp;p=section</x:v>
      </x:c>
      <x:c r="J1603" t="str">
        <x:v>https://dl.smwcentral.net/41305/SMW%20Friends%20and%20Rivalry%20v1.05b.zip</x:v>
      </x:c>
    </x:row>
    <x:row r="1604">
      <x:c r="A1604" t="str">
        <x:v>SMW L'autre bout de Yoshi island</x:v>
      </x:c>
      <x:c r="B1604" t="str">
        <x:v>SMW L'autre bout de Yoshi island</x:v>
      </x:c>
      <x:c r="C1604" t="str">
        <x:v>Ralshi02</x:v>
      </x:c>
      <x:c r="D1604" t="n">
        <x:v>14</x:v>
      </x:c>
      <x:c r="E1604" t="str">
        <x:v>Casual</x:v>
      </x:c>
      <x:c r="F1604" t="str">
        <x:v>Standard</x:v>
      </x:c>
      <x:c r="G1604" t="n">
        <x:v>43429</x:v>
      </x:c>
      <x:c r="H1604" t="str">
        <x:v>18528</x:v>
      </x:c>
      <x:c r="I1604" t="str">
        <x:v>https://www.smwcentral.net/?a=details&amp;id=18528&amp;p=section</x:v>
      </x:c>
      <x:c r="J1604" t="str">
        <x:v>https://dl.smwcentral.net/18528/DEMO2.zip</x:v>
      </x:c>
    </x:row>
    <x:row r="1605">
      <x:c r="A1605" t="str">
        <x:v>SMW La Nouvelle Vague</x:v>
      </x:c>
      <x:c r="B1605" t="str">
        <x:v>SMW La Nouvelle Vague</x:v>
      </x:c>
      <x:c r="C1605" t="str">
        <x:v>drake-68</x:v>
      </x:c>
      <x:c r="D1605" t="n">
        <x:v>12</x:v>
      </x:c>
      <x:c r="E1605" t="str">
        <x:v>Newcomer</x:v>
      </x:c>
      <x:c r="F1605" t="str">
        <x:v>Standard</x:v>
      </x:c>
      <x:c r="G1605" t="n">
        <x:v>41959</x:v>
      </x:c>
      <x:c r="H1605" t="str">
        <x:v>9440</x:v>
      </x:c>
      <x:c r="I1605" t="str">
        <x:v>https://www.smwcentral.net/?a=details&amp;id=9440&amp;p=section</x:v>
      </x:c>
      <x:c r="J1605" t="str">
        <x:v>https://dl.smwcentral.net/9440/SMW%20La%20Nouvelle%20Vague.zip</x:v>
      </x:c>
    </x:row>
    <x:row r="1606">
      <x:c r="A1606" t="str">
        <x:v>SMW Legends. The Stars Road</x:v>
      </x:c>
      <x:c r="B1606" t="str">
        <x:v>SMW Legends. The Stars Road</x:v>
      </x:c>
      <x:c r="C1606" t="str">
        <x:v>Mois3s Cota</x:v>
      </x:c>
      <x:c r="D1606" t="n">
        <x:v>21</x:v>
      </x:c>
      <x:c r="E1606" t="str">
        <x:v>Casual</x:v>
      </x:c>
      <x:c r="F1606" t="str">
        <x:v>Standard</x:v>
      </x:c>
      <x:c r="G1606" t="n">
        <x:v>42185</x:v>
      </x:c>
      <x:c r="H1606" t="str">
        <x:v>11604</x:v>
      </x:c>
      <x:c r="I1606" t="str">
        <x:v>https://www.smwcentral.net/?a=details&amp;id=11604&amp;p=section</x:v>
      </x:c>
      <x:c r="J1606" t="str">
        <x:v>https://dl.smwcentral.net/11604/SMW%20Legends%20%282nd%20Demo%20version%29.zip</x:v>
      </x:c>
    </x:row>
    <x:row r="1607">
      <x:c r="A1607" t="str">
        <x:v>SMW O Sumiço de Íris</x:v>
      </x:c>
      <x:c r="B1607" t="str">
        <x:v>SMW O Sumiço de Íris</x:v>
      </x:c>
      <x:c r="C1607" t="str">
        <x:v>Teaser</x:v>
      </x:c>
      <x:c r="D1607" t="n">
        <x:v>64</x:v>
      </x:c>
      <x:c r="E1607" t="str">
        <x:v>Intermediate</x:v>
      </x:c>
      <x:c r="F1607" t="str">
        <x:v>Standard</x:v>
      </x:c>
      <x:c r="G1607" t="n">
        <x:v>44775</x:v>
      </x:c>
      <x:c r="H1607" t="str">
        <x:v>31238</x:v>
      </x:c>
      <x:c r="I1607" t="str">
        <x:v>https://www.smwcentral.net/?a=details&amp;id=31238&amp;p=section</x:v>
      </x:c>
      <x:c r="J1607" t="str">
        <x:v>https://dl.smwcentral.net/31238/Super%20Mario%20o%20Sumi%C3%A7o%20de%20%C3%8Dris%20Demo%20ver%201.2.zip</x:v>
      </x:c>
    </x:row>
    <x:row r="1608">
      <x:c r="A1608" t="str">
        <x:v>SMW Piranha Island</x:v>
      </x:c>
      <x:c r="B1608" t="str">
        <x:v>SMW Piranha Island</x:v>
      </x:c>
      <x:c r="C1608" t="str">
        <x:v>PokerFace</x:v>
      </x:c>
      <x:c r="D1608" t="n">
        <x:v>20</x:v>
      </x:c>
      <x:c r="E1608" t="str">
        <x:v>Advanced</x:v>
      </x:c>
      <x:c r="F1608" t="str">
        <x:v>Standard</x:v>
      </x:c>
      <x:c r="G1608" t="n">
        <x:v>42195</x:v>
      </x:c>
      <x:c r="H1608" t="str">
        <x:v>11697</x:v>
      </x:c>
      <x:c r="I1608" t="str">
        <x:v>https://www.smwcentral.net/?a=details&amp;id=11697&amp;p=section</x:v>
      </x:c>
      <x:c r="J1608" t="str">
        <x:v>https://dl.smwcentral.net/11697/SMW%20Piranha%20island%201.1.zip</x:v>
      </x:c>
    </x:row>
    <x:row r="1609">
      <x:c r="A1609" t="str">
        <x:v>SMW Quest for Gaming</x:v>
      </x:c>
      <x:c r="B1609" t="str">
        <x:v>SMW Quest for Gaming</x:v>
      </x:c>
      <x:c r="C1609" t="str">
        <x:v>bandicoot</x:v>
      </x:c>
      <x:c r="D1609" t="n">
        <x:v>98</x:v>
      </x:c>
      <x:c r="E1609" t="str">
        <x:v>Intermediate</x:v>
      </x:c>
      <x:c r="F1609" t="str">
        <x:v>Standard</x:v>
      </x:c>
      <x:c r="G1609" t="n">
        <x:v>44606</x:v>
      </x:c>
      <x:c r="H1609" t="str">
        <x:v>29090</x:v>
      </x:c>
      <x:c r="I1609" t="str">
        <x:v>https://www.smwcentral.net/?a=details&amp;id=29090&amp;p=section</x:v>
      </x:c>
      <x:c r="J1609" t="str">
        <x:v>https://dl.smwcentral.net/29090/SMW%20Quest%20for%20Gaming.zip</x:v>
      </x:c>
    </x:row>
    <x:row r="1610">
      <x:c r="A1610" t="str">
        <x:v>SMW Remade from Memory</x:v>
      </x:c>
      <x:c r="B1610" t="str">
        <x:v>SMW Remade from Memory</x:v>
      </x:c>
      <x:c r="C1610" t="str">
        <x:v>Various Authors</x:v>
      </x:c>
      <x:c r="D1610" t="n">
        <x:v>96</x:v>
      </x:c>
      <x:c r="E1610" t="str">
        <x:v>Casual</x:v>
      </x:c>
      <x:c r="F1610" t="str">
        <x:v>Standard</x:v>
      </x:c>
      <x:c r="G1610" t="n">
        <x:v>44522</x:v>
      </x:c>
      <x:c r="H1610" t="str">
        <x:v>28851</x:v>
      </x:c>
      <x:c r="I1610" t="str">
        <x:v>https://www.smwcentral.net/?a=details&amp;id=28851&amp;p=section</x:v>
      </x:c>
      <x:c r="J1610" t="str">
        <x:v>https://dl.smwcentral.net/28851/SMW%20Remade%20from%20Memory.zip</x:v>
      </x:c>
    </x:row>
    <x:row r="1611">
      <x:c r="A1611" t="str">
        <x:v>SMW Returns</x:v>
      </x:c>
      <x:c r="B1611" t="str">
        <x:v>SMW Returns</x:v>
      </x:c>
      <x:c r="C1611" t="str">
        <x:v>KT.</x:v>
      </x:c>
      <x:c r="D1611" t="n">
        <x:v>55</x:v>
      </x:c>
      <x:c r="E1611" t="str">
        <x:v>Intermediate</x:v>
      </x:c>
      <x:c r="F1611" t="str">
        <x:v>Standard</x:v>
      </x:c>
      <x:c r="G1611" t="n">
        <x:v>42213</x:v>
      </x:c>
      <x:c r="H1611" t="str">
        <x:v>9686</x:v>
      </x:c>
      <x:c r="I1611" t="str">
        <x:v>https://www.smwcentral.net/?a=details&amp;id=9686&amp;p=section</x:v>
      </x:c>
      <x:c r="J1611" t="str">
        <x:v>https://dl.smwcentral.net/9686/SMWR.zip</x:v>
      </x:c>
    </x:row>
    <x:row r="1612">
      <x:c r="A1612" t="str">
        <x:v>SMW Returns 2</x:v>
      </x:c>
      <x:c r="B1612" t="str">
        <x:v>SMW Returns 2</x:v>
      </x:c>
      <x:c r="C1612" t="str">
        <x:v>KT.</x:v>
      </x:c>
      <x:c r="D1612" t="n">
        <x:v>73</x:v>
      </x:c>
      <x:c r="E1612" t="str">
        <x:v>Casual</x:v>
      </x:c>
      <x:c r="F1612" t="str">
        <x:v>Standard</x:v>
      </x:c>
      <x:c r="G1612" t="n">
        <x:v>41465</x:v>
      </x:c>
      <x:c r="H1612" t="str">
        <x:v>5004</x:v>
      </x:c>
      <x:c r="I1612" t="str">
        <x:v>https://www.smwcentral.net/?a=details&amp;id=5004&amp;p=section</x:v>
      </x:c>
      <x:c r="J1612" t="str">
        <x:v>https://dl.smwcentral.net/5004/SMWR2.zip</x:v>
      </x:c>
    </x:row>
    <x:row r="1613">
      <x:c r="A1613" t="str">
        <x:v>SMW Returns EX</x:v>
      </x:c>
      <x:c r="B1613" t="str">
        <x:v>SMW Returns EX</x:v>
      </x:c>
      <x:c r="C1613" t="str">
        <x:v>Gaia, KT.</x:v>
      </x:c>
      <x:c r="D1613" t="n">
        <x:v>48</x:v>
      </x:c>
      <x:c r="E1613" t="str">
        <x:v>Casual</x:v>
      </x:c>
      <x:c r="F1613" t="str">
        <x:v>Standard</x:v>
      </x:c>
      <x:c r="G1613" t="n">
        <x:v>42211</x:v>
      </x:c>
      <x:c r="H1613" t="str">
        <x:v>9683</x:v>
      </x:c>
      <x:c r="I1613" t="str">
        <x:v>https://www.smwcentral.net/?a=details&amp;id=9683&amp;p=section</x:v>
      </x:c>
      <x:c r="J1613" t="str">
        <x:v>https://dl.smwcentral.net/9683/SMWREX.zip</x:v>
      </x:c>
    </x:row>
    <x:row r="1614">
      <x:c r="A1614" t="str">
        <x:v>SMW Skill Challenge</x:v>
      </x:c>
      <x:c r="B1614" t="str">
        <x:v>SMW Skill Challenge</x:v>
      </x:c>
      <x:c r="C1614" t="str">
        <x:v>Magikey</x:v>
      </x:c>
      <x:c r="D1614" t="n">
        <x:v>12</x:v>
      </x:c>
      <x:c r="E1614" t="str">
        <x:v>Expert</x:v>
      </x:c>
      <x:c r="F1614" t="str">
        <x:v>Kaizo, Tool-Assisted</x:v>
      </x:c>
      <x:c r="G1614" t="n">
        <x:v>43567</x:v>
      </x:c>
      <x:c r="H1614" t="str">
        <x:v>19073</x:v>
      </x:c>
      <x:c r="I1614" t="str">
        <x:v>https://www.smwcentral.net/?a=details&amp;id=19073&amp;p=section</x:v>
      </x:c>
      <x:c r="J1614" t="str">
        <x:v>https://dl.smwcentral.net/19073/Skill%20Challenge.zip</x:v>
      </x:c>
    </x:row>
    <x:row r="1615">
      <x:c r="A1615" t="str">
        <x:v>SMW Skill Challenge 2</x:v>
      </x:c>
      <x:c r="B1615" t="str">
        <x:v>SMW Skill Challenge 2</x:v>
      </x:c>
      <x:c r="C1615" t="str">
        <x:v>Magikey</x:v>
      </x:c>
      <x:c r="D1615" t="n">
        <x:v>3</x:v>
      </x:c>
      <x:c r="E1615" t="str">
        <x:v>Expert</x:v>
      </x:c>
      <x:c r="F1615" t="str">
        <x:v>Kaizo, Tool-Assisted</x:v>
      </x:c>
      <x:c r="G1615" t="n">
        <x:v>43948</x:v>
      </x:c>
      <x:c r="H1615" t="str">
        <x:v>22627</x:v>
      </x:c>
      <x:c r="I1615" t="str">
        <x:v>https://www.smwcentral.net/?a=details&amp;id=22627&amp;p=section</x:v>
      </x:c>
      <x:c r="J1615" t="str">
        <x:v>https://dl.smwcentral.net/22627/skill2demo.zip</x:v>
      </x:c>
    </x:row>
    <x:row r="1616">
      <x:c r="A1616" t="str">
        <x:v>SMW Stardust Dragon 2011</x:v>
      </x:c>
      <x:c r="B1616" t="str">
        <x:v>SMW Stardust Dragon 2011</x:v>
      </x:c>
      <x:c r="C1616" t="str">
        <x:v>Roberto zampari</x:v>
      </x:c>
      <x:c r="D1616" t="n">
        <x:v>16</x:v>
      </x:c>
      <x:c r="E1616" t="str">
        <x:v>Intermediate</x:v>
      </x:c>
      <x:c r="F1616" t="str">
        <x:v>Standard</x:v>
      </x:c>
      <x:c r="G1616" t="n">
        <x:v>42283</x:v>
      </x:c>
      <x:c r="H1616" t="str">
        <x:v>10143</x:v>
      </x:c>
      <x:c r="I1616" t="str">
        <x:v>https://www.smwcentral.net/?a=details&amp;id=10143&amp;p=section</x:v>
      </x:c>
      <x:c r="J1616" t="str">
        <x:v>https://dl.smwcentral.net/10143/SMWStardust2011.2.zip</x:v>
      </x:c>
    </x:row>
    <x:row r="1617">
      <x:c r="A1617" t="str">
        <x:v>SMW The Crown Tale</x:v>
      </x:c>
      <x:c r="B1617" t="str">
        <x:v>SMW The Crown Tale</x:v>
      </x:c>
      <x:c r="C1617" t="str">
        <x:v>bandicoot</x:v>
      </x:c>
      <x:c r="D1617" t="n">
        <x:v>112</x:v>
      </x:c>
      <x:c r="E1617" t="str">
        <x:v>Intermediate</x:v>
      </x:c>
      <x:c r="F1617" t="str">
        <x:v>Standard</x:v>
      </x:c>
      <x:c r="G1617" t="n">
        <x:v>44464</x:v>
      </x:c>
      <x:c r="H1617" t="str">
        <x:v>28099</x:v>
      </x:c>
      <x:c r="I1617" t="str">
        <x:v>https://www.smwcentral.net/?a=details&amp;id=28099&amp;p=section</x:v>
      </x:c>
      <x:c r="J1617" t="str">
        <x:v>https://dl.smwcentral.net/28099/SMW%20The%20Crown%20Tale%20v1.3.zip</x:v>
      </x:c>
    </x:row>
    <x:row r="1618">
      <x:c r="A1618" t="str">
        <x:v>SMW The Lost Levels</x:v>
      </x:c>
      <x:c r="B1618" t="str">
        <x:v>SMW The Lost Levels</x:v>
      </x:c>
      <x:c r="C1618" t="str">
        <x:v>Jamanta</x:v>
      </x:c>
      <x:c r="D1618" t="n">
        <x:v>22</x:v>
      </x:c>
      <x:c r="E1618" t="str">
        <x:v>Casual</x:v>
      </x:c>
      <x:c r="F1618" t="str">
        <x:v>Standard</x:v>
      </x:c>
      <x:c r="G1618" t="n">
        <x:v>42311</x:v>
      </x:c>
      <x:c r="H1618" t="str">
        <x:v>10228</x:v>
      </x:c>
      <x:c r="I1618" t="str">
        <x:v>https://www.smwcentral.net/?a=details&amp;id=10228&amp;p=section</x:v>
      </x:c>
      <x:c r="J1618" t="str">
        <x:v>https://dl.smwcentral.net/10228/SMW%20The%20Lost%20Levels%20Demo%202.zip</x:v>
      </x:c>
    </x:row>
    <x:row r="1619">
      <x:c r="A1619" t="str">
        <x:v>SMW The Princess Rescue</x:v>
      </x:c>
      <x:c r="B1619" t="str">
        <x:v>SMW The Princess Rescue</x:v>
      </x:c>
      <x:c r="C1619" t="str">
        <x:v>bandicoot</x:v>
      </x:c>
      <x:c r="D1619" t="n">
        <x:v>116</x:v>
      </x:c>
      <x:c r="E1619" t="str">
        <x:v>Intermediate</x:v>
      </x:c>
      <x:c r="F1619" t="str">
        <x:v>Standard</x:v>
      </x:c>
      <x:c r="G1619" t="n">
        <x:v>44752</x:v>
      </x:c>
      <x:c r="H1619" t="str">
        <x:v>31172</x:v>
      </x:c>
      <x:c r="I1619" t="str">
        <x:v>https://www.smwcentral.net/?a=details&amp;id=31172&amp;p=section</x:v>
      </x:c>
      <x:c r="J1619" t="str">
        <x:v>https://dl.smwcentral.net/31172/SMW%20The%20Princess%20Rescue%202022%20update.zip</x:v>
      </x:c>
    </x:row>
    <x:row r="1620">
      <x:c r="A1620" t="str">
        <x:v>SMW The Princess Rescue 2 - Luigi's Journey!</x:v>
      </x:c>
      <x:c r="B1620" t="str">
        <x:v>SMW The Princess Rescue 2 - Luigi's Journey!</x:v>
      </x:c>
      <x:c r="C1620" t="str">
        <x:v>bandicoot</x:v>
      </x:c>
      <x:c r="D1620" t="n">
        <x:v>116</x:v>
      </x:c>
      <x:c r="E1620" t="str">
        <x:v>Intermediate</x:v>
      </x:c>
      <x:c r="F1620" t="str">
        <x:v>Standard</x:v>
      </x:c>
      <x:c r="G1620" t="n">
        <x:v>44777</x:v>
      </x:c>
      <x:c r="H1620" t="str">
        <x:v>31145</x:v>
      </x:c>
      <x:c r="I1620" t="str">
        <x:v>https://www.smwcentral.net/?a=details&amp;id=31145&amp;p=section</x:v>
      </x:c>
      <x:c r="J1620" t="str">
        <x:v>https://dl.smwcentral.net/31145/SMW%20The%20Princess%20Rescue%202.zip</x:v>
      </x:c>
    </x:row>
    <x:row r="1621">
      <x:c r="A1621" t="str">
        <x:v>SMW The Princess Rescue 3 - The Turnabout</x:v>
      </x:c>
      <x:c r="B1621" t="str">
        <x:v>SMW The Princess Rescue 3 - The Turnabout</x:v>
      </x:c>
      <x:c r="C1621" t="str">
        <x:v>bandicoot</x:v>
      </x:c>
      <x:c r="D1621" t="n">
        <x:v>120</x:v>
      </x:c>
      <x:c r="E1621" t="str">
        <x:v>Intermediate</x:v>
      </x:c>
      <x:c r="F1621" t="str">
        <x:v>Standard</x:v>
      </x:c>
      <x:c r="G1621" t="n">
        <x:v>45267</x:v>
      </x:c>
      <x:c r="H1621" t="str">
        <x:v>35294</x:v>
      </x:c>
      <x:c r="I1621" t="str">
        <x:v>https://www.smwcentral.net/?a=details&amp;id=35294&amp;p=section</x:v>
      </x:c>
      <x:c r="J1621" t="str">
        <x:v>https://dl.smwcentral.net/35294/SMWTPR3%20v1.20.zip</x:v>
      </x:c>
    </x:row>
    <x:row r="1622">
      <x:c r="A1622" t="str">
        <x:v>SMW The Untold Story</x:v>
      </x:c>
      <x:c r="B1622" t="str">
        <x:v>SMW The Untold Story</x:v>
      </x:c>
      <x:c r="C1622" t="str">
        <x:v>Capt'n Caramel</x:v>
      </x:c>
      <x:c r="D1622" t="n">
        <x:v>11</x:v>
      </x:c>
      <x:c r="E1622" t="str">
        <x:v>Intermediate</x:v>
      </x:c>
      <x:c r="F1622" t="str">
        <x:v>Standard</x:v>
      </x:c>
      <x:c r="G1622" t="n">
        <x:v>43959</x:v>
      </x:c>
      <x:c r="H1622" t="str">
        <x:v>22919</x:v>
      </x:c>
      <x:c r="I1622" t="str">
        <x:v>https://www.smwcentral.net/?a=details&amp;id=22919&amp;p=section</x:v>
      </x:c>
      <x:c r="J1622" t="str">
        <x:v>https://dl.smwcentral.net/22919/TUS%20DEMO%20V0.2.zip</x:v>
      </x:c>
    </x:row>
    <x:row r="1623">
      <x:c r="A1623" t="str">
        <x:v>SMW Translations</x:v>
      </x:c>
      <x:c r="B1623" t="str">
        <x:v>SMW Translations</x:v>
      </x:c>
      <x:c r="C1623" t="str">
        <x:v>Various</x:v>
      </x:c>
      <x:c r="D1623" t="n">
        <x:v>96</x:v>
      </x:c>
      <x:c r="E1623" t="str">
        <x:v>Casual</x:v>
      </x:c>
      <x:c r="F1623" t="str">
        <x:v>Standard</x:v>
      </x:c>
      <x:c r="G1623" t="n">
        <x:v>42902</x:v>
      </x:c>
      <x:c r="H1623" t="str">
        <x:v>15677</x:v>
      </x:c>
      <x:c r="I1623" t="str">
        <x:v>https://www.smwcentral.net/?a=details&amp;id=15677&amp;p=section</x:v>
      </x:c>
      <x:c r="J1623" t="str">
        <x:v>https://dl.smwcentral.net/15677/Translations.zip</x:v>
      </x:c>
    </x:row>
    <x:row r="1624">
      <x:c r="A1624" t="str">
        <x:v>Smw Uma Aventura Chaotica (Chaotic Adventure)</x:v>
      </x:c>
      <x:c r="B1624" t="str">
        <x:v>Smw Uma Aventura Chaotica (Chaotic Adventure)</x:v>
      </x:c>
      <x:c r="C1624" t="str">
        <x:v>Tiozinho</x:v>
      </x:c>
      <x:c r="D1624" t="n">
        <x:v>92</x:v>
      </x:c>
      <x:c r="E1624" t="str">
        <x:v>Casual</x:v>
      </x:c>
      <x:c r="F1624" t="str">
        <x:v>Standard</x:v>
      </x:c>
      <x:c r="G1624" t="n">
        <x:v>44864</x:v>
      </x:c>
      <x:c r="H1624" t="str">
        <x:v>32461</x:v>
      </x:c>
      <x:c r="I1624" t="str">
        <x:v>https://www.smwcentral.net/?a=details&amp;id=32461&amp;p=section</x:v>
      </x:c>
      <x:c r="J1624" t="str">
        <x:v>https://dl.smwcentral.net/32461/Chaotic%20Adventure%201.1.zip</x:v>
      </x:c>
    </x:row>
    <x:row r="1625">
      <x:c r="A1625" t="str">
        <x:v>SMW with Levels from NSMB</x:v>
      </x:c>
      <x:c r="B1625" t="str">
        <x:v>SMW with Levels from NSMB</x:v>
      </x:c>
      <x:c r="C1625" t="str">
        <x:v>Foxy_9000_</x:v>
      </x:c>
      <x:c r="D1625" t="n">
        <x:v>96</x:v>
      </x:c>
      <x:c r="E1625" t="str">
        <x:v>Casual</x:v>
      </x:c>
      <x:c r="F1625" t="str">
        <x:v>Standard</x:v>
      </x:c>
      <x:c r="G1625" t="n">
        <x:v>44871</x:v>
      </x:c>
      <x:c r="H1625" t="str">
        <x:v>32487</x:v>
      </x:c>
      <x:c r="I1625" t="str">
        <x:v>https://www.smwcentral.net/?a=details&amp;id=32487&amp;p=section</x:v>
      </x:c>
      <x:c r="J1625" t="str">
        <x:v>https://dl.smwcentral.net/32487/SMW%20with%20Levels%20from%20NSMB.zip</x:v>
      </x:c>
    </x:row>
    <x:row r="1626">
      <x:c r="A1626" t="str">
        <x:v>SMW with Levels from SMB 3</x:v>
      </x:c>
      <x:c r="B1626" t="str">
        <x:v>SMW with Levels from SMB 3</x:v>
      </x:c>
      <x:c r="C1626" t="str">
        <x:v>Foxy_9000_</x:v>
      </x:c>
      <x:c r="D1626" t="n">
        <x:v>76</x:v>
      </x:c>
      <x:c r="E1626" t="str">
        <x:v>Newcomer</x:v>
      </x:c>
      <x:c r="F1626" t="str">
        <x:v>Standard</x:v>
      </x:c>
      <x:c r="G1626" t="n">
        <x:v>45061</x:v>
      </x:c>
      <x:c r="H1626" t="str">
        <x:v>33649</x:v>
      </x:c>
      <x:c r="I1626" t="str">
        <x:v>https://www.smwcentral.net/?a=details&amp;id=33649&amp;p=section</x:v>
      </x:c>
      <x:c r="J1626" t="str">
        <x:v>https://dl.smwcentral.net/33649/SMW%20with%20Levels%20from%20SMB%203.zip</x:v>
      </x:c>
    </x:row>
    <x:row r="1627">
      <x:c r="A1627" t="str">
        <x:v>SMW with Levels from Super Boy 3</x:v>
      </x:c>
      <x:c r="B1627" t="str">
        <x:v>SMW with Levels from Super Boy 3</x:v>
      </x:c>
      <x:c r="C1627" t="str">
        <x:v>LilacTubaGaming</x:v>
      </x:c>
      <x:c r="D1627" t="n">
        <x:v>19</x:v>
      </x:c>
      <x:c r="E1627" t="str">
        <x:v>Casual</x:v>
      </x:c>
      <x:c r="F1627" t="str">
        <x:v>Standard</x:v>
      </x:c>
      <x:c r="G1627" t="n">
        <x:v>44880</x:v>
      </x:c>
      <x:c r="H1627" t="str">
        <x:v>32335</x:v>
      </x:c>
      <x:c r="I1627" t="str">
        <x:v>https://www.smwcentral.net/?a=details&amp;id=32335&amp;p=section</x:v>
      </x:c>
      <x:c r="J1627" t="str">
        <x:v>https://dl.smwcentral.net/32335/SMW%20with%20Levels%20from%20Super%20Boy%203.zip</x:v>
      </x:c>
    </x:row>
    <x:row r="1628">
      <x:c r="A1628" t="str">
        <x:v>SMW-R</x:v>
      </x:c>
      <x:c r="B1628" t="str">
        <x:v>SMW-R</x:v>
      </x:c>
      <x:c r="C1628" t="str">
        <x:v>UltiMario</x:v>
      </x:c>
      <x:c r="D1628" t="n">
        <x:v>5</x:v>
      </x:c>
      <x:c r="E1628" t="str">
        <x:v>Intermediate</x:v>
      </x:c>
      <x:c r="F1628" t="str">
        <x:v>Standard</x:v>
      </x:c>
      <x:c r="G1628" t="n">
        <x:v>43219</x:v>
      </x:c>
      <x:c r="H1628" t="str">
        <x:v>17462</x:v>
      </x:c>
      <x:c r="I1628" t="str">
        <x:v>https://www.smwcentral.net/?a=details&amp;id=17462&amp;p=section</x:v>
      </x:c>
      <x:c r="J1628" t="str">
        <x:v>https://dl.smwcentral.net/17462/SMW-R.zip</x:v>
      </x:c>
    </x:row>
    <x:row r="1629">
      <x:c r="A1629" t="str">
        <x:v>Smw2 the unknown threats F.I.X.E.D</x:v>
      </x:c>
      <x:c r="B1629" t="str">
        <x:v>Smw2 the unknown threats F.I.X.E.D</x:v>
      </x:c>
      <x:c r="C1629" t="str">
        <x:v>Dman</x:v>
      </x:c>
      <x:c r="D1629" t="n">
        <x:v>5</x:v>
      </x:c>
      <x:c r="E1629" t="str">
        <x:v>Newcomer</x:v>
      </x:c>
      <x:c r="F1629" t="str">
        <x:v>Standard</x:v>
      </x:c>
      <x:c r="G1629" t="n">
        <x:v>42298</x:v>
      </x:c>
      <x:c r="H1629" t="str">
        <x:v>10234</x:v>
      </x:c>
      <x:c r="I1629" t="str">
        <x:v>https://www.smwcentral.net/?a=details&amp;id=10234&amp;p=section</x:v>
      </x:c>
      <x:c r="J1629" t="str">
        <x:v>https://dl.smwcentral.net/10234/Smw2%20The%20unkown%20threats%20F.I.X.E.D.zip</x:v>
      </x:c>
    </x:row>
    <x:row r="1630">
      <x:c r="A1630" t="str">
        <x:v>SMW2+3: The Essence Star</x:v>
      </x:c>
      <x:c r="B1630" t="str">
        <x:v>SMW2+3: The Essence Star</x:v>
      </x:c>
      <x:c r="C1630" t="str">
        <x:v>Golden Yoshi</x:v>
      </x:c>
      <x:c r="D1630" t="n">
        <x:v>45</x:v>
      </x:c>
      <x:c r="E1630" t="str">
        <x:v>Casual</x:v>
      </x:c>
      <x:c r="F1630" t="str">
        <x:v>Standard</x:v>
      </x:c>
      <x:c r="G1630" t="n">
        <x:v>44190</x:v>
      </x:c>
      <x:c r="H1630" t="str">
        <x:v>25235</x:v>
      </x:c>
      <x:c r="I1630" t="str">
        <x:v>https://www.smwcentral.net/?a=details&amp;id=25235&amp;p=section</x:v>
      </x:c>
      <x:c r="J1630" t="str">
        <x:v>https://dl.smwcentral.net/25235/SMW2%2B3-TheEssenceStar.zip</x:v>
      </x:c>
    </x:row>
    <x:row r="1631">
      <x:c r="A1631" t="str">
        <x:v>SMW: Gaiden</x:v>
      </x:c>
      <x:c r="B1631" t="str">
        <x:v>SMW: Gaiden</x:v>
      </x:c>
      <x:c r="C1631" t="str">
        <x:v>Adam, Truxton, lolyoshi, rextep</x:v>
      </x:c>
      <x:c r="D1631" t="n">
        <x:v>124</x:v>
      </x:c>
      <x:c r="E1631" t="str">
        <x:v>Expert</x:v>
      </x:c>
      <x:c r="F1631" t="str">
        <x:v>Standard</x:v>
      </x:c>
      <x:c r="G1631" t="n">
        <x:v>44300</x:v>
      </x:c>
      <x:c r="H1631" t="str">
        <x:v>26307</x:v>
      </x:c>
      <x:c r="I1631" t="str">
        <x:v>https://www.smwcentral.net/?a=details&amp;id=26307&amp;p=section</x:v>
      </x:c>
      <x:c r="J1631" t="str">
        <x:v>https://dl.smwcentral.net/26307/GAIDEN_v1.13.zip</x:v>
      </x:c>
    </x:row>
    <x:row r="1632">
      <x:c r="A1632" t="str">
        <x:v>SMW: Luigi's Mystic Saga</x:v>
      </x:c>
      <x:c r="B1632" t="str">
        <x:v>SMW: Luigi's Mystic Saga</x:v>
      </x:c>
      <x:c r="C1632" t="str">
        <x:v>Tiozinho</x:v>
      </x:c>
      <x:c r="D1632" t="n">
        <x:v>31</x:v>
      </x:c>
      <x:c r="E1632" t="str">
        <x:v>Intermediate</x:v>
      </x:c>
      <x:c r="F1632" t="str">
        <x:v>Standard</x:v>
      </x:c>
      <x:c r="G1632" t="n">
        <x:v>46032</x:v>
      </x:c>
      <x:c r="H1632" t="str">
        <x:v>41378</x:v>
      </x:c>
      <x:c r="I1632" t="str">
        <x:v>https://www.smwcentral.net/?a=details&amp;id=41378&amp;p=section</x:v>
      </x:c>
      <x:c r="J1632" t="str">
        <x:v>https://dl.smwcentral.net/41378/Luigi%27s%20Mystic%20Saga.zip</x:v>
      </x:c>
    </x:row>
    <x:row r="1633">
      <x:c r="A1633" t="str">
        <x:v>SMW: Remix</x:v>
      </x:c>
      <x:c r="B1633" t="str">
        <x:v>SMW: Remix</x:v>
      </x:c>
      <x:c r="C1633" t="str">
        <x:v>Lexi</x:v>
      </x:c>
      <x:c r="D1633" t="n">
        <x:v>17</x:v>
      </x:c>
      <x:c r="E1633" t="str">
        <x:v>Newcomer</x:v>
      </x:c>
      <x:c r="F1633" t="str">
        <x:v>Standard</x:v>
      </x:c>
      <x:c r="G1633" t="n">
        <x:v>42294</x:v>
      </x:c>
      <x:c r="H1633" t="str">
        <x:v>10118</x:v>
      </x:c>
      <x:c r="I1633" t="str">
        <x:v>https://www.smwcentral.net/?a=details&amp;id=10118&amp;p=section</x:v>
      </x:c>
      <x:c r="J1633" t="str">
        <x:v>https://dl.smwcentral.net/10118/SMWRemixD1.1.zip</x:v>
      </x:c>
    </x:row>
    <x:row r="1634">
      <x:c r="A1634" t="str">
        <x:v>SMW: The Creator</x:v>
      </x:c>
      <x:c r="B1634" t="str">
        <x:v>SMW: The Creator</x:v>
      </x:c>
      <x:c r="C1634" t="str">
        <x:v>Diego</x:v>
      </x:c>
      <x:c r="D1634" t="n">
        <x:v>40</x:v>
      </x:c>
      <x:c r="E1634" t="str">
        <x:v>Newcomer</x:v>
      </x:c>
      <x:c r="F1634" t="str">
        <x:v>Standard</x:v>
      </x:c>
      <x:c r="G1634" t="n">
        <x:v>41870</x:v>
      </x:c>
      <x:c r="H1634" t="str">
        <x:v>8843</x:v>
      </x:c>
      <x:c r="I1634" t="str">
        <x:v>https://www.smwcentral.net/?a=details&amp;id=8843&amp;p=section</x:v>
      </x:c>
      <x:c r="J1634" t="str">
        <x:v>https://dl.smwcentral.net/8843/The%20Creator%20%5Bv1.1%5D.zip</x:v>
      </x:c>
    </x:row>
    <x:row r="1635">
      <x:c r="A1635" t="str">
        <x:v>SMW: Yoshi's Super Adventure</x:v>
      </x:c>
      <x:c r="B1635" t="str">
        <x:v>SMW: Yoshi's Super Adventure</x:v>
      </x:c>
      <x:c r="C1635" t="str">
        <x:v>aroohwahoou</x:v>
      </x:c>
      <x:c r="D1635" t="n">
        <x:v>44</x:v>
      </x:c>
      <x:c r="E1635" t="str">
        <x:v>Casual</x:v>
      </x:c>
      <x:c r="F1635" t="str">
        <x:v>Standard</x:v>
      </x:c>
      <x:c r="G1635" t="n">
        <x:v>45684</x:v>
      </x:c>
      <x:c r="H1635" t="str">
        <x:v>39103</x:v>
      </x:c>
      <x:c r="I1635" t="str">
        <x:v>https://www.smwcentral.net/?a=details&amp;id=39103&amp;p=section</x:v>
      </x:c>
      <x:c r="J1635" t="str">
        <x:v>https://dl.smwcentral.net/39103/SMW%20Yoshis%20Super%20Adventure%20v1.0.1.zip</x:v>
      </x:c>
    </x:row>
    <x:row r="1636">
      <x:c r="A1636" t="str">
        <x:v>SMWHacking.de Collab</x:v>
      </x:c>
      <x:c r="B1636" t="str">
        <x:v>SMWHacking.de Collab</x:v>
      </x:c>
      <x:c r="C1636" t="str">
        <x:v>EliteBellic, LP-Err0r, Reggiamoto, Robju, ShUriK KiD, Shog, kooooopa, wye</x:v>
      </x:c>
      <x:c r="D1636" t="n">
        <x:v>12</x:v>
      </x:c>
      <x:c r="E1636" t="str">
        <x:v>Casual</x:v>
      </x:c>
      <x:c r="F1636" t="str">
        <x:v>Standard</x:v>
      </x:c>
      <x:c r="G1636" t="n">
        <x:v>42043</x:v>
      </x:c>
      <x:c r="H1636" t="str">
        <x:v>10336</x:v>
      </x:c>
      <x:c r="I1636" t="str">
        <x:v>https://www.smwcentral.net/?a=details&amp;id=10336&amp;p=section</x:v>
      </x:c>
      <x:c r="J1636" t="str">
        <x:v>https://dl.smwcentral.net/10336/SMWHcollab.zip</x:v>
      </x:c>
    </x:row>
    <x:row r="1637">
      <x:c r="A1637" t="str">
        <x:v>SMWHacking.de Collab ½</x:v>
      </x:c>
      <x:c r="B1637" t="str">
        <x:v>SMWHacking.de Collab ½</x:v>
      </x:c>
      <x:c r="C1637" t="str">
        <x:v>Luks, RedAstaire, ShUriK KiD, Wysey, neidoodle, wye</x:v>
      </x:c>
      <x:c r="D1637" t="n">
        <x:v>10</x:v>
      </x:c>
      <x:c r="E1637" t="str">
        <x:v>Intermediate</x:v>
      </x:c>
      <x:c r="F1637" t="str">
        <x:v>Standard</x:v>
      </x:c>
      <x:c r="G1637" t="n">
        <x:v>42639</x:v>
      </x:c>
      <x:c r="H1637" t="str">
        <x:v>14465</x:v>
      </x:c>
      <x:c r="I1637" t="str">
        <x:v>https://www.smwcentral.net/?a=details&amp;id=14465&amp;p=section</x:v>
      </x:c>
      <x:c r="J1637" t="str">
        <x:v>https://dl.smwcentral.net/14465/SMWHcollab_1_2.zip</x:v>
      </x:c>
    </x:row>
    <x:row r="1638">
      <x:c r="A1638" t="str">
        <x:v>SMWLV</x:v>
      </x:c>
      <x:c r="B1638" t="str">
        <x:v>SMWLV</x:v>
      </x:c>
      <x:c r="C1638" t="str">
        <x:v>Gabriel12102673</x:v>
      </x:c>
      <x:c r="D1638" t="n">
        <x:v>20</x:v>
      </x:c>
      <x:c r="E1638" t="str">
        <x:v>Intermediate</x:v>
      </x:c>
      <x:c r="F1638" t="str">
        <x:v>Standard</x:v>
      </x:c>
      <x:c r="G1638" t="n">
        <x:v>44118</x:v>
      </x:c>
      <x:c r="H1638" t="str">
        <x:v>24783</x:v>
      </x:c>
      <x:c r="I1638" t="str">
        <x:v>https://www.smwcentral.net/?a=details&amp;id=24783&amp;p=section</x:v>
      </x:c>
      <x:c r="J1638" t="str">
        <x:v>https://dl.smwcentral.net/24783/SMWLV%20%28DEMO%29.zip</x:v>
      </x:c>
    </x:row>
    <x:row r="1639">
      <x:c r="A1639" t="str">
        <x:v>Sniggerbobble's Nightmare: Randor's Inside Story</x:v>
      </x:c>
      <x:c r="B1639" t="str">
        <x:v>Sniggerbobble's Nightmare: Randor's Inside Story</x:v>
      </x:c>
      <x:c r="C1639" t="str">
        <x:v>Chikane</x:v>
      </x:c>
      <x:c r="D1639" t="n">
        <x:v>6</x:v>
      </x:c>
      <x:c r="E1639" t="str">
        <x:v>Casual</x:v>
      </x:c>
      <x:c r="F1639" t="str">
        <x:v>Standard</x:v>
      </x:c>
      <x:c r="G1639" t="n">
        <x:v>41543</x:v>
      </x:c>
      <x:c r="H1639" t="str">
        <x:v>5275</x:v>
      </x:c>
      <x:c r="I1639" t="str">
        <x:v>https://www.smwcentral.net/?a=details&amp;id=5275&amp;p=section</x:v>
      </x:c>
      <x:c r="J1639" t="str">
        <x:v>https://dl.smwcentral.net/5275/RiS%20Demo%201.zip</x:v>
      </x:c>
    </x:row>
    <x:row r="1640">
      <x:c r="A1640" t="str">
        <x:v>Snoman's Land</x:v>
      </x:c>
      <x:c r="B1640" t="str">
        <x:v>Snoman's Land</x:v>
      </x:c>
      <x:c r="C1640" t="str">
        <x:v>snomangaming</x:v>
      </x:c>
      <x:c r="D1640" t="n">
        <x:v>12</x:v>
      </x:c>
      <x:c r="E1640" t="str">
        <x:v>Advanced</x:v>
      </x:c>
      <x:c r="F1640" t="str">
        <x:v>Kaizo</x:v>
      </x:c>
      <x:c r="G1640" t="n">
        <x:v>44005</x:v>
      </x:c>
      <x:c r="H1640" t="str">
        <x:v>23383</x:v>
      </x:c>
      <x:c r="I1640" t="str">
        <x:v>https://www.smwcentral.net/?a=details&amp;id=23383&amp;p=section</x:v>
      </x:c>
      <x:c r="J1640" t="str">
        <x:v>https://dl.smwcentral.net/23383/Snoman%27s%20Land%20v1.2.zip</x:v>
      </x:c>
    </x:row>
    <x:row r="1641">
      <x:c r="A1641" t="str">
        <x:v>Solar Eclipse World</x:v>
      </x:c>
      <x:c r="B1641" t="str">
        <x:v>Solar Eclipse World</x:v>
      </x:c>
      <x:c r="C1641" t="str">
        <x:v>ft029</x:v>
      </x:c>
      <x:c r="D1641" t="n">
        <x:v>1</x:v>
      </x:c>
      <x:c r="E1641" t="str">
        <x:v>Intermediate</x:v>
      </x:c>
      <x:c r="F1641" t="str">
        <x:v>Standard</x:v>
      </x:c>
      <x:c r="G1641" t="n">
        <x:v>42972</x:v>
      </x:c>
      <x:c r="H1641" t="str">
        <x:v>16084</x:v>
      </x:c>
      <x:c r="I1641" t="str">
        <x:v>https://www.smwcentral.net/?a=details&amp;id=16084&amp;p=section</x:v>
      </x:c>
      <x:c r="J1641" t="str">
        <x:v>https://dl.smwcentral.net/16084/Solar%20Eclipse%20World.zip</x:v>
      </x:c>
    </x:row>
    <x:row r="1642">
      <x:c r="A1642" t="str">
        <x:v>Some Assembly Required</x:v>
      </x:c>
      <x:c r="B1642" t="str">
        <x:v>Some Assembly Required</x:v>
      </x:c>
      <x:c r="C1642" t="str">
        <x:v>Shuttles</x:v>
      </x:c>
      <x:c r="D1642" t="n">
        <x:v>5</x:v>
      </x:c>
      <x:c r="E1642" t="str">
        <x:v>Advanced</x:v>
      </x:c>
      <x:c r="F1642" t="str">
        <x:v>Kaizo</x:v>
      </x:c>
      <x:c r="G1642" t="n">
        <x:v>43856</x:v>
      </x:c>
      <x:c r="H1642" t="str">
        <x:v>22030</x:v>
      </x:c>
      <x:c r="I1642" t="str">
        <x:v>https://www.smwcentral.net/?a=details&amp;id=22030&amp;p=section</x:v>
      </x:c>
      <x:c r="J1642" t="str">
        <x:v>https://dl.smwcentral.net/22030/SAR_v1.1.zip</x:v>
      </x:c>
    </x:row>
    <x:row r="1643">
      <x:c r="A1643" t="str">
        <x:v>Something</x:v>
      </x:c>
      <x:c r="B1643" t="str">
        <x:v>Something</x:v>
      </x:c>
      <x:c r="C1643" t="str">
        <x:v>yogui</x:v>
      </x:c>
      <x:c r="D1643" t="n">
        <x:v>47</x:v>
      </x:c>
      <x:c r="E1643" t="str">
        <x:v>Intermediate</x:v>
      </x:c>
      <x:c r="F1643" t="str">
        <x:v>Standard</x:v>
      </x:c>
      <x:c r="G1643" t="n">
        <x:v>44585</x:v>
      </x:c>
      <x:c r="H1643" t="str">
        <x:v>29548</x:v>
      </x:c>
      <x:c r="I1643" t="str">
        <x:v>https://www.smwcentral.net/?a=details&amp;id=29548&amp;p=section</x:v>
      </x:c>
      <x:c r="J1643" t="str">
        <x:v>https://dl.smwcentral.net/29548/Something.zip</x:v>
      </x:c>
    </x:row>
    <x:row r="1644">
      <x:c r="A1644" t="str">
        <x:v>Something Else</x:v>
      </x:c>
      <x:c r="B1644" t="str">
        <x:v>Something Else</x:v>
      </x:c>
      <x:c r="C1644" t="str">
        <x:v>yogui</x:v>
      </x:c>
      <x:c r="D1644" t="n">
        <x:v>69</x:v>
      </x:c>
      <x:c r="E1644" t="str">
        <x:v>Advanced</x:v>
      </x:c>
      <x:c r="F1644" t="str">
        <x:v>Standard</x:v>
      </x:c>
      <x:c r="G1644" t="n">
        <x:v>41691</x:v>
      </x:c>
      <x:c r="H1644" t="str">
        <x:v>6304</x:v>
      </x:c>
      <x:c r="I1644" t="str">
        <x:v>https://www.smwcentral.net/?a=details&amp;id=6304&amp;p=section</x:v>
      </x:c>
      <x:c r="J1644" t="str">
        <x:v>https://dl.smwcentral.net/6304/Something%20else%20.zip</x:v>
      </x:c>
    </x:row>
    <x:row r="1645">
      <x:c r="A1645" t="str">
        <x:v>Song's to Die to</x:v>
      </x:c>
      <x:c r="B1645" t="str">
        <x:v>Song's to Die to</x:v>
      </x:c>
      <x:c r="C1645" t="str">
        <x:v>YukiHidden</x:v>
      </x:c>
      <x:c r="D1645" t="n">
        <x:v>9</x:v>
      </x:c>
      <x:c r="E1645" t="str">
        <x:v>Expert</x:v>
      </x:c>
      <x:c r="F1645" t="str">
        <x:v>Kaizo</x:v>
      </x:c>
      <x:c r="G1645" t="n">
        <x:v>46073</x:v>
      </x:c>
      <x:c r="H1645" t="str">
        <x:v>41656</x:v>
      </x:c>
      <x:c r="I1645" t="str">
        <x:v>https://www.smwcentral.net/?a=details&amp;id=41656&amp;p=section</x:v>
      </x:c>
      <x:c r="J1645" t="str">
        <x:v>https://dl.smwcentral.net/41656/Song%27s%20to%20die%20to.zip</x:v>
      </x:c>
    </x:row>
    <x:row r="1646">
      <x:c r="A1646" t="str">
        <x:v>Sonic Epic World</x:v>
      </x:c>
      <x:c r="B1646" t="str">
        <x:v>Sonic Epic World</x:v>
      </x:c>
      <x:c r="C1646" t="str">
        <x:v>sholmes</x:v>
      </x:c>
      <x:c r="D1646" t="n">
        <x:v>8</x:v>
      </x:c>
      <x:c r="E1646" t="str">
        <x:v>Expert</x:v>
      </x:c>
      <x:c r="F1646" t="str">
        <x:v>Kaizo</x:v>
      </x:c>
      <x:c r="G1646" t="n">
        <x:v>45428</x:v>
      </x:c>
      <x:c r="H1646" t="str">
        <x:v>37784</x:v>
      </x:c>
      <x:c r="I1646" t="str">
        <x:v>https://www.smwcentral.net/?a=details&amp;id=37784&amp;p=section</x:v>
      </x:c>
      <x:c r="J1646" t="str">
        <x:v>https://dl.smwcentral.net/37784/Sonic%20Epic%20World.zip</x:v>
      </x:c>
    </x:row>
    <x:row r="1647">
      <x:c r="A1647" t="str">
        <x:v>Sonic Kaizo World</x:v>
      </x:c>
      <x:c r="B1647" t="str">
        <x:v>Sonic Kaizo World</x:v>
      </x:c>
      <x:c r="C1647" t="str">
        <x:v>sholmes</x:v>
      </x:c>
      <x:c r="D1647" t="n">
        <x:v>21</x:v>
      </x:c>
      <x:c r="E1647" t="str">
        <x:v>Expert</x:v>
      </x:c>
      <x:c r="F1647" t="str">
        <x:v>Kaizo</x:v>
      </x:c>
      <x:c r="G1647" t="n">
        <x:v>46197</x:v>
      </x:c>
      <x:c r="H1647" t="str">
        <x:v>42582</x:v>
      </x:c>
      <x:c r="I1647" t="str">
        <x:v>https://www.smwcentral.net/?a=details&amp;id=42582&amp;p=section</x:v>
      </x:c>
      <x:c r="J1647" t="str">
        <x:v>https://dl.smwcentral.net/42582/Sonic%20Kaizo%20World.zip</x:v>
      </x:c>
    </x:row>
    <x:row r="1648">
      <x:c r="A1648" t="str">
        <x:v>Sonic the Hedgehog 2 Kaizo Version</x:v>
      </x:c>
      <x:c r="B1648" t="str">
        <x:v>Sonic the Hedgehog 2 Kaizo Version</x:v>
      </x:c>
      <x:c r="C1648" t="str">
        <x:v>sholmes</x:v>
      </x:c>
      <x:c r="D1648" t="n">
        <x:v>22</x:v>
      </x:c>
      <x:c r="E1648" t="str">
        <x:v>Expert</x:v>
      </x:c>
      <x:c r="F1648" t="str">
        <x:v>Kaizo</x:v>
      </x:c>
      <x:c r="G1648" t="n">
        <x:v>45437</x:v>
      </x:c>
      <x:c r="H1648" t="str">
        <x:v>37804</x:v>
      </x:c>
      <x:c r="I1648" t="str">
        <x:v>https://www.smwcentral.net/?a=details&amp;id=37804&amp;p=section</x:v>
      </x:c>
      <x:c r="J1648" t="str">
        <x:v>https://dl.smwcentral.net/37804/Sonic%202%20But%20Kaizo.zip</x:v>
      </x:c>
    </x:row>
    <x:row r="1649">
      <x:c r="A1649" t="str">
        <x:v>Sonic the Hedgehog Kaizo Version</x:v>
      </x:c>
      <x:c r="B1649" t="str">
        <x:v>Sonic the Hedgehog Kaizo Version</x:v>
      </x:c>
      <x:c r="C1649" t="str">
        <x:v>sholmes</x:v>
      </x:c>
      <x:c r="D1649" t="n">
        <x:v>19</x:v>
      </x:c>
      <x:c r="E1649" t="str">
        <x:v>Expert</x:v>
      </x:c>
      <x:c r="F1649" t="str">
        <x:v>Kaizo</x:v>
      </x:c>
      <x:c r="G1649" t="n">
        <x:v>45702</x:v>
      </x:c>
      <x:c r="H1649" t="str">
        <x:v>39188</x:v>
      </x:c>
      <x:c r="I1649" t="str">
        <x:v>https://www.smwcentral.net/?a=details&amp;id=39188&amp;p=section</x:v>
      </x:c>
      <x:c r="J1649" t="str">
        <x:v>https://dl.smwcentral.net/39188/Sonic%20in%20a%20Kaizo%20World.zip</x:v>
      </x:c>
    </x:row>
    <x:row r="1650">
      <x:c r="A1650" t="str">
        <x:v>Sonic's Adventure in Mushroom Kingdom</x:v>
      </x:c>
      <x:c r="B1650" t="str">
        <x:v>Sonic's Adventure in Mushroom Kingdom</x:v>
      </x:c>
      <x:c r="C1650" t="str">
        <x:v>MidniteMilo82</x:v>
      </x:c>
      <x:c r="D1650" t="n">
        <x:v>13</x:v>
      </x:c>
      <x:c r="E1650" t="str">
        <x:v>Intermediate</x:v>
      </x:c>
      <x:c r="F1650" t="str">
        <x:v>Kaizo</x:v>
      </x:c>
      <x:c r="G1650" t="n">
        <x:v>44503</x:v>
      </x:c>
      <x:c r="H1650" t="str">
        <x:v>28598</x:v>
      </x:c>
      <x:c r="I1650" t="str">
        <x:v>https://www.smwcentral.net/?a=details&amp;id=28598&amp;p=section</x:v>
      </x:c>
      <x:c r="J1650" t="str">
        <x:v>https://dl.smwcentral.net/28598/SAiMK.zip</x:v>
      </x:c>
    </x:row>
    <x:row r="1651">
      <x:c r="A1651" t="str">
        <x:v>Sophies Crown</x:v>
      </x:c>
      <x:c r="B1651" t="str">
        <x:v>Sophies Crown</x:v>
      </x:c>
      <x:c r="C1651" t="str">
        <x:v>ScatmanJones49</x:v>
      </x:c>
      <x:c r="D1651" t="n">
        <x:v>15</x:v>
      </x:c>
      <x:c r="E1651" t="str">
        <x:v>Expert</x:v>
      </x:c>
      <x:c r="F1651" t="str">
        <x:v>Kaizo</x:v>
      </x:c>
      <x:c r="G1651" t="n">
        <x:v>44369</x:v>
      </x:c>
      <x:c r="H1651" t="str">
        <x:v>27342</x:v>
      </x:c>
      <x:c r="I1651" t="str">
        <x:v>https://www.smwcentral.net/?a=details&amp;id=27342&amp;p=section</x:v>
      </x:c>
      <x:c r="J1651" t="str">
        <x:v>https://dl.smwcentral.net/27342/sophiescrown.zip</x:v>
      </x:c>
    </x:row>
    <x:row r="1652">
      <x:c r="A1652" t="str">
        <x:v>Sorrow &amp; Misery</x:v>
      </x:c>
      <x:c r="B1652" t="str">
        <x:v>Sorrow &amp; Misery</x:v>
      </x:c>
      <x:c r="C1652" t="str">
        <x:v>JokerGamerOk</x:v>
      </x:c>
      <x:c r="D1652" t="n">
        <x:v>19</x:v>
      </x:c>
      <x:c r="E1652" t="str">
        <x:v>Grandmaster</x:v>
      </x:c>
      <x:c r="F1652" t="str">
        <x:v>Kaizo</x:v>
      </x:c>
      <x:c r="G1652" t="n">
        <x:v>44863</x:v>
      </x:c>
      <x:c r="H1652" t="str">
        <x:v>31450</x:v>
      </x:c>
      <x:c r="I1652" t="str">
        <x:v>https://www.smwcentral.net/?a=details&amp;id=31450&amp;p=section</x:v>
      </x:c>
      <x:c r="J1652" t="str">
        <x:v>https://dl.smwcentral.net/31450/Sorrow_and_Misery.zip</x:v>
      </x:c>
    </x:row>
    <x:row r="1653">
      <x:c r="A1653" t="str">
        <x:v>Sortes Biblicae</x:v>
      </x:c>
      <x:c r="B1653" t="str">
        <x:v>Sortes Biblicae</x:v>
      </x:c>
      <x:c r="C1653" t="str">
        <x:v>Morsel</x:v>
      </x:c>
      <x:c r="D1653" t="n">
        <x:v>9</x:v>
      </x:c>
      <x:c r="E1653" t="str">
        <x:v>Master</x:v>
      </x:c>
      <x:c r="F1653" t="str">
        <x:v>Kaizo</x:v>
      </x:c>
      <x:c r="G1653" t="n">
        <x:v>44822</x:v>
      </x:c>
      <x:c r="H1653" t="str">
        <x:v>31961</x:v>
      </x:c>
      <x:c r="I1653" t="str">
        <x:v>https://www.smwcentral.net/?a=details&amp;id=31961&amp;p=section</x:v>
      </x:c>
      <x:c r="J1653" t="str">
        <x:v>https://dl.smwcentral.net/31961/sortesbiblicae1.666.zip</x:v>
      </x:c>
    </x:row>
    <x:row r="1654">
      <x:c r="A1654" t="str">
        <x:v>Soup or Solstng World</x:v>
      </x:c>
      <x:c r="B1654" t="str">
        <x:v>Soup or Solstng World</x:v>
      </x:c>
      <x:c r="C1654" t="str">
        <x:v>shovda</x:v>
      </x:c>
      <x:c r="D1654" t="n">
        <x:v>14</x:v>
      </x:c>
      <x:c r="E1654" t="str">
        <x:v>Advanced</x:v>
      </x:c>
      <x:c r="F1654" t="str">
        <x:v>Kaizo</x:v>
      </x:c>
      <x:c r="G1654" t="n">
        <x:v>43839</x:v>
      </x:c>
      <x:c r="H1654" t="str">
        <x:v>21740</x:v>
      </x:c>
      <x:c r="I1654" t="str">
        <x:v>https://www.smwcentral.net/?a=details&amp;id=21740&amp;p=section</x:v>
      </x:c>
      <x:c r="J1654" t="str">
        <x:v>https://dl.smwcentral.net/21740/Soup%20or%20Solstng%20World%201.1.zip</x:v>
      </x:c>
    </x:row>
    <x:row r="1655">
      <x:c r="A1655" t="str">
        <x:v>South Point Hotel</x:v>
      </x:c>
      <x:c r="B1655" t="str">
        <x:v>South Point Hotel</x:v>
      </x:c>
      <x:c r="C1655" t="str">
        <x:v>GbreezeSunset, Lazy, MiracleWater</x:v>
      </x:c>
      <x:c r="D1655" t="n">
        <x:v>1</x:v>
      </x:c>
      <x:c r="E1655" t="str">
        <x:v>Expert</x:v>
      </x:c>
      <x:c r="F1655" t="str">
        <x:v>Kaizo, Puzzle</x:v>
      </x:c>
      <x:c r="G1655" t="n">
        <x:v>44599</x:v>
      </x:c>
      <x:c r="H1655" t="str">
        <x:v>29721</x:v>
      </x:c>
      <x:c r="I1655" t="str">
        <x:v>https://www.smwcentral.net/?a=details&amp;id=29721&amp;p=section</x:v>
      </x:c>
      <x:c r="J1655" t="str">
        <x:v>https://dl.smwcentral.net/29721/South%20Point%20Hotel.zip</x:v>
      </x:c>
    </x:row>
    <x:row r="1656">
      <x:c r="A1656" t="str">
        <x:v>SpaceDeluxe</x:v>
      </x:c>
      <x:c r="B1656" t="str">
        <x:v>SpaceDeluxe</x:v>
      </x:c>
      <x:c r="C1656" t="str">
        <x:v>Breno Henrique</x:v>
      </x:c>
      <x:c r="D1656" t="n">
        <x:v>6</x:v>
      </x:c>
      <x:c r="E1656" t="str">
        <x:v>Advanced</x:v>
      </x:c>
      <x:c r="F1656" t="str">
        <x:v>Kaizo</x:v>
      </x:c>
      <x:c r="G1656" t="n">
        <x:v>46004</x:v>
      </x:c>
      <x:c r="H1656" t="str">
        <x:v>41266</x:v>
      </x:c>
      <x:c r="I1656" t="str">
        <x:v>https://www.smwcentral.net/?a=details&amp;id=41266&amp;p=section</x:v>
      </x:c>
      <x:c r="J1656" t="str">
        <x:v>https://dl.smwcentral.net/41266/SpaceDeluxe.zip</x:v>
      </x:c>
    </x:row>
    <x:row r="1657">
      <x:c r="A1657" t="str">
        <x:v>Spatial Whirl</x:v>
      </x:c>
      <x:c r="B1657" t="str">
        <x:v>Spatial Whirl</x:v>
      </x:c>
      <x:c r="C1657" t="str">
        <x:v>GbreezeSunset</x:v>
      </x:c>
      <x:c r="D1657" t="n">
        <x:v>60</x:v>
      </x:c>
      <x:c r="E1657" t="str">
        <x:v>Intermediate</x:v>
      </x:c>
      <x:c r="F1657" t="str">
        <x:v>Standard</x:v>
      </x:c>
      <x:c r="G1657" t="n">
        <x:v>45470</x:v>
      </x:c>
      <x:c r="H1657" t="str">
        <x:v>37876</x:v>
      </x:c>
      <x:c r="I1657" t="str">
        <x:v>https://www.smwcentral.net/?a=details&amp;id=37876&amp;p=section</x:v>
      </x:c>
      <x:c r="J1657" t="str">
        <x:v>https://dl.smwcentral.net/37876/Spatial%20Whirl.zip</x:v>
      </x:c>
    </x:row>
    <x:row r="1658">
      <x:c r="A1658" t="str">
        <x:v>Special Moves</x:v>
      </x:c>
      <x:c r="B1658" t="str">
        <x:v>Special Moves</x:v>
      </x:c>
      <x:c r="C1658" t="str">
        <x:v>marvisjj</x:v>
      </x:c>
      <x:c r="D1658" t="n">
        <x:v>5</x:v>
      </x:c>
      <x:c r="E1658" t="str">
        <x:v>Grandmaster</x:v>
      </x:c>
      <x:c r="F1658" t="str">
        <x:v>Kaizo</x:v>
      </x:c>
      <x:c r="G1658" t="n">
        <x:v>46063</x:v>
      </x:c>
      <x:c r="H1658" t="str">
        <x:v>41529</x:v>
      </x:c>
      <x:c r="I1658" t="str">
        <x:v>https://www.smwcentral.net/?a=details&amp;id=41529&amp;p=section</x:v>
      </x:c>
      <x:c r="J1658" t="str">
        <x:v>https://dl.smwcentral.net/41529/Special%20Moves.zip</x:v>
      </x:c>
    </x:row>
    <x:row r="1659">
      <x:c r="A1659" t="str">
        <x:v>Special World Escape</x:v>
      </x:c>
      <x:c r="B1659" t="str">
        <x:v>Special World Escape</x:v>
      </x:c>
      <x:c r="C1659" t="str">
        <x:v>fanfan21</x:v>
      </x:c>
      <x:c r="D1659" t="n">
        <x:v>5</x:v>
      </x:c>
      <x:c r="E1659" t="str">
        <x:v>Advanced</x:v>
      </x:c>
      <x:c r="F1659" t="str">
        <x:v>Kaizo</x:v>
      </x:c>
      <x:c r="G1659" t="n">
        <x:v>46023</x:v>
      </x:c>
      <x:c r="H1659" t="str">
        <x:v>41361</x:v>
      </x:c>
      <x:c r="I1659" t="str">
        <x:v>https://www.smwcentral.net/?a=details&amp;id=41361&amp;p=section</x:v>
      </x:c>
      <x:c r="J1659" t="str">
        <x:v>https://dl.smwcentral.net/41361/Special%20World%20Escape.zip</x:v>
      </x:c>
    </x:row>
    <x:row r="1660">
      <x:c r="A1660" t="str">
        <x:v>Special World Overtakes</x:v>
      </x:c>
      <x:c r="B1660" t="str">
        <x:v>Special World Overtakes</x:v>
      </x:c>
      <x:c r="C1660" t="str">
        <x:v>therealSWK</x:v>
      </x:c>
      <x:c r="D1660" t="n">
        <x:v>8</x:v>
      </x:c>
      <x:c r="E1660" t="str">
        <x:v>Casual</x:v>
      </x:c>
      <x:c r="F1660" t="str">
        <x:v>Standard</x:v>
      </x:c>
      <x:c r="G1660" t="n">
        <x:v>42207</x:v>
      </x:c>
      <x:c r="H1660" t="str">
        <x:v>10219</x:v>
      </x:c>
      <x:c r="I1660" t="str">
        <x:v>https://www.smwcentral.net/?a=details&amp;id=10219&amp;p=section</x:v>
      </x:c>
      <x:c r="J1660" t="str">
        <x:v>https://dl.smwcentral.net/10219/Special%20World%20Overtakes%20V1.3.zip</x:v>
      </x:c>
    </x:row>
    <x:row r="1661">
      <x:c r="A1661" t="str">
        <x:v>Special World?</x:v>
      </x:c>
      <x:c r="B1661" t="str">
        <x:v>Special World?</x:v>
      </x:c>
      <x:c r="C1661" t="str">
        <x:v>SuperMarisa1999</x:v>
      </x:c>
      <x:c r="D1661" t="n">
        <x:v>5</x:v>
      </x:c>
      <x:c r="E1661" t="str">
        <x:v>Intermediate</x:v>
      </x:c>
      <x:c r="F1661" t="str">
        <x:v>Kaizo, Tool-Assisted</x:v>
      </x:c>
      <x:c r="G1661" t="n">
        <x:v>41824</x:v>
      </x:c>
      <x:c r="H1661" t="str">
        <x:v>6760</x:v>
      </x:c>
      <x:c r="I1661" t="str">
        <x:v>https://www.smwcentral.net/?a=details&amp;id=6760&amp;p=section</x:v>
      </x:c>
      <x:c r="J1661" t="str">
        <x:v>https://dl.smwcentral.net/6760/Special%20World%20Demo%200.1.3.zip</x:v>
      </x:c>
    </x:row>
    <x:row r="1662">
      <x:c r="A1662" t="str">
        <x:v>Speed Shell</x:v>
      </x:c>
      <x:c r="B1662" t="str">
        <x:v>Speed Shell</x:v>
      </x:c>
      <x:c r="C1662" t="str">
        <x:v>Prestinator13</x:v>
      </x:c>
      <x:c r="D1662" t="n">
        <x:v>1</x:v>
      </x:c>
      <x:c r="E1662" t="str">
        <x:v>Expert</x:v>
      </x:c>
      <x:c r="F1662" t="str">
        <x:v>Kaizo</x:v>
      </x:c>
      <x:c r="G1662" t="n">
        <x:v>44264</x:v>
      </x:c>
      <x:c r="H1662" t="str">
        <x:v>26381</x:v>
      </x:c>
      <x:c r="I1662" t="str">
        <x:v>https://www.smwcentral.net/?a=details&amp;id=26381&amp;p=section</x:v>
      </x:c>
      <x:c r="J1662" t="str">
        <x:v>https://dl.smwcentral.net/26381/SpeedShell.zip</x:v>
      </x:c>
    </x:row>
    <x:row r="1663">
      <x:c r="A1663" t="str">
        <x:v>Spesh Planet</x:v>
      </x:c>
      <x:c r="B1663" t="str">
        <x:v>Spesh Planet</x:v>
      </x:c>
      <x:c r="C1663" t="str">
        <x:v>E-man38</x:v>
      </x:c>
      <x:c r="D1663" t="n">
        <x:v>8</x:v>
      </x:c>
      <x:c r="E1663" t="str">
        <x:v>Intermediate</x:v>
      </x:c>
      <x:c r="F1663" t="str">
        <x:v>Standard</x:v>
      </x:c>
      <x:c r="G1663" t="n">
        <x:v>44763</x:v>
      </x:c>
      <x:c r="H1663" t="str">
        <x:v>31344</x:v>
      </x:c>
      <x:c r="I1663" t="str">
        <x:v>https://www.smwcentral.net/?a=details&amp;id=31344&amp;p=section</x:v>
      </x:c>
      <x:c r="J1663" t="str">
        <x:v>https://dl.smwcentral.net/31344/Spesh%20Planet.zip</x:v>
      </x:c>
    </x:row>
    <x:row r="1664">
      <x:c r="A1664" t="str">
        <x:v>Spesh Planet 2</x:v>
      </x:c>
      <x:c r="B1664" t="str">
        <x:v>Spesh Planet 2</x:v>
      </x:c>
      <x:c r="C1664" t="str">
        <x:v>E-man38</x:v>
      </x:c>
      <x:c r="D1664" t="n">
        <x:v>24</x:v>
      </x:c>
      <x:c r="E1664" t="str">
        <x:v>Intermediate</x:v>
      </x:c>
      <x:c r="F1664" t="str">
        <x:v>Standard</x:v>
      </x:c>
      <x:c r="G1664" t="n">
        <x:v>45893</x:v>
      </x:c>
      <x:c r="H1664" t="str">
        <x:v>40229</x:v>
      </x:c>
      <x:c r="I1664" t="str">
        <x:v>https://www.smwcentral.net/?a=details&amp;id=40229&amp;p=section</x:v>
      </x:c>
      <x:c r="J1664" t="str">
        <x:v>https://dl.smwcentral.net/40229/Spesh%20Planet%202.zip</x:v>
      </x:c>
    </x:row>
    <x:row r="1665">
      <x:c r="A1665" t="str">
        <x:v>Spiral Quiral</x:v>
      </x:c>
      <x:c r="B1665" t="str">
        <x:v>Spiral Quiral</x:v>
      </x:c>
      <x:c r="C1665" t="str">
        <x:v>Airbourne Bubblun</x:v>
      </x:c>
      <x:c r="D1665" t="n">
        <x:v>8</x:v>
      </x:c>
      <x:c r="E1665" t="str">
        <x:v>Casual</x:v>
      </x:c>
      <x:c r="F1665" t="str">
        <x:v>Standard</x:v>
      </x:c>
      <x:c r="G1665" t="n">
        <x:v>41545</x:v>
      </x:c>
      <x:c r="H1665" t="str">
        <x:v>5466</x:v>
      </x:c>
      <x:c r="I1665" t="str">
        <x:v>https://www.smwcentral.net/?a=details&amp;id=5466&amp;p=section</x:v>
      </x:c>
      <x:c r="J1665" t="str">
        <x:v>https://dl.smwcentral.net/5466/Spiral%20Quiral%20V2.2.zip</x:v>
      </x:c>
    </x:row>
    <x:row r="1666">
      <x:c r="A1666" t="str">
        <x:v>Spiral Quiral Downgrade</x:v>
      </x:c>
      <x:c r="B1666" t="str">
        <x:v>Spiral Quiral Downgrade</x:v>
      </x:c>
      <x:c r="C1666" t="str">
        <x:v>Airbourne Bubblun</x:v>
      </x:c>
      <x:c r="D1666" t="n">
        <x:v>12</x:v>
      </x:c>
      <x:c r="E1666" t="str">
        <x:v>Intermediate</x:v>
      </x:c>
      <x:c r="F1666" t="str">
        <x:v>Standard</x:v>
      </x:c>
      <x:c r="G1666" t="n">
        <x:v>42699</x:v>
      </x:c>
      <x:c r="H1666" t="str">
        <x:v>14631</x:v>
      </x:c>
      <x:c r="I1666" t="str">
        <x:v>https://www.smwcentral.net/?a=details&amp;id=14631&amp;p=section</x:v>
      </x:c>
      <x:c r="J1666" t="str">
        <x:v>https://dl.smwcentral.net/14631/Spiral%20Quiral%20Downgrade.zip</x:v>
      </x:c>
    </x:row>
    <x:row r="1667">
      <x:c r="A1667" t="str">
        <x:v>Spiteful Mario</x:v>
      </x:c>
      <x:c r="B1667" t="str">
        <x:v>Spiteful Mario</x:v>
      </x:c>
      <x:c r="C1667" t="str">
        <x:v>Easy Difficulty</x:v>
      </x:c>
      <x:c r="D1667" t="n">
        <x:v>69</x:v>
      </x:c>
      <x:c r="E1667" t="str">
        <x:v>Expert</x:v>
      </x:c>
      <x:c r="F1667" t="str">
        <x:v>Standard, Kaizo</x:v>
      </x:c>
      <x:c r="G1667" t="n">
        <x:v>45512</x:v>
      </x:c>
      <x:c r="H1667" t="str">
        <x:v>38128</x:v>
      </x:c>
      <x:c r="I1667" t="str">
        <x:v>https://www.smwcentral.net/?a=details&amp;id=38128&amp;p=section</x:v>
      </x:c>
      <x:c r="J1667" t="str">
        <x:v>https://dl.smwcentral.net/38128/Spitefulmarioupdate.zip</x:v>
      </x:c>
    </x:row>
    <x:row r="1668">
      <x:c r="A1668" t="str">
        <x:v>Sponge World</x:v>
      </x:c>
      <x:c r="B1668" t="str">
        <x:v>Sponge World</x:v>
      </x:c>
      <x:c r="C1668" t="str">
        <x:v>iraxviii</x:v>
      </x:c>
      <x:c r="D1668" t="n">
        <x:v>4</x:v>
      </x:c>
      <x:c r="E1668" t="str">
        <x:v>Intermediate</x:v>
      </x:c>
      <x:c r="F1668" t="str">
        <x:v>Standard</x:v>
      </x:c>
      <x:c r="G1668" t="n">
        <x:v>45527</x:v>
      </x:c>
      <x:c r="H1668" t="str">
        <x:v>38195</x:v>
      </x:c>
      <x:c r="I1668" t="str">
        <x:v>https://www.smwcentral.net/?a=details&amp;id=38195&amp;p=section</x:v>
      </x:c>
      <x:c r="J1668" t="str">
        <x:v>https://dl.smwcentral.net/38195/Sponge%20World.zip</x:v>
      </x:c>
    </x:row>
    <x:row r="1669">
      <x:c r="A1669" t="str">
        <x:v>SPOT</x:v>
      </x:c>
      <x:c r="B1669" t="str">
        <x:v>SPOT</x:v>
      </x:c>
      <x:c r="C1669" t="str">
        <x:v>Nitrogen</x:v>
      </x:c>
      <x:c r="D1669" t="n">
        <x:v>12</x:v>
      </x:c>
      <x:c r="E1669" t="str">
        <x:v>Advanced</x:v>
      </x:c>
      <x:c r="F1669" t="str">
        <x:v>Standard</x:v>
      </x:c>
      <x:c r="G1669" t="n">
        <x:v>45349</x:v>
      </x:c>
      <x:c r="H1669" t="str">
        <x:v>37136</x:v>
      </x:c>
      <x:c r="I1669" t="str">
        <x:v>https://www.smwcentral.net/?a=details&amp;id=37136&amp;p=section</x:v>
      </x:c>
      <x:c r="J1669" t="str">
        <x:v>https://dl.smwcentral.net/37136/SPOT%20%28demo%29.zip</x:v>
      </x:c>
    </x:row>
    <x:row r="1670">
      <x:c r="A1670" t="str">
        <x:v>Sprites Are 1derful</x:v>
      </x:c>
      <x:c r="B1670" t="str">
        <x:v>Sprites Are 1derful</x:v>
      </x:c>
      <x:c r="C1670" t="str">
        <x:v>NewPointless</x:v>
      </x:c>
      <x:c r="D1670" t="n">
        <x:v>96</x:v>
      </x:c>
      <x:c r="E1670" t="str">
        <x:v>Advanced</x:v>
      </x:c>
      <x:c r="F1670" t="str">
        <x:v>Standard, Kaizo</x:v>
      </x:c>
      <x:c r="G1670" t="n">
        <x:v>45401</x:v>
      </x:c>
      <x:c r="H1670" t="str">
        <x:v>37616</x:v>
      </x:c>
      <x:c r="I1670" t="str">
        <x:v>https://www.smwcentral.net/?a=details&amp;id=37616&amp;p=section</x:v>
      </x:c>
      <x:c r="J1670" t="str">
        <x:v>https://dl.smwcentral.net/37616/SpritesAre1derful1_1.zip</x:v>
      </x:c>
    </x:row>
    <x:row r="1671">
      <x:c r="A1671" t="str">
        <x:v>Square</x:v>
      </x:c>
      <x:c r="B1671" t="str">
        <x:v>Square</x:v>
      </x:c>
      <x:c r="C1671" t="str">
        <x:v>Scrambles_</x:v>
      </x:c>
      <x:c r="D1671" t="n">
        <x:v>9</x:v>
      </x:c>
      <x:c r="E1671" t="str">
        <x:v>Expert</x:v>
      </x:c>
      <x:c r="F1671" t="str">
        <x:v>Kaizo</x:v>
      </x:c>
      <x:c r="G1671" t="n">
        <x:v>43922</x:v>
      </x:c>
      <x:c r="H1671" t="str">
        <x:v>22530</x:v>
      </x:c>
      <x:c r="I1671" t="str">
        <x:v>https://www.smwcentral.net/?a=details&amp;id=22530&amp;p=section</x:v>
      </x:c>
      <x:c r="J1671" t="str">
        <x:v>https://dl.smwcentral.net/22530/Square.zip</x:v>
      </x:c>
    </x:row>
    <x:row r="1672">
      <x:c r="A1672" t="str">
        <x:v>SRE X - Kaizo Race</x:v>
      </x:c>
      <x:c r="B1672" t="str">
        <x:v>SRE X - Kaizo Race</x:v>
      </x:c>
      <x:c r="C1672" t="str">
        <x:v>Alex</x:v>
      </x:c>
      <x:c r="D1672" t="n">
        <x:v>6</x:v>
      </x:c>
      <x:c r="E1672" t="str">
        <x:v>Expert</x:v>
      </x:c>
      <x:c r="F1672" t="str">
        <x:v>Kaizo</x:v>
      </x:c>
      <x:c r="G1672" t="n">
        <x:v>45565</x:v>
      </x:c>
      <x:c r="H1672" t="str">
        <x:v>38560</x:v>
      </x:c>
      <x:c r="I1672" t="str">
        <x:v>https://www.smwcentral.net/?a=details&amp;id=38560&amp;p=section</x:v>
      </x:c>
      <x:c r="J1672" t="str">
        <x:v>https://dl.smwcentral.net/38560/SRE%20X.zip</x:v>
      </x:c>
    </x:row>
    <x:row r="1673">
      <x:c r="A1673" t="str">
        <x:v>Staccato</x:v>
      </x:c>
      <x:c r="B1673" t="str">
        <x:v>Staccato</x:v>
      </x:c>
      <x:c r="C1673" t="str">
        <x:v>gui</x:v>
      </x:c>
      <x:c r="D1673" t="n">
        <x:v>14</x:v>
      </x:c>
      <x:c r="E1673" t="str">
        <x:v>Master</x:v>
      </x:c>
      <x:c r="F1673" t="str">
        <x:v>Kaizo</x:v>
      </x:c>
      <x:c r="G1673" t="n">
        <x:v>44476</x:v>
      </x:c>
      <x:c r="H1673" t="str">
        <x:v>28370</x:v>
      </x:c>
      <x:c r="I1673" t="str">
        <x:v>https://www.smwcentral.net/?a=details&amp;id=28370&amp;p=section</x:v>
      </x:c>
      <x:c r="J1673" t="str">
        <x:v>https://dl.smwcentral.net/28370/Staccato.zip</x:v>
      </x:c>
    </x:row>
    <x:row r="1674">
      <x:c r="A1674" t="str">
        <x:v>Stacks cafe</x:v>
      </x:c>
      <x:c r="B1674" t="str">
        <x:v>Stacks cafe</x:v>
      </x:c>
      <x:c r="C1674" t="str">
        <x:v>Lush_50</x:v>
      </x:c>
      <x:c r="D1674" t="n">
        <x:v>1</x:v>
      </x:c>
      <x:c r="E1674" t="str">
        <x:v>Advanced</x:v>
      </x:c>
      <x:c r="F1674" t="str">
        <x:v>Kaizo</x:v>
      </x:c>
      <x:c r="G1674" t="n">
        <x:v>45722</x:v>
      </x:c>
      <x:c r="H1674" t="str">
        <x:v>39517</x:v>
      </x:c>
      <x:c r="I1674" t="str">
        <x:v>https://www.smwcentral.net/?a=details&amp;id=39517&amp;p=section</x:v>
      </x:c>
      <x:c r="J1674" t="str">
        <x:v>https://dl.smwcentral.net/39517/Stacks%20Cafe%20V1.0%20by%20Lush_50.zip</x:v>
      </x:c>
    </x:row>
    <x:row r="1675">
      <x:c r="A1675" t="str">
        <x:v>Stackup (Demo #0)</x:v>
      </x:c>
      <x:c r="B1675" t="str">
        <x:v>Stackup (Demo #0)</x:v>
      </x:c>
      <x:c r="C1675" t="str">
        <x:v>Katrina</x:v>
      </x:c>
      <x:c r="D1675" t="n">
        <x:v>8</x:v>
      </x:c>
      <x:c r="E1675" t="str">
        <x:v>Intermediate</x:v>
      </x:c>
      <x:c r="F1675" t="str">
        <x:v>Standard</x:v>
      </x:c>
      <x:c r="G1675" t="n">
        <x:v>46025</x:v>
      </x:c>
      <x:c r="H1675" t="str">
        <x:v>41326</x:v>
      </x:c>
      <x:c r="I1675" t="str">
        <x:v>https://www.smwcentral.net/?a=details&amp;id=41326&amp;p=section</x:v>
      </x:c>
      <x:c r="J1675" t="str">
        <x:v>https://dl.smwcentral.net/41326/stackup.zip</x:v>
      </x:c>
    </x:row>
    <x:row r="1676">
      <x:c r="A1676" t="str">
        <x:v>Stand Tall and Shake the Heavens</x:v>
      </x:c>
      <x:c r="B1676" t="str">
        <x:v>Stand Tall and Shake the Heavens</x:v>
      </x:c>
      <x:c r="C1676" t="str">
        <x:v>cozyduck</x:v>
      </x:c>
      <x:c r="D1676" t="n">
        <x:v>10</x:v>
      </x:c>
      <x:c r="E1676" t="str">
        <x:v>Master</x:v>
      </x:c>
      <x:c r="F1676" t="str">
        <x:v>Kaizo</x:v>
      </x:c>
      <x:c r="G1676" t="n">
        <x:v>44067</x:v>
      </x:c>
      <x:c r="H1676" t="str">
        <x:v>24320</x:v>
      </x:c>
      <x:c r="I1676" t="str">
        <x:v>https://www.smwcentral.net/?a=details&amp;id=24320&amp;p=section</x:v>
      </x:c>
      <x:c r="J1676" t="str">
        <x:v>https://dl.smwcentral.net/24320/Stand%20Tall%20v1.2.zip</x:v>
      </x:c>
    </x:row>
    <x:row r="1677">
      <x:c r="A1677" t="str">
        <x:v>Standard SMW ROM Hack</x:v>
      </x:c>
      <x:c r="B1677" t="str">
        <x:v>Standard SMW ROM Hack</x:v>
      </x:c>
      <x:c r="C1677" t="str">
        <x:v>Denicentek</x:v>
      </x:c>
      <x:c r="D1677" t="n">
        <x:v>4</x:v>
      </x:c>
      <x:c r="E1677" t="str">
        <x:v>Casual</x:v>
      </x:c>
      <x:c r="F1677" t="str">
        <x:v>Standard</x:v>
      </x:c>
      <x:c r="G1677" t="n">
        <x:v>44012</x:v>
      </x:c>
      <x:c r="H1677" t="str">
        <x:v>23490</x:v>
      </x:c>
      <x:c r="I1677" t="str">
        <x:v>https://www.smwcentral.net/?a=details&amp;id=23490&amp;p=section</x:v>
      </x:c>
      <x:c r="J1677" t="str">
        <x:v>https://dl.smwcentral.net/23490/Standard%20SMW%20ROM%20Hack%20%28Fixed%20Demo%29.bps.zip</x:v>
      </x:c>
    </x:row>
    <x:row r="1678">
      <x:c r="A1678" t="str">
        <x:v>Stardust</x:v>
      </x:c>
      <x:c r="B1678" t="str">
        <x:v>Stardust</x:v>
      </x:c>
      <x:c r="C1678" t="str">
        <x:v>41681</x:v>
      </x:c>
      <x:c r="D1678" t="n">
        <x:v>4</x:v>
      </x:c>
      <x:c r="E1678" t="str">
        <x:v>Advanced</x:v>
      </x:c>
      <x:c r="F1678" t="str">
        <x:v>Kaizo</x:v>
      </x:c>
      <x:c r="G1678" t="n">
        <x:v>44326</x:v>
      </x:c>
      <x:c r="H1678" t="str">
        <x:v>26923</x:v>
      </x:c>
      <x:c r="I1678" t="str">
        <x:v>https://www.smwcentral.net/?a=details&amp;id=26923&amp;p=section</x:v>
      </x:c>
      <x:c r="J1678" t="str">
        <x:v>https://dl.smwcentral.net/26923/Stardust1.1.zip</x:v>
      </x:c>
    </x:row>
    <x:row r="1679">
      <x:c r="A1679" t="str">
        <x:v>Starting with Kaizo</x:v>
      </x:c>
      <x:c r="B1679" t="str">
        <x:v>Starting with Kaizo</x:v>
      </x:c>
      <x:c r="C1679" t="str">
        <x:v>Saphros</x:v>
      </x:c>
      <x:c r="D1679" t="n">
        <x:v>5</x:v>
      </x:c>
      <x:c r="E1679" t="str">
        <x:v>Intermediate</x:v>
      </x:c>
      <x:c r="F1679" t="str">
        <x:v>Kaizo</x:v>
      </x:c>
      <x:c r="G1679" t="n">
        <x:v>45895</x:v>
      </x:c>
      <x:c r="H1679" t="str">
        <x:v>40438</x:v>
      </x:c>
      <x:c r="I1679" t="str">
        <x:v>https://www.smwcentral.net/?a=details&amp;id=40438&amp;p=section</x:v>
      </x:c>
      <x:c r="J1679" t="str">
        <x:v>https://dl.smwcentral.net/40438/Starting%20with%20Kaizo.zip</x:v>
      </x:c>
    </x:row>
    <x:row r="1680">
      <x:c r="A1680" t="str">
        <x:v>Starting with Kaizo 2</x:v>
      </x:c>
      <x:c r="B1680" t="str">
        <x:v>Starting with Kaizo 2</x:v>
      </x:c>
      <x:c r="C1680" t="str">
        <x:v>Saphros</x:v>
      </x:c>
      <x:c r="D1680" t="n">
        <x:v>10</x:v>
      </x:c>
      <x:c r="E1680" t="str">
        <x:v>Intermediate</x:v>
      </x:c>
      <x:c r="F1680" t="str">
        <x:v>Kaizo</x:v>
      </x:c>
      <x:c r="G1680" t="n">
        <x:v>46179</x:v>
      </x:c>
      <x:c r="H1680" t="str">
        <x:v>42496</x:v>
      </x:c>
      <x:c r="I1680" t="str">
        <x:v>https://www.smwcentral.net/?a=details&amp;id=42496&amp;p=section</x:v>
      </x:c>
      <x:c r="J1680" t="str">
        <x:v>https://dl.smwcentral.net/42496/Starting%20with%20Kaizo%202%20-%201.0.1.zip</x:v>
      </x:c>
    </x:row>
    <x:row r="1681">
      <x:c r="A1681" t="str">
        <x:v>Staycation</x:v>
      </x:c>
      <x:c r="B1681" t="str">
        <x:v>Staycation</x:v>
      </x:c>
      <x:c r="C1681" t="str">
        <x:v>HousemeisterHD</x:v>
      </x:c>
      <x:c r="D1681" t="n">
        <x:v>22</x:v>
      </x:c>
      <x:c r="E1681" t="str">
        <x:v>Expert</x:v>
      </x:c>
      <x:c r="F1681" t="str">
        <x:v>Kaizo</x:v>
      </x:c>
      <x:c r="G1681" t="n">
        <x:v>46032</x:v>
      </x:c>
      <x:c r="H1681" t="str">
        <x:v>41376</x:v>
      </x:c>
      <x:c r="I1681" t="str">
        <x:v>https://www.smwcentral.net/?a=details&amp;id=41376&amp;p=section</x:v>
      </x:c>
      <x:c r="J1681" t="str">
        <x:v>https://dl.smwcentral.net/41376/Staycation.zip</x:v>
      </x:c>
    </x:row>
    <x:row r="1682">
      <x:c r="A1682" t="str">
        <x:v>Steamboat Mario</x:v>
      </x:c>
      <x:c r="B1682" t="str">
        <x:v>Steamboat Mario</x:v>
      </x:c>
      <x:c r="C1682" t="str">
        <x:v>Buzbee</x:v>
      </x:c>
      <x:c r="D1682" t="n">
        <x:v>7</x:v>
      </x:c>
      <x:c r="E1682" t="str">
        <x:v>Newcomer</x:v>
      </x:c>
      <x:c r="F1682" t="str">
        <x:v>Standard</x:v>
      </x:c>
      <x:c r="G1682" t="n">
        <x:v>44749</x:v>
      </x:c>
      <x:c r="H1682" t="str">
        <x:v>31286</x:v>
      </x:c>
      <x:c r="I1682" t="str">
        <x:v>https://www.smwcentral.net/?a=details&amp;id=31286&amp;p=section</x:v>
      </x:c>
      <x:c r="J1682" t="str">
        <x:v>https://dl.smwcentral.net/31286/Steamboat%20Mario.zip</x:v>
      </x:c>
    </x:row>
    <x:row r="1683">
      <x:c r="A1683" t="str">
        <x:v>Steid's Hack</x:v>
      </x:c>
      <x:c r="B1683" t="str">
        <x:v>Steid's Hack</x:v>
      </x:c>
      <x:c r="C1683" t="str">
        <x:v>Steid</x:v>
      </x:c>
      <x:c r="D1683" t="n">
        <x:v>8</x:v>
      </x:c>
      <x:c r="E1683" t="str">
        <x:v>Casual</x:v>
      </x:c>
      <x:c r="F1683" t="str">
        <x:v>Standard</x:v>
      </x:c>
      <x:c r="G1683" t="n">
        <x:v>45010</x:v>
      </x:c>
      <x:c r="H1683" t="str">
        <x:v>33561</x:v>
      </x:c>
      <x:c r="I1683" t="str">
        <x:v>https://www.smwcentral.net/?a=details&amp;id=33561&amp;p=section</x:v>
      </x:c>
      <x:c r="J1683" t="str">
        <x:v>https://dl.smwcentral.net/33561/Steid%27s%20Hack.zip</x:v>
      </x:c>
    </x:row>
    <x:row r="1684">
      <x:c r="A1684" t="str">
        <x:v>Steven's Strangest Day</x:v>
      </x:c>
      <x:c r="B1684" t="str">
        <x:v>Steven's Strangest Day</x:v>
      </x:c>
      <x:c r="C1684" t="str">
        <x:v>Gamet2004</x:v>
      </x:c>
      <x:c r="D1684" t="n">
        <x:v>23</x:v>
      </x:c>
      <x:c r="E1684" t="str">
        <x:v>Casual</x:v>
      </x:c>
      <x:c r="F1684" t="str">
        <x:v>Standard</x:v>
      </x:c>
      <x:c r="G1684" t="n">
        <x:v>45224</x:v>
      </x:c>
      <x:c r="H1684" t="str">
        <x:v>35213</x:v>
      </x:c>
      <x:c r="I1684" t="str">
        <x:v>https://www.smwcentral.net/?a=details&amp;id=35213&amp;p=section</x:v>
      </x:c>
      <x:c r="J1684" t="str">
        <x:v>https://dl.smwcentral.net/35213/Steven%20BPS.zip</x:v>
      </x:c>
    </x:row>
    <x:row r="1685">
      <x:c r="A1685" t="str">
        <x:v>stick mice in my head and then beat my head in with a hammer and let them back out</x:v>
      </x:c>
      <x:c r="B1685" t="str">
        <x:v>stick mice in my head and then beat my head in with a hammer and let them back out</x:v>
      </x:c>
      <x:c r="C1685" t="str">
        <x:v>Christina Hendricks, JUMP Team</x:v>
      </x:c>
      <x:c r="D1685" t="n">
        <x:v>19</x:v>
      </x:c>
      <x:c r="E1685" t="str">
        <x:v>Advanced</x:v>
      </x:c>
      <x:c r="F1685" t="str">
        <x:v>Standard</x:v>
      </x:c>
      <x:c r="G1685" t="n">
        <x:v>43140</x:v>
      </x:c>
      <x:c r="H1685" t="str">
        <x:v>17105</x:v>
      </x:c>
      <x:c r="I1685" t="str">
        <x:v>https://www.smwcentral.net/?a=details&amp;id=17105&amp;p=section</x:v>
      </x:c>
      <x:c r="J1685" t="str">
        <x:v>https://dl.smwcentral.net/17105/mice.zip</x:v>
      </x:c>
    </x:row>
    <x:row r="1686">
      <x:c r="A1686" t="str">
        <x:v>Stick This Up Your Pipe!</x:v>
      </x:c>
      <x:c r="B1686" t="str">
        <x:v>Stick This Up Your Pipe!</x:v>
      </x:c>
      <x:c r="C1686" t="str">
        <x:v>FalseCircus</x:v>
      </x:c>
      <x:c r="D1686" t="n">
        <x:v>0</x:v>
      </x:c>
      <x:c r="E1686" t="str">
        <x:v>Expert</x:v>
      </x:c>
      <x:c r="F1686" t="str">
        <x:v>Kaizo</x:v>
      </x:c>
      <x:c r="G1686" t="n">
        <x:v>45054</x:v>
      </x:c>
      <x:c r="H1686" t="str">
        <x:v>33781</x:v>
      </x:c>
      <x:c r="I1686" t="str">
        <x:v>https://www.smwcentral.net/?a=details&amp;id=33781&amp;p=section</x:v>
      </x:c>
      <x:c r="J1686" t="str">
        <x:v>https://dl.smwcentral.net/33781/Stick%20This%20Up%20Your%20Pipe%21.zip</x:v>
      </x:c>
    </x:row>
    <x:row r="1687">
      <x:c r="A1687" t="str">
        <x:v>Storks and Apes and Crocodiles</x:v>
      </x:c>
      <x:c r="B1687" t="str">
        <x:v>Storks and Apes and Crocodiles</x:v>
      </x:c>
      <x:c r="C1687" t="str">
        <x:v>Morsel</x:v>
      </x:c>
      <x:c r="D1687" t="n">
        <x:v>17</x:v>
      </x:c>
      <x:c r="E1687" t="str">
        <x:v>Master</x:v>
      </x:c>
      <x:c r="F1687" t="str">
        <x:v>Kaizo</x:v>
      </x:c>
      <x:c r="G1687" t="n">
        <x:v>44362</x:v>
      </x:c>
      <x:c r="H1687" t="str">
        <x:v>27282</x:v>
      </x:c>
      <x:c r="I1687" t="str">
        <x:v>https://www.smwcentral.net/?a=details&amp;id=27282&amp;p=section</x:v>
      </x:c>
      <x:c r="J1687" t="str">
        <x:v>https://dl.smwcentral.net/27282/apes1.14.zip</x:v>
      </x:c>
    </x:row>
    <x:row r="1688">
      <x:c r="A1688" t="str">
        <x:v>Story of Peiton</x:v>
      </x:c>
      <x:c r="B1688" t="str">
        <x:v>Story of Peiton</x:v>
      </x:c>
      <x:c r="C1688" t="str">
        <x:v>Peyton</x:v>
      </x:c>
      <x:c r="D1688" t="n">
        <x:v>37</x:v>
      </x:c>
      <x:c r="E1688" t="str">
        <x:v>Intermediate</x:v>
      </x:c>
      <x:c r="F1688" t="str">
        <x:v>Standard</x:v>
      </x:c>
      <x:c r="G1688" t="n">
        <x:v>42342</x:v>
      </x:c>
      <x:c r="H1688" t="str">
        <x:v>12718</x:v>
      </x:c>
      <x:c r="I1688" t="str">
        <x:v>https://www.smwcentral.net/?a=details&amp;id=12718&amp;p=section</x:v>
      </x:c>
      <x:c r="J1688" t="str">
        <x:v>https://dl.smwcentral.net/12718/StoryOfPeitonDEMO4.zip</x:v>
      </x:c>
    </x:row>
    <x:row r="1689">
      <x:c r="A1689" t="str">
        <x:v>Straight Shellin'</x:v>
      </x:c>
      <x:c r="B1689" t="str">
        <x:v>Straight Shellin'</x:v>
      </x:c>
      <x:c r="C1689" t="str">
        <x:v>RedPandaa_</x:v>
      </x:c>
      <x:c r="D1689" t="n">
        <x:v>6</x:v>
      </x:c>
      <x:c r="E1689" t="str">
        <x:v>Expert</x:v>
      </x:c>
      <x:c r="F1689" t="str">
        <x:v>Kaizo</x:v>
      </x:c>
      <x:c r="G1689" t="n">
        <x:v>45984</x:v>
      </x:c>
      <x:c r="H1689" t="str">
        <x:v>41092</x:v>
      </x:c>
      <x:c r="I1689" t="str">
        <x:v>https://www.smwcentral.net/?a=details&amp;id=41092&amp;p=section</x:v>
      </x:c>
      <x:c r="J1689" t="str">
        <x:v>https://dl.smwcentral.net/41092/Straight%20Shellin%27.zip</x:v>
      </x:c>
    </x:row>
    <x:row r="1690">
      <x:c r="A1690" t="str">
        <x:v>Stranded</x:v>
      </x:c>
      <x:c r="B1690" t="str">
        <x:v>Stranded</x:v>
      </x:c>
      <x:c r="C1690" t="str">
        <x:v>ghettoyouth</x:v>
      </x:c>
      <x:c r="D1690" t="n">
        <x:v>16</x:v>
      </x:c>
      <x:c r="E1690" t="str">
        <x:v>Casual</x:v>
      </x:c>
      <x:c r="F1690" t="str">
        <x:v>Standard</x:v>
      </x:c>
      <x:c r="G1690" t="n">
        <x:v>41445</x:v>
      </x:c>
      <x:c r="H1690" t="str">
        <x:v>4975</x:v>
      </x:c>
      <x:c r="I1690" t="str">
        <x:v>https://www.smwcentral.net/?a=details&amp;id=4975&amp;p=section</x:v>
      </x:c>
      <x:c r="J1690" t="str">
        <x:v>https://dl.smwcentral.net/4975/stranded.zip</x:v>
      </x:c>
    </x:row>
    <x:row r="1691">
      <x:c r="A1691" t="str">
        <x:v>Strange Mario World</x:v>
      </x:c>
      <x:c r="B1691" t="str">
        <x:v>Strange Mario World</x:v>
      </x:c>
      <x:c r="C1691" t="str">
        <x:v>Acmlm</x:v>
      </x:c>
      <x:c r="D1691" t="n">
        <x:v>6</x:v>
      </x:c>
      <x:c r="E1691" t="str">
        <x:v>Casual</x:v>
      </x:c>
      <x:c r="F1691" t="str">
        <x:v>Standard</x:v>
      </x:c>
      <x:c r="G1691" t="n">
        <x:v>42056</x:v>
      </x:c>
      <x:c r="H1691" t="str">
        <x:v>9758</x:v>
      </x:c>
      <x:c r="I1691" t="str">
        <x:v>https://www.smwcentral.net/?a=details&amp;id=9758&amp;p=section</x:v>
      </x:c>
      <x:c r="J1691" t="str">
        <x:v>https://dl.smwcentral.net/9758/Strange%20Mario%20World.zip</x:v>
      </x:c>
    </x:row>
    <x:row r="1692">
      <x:c r="A1692" t="str">
        <x:v>Stratfinder</x:v>
      </x:c>
      <x:c r="B1692" t="str">
        <x:v>Stratfinder</x:v>
      </x:c>
      <x:c r="C1692" t="str">
        <x:v>ageVerrly</x:v>
      </x:c>
      <x:c r="D1692" t="n">
        <x:v>3</x:v>
      </x:c>
      <x:c r="E1692" t="str">
        <x:v>Master</x:v>
      </x:c>
      <x:c r="F1692" t="str">
        <x:v>Kaizo</x:v>
      </x:c>
      <x:c r="G1692" t="n">
        <x:v>44515</x:v>
      </x:c>
      <x:c r="H1692" t="str">
        <x:v>28333</x:v>
      </x:c>
      <x:c r="I1692" t="str">
        <x:v>https://www.smwcentral.net/?a=details&amp;id=28333&amp;p=section</x:v>
      </x:c>
      <x:c r="J1692" t="str">
        <x:v>https://dl.smwcentral.net/28333/stratfinder.zip</x:v>
      </x:c>
    </x:row>
    <x:row r="1693">
      <x:c r="A1693" t="str">
        <x:v>Streak of Tigers</x:v>
      </x:c>
      <x:c r="B1693" t="str">
        <x:v>Streak of Tigers</x:v>
      </x:c>
      <x:c r="C1693" t="str">
        <x:v>JonnyManjiro</x:v>
      </x:c>
      <x:c r="D1693" t="n">
        <x:v>11</x:v>
      </x:c>
      <x:c r="E1693" t="str">
        <x:v>Expert</x:v>
      </x:c>
      <x:c r="F1693" t="str">
        <x:v>Kaizo</x:v>
      </x:c>
      <x:c r="G1693" t="n">
        <x:v>44312</x:v>
      </x:c>
      <x:c r="H1693" t="str">
        <x:v>26815</x:v>
      </x:c>
      <x:c r="I1693" t="str">
        <x:v>https://www.smwcentral.net/?a=details&amp;id=26815&amp;p=section</x:v>
      </x:c>
      <x:c r="J1693" t="str">
        <x:v>https://dl.smwcentral.net/26815/Streak%20of%20Tigers%201.1.zip</x:v>
      </x:c>
    </x:row>
    <x:row r="1694">
      <x:c r="A1694" t="str">
        <x:v>Streak of Tigers 2</x:v>
      </x:c>
      <x:c r="B1694" t="str">
        <x:v>Streak of Tigers 2</x:v>
      </x:c>
      <x:c r="C1694" t="str">
        <x:v>JonnyManjiro</x:v>
      </x:c>
      <x:c r="D1694" t="n">
        <x:v>11</x:v>
      </x:c>
      <x:c r="E1694" t="str">
        <x:v>Expert</x:v>
      </x:c>
      <x:c r="F1694" t="str">
        <x:v>Kaizo</x:v>
      </x:c>
      <x:c r="G1694" t="n">
        <x:v>44374</x:v>
      </x:c>
      <x:c r="H1694" t="str">
        <x:v>27331</x:v>
      </x:c>
      <x:c r="I1694" t="str">
        <x:v>https://www.smwcentral.net/?a=details&amp;id=27331&amp;p=section</x:v>
      </x:c>
      <x:c r="J1694" t="str">
        <x:v>https://dl.smwcentral.net/27331/Streak%20of%20Tigers%202.zip</x:v>
      </x:c>
    </x:row>
    <x:row r="1695">
      <x:c r="A1695" t="str">
        <x:v>Studies of a broken engine</x:v>
      </x:c>
      <x:c r="B1695" t="str">
        <x:v>Studies of a broken engine</x:v>
      </x:c>
      <x:c r="C1695" t="str">
        <x:v>xHF01x</x:v>
      </x:c>
      <x:c r="D1695" t="n">
        <x:v>1</x:v>
      </x:c>
      <x:c r="E1695" t="str">
        <x:v>Grandmaster</x:v>
      </x:c>
      <x:c r="F1695" t="str">
        <x:v>Kaizo</x:v>
      </x:c>
      <x:c r="G1695" t="n">
        <x:v>44481</x:v>
      </x:c>
      <x:c r="H1695" t="str">
        <x:v>28464</x:v>
      </x:c>
      <x:c r="I1695" t="str">
        <x:v>https://www.smwcentral.net/?a=details&amp;id=28464&amp;p=section</x:v>
      </x:c>
      <x:c r="J1695" t="str">
        <x:v>https://dl.smwcentral.net/28464/Studies_of_a_broken_engine.zip</x:v>
      </x:c>
    </x:row>
    <x:row r="1696">
      <x:c r="A1696" t="str">
        <x:v>Subpar Mario World</x:v>
      </x:c>
      <x:c r="B1696" t="str">
        <x:v>Subpar Mario World</x:v>
      </x:c>
      <x:c r="C1696" t="str">
        <x:v>Shuttles</x:v>
      </x:c>
      <x:c r="D1696" t="n">
        <x:v>27</x:v>
      </x:c>
      <x:c r="E1696" t="str">
        <x:v>Advanced</x:v>
      </x:c>
      <x:c r="F1696" t="str">
        <x:v>Kaizo</x:v>
      </x:c>
      <x:c r="G1696" t="n">
        <x:v>43606</x:v>
      </x:c>
      <x:c r="H1696" t="str">
        <x:v>19914</x:v>
      </x:c>
      <x:c r="I1696" t="str">
        <x:v>https://www.smwcentral.net/?a=details&amp;id=19914&amp;p=section</x:v>
      </x:c>
      <x:c r="J1696" t="str">
        <x:v>https://dl.smwcentral.net/19914/Subpar_Mario_World_v1.0.zip</x:v>
      </x:c>
    </x:row>
    <x:row r="1697">
      <x:c r="A1697" t="str">
        <x:v>Summer</x:v>
      </x:c>
      <x:c r="B1697" t="str">
        <x:v>Summer</x:v>
      </x:c>
      <x:c r="C1697" t="str">
        <x:v>Morph Moth</x:v>
      </x:c>
      <x:c r="D1697" t="n">
        <x:v>14</x:v>
      </x:c>
      <x:c r="E1697" t="str">
        <x:v>Master</x:v>
      </x:c>
      <x:c r="F1697" t="str">
        <x:v>Kaizo</x:v>
      </x:c>
      <x:c r="G1697" t="n">
        <x:v>45268</x:v>
      </x:c>
      <x:c r="H1697" t="str">
        <x:v>35655</x:v>
      </x:c>
      <x:c r="I1697" t="str">
        <x:v>https://www.smwcentral.net/?a=details&amp;id=35655&amp;p=section</x:v>
      </x:c>
      <x:c r="J1697" t="str">
        <x:v>https://dl.smwcentral.net/35655/Summer.zip</x:v>
      </x:c>
    </x:row>
    <x:row r="1698">
      <x:c r="A1698" t="str">
        <x:v>Summer Season</x:v>
      </x:c>
      <x:c r="B1698" t="str">
        <x:v>Summer Season</x:v>
      </x:c>
      <x:c r="C1698" t="str">
        <x:v>RussianMan</x:v>
      </x:c>
      <x:c r="D1698" t="n">
        <x:v>5</x:v>
      </x:c>
      <x:c r="E1698" t="str">
        <x:v>Casual</x:v>
      </x:c>
      <x:c r="F1698" t="str">
        <x:v>Standard</x:v>
      </x:c>
      <x:c r="G1698" t="n">
        <x:v>42616</x:v>
      </x:c>
      <x:c r="H1698" t="str">
        <x:v>14202</x:v>
      </x:c>
      <x:c r="I1698" t="str">
        <x:v>https://www.smwcentral.net/?a=details&amp;id=14202&amp;p=section</x:v>
      </x:c>
      <x:c r="J1698" t="str">
        <x:v>https://dl.smwcentral.net/14202/Summer%20Season%20V.1.05.zip</x:v>
      </x:c>
    </x:row>
    <x:row r="1699">
      <x:c r="A1699" t="str">
        <x:v>Sunny Side World</x:v>
      </x:c>
      <x:c r="B1699" t="str">
        <x:v>Sunny Side World</x:v>
      </x:c>
      <x:c r="C1699" t="str">
        <x:v>cwiarl</x:v>
      </x:c>
      <x:c r="D1699" t="n">
        <x:v>7</x:v>
      </x:c>
      <x:c r="E1699" t="str">
        <x:v>Newcomer</x:v>
      </x:c>
      <x:c r="F1699" t="str">
        <x:v>Standard</x:v>
      </x:c>
      <x:c r="G1699" t="n">
        <x:v>41447</x:v>
      </x:c>
      <x:c r="H1699" t="str">
        <x:v>5024</x:v>
      </x:c>
      <x:c r="I1699" t="str">
        <x:v>https://www.smwcentral.net/?a=details&amp;id=5024&amp;p=section</x:v>
      </x:c>
      <x:c r="J1699" t="str">
        <x:v>https://dl.smwcentral.net/5024/ssworld.zip</x:v>
      </x:c>
    </x:row>
    <x:row r="1700">
      <x:c r="A1700" t="str">
        <x:v>Super "Mario" World</x:v>
      </x:c>
      <x:c r="B1700" t="str">
        <x:v>Super "Mario" World</x:v>
      </x:c>
      <x:c r="C1700" t="str">
        <x:v>1UPdudes</x:v>
      </x:c>
      <x:c r="D1700" t="n">
        <x:v>35</x:v>
      </x:c>
      <x:c r="E1700" t="str">
        <x:v>Newcomer</x:v>
      </x:c>
      <x:c r="F1700" t="str">
        <x:v>Standard</x:v>
      </x:c>
      <x:c r="G1700" t="n">
        <x:v>41585</x:v>
      </x:c>
      <x:c r="H1700" t="str">
        <x:v>5443</x:v>
      </x:c>
      <x:c r="I1700" t="str">
        <x:v>https://www.smwcentral.net/?a=details&amp;id=5443&amp;p=section</x:v>
      </x:c>
      <x:c r="J1700" t="str">
        <x:v>https://dl.smwcentral.net/5443/1UPSuperMarioWorld.zip</x:v>
      </x:c>
    </x:row>
    <x:row r="1701">
      <x:c r="A1701" t="str">
        <x:v>Super "Mario" World 2</x:v>
      </x:c>
      <x:c r="B1701" t="str">
        <x:v>Super "Mario" World 2</x:v>
      </x:c>
      <x:c r="C1701" t="str">
        <x:v>1UPdudes</x:v>
      </x:c>
      <x:c r="D1701" t="n">
        <x:v>87</x:v>
      </x:c>
      <x:c r="E1701" t="str">
        <x:v>Intermediate</x:v>
      </x:c>
      <x:c r="F1701" t="str">
        <x:v>Standard</x:v>
      </x:c>
      <x:c r="G1701" t="n">
        <x:v>42316</x:v>
      </x:c>
      <x:c r="H1701" t="str">
        <x:v>10252</x:v>
      </x:c>
      <x:c r="I1701" t="str">
        <x:v>https://www.smwcentral.net/?a=details&amp;id=10252&amp;p=section</x:v>
      </x:c>
      <x:c r="J1701" t="str">
        <x:v>https://dl.smwcentral.net/10252/SuperMWV4.zip</x:v>
      </x:c>
    </x:row>
    <x:row r="1702">
      <x:c r="A1702" t="str">
        <x:v>Super "Sonic Saves the World" World</x:v>
      </x:c>
      <x:c r="B1702" t="str">
        <x:v>Super "Sonic Saves the World" World</x:v>
      </x:c>
      <x:c r="C1702" t="str">
        <x:v>YMM</x:v>
      </x:c>
      <x:c r="D1702" t="n">
        <x:v>69</x:v>
      </x:c>
      <x:c r="E1702" t="str">
        <x:v>Master</x:v>
      </x:c>
      <x:c r="F1702" t="str">
        <x:v>Kaizo</x:v>
      </x:c>
      <x:c r="G1702" t="n">
        <x:v>44939</x:v>
      </x:c>
      <x:c r="H1702" t="str">
        <x:v>32893</x:v>
      </x:c>
      <x:c r="I1702" t="str">
        <x:v>https://www.smwcentral.net/?a=details&amp;id=32893&amp;p=section</x:v>
      </x:c>
      <x:c r="J1702" t="str">
        <x:v>https://dl.smwcentral.net/32893/Super%20%27Sonic%20Saves%20the%20World%27%20World.zip</x:v>
      </x:c>
    </x:row>
    <x:row r="1703">
      <x:c r="A1703" t="str">
        <x:v>Super Adam World</x:v>
      </x:c>
      <x:c r="B1703" t="str">
        <x:v>Super Adam World</x:v>
      </x:c>
      <x:c r="C1703" t="str">
        <x:v>kellykelster</x:v>
      </x:c>
      <x:c r="D1703" t="n">
        <x:v>9</x:v>
      </x:c>
      <x:c r="E1703" t="str">
        <x:v>Intermediate</x:v>
      </x:c>
      <x:c r="F1703" t="str">
        <x:v>Standard</x:v>
      </x:c>
      <x:c r="G1703" t="n">
        <x:v>44167</x:v>
      </x:c>
      <x:c r="H1703" t="str">
        <x:v>24931</x:v>
      </x:c>
      <x:c r="I1703" t="str">
        <x:v>https://www.smwcentral.net/?a=details&amp;id=24931&amp;p=section</x:v>
      </x:c>
      <x:c r="J1703" t="str">
        <x:v>https://dl.smwcentral.net/24931/adamworld.zip</x:v>
      </x:c>
    </x:row>
    <x:row r="1704">
      <x:c r="A1704" t="str">
        <x:v>Super Alabama Beach Mouse</x:v>
      </x:c>
      <x:c r="B1704" t="str">
        <x:v>Super Alabama Beach Mouse</x:v>
      </x:c>
      <x:c r="C1704" t="str">
        <x:v>marvisjj</x:v>
      </x:c>
      <x:c r="D1704" t="n">
        <x:v>7</x:v>
      </x:c>
      <x:c r="E1704" t="str">
        <x:v>Grandmaster</x:v>
      </x:c>
      <x:c r="F1704" t="str">
        <x:v>Kaizo</x:v>
      </x:c>
      <x:c r="G1704" t="n">
        <x:v>45377</x:v>
      </x:c>
      <x:c r="H1704" t="str">
        <x:v>37478</x:v>
      </x:c>
      <x:c r="I1704" t="str">
        <x:v>https://www.smwcentral.net/?a=details&amp;id=37478&amp;p=section</x:v>
      </x:c>
      <x:c r="J1704" t="str">
        <x:v>https://dl.smwcentral.net/37478/Super%20Alabama%20Beach%20Mouse.zip</x:v>
      </x:c>
    </x:row>
    <x:row r="1705">
      <x:c r="A1705" t="str">
        <x:v>Super Alex Demo</x:v>
      </x:c>
      <x:c r="B1705" t="str">
        <x:v>Super Alex Demo</x:v>
      </x:c>
      <x:c r="C1705" t="str">
        <x:v>Ding_Dong</x:v>
      </x:c>
      <x:c r="D1705" t="n">
        <x:v>7</x:v>
      </x:c>
      <x:c r="E1705" t="str">
        <x:v>Casual</x:v>
      </x:c>
      <x:c r="F1705" t="str">
        <x:v>Standard</x:v>
      </x:c>
      <x:c r="G1705" t="n">
        <x:v>46170</x:v>
      </x:c>
      <x:c r="H1705" t="str">
        <x:v>42415</x:v>
      </x:c>
      <x:c r="I1705" t="str">
        <x:v>https://www.smwcentral.net/?a=details&amp;id=42415&amp;p=section</x:v>
      </x:c>
      <x:c r="J1705" t="str">
        <x:v>https://dl.smwcentral.net/42415/Super%20Alex%20Demo.zip</x:v>
      </x:c>
    </x:row>
    <x:row r="1706">
      <x:c r="A1706" t="str">
        <x:v>Super Alicorn Sisters: Return of the Tantabus (A My Little Pony hack)</x:v>
      </x:c>
      <x:c r="B1706" t="str">
        <x:v>Super Alicorn Sisters: Return of the Tantabus (A My Little Pony hack)</x:v>
      </x:c>
      <x:c r="C1706" t="str">
        <x:v>DPBOX</x:v>
      </x:c>
      <x:c r="D1706" t="n">
        <x:v>6</x:v>
      </x:c>
      <x:c r="E1706" t="str">
        <x:v>Newcomer</x:v>
      </x:c>
      <x:c r="F1706" t="str">
        <x:v>Standard</x:v>
      </x:c>
      <x:c r="G1706" t="n">
        <x:v>43575</x:v>
      </x:c>
      <x:c r="H1706" t="str">
        <x:v>19706</x:v>
      </x:c>
      <x:c r="I1706" t="str">
        <x:v>https://www.smwcentral.net/?a=details&amp;id=19706&amp;p=section</x:v>
      </x:c>
      <x:c r="J1706" t="str">
        <x:v>https://dl.smwcentral.net/19706/Super%20Alicorn%20Sisters%20Return%20of%20the%20Tantabus%20DEMO%200.05.2.zip</x:v>
      </x:c>
    </x:row>
    <x:row r="1707">
      <x:c r="A1707" t="str">
        <x:v>Super Amazing World</x:v>
      </x:c>
      <x:c r="B1707" t="str">
        <x:v>Super Amazing World</x:v>
      </x:c>
      <x:c r="C1707" t="str">
        <x:v>uyuyuy99</x:v>
      </x:c>
      <x:c r="D1707" t="n">
        <x:v>8</x:v>
      </x:c>
      <x:c r="E1707" t="str">
        <x:v>Casual</x:v>
      </x:c>
      <x:c r="F1707" t="str">
        <x:v>Standard</x:v>
      </x:c>
      <x:c r="G1707" t="n">
        <x:v>42267</x:v>
      </x:c>
      <x:c r="H1707" t="str">
        <x:v>9945</x:v>
      </x:c>
      <x:c r="I1707" t="str">
        <x:v>https://www.smwcentral.net/?a=details&amp;id=9945&amp;p=section</x:v>
      </x:c>
      <x:c r="J1707" t="str">
        <x:v>https://dl.smwcentral.net/9945/super_amazing_world4.zip</x:v>
      </x:c>
    </x:row>
    <x:row r="1708">
      <x:c r="A1708" t="str">
        <x:v>Super Amethyst Rocks</x:v>
      </x:c>
      <x:c r="B1708" t="str">
        <x:v>Super Amethyst Rocks</x:v>
      </x:c>
      <x:c r="C1708" t="str">
        <x:v>shovda</x:v>
      </x:c>
      <x:c r="D1708" t="n">
        <x:v>36</x:v>
      </x:c>
      <x:c r="E1708" t="str">
        <x:v>Expert</x:v>
      </x:c>
      <x:c r="F1708" t="str">
        <x:v>Kaizo</x:v>
      </x:c>
      <x:c r="G1708" t="n">
        <x:v>44517</x:v>
      </x:c>
      <x:c r="H1708" t="str">
        <x:v>28818</x:v>
      </x:c>
      <x:c r="I1708" t="str">
        <x:v>https://www.smwcentral.net/?a=details&amp;id=28818&amp;p=section</x:v>
      </x:c>
      <x:c r="J1708" t="str">
        <x:v>https://dl.smwcentral.net/28818/Super%20Amethyst%20Rocks.zip</x:v>
      </x:c>
    </x:row>
    <x:row r="1709">
      <x:c r="A1709" t="str">
        <x:v>Super Ario World</x:v>
      </x:c>
      <x:c r="B1709" t="str">
        <x:v>Super Ario World</x:v>
      </x:c>
      <x:c r="C1709" t="str">
        <x:v>seintiago</x:v>
      </x:c>
      <x:c r="D1709" t="n">
        <x:v>6</x:v>
      </x:c>
      <x:c r="E1709" t="str">
        <x:v>Advanced</x:v>
      </x:c>
      <x:c r="F1709" t="str">
        <x:v>Standard, Kaizo</x:v>
      </x:c>
      <x:c r="G1709" t="n">
        <x:v>45374</x:v>
      </x:c>
      <x:c r="H1709" t="str">
        <x:v>34508</x:v>
      </x:c>
      <x:c r="I1709" t="str">
        <x:v>https://www.smwcentral.net/?a=details&amp;id=34508&amp;p=section</x:v>
      </x:c>
      <x:c r="J1709" t="str">
        <x:v>https://dl.smwcentral.net/34508/Super%20Ario%20World.zip</x:v>
      </x:c>
    </x:row>
    <x:row r="1710">
      <x:c r="A1710" t="str">
        <x:v>Super BanzaiChuck World</x:v>
      </x:c>
      <x:c r="B1710" t="str">
        <x:v>Super BanzaiChuck World</x:v>
      </x:c>
      <x:c r="C1710" t="str">
        <x:v>DoktorGroove</x:v>
      </x:c>
      <x:c r="D1710" t="n">
        <x:v>20</x:v>
      </x:c>
      <x:c r="E1710" t="str">
        <x:v>Master</x:v>
      </x:c>
      <x:c r="F1710" t="str">
        <x:v>Kaizo</x:v>
      </x:c>
      <x:c r="G1710" t="n">
        <x:v>46094</x:v>
      </x:c>
      <x:c r="H1710" t="str">
        <x:v>41691</x:v>
      </x:c>
      <x:c r="I1710" t="str">
        <x:v>https://www.smwcentral.net/?a=details&amp;id=41691&amp;p=section</x:v>
      </x:c>
      <x:c r="J1710" t="str">
        <x:v>https://dl.smwcentral.net/41691/SBCW_V1_1.zip</x:v>
      </x:c>
    </x:row>
    <x:row r="1711">
      <x:c r="A1711" t="str">
        <x:v>Super Beast World</x:v>
      </x:c>
      <x:c r="B1711" t="str">
        <x:v>Super Beast World</x:v>
      </x:c>
      <x:c r="C1711" t="str">
        <x:v>SuperBeastGN</x:v>
      </x:c>
      <x:c r="D1711" t="n">
        <x:v>10</x:v>
      </x:c>
      <x:c r="E1711" t="str">
        <x:v>Intermediate</x:v>
      </x:c>
      <x:c r="F1711" t="str">
        <x:v>Kaizo</x:v>
      </x:c>
      <x:c r="G1711" t="n">
        <x:v>43921</x:v>
      </x:c>
      <x:c r="H1711" t="str">
        <x:v>22519</x:v>
      </x:c>
      <x:c r="I1711" t="str">
        <x:v>https://www.smwcentral.net/?a=details&amp;id=22519&amp;p=section</x:v>
      </x:c>
      <x:c r="J1711" t="str">
        <x:v>https://dl.smwcentral.net/22519/Super%20Beast%20World%20v1.1.bps.zip</x:v>
      </x:c>
    </x:row>
    <x:row r="1712">
      <x:c r="A1712" t="str">
        <x:v>Super Beco World</x:v>
      </x:c>
      <x:c r="B1712" t="str">
        <x:v>Super Beco World</x:v>
      </x:c>
      <x:c r="C1712" t="str">
        <x:v>SKAW Adri</x:v>
      </x:c>
      <x:c r="D1712" t="n">
        <x:v>15</x:v>
      </x:c>
      <x:c r="E1712" t="str">
        <x:v>Advanced</x:v>
      </x:c>
      <x:c r="F1712" t="str">
        <x:v>Kaizo</x:v>
      </x:c>
      <x:c r="G1712" t="n">
        <x:v>44242</x:v>
      </x:c>
      <x:c r="H1712" t="str">
        <x:v>26187</x:v>
      </x:c>
      <x:c r="I1712" t="str">
        <x:v>https://www.smwcentral.net/?a=details&amp;id=26187&amp;p=section</x:v>
      </x:c>
      <x:c r="J1712" t="str">
        <x:v>https://dl.smwcentral.net/26187/Super%20Beco%20World.zip</x:v>
      </x:c>
    </x:row>
    <x:row r="1713">
      <x:c r="A1713" t="str">
        <x:v>Super Beco World 2</x:v>
      </x:c>
      <x:c r="B1713" t="str">
        <x:v>Super Beco World 2</x:v>
      </x:c>
      <x:c r="C1713" t="str">
        <x:v>SKAW Adri</x:v>
      </x:c>
      <x:c r="D1713" t="n">
        <x:v>14</x:v>
      </x:c>
      <x:c r="E1713" t="str">
        <x:v>Advanced</x:v>
      </x:c>
      <x:c r="F1713" t="str">
        <x:v>Kaizo</x:v>
      </x:c>
      <x:c r="G1713" t="n">
        <x:v>44145</x:v>
      </x:c>
      <x:c r="H1713" t="str">
        <x:v>25055</x:v>
      </x:c>
      <x:c r="I1713" t="str">
        <x:v>https://www.smwcentral.net/?a=details&amp;id=25055&amp;p=section</x:v>
      </x:c>
      <x:c r="J1713" t="str">
        <x:v>https://dl.smwcentral.net/25055/Super%20Beco%20World%202.zip</x:v>
      </x:c>
    </x:row>
    <x:row r="1714">
      <x:c r="A1714" t="str">
        <x:v>Super Beco World 3</x:v>
      </x:c>
      <x:c r="B1714" t="str">
        <x:v>Super Beco World 3</x:v>
      </x:c>
      <x:c r="C1714" t="str">
        <x:v>SKAW Adri</x:v>
      </x:c>
      <x:c r="D1714" t="n">
        <x:v>24</x:v>
      </x:c>
      <x:c r="E1714" t="str">
        <x:v>Advanced</x:v>
      </x:c>
      <x:c r="F1714" t="str">
        <x:v>Kaizo</x:v>
      </x:c>
      <x:c r="G1714" t="n">
        <x:v>44669</x:v>
      </x:c>
      <x:c r="H1714" t="str">
        <x:v>30305</x:v>
      </x:c>
      <x:c r="I1714" t="str">
        <x:v>https://www.smwcentral.net/?a=details&amp;id=30305&amp;p=section</x:v>
      </x:c>
      <x:c r="J1714" t="str">
        <x:v>https://dl.smwcentral.net/30305/Super%20Beco%20World%203%20v1.1.zip</x:v>
      </x:c>
    </x:row>
    <x:row r="1715">
      <x:c r="A1715" t="str">
        <x:v>Super Big Super Shy World</x:v>
      </x:c>
      <x:c r="B1715" t="str">
        <x:v>Super Big Super Shy World</x:v>
      </x:c>
      <x:c r="C1715" t="str">
        <x:v>TaddyMason74</x:v>
      </x:c>
      <x:c r="D1715" t="n">
        <x:v>30</x:v>
      </x:c>
      <x:c r="E1715" t="str">
        <x:v>Intermediate</x:v>
      </x:c>
      <x:c r="F1715" t="str">
        <x:v>Standard, Kaizo</x:v>
      </x:c>
      <x:c r="G1715" t="n">
        <x:v>44650</x:v>
      </x:c>
      <x:c r="H1715" t="str">
        <x:v>30199</x:v>
      </x:c>
      <x:c r="I1715" t="str">
        <x:v>https://www.smwcentral.net/?a=details&amp;id=30199&amp;p=section</x:v>
      </x:c>
      <x:c r="J1715" t="str">
        <x:v>https://dl.smwcentral.net/30199/SBSSW1.31.zip</x:v>
      </x:c>
    </x:row>
    <x:row r="1716">
      <x:c r="A1716" t="str">
        <x:v>Super Blooper</x:v>
      </x:c>
      <x:c r="B1716" t="str">
        <x:v>Super Blooper</x:v>
      </x:c>
      <x:c r="C1716" t="str">
        <x:v>Sonikku</x:v>
      </x:c>
      <x:c r="D1716" t="n">
        <x:v>11</x:v>
      </x:c>
      <x:c r="E1716" t="str">
        <x:v>Casual</x:v>
      </x:c>
      <x:c r="F1716" t="str">
        <x:v>Standard</x:v>
      </x:c>
      <x:c r="G1716" t="n">
        <x:v>42215</x:v>
      </x:c>
      <x:c r="H1716" t="str">
        <x:v>9642</x:v>
      </x:c>
      <x:c r="I1716" t="str">
        <x:v>https://www.smwcentral.net/?a=details&amp;id=9642&amp;p=section</x:v>
      </x:c>
      <x:c r="J1716" t="str">
        <x:v>https://dl.smwcentral.net/9642/SuperBlooperDemo1.zip</x:v>
      </x:c>
    </x:row>
    <x:row r="1717">
      <x:c r="A1717" t="str">
        <x:v>Super Boonie World</x:v>
      </x:c>
      <x:c r="B1717" t="str">
        <x:v>Super Boonie World</x:v>
      </x:c>
      <x:c r="C1717" t="str">
        <x:v>dubiousdinobot</x:v>
      </x:c>
      <x:c r="D1717" t="n">
        <x:v>18</x:v>
      </x:c>
      <x:c r="E1717" t="str">
        <x:v>Expert</x:v>
      </x:c>
      <x:c r="F1717" t="str">
        <x:v>Kaizo</x:v>
      </x:c>
      <x:c r="G1717" t="n">
        <x:v>45547</x:v>
      </x:c>
      <x:c r="H1717" t="str">
        <x:v>38415</x:v>
      </x:c>
      <x:c r="I1717" t="str">
        <x:v>https://www.smwcentral.net/?a=details&amp;id=38415&amp;p=section</x:v>
      </x:c>
      <x:c r="J1717" t="str">
        <x:v>https://dl.smwcentral.net/38415/Super%20Boonie%20World%20V1.2.zip</x:v>
      </x:c>
    </x:row>
    <x:row r="1718">
      <x:c r="A1718" t="str">
        <x:v>Super Breh World</x:v>
      </x:c>
      <x:c r="B1718" t="str">
        <x:v>Super Breh World</x:v>
      </x:c>
      <x:c r="C1718" t="str">
        <x:v>MagikNinja, xDropTheHammer</x:v>
      </x:c>
      <x:c r="D1718" t="n">
        <x:v>8</x:v>
      </x:c>
      <x:c r="E1718" t="str">
        <x:v>Advanced</x:v>
      </x:c>
      <x:c r="F1718" t="str">
        <x:v>Kaizo</x:v>
      </x:c>
      <x:c r="G1718" t="n">
        <x:v>45202</x:v>
      </x:c>
      <x:c r="H1718" t="str">
        <x:v>35008</x:v>
      </x:c>
      <x:c r="I1718" t="str">
        <x:v>https://www.smwcentral.net/?a=details&amp;id=35008&amp;p=section</x:v>
      </x:c>
      <x:c r="J1718" t="str">
        <x:v>https://dl.smwcentral.net/35008/SuperBrehWorldV.2.zip</x:v>
      </x:c>
    </x:row>
    <x:row r="1719">
      <x:c r="A1719" t="str">
        <x:v>Super Broke World</x:v>
      </x:c>
      <x:c r="B1719" t="str">
        <x:v>Super Broke World</x:v>
      </x:c>
      <x:c r="C1719" t="str">
        <x:v>ThirdWall</x:v>
      </x:c>
      <x:c r="D1719" t="n">
        <x:v>16</x:v>
      </x:c>
      <x:c r="E1719" t="str">
        <x:v>Master</x:v>
      </x:c>
      <x:c r="F1719" t="str">
        <x:v>Kaizo</x:v>
      </x:c>
      <x:c r="G1719" t="n">
        <x:v>44804</x:v>
      </x:c>
      <x:c r="H1719" t="str">
        <x:v>31821</x:v>
      </x:c>
      <x:c r="I1719" t="str">
        <x:v>https://www.smwcentral.net/?a=details&amp;id=31821&amp;p=section</x:v>
      </x:c>
      <x:c r="J1719" t="str">
        <x:v>https://dl.smwcentral.net/31821/Broke%20Fixed.zip</x:v>
      </x:c>
    </x:row>
    <x:row r="1720">
      <x:c r="A1720" t="str">
        <x:v>Super Bulti World</x:v>
      </x:c>
      <x:c r="B1720" t="str">
        <x:v>Super Bulti World</x:v>
      </x:c>
      <x:c r="C1720" t="str">
        <x:v>bulti</x:v>
      </x:c>
      <x:c r="D1720" t="n">
        <x:v>15</x:v>
      </x:c>
      <x:c r="E1720" t="str">
        <x:v>Advanced</x:v>
      </x:c>
      <x:c r="F1720" t="str">
        <x:v>Kaizo</x:v>
      </x:c>
      <x:c r="G1720" t="n">
        <x:v>45455</x:v>
      </x:c>
      <x:c r="H1720" t="str">
        <x:v>37921</x:v>
      </x:c>
      <x:c r="I1720" t="str">
        <x:v>https://www.smwcentral.net/?a=details&amp;id=37921&amp;p=section</x:v>
      </x:c>
      <x:c r="J1720" t="str">
        <x:v>https://dl.smwcentral.net/37921/Super%20Bulti%20World.zip</x:v>
      </x:c>
    </x:row>
    <x:row r="1721">
      <x:c r="A1721" t="str">
        <x:v>Super Butt World 2</x:v>
      </x:c>
      <x:c r="B1721" t="str">
        <x:v>Super Butt World 2</x:v>
      </x:c>
      <x:c r="C1721" t="str">
        <x:v>yogui</x:v>
      </x:c>
      <x:c r="D1721" t="n">
        <x:v>30</x:v>
      </x:c>
      <x:c r="E1721" t="str">
        <x:v>Master</x:v>
      </x:c>
      <x:c r="F1721" t="str">
        <x:v>Kaizo</x:v>
      </x:c>
      <x:c r="G1721" t="n">
        <x:v>43303</x:v>
      </x:c>
      <x:c r="H1721" t="str">
        <x:v>17898</x:v>
      </x:c>
      <x:c r="I1721" t="str">
        <x:v>https://www.smwcentral.net/?a=details&amp;id=17898&amp;p=section</x:v>
      </x:c>
      <x:c r="J1721" t="str">
        <x:v>https://dl.smwcentral.net/17898/butt2.zip</x:v>
      </x:c>
    </x:row>
    <x:row r="1722">
      <x:c r="A1722" t="str">
        <x:v>Super Challenge World</x:v>
      </x:c>
      <x:c r="B1722" t="str">
        <x:v>Super Challenge World</x:v>
      </x:c>
      <x:c r="C1722" t="str">
        <x:v>Nigel K.</x:v>
      </x:c>
      <x:c r="D1722" t="n">
        <x:v>113</x:v>
      </x:c>
      <x:c r="E1722" t="str">
        <x:v>Advanced</x:v>
      </x:c>
      <x:c r="F1722" t="str">
        <x:v>Standard</x:v>
      </x:c>
      <x:c r="G1722" t="n">
        <x:v>42320</x:v>
      </x:c>
      <x:c r="H1722" t="str">
        <x:v>9914</x:v>
      </x:c>
      <x:c r="I1722" t="str">
        <x:v>https://www.smwcentral.net/?a=details&amp;id=9914&amp;p=section</x:v>
      </x:c>
      <x:c r="J1722" t="str">
        <x:v>https://dl.smwcentral.net/9914/scw.zip</x:v>
      </x:c>
    </x:row>
    <x:row r="1723">
      <x:c r="A1723" t="str">
        <x:v>Super Chambo World</x:v>
      </x:c>
      <x:c r="B1723" t="str">
        <x:v>Super Chambo World</x:v>
      </x:c>
      <x:c r="C1723" t="str">
        <x:v>chester_fields</x:v>
      </x:c>
      <x:c r="D1723" t="n">
        <x:v>22</x:v>
      </x:c>
      <x:c r="E1723" t="str">
        <x:v>Expert</x:v>
      </x:c>
      <x:c r="F1723" t="str">
        <x:v>Kaizo</x:v>
      </x:c>
      <x:c r="G1723" t="n">
        <x:v>44672</x:v>
      </x:c>
      <x:c r="H1723" t="str">
        <x:v>30424</x:v>
      </x:c>
      <x:c r="I1723" t="str">
        <x:v>https://www.smwcentral.net/?a=details&amp;id=30424&amp;p=section</x:v>
      </x:c>
      <x:c r="J1723" t="str">
        <x:v>https://dl.smwcentral.net/30424/Super%20Chambo%20World%201.1.zip</x:v>
      </x:c>
    </x:row>
    <x:row r="1724">
      <x:c r="A1724" t="str">
        <x:v>Super Cheer World</x:v>
      </x:c>
      <x:c r="B1724" t="str">
        <x:v>Super Cheer World</x:v>
      </x:c>
      <x:c r="C1724" t="str">
        <x:v>HLXY</x:v>
      </x:c>
      <x:c r="D1724" t="n">
        <x:v>25</x:v>
      </x:c>
      <x:c r="E1724" t="str">
        <x:v>Expert</x:v>
      </x:c>
      <x:c r="F1724" t="str">
        <x:v>Kaizo</x:v>
      </x:c>
      <x:c r="G1724" t="n">
        <x:v>43499</x:v>
      </x:c>
      <x:c r="H1724" t="str">
        <x:v>19007</x:v>
      </x:c>
      <x:c r="I1724" t="str">
        <x:v>https://www.smwcentral.net/?a=details&amp;id=19007&amp;p=section</x:v>
      </x:c>
      <x:c r="J1724" t="str">
        <x:v>https://dl.smwcentral.net/19007/Super%20Cheer%20World.zip</x:v>
      </x:c>
    </x:row>
    <x:row r="1725">
      <x:c r="A1725" t="str">
        <x:v>Super Chill World</x:v>
      </x:c>
      <x:c r="B1725" t="str">
        <x:v>Super Chill World</x:v>
      </x:c>
      <x:c r="C1725" t="str">
        <x:v>MellowYouth</x:v>
      </x:c>
      <x:c r="D1725" t="n">
        <x:v>13</x:v>
      </x:c>
      <x:c r="E1725" t="str">
        <x:v>Advanced</x:v>
      </x:c>
      <x:c r="F1725" t="str">
        <x:v>Kaizo</x:v>
      </x:c>
      <x:c r="G1725" t="n">
        <x:v>44163</x:v>
      </x:c>
      <x:c r="H1725" t="str">
        <x:v>25008</x:v>
      </x:c>
      <x:c r="I1725" t="str">
        <x:v>https://www.smwcentral.net/?a=details&amp;id=25008&amp;p=section</x:v>
      </x:c>
      <x:c r="J1725" t="str">
        <x:v>https://dl.smwcentral.net/25008/Super%20Chill%20World%20v2.zip</x:v>
      </x:c>
    </x:row>
    <x:row r="1726">
      <x:c r="A1726" t="str">
        <x:v>Super Chocolate: The Insane Islands</x:v>
      </x:c>
      <x:c r="B1726" t="str">
        <x:v>Super Chocolate: The Insane Islands</x:v>
      </x:c>
      <x:c r="C1726" t="str">
        <x:v>Pozeal</x:v>
      </x:c>
      <x:c r="D1726" t="n">
        <x:v>9</x:v>
      </x:c>
      <x:c r="E1726" t="str">
        <x:v>Casual</x:v>
      </x:c>
      <x:c r="F1726" t="str">
        <x:v>Standard</x:v>
      </x:c>
      <x:c r="G1726" t="n">
        <x:v>42114</x:v>
      </x:c>
      <x:c r="H1726" t="str">
        <x:v>9727</x:v>
      </x:c>
      <x:c r="I1726" t="str">
        <x:v>https://www.smwcentral.net/?a=details&amp;id=9727&amp;p=section</x:v>
      </x:c>
      <x:c r="J1726" t="str">
        <x:v>https://dl.smwcentral.net/9727/Super%20Choco-The%20Insane%20Islands.zip</x:v>
      </x:c>
    </x:row>
    <x:row r="1727">
      <x:c r="A1727" t="str">
        <x:v>Super Cindy World</x:v>
      </x:c>
      <x:c r="B1727" t="str">
        <x:v>Super Cindy World</x:v>
      </x:c>
      <x:c r="C1727" t="str">
        <x:v>The_Uber_Camper</x:v>
      </x:c>
      <x:c r="D1727" t="n">
        <x:v>14</x:v>
      </x:c>
      <x:c r="E1727" t="str">
        <x:v>Intermediate</x:v>
      </x:c>
      <x:c r="F1727" t="str">
        <x:v>Kaizo</x:v>
      </x:c>
      <x:c r="G1727" t="n">
        <x:v>44247</x:v>
      </x:c>
      <x:c r="H1727" t="str">
        <x:v>26197</x:v>
      </x:c>
      <x:c r="I1727" t="str">
        <x:v>https://www.smwcentral.net/?a=details&amp;id=26197&amp;p=section</x:v>
      </x:c>
      <x:c r="J1727" t="str">
        <x:v>https://dl.smwcentral.net/26197/SuperCindyWorld.zip</x:v>
      </x:c>
    </x:row>
    <x:row r="1728">
      <x:c r="A1728" t="str">
        <x:v>Super Cindy World 2</x:v>
      </x:c>
      <x:c r="B1728" t="str">
        <x:v>Super Cindy World 2</x:v>
      </x:c>
      <x:c r="C1728" t="str">
        <x:v>The_Uber_Camper</x:v>
      </x:c>
      <x:c r="D1728" t="n">
        <x:v>24</x:v>
      </x:c>
      <x:c r="E1728" t="str">
        <x:v>Intermediate</x:v>
      </x:c>
      <x:c r="F1728" t="str">
        <x:v>Kaizo</x:v>
      </x:c>
      <x:c r="G1728" t="n">
        <x:v>44372</x:v>
      </x:c>
      <x:c r="H1728" t="str">
        <x:v>27116</x:v>
      </x:c>
      <x:c r="I1728" t="str">
        <x:v>https://www.smwcentral.net/?a=details&amp;id=27116&amp;p=section</x:v>
      </x:c>
      <x:c r="J1728" t="str">
        <x:v>https://dl.smwcentral.net/27116/Super%20Cindy%20World%202%20v1.03.zip</x:v>
      </x:c>
    </x:row>
    <x:row r="1729">
      <x:c r="A1729" t="str">
        <x:v>Super Cindy World 3</x:v>
      </x:c>
      <x:c r="B1729" t="str">
        <x:v>Super Cindy World 3</x:v>
      </x:c>
      <x:c r="C1729" t="str">
        <x:v>The_Uber_Camper</x:v>
      </x:c>
      <x:c r="D1729" t="n">
        <x:v>29</x:v>
      </x:c>
      <x:c r="E1729" t="str">
        <x:v>Intermediate</x:v>
      </x:c>
      <x:c r="F1729" t="str">
        <x:v>Kaizo</x:v>
      </x:c>
      <x:c r="G1729" t="n">
        <x:v>44601</x:v>
      </x:c>
      <x:c r="H1729" t="str">
        <x:v>29715</x:v>
      </x:c>
      <x:c r="I1729" t="str">
        <x:v>https://www.smwcentral.net/?a=details&amp;id=29715&amp;p=section</x:v>
      </x:c>
      <x:c r="J1729" t="str">
        <x:v>https://dl.smwcentral.net/29715/SuperCindyWorld3.zip</x:v>
      </x:c>
    </x:row>
    <x:row r="1730">
      <x:c r="A1730" t="str">
        <x:v>Super Compact World</x:v>
      </x:c>
      <x:c r="B1730" t="str">
        <x:v>Super Compact World</x:v>
      </x:c>
      <x:c r="C1730" t="str">
        <x:v>Atomic-Citrus</x:v>
      </x:c>
      <x:c r="D1730" t="n">
        <x:v>19</x:v>
      </x:c>
      <x:c r="E1730" t="str">
        <x:v>Advanced</x:v>
      </x:c>
      <x:c r="F1730" t="str">
        <x:v>Standard</x:v>
      </x:c>
      <x:c r="G1730" t="n">
        <x:v>43798</x:v>
      </x:c>
      <x:c r="H1730" t="str">
        <x:v>21323</x:v>
      </x:c>
      <x:c r="I1730" t="str">
        <x:v>https://www.smwcentral.net/?a=details&amp;id=21323&amp;p=section</x:v>
      </x:c>
      <x:c r="J1730" t="str">
        <x:v>https://dl.smwcentral.net/21323/Super%20Compact%20World%20Submission.zip</x:v>
      </x:c>
    </x:row>
    <x:row r="1731">
      <x:c r="A1731" t="str">
        <x:v>Super Conan Land</x:v>
      </x:c>
      <x:c r="B1731" t="str">
        <x:v>Super Conan Land</x:v>
      </x:c>
      <x:c r="C1731" t="str">
        <x:v>Chosentw0</x:v>
      </x:c>
      <x:c r="D1731" t="n">
        <x:v>1</x:v>
      </x:c>
      <x:c r="E1731" t="str">
        <x:v>Intermediate</x:v>
      </x:c>
      <x:c r="F1731" t="str">
        <x:v>Kaizo, Tool-Assisted</x:v>
      </x:c>
      <x:c r="G1731" t="n">
        <x:v>42583</x:v>
      </x:c>
      <x:c r="H1731" t="str">
        <x:v>13833</x:v>
      </x:c>
      <x:c r="I1731" t="str">
        <x:v>https://www.smwcentral.net/?a=details&amp;id=13833&amp;p=section</x:v>
      </x:c>
      <x:c r="J1731" t="str">
        <x:v>https://dl.smwcentral.net/13833/SuperConanLand.zip</x:v>
      </x:c>
    </x:row>
    <x:row r="1732">
      <x:c r="A1732" t="str">
        <x:v>Super Conan World</x:v>
      </x:c>
      <x:c r="B1732" t="str">
        <x:v>Super Conan World</x:v>
      </x:c>
      <x:c r="C1732" t="str">
        <x:v>Chosentw0</x:v>
      </x:c>
      <x:c r="D1732" t="n">
        <x:v>3</x:v>
      </x:c>
      <x:c r="E1732" t="str">
        <x:v>Intermediate</x:v>
      </x:c>
      <x:c r="F1732" t="str">
        <x:v>Kaizo, Tool-Assisted</x:v>
      </x:c>
      <x:c r="G1732" t="n">
        <x:v>43350</x:v>
      </x:c>
      <x:c r="H1732" t="str">
        <x:v>18067</x:v>
      </x:c>
      <x:c r="I1732" t="str">
        <x:v>https://www.smwcentral.net/?a=details&amp;id=18067&amp;p=section</x:v>
      </x:c>
      <x:c r="J1732" t="str">
        <x:v>https://dl.smwcentral.net/18067/SCW.zip</x:v>
      </x:c>
    </x:row>
    <x:row r="1733">
      <x:c r="A1733" t="str">
        <x:v>Super Cool World</x:v>
      </x:c>
      <x:c r="B1733" t="str">
        <x:v>Super Cool World</x:v>
      </x:c>
      <x:c r="C1733" t="str">
        <x:v>FerpyMcFrosting</x:v>
      </x:c>
      <x:c r="D1733" t="n">
        <x:v>24</x:v>
      </x:c>
      <x:c r="E1733" t="str">
        <x:v>Expert</x:v>
      </x:c>
      <x:c r="F1733" t="str">
        <x:v>Kaizo</x:v>
      </x:c>
      <x:c r="G1733" t="n">
        <x:v>43466</x:v>
      </x:c>
      <x:c r="H1733" t="str">
        <x:v>18738</x:v>
      </x:c>
      <x:c r="I1733" t="str">
        <x:v>https://www.smwcentral.net/?a=details&amp;id=18738&amp;p=section</x:v>
      </x:c>
      <x:c r="J1733" t="str">
        <x:v>https://dl.smwcentral.net/18738/Super%20Cool%20World%20v1.0.zip</x:v>
      </x:c>
    </x:row>
    <x:row r="1734">
      <x:c r="A1734" t="str">
        <x:v>Super Corn World</x:v>
      </x:c>
      <x:c r="B1734" t="str">
        <x:v>Super Corn World</x:v>
      </x:c>
      <x:c r="C1734" t="str">
        <x:v>PopCorn181</x:v>
      </x:c>
      <x:c r="D1734" t="n">
        <x:v>8</x:v>
      </x:c>
      <x:c r="E1734" t="str">
        <x:v>Advanced</x:v>
      </x:c>
      <x:c r="F1734" t="str">
        <x:v>Kaizo</x:v>
      </x:c>
      <x:c r="G1734" t="n">
        <x:v>45725</x:v>
      </x:c>
      <x:c r="H1734" t="str">
        <x:v>39453</x:v>
      </x:c>
      <x:c r="I1734" t="str">
        <x:v>https://www.smwcentral.net/?a=details&amp;id=39453&amp;p=section</x:v>
      </x:c>
      <x:c r="J1734" t="str">
        <x:v>https://dl.smwcentral.net/39453/Super%20Corn%20World.zip</x:v>
      </x:c>
    </x:row>
    <x:row r="1735">
      <x:c r="A1735" t="str">
        <x:v>Super Corn World II</x:v>
      </x:c>
      <x:c r="B1735" t="str">
        <x:v>Super Corn World II</x:v>
      </x:c>
      <x:c r="C1735" t="str">
        <x:v>PopCorn181</x:v>
      </x:c>
      <x:c r="D1735" t="n">
        <x:v>11</x:v>
      </x:c>
      <x:c r="E1735" t="str">
        <x:v>Advanced</x:v>
      </x:c>
      <x:c r="F1735" t="str">
        <x:v>Kaizo</x:v>
      </x:c>
      <x:c r="G1735" t="n">
        <x:v>45750</x:v>
      </x:c>
      <x:c r="H1735" t="str">
        <x:v>39684</x:v>
      </x:c>
      <x:c r="I1735" t="str">
        <x:v>https://www.smwcentral.net/?a=details&amp;id=39684&amp;p=section</x:v>
      </x:c>
      <x:c r="J1735" t="str">
        <x:v>https://dl.smwcentral.net/39684/Super%20Corn%20World%20II.zip</x:v>
      </x:c>
    </x:row>
    <x:row r="1736">
      <x:c r="A1736" t="str">
        <x:v>Super Corn World III</x:v>
      </x:c>
      <x:c r="B1736" t="str">
        <x:v>Super Corn World III</x:v>
      </x:c>
      <x:c r="C1736" t="str">
        <x:v>PopCorn181</x:v>
      </x:c>
      <x:c r="D1736" t="n">
        <x:v>15</x:v>
      </x:c>
      <x:c r="E1736" t="str">
        <x:v>Expert</x:v>
      </x:c>
      <x:c r="F1736" t="str">
        <x:v>Kaizo</x:v>
      </x:c>
      <x:c r="G1736" t="n">
        <x:v>45814</x:v>
      </x:c>
      <x:c r="H1736" t="str">
        <x:v>39936</x:v>
      </x:c>
      <x:c r="I1736" t="str">
        <x:v>https://www.smwcentral.net/?a=details&amp;id=39936&amp;p=section</x:v>
      </x:c>
      <x:c r="J1736" t="str">
        <x:v>https://dl.smwcentral.net/39936/scw3.zip</x:v>
      </x:c>
    </x:row>
    <x:row r="1737">
      <x:c r="A1737" t="str">
        <x:v>Super Corruptendo World: The Mini HAX</x:v>
      </x:c>
      <x:c r="B1737" t="str">
        <x:v>Super Corruptendo World: The Mini HAX</x:v>
      </x:c>
      <x:c r="C1737" t="str">
        <x:v>Illusiyellow</x:v>
      </x:c>
      <x:c r="D1737" t="n">
        <x:v>0</x:v>
      </x:c>
      <x:c r="E1737" t="str">
        <x:v>Newcomer</x:v>
      </x:c>
      <x:c r="F1737" t="str">
        <x:v>Standard</x:v>
      </x:c>
      <x:c r="G1737" t="n">
        <x:v>42222</x:v>
      </x:c>
      <x:c r="H1737" t="str">
        <x:v>9637</x:v>
      </x:c>
      <x:c r="I1737" t="str">
        <x:v>https://www.smwcentral.net/?a=details&amp;id=9637&amp;p=section</x:v>
      </x:c>
      <x:c r="J1737" t="str">
        <x:v>https://dl.smwcentral.net/9637/SCW_The_Mini_Hacks.zip</x:v>
      </x:c>
    </x:row>
    <x:row r="1738">
      <x:c r="A1738" t="str">
        <x:v>Super cRazy world</x:v>
      </x:c>
      <x:c r="B1738" t="str">
        <x:v>Super cRazy world</x:v>
      </x:c>
      <x:c r="C1738" t="str">
        <x:v>TheTim_aka_Timmifutz</x:v>
      </x:c>
      <x:c r="D1738" t="n">
        <x:v>8</x:v>
      </x:c>
      <x:c r="E1738" t="str">
        <x:v>Newcomer</x:v>
      </x:c>
      <x:c r="F1738" t="str">
        <x:v>Standard</x:v>
      </x:c>
      <x:c r="G1738" t="n">
        <x:v>42338</x:v>
      </x:c>
      <x:c r="H1738" t="str">
        <x:v>10105</x:v>
      </x:c>
      <x:c r="I1738" t="str">
        <x:v>https://www.smwcentral.net/?a=details&amp;id=10105&amp;p=section</x:v>
      </x:c>
      <x:c r="J1738" t="str">
        <x:v>https://dl.smwcentral.net/10105/super%20cRazy%20world.zip</x:v>
      </x:c>
    </x:row>
    <x:row r="1739">
      <x:c r="A1739" t="str">
        <x:v>Super Creme World</x:v>
      </x:c>
      <x:c r="B1739" t="str">
        <x:v>Super Creme World</x:v>
      </x:c>
      <x:c r="C1739" t="str">
        <x:v>TheMURAmatsu</x:v>
      </x:c>
      <x:c r="D1739" t="n">
        <x:v>14</x:v>
      </x:c>
      <x:c r="E1739" t="str">
        <x:v>Advanced</x:v>
      </x:c>
      <x:c r="F1739" t="str">
        <x:v>Kaizo</x:v>
      </x:c>
      <x:c r="G1739" t="n">
        <x:v>43881</x:v>
      </x:c>
      <x:c r="H1739" t="str">
        <x:v>22171</x:v>
      </x:c>
      <x:c r="I1739" t="str">
        <x:v>https://www.smwcentral.net/?a=details&amp;id=22171&amp;p=section</x:v>
      </x:c>
      <x:c r="J1739" t="str">
        <x:v>https://dl.smwcentral.net/22171/Super%20Creme%20World.zip</x:v>
      </x:c>
    </x:row>
    <x:row r="1740">
      <x:c r="A1740" t="str">
        <x:v>Super Curious World</x:v>
      </x:c>
      <x:c r="B1740" t="str">
        <x:v>Super Curious World</x:v>
      </x:c>
      <x:c r="C1740" t="str">
        <x:v>team_love</x:v>
      </x:c>
      <x:c r="D1740" t="n">
        <x:v>16</x:v>
      </x:c>
      <x:c r="E1740" t="str">
        <x:v>Expert</x:v>
      </x:c>
      <x:c r="F1740" t="str">
        <x:v>Kaizo</x:v>
      </x:c>
      <x:c r="G1740" t="n">
        <x:v>45473</x:v>
      </x:c>
      <x:c r="H1740" t="str">
        <x:v>37951</x:v>
      </x:c>
      <x:c r="I1740" t="str">
        <x:v>https://www.smwcentral.net/?a=details&amp;id=37951&amp;p=section</x:v>
      </x:c>
      <x:c r="J1740" t="str">
        <x:v>https://dl.smwcentral.net/37951/Super%20Curious%20World%201.2.zip</x:v>
      </x:c>
    </x:row>
    <x:row r="1741">
      <x:c r="A1741" t="str">
        <x:v>Super Daisy World</x:v>
      </x:c>
      <x:c r="B1741" t="str">
        <x:v>Super Daisy World</x:v>
      </x:c>
      <x:c r="C1741" t="str">
        <x:v>MarioIsTheBest1234</x:v>
      </x:c>
      <x:c r="D1741" t="n">
        <x:v>21</x:v>
      </x:c>
      <x:c r="E1741" t="str">
        <x:v>Casual</x:v>
      </x:c>
      <x:c r="F1741" t="str">
        <x:v>Standard</x:v>
      </x:c>
      <x:c r="G1741" t="n">
        <x:v>45948</x:v>
      </x:c>
      <x:c r="H1741" t="str">
        <x:v>40498</x:v>
      </x:c>
      <x:c r="I1741" t="str">
        <x:v>https://www.smwcentral.net/?a=details&amp;id=40498&amp;p=section</x:v>
      </x:c>
      <x:c r="J1741" t="str">
        <x:v>https://dl.smwcentral.net/40498/Super%20%20Daisy%20World.zip</x:v>
      </x:c>
    </x:row>
    <x:row r="1742">
      <x:c r="A1742" t="str">
        <x:v>Super Dank World</x:v>
      </x:c>
      <x:c r="B1742" t="str">
        <x:v>Super Dank World</x:v>
      </x:c>
      <x:c r="C1742" t="str">
        <x:v>Firstnamebutt</x:v>
      </x:c>
      <x:c r="D1742" t="n">
        <x:v>19</x:v>
      </x:c>
      <x:c r="E1742" t="str">
        <x:v>Advanced</x:v>
      </x:c>
      <x:c r="F1742" t="str">
        <x:v>Kaizo</x:v>
      </x:c>
      <x:c r="G1742" t="n">
        <x:v>45182</x:v>
      </x:c>
      <x:c r="H1742" t="str">
        <x:v>34970</x:v>
      </x:c>
      <x:c r="I1742" t="str">
        <x:v>https://www.smwcentral.net/?a=details&amp;id=34970&amp;p=section</x:v>
      </x:c>
      <x:c r="J1742" t="str">
        <x:v>https://dl.smwcentral.net/34970/Super_Dank_World.zip</x:v>
      </x:c>
    </x:row>
    <x:row r="1743">
      <x:c r="A1743" t="str">
        <x:v>Super Dazran World</x:v>
      </x:c>
      <x:c r="B1743" t="str">
        <x:v>Super Dazran World</x:v>
      </x:c>
      <x:c r="C1743" t="str">
        <x:v>MatthewGamingLive</x:v>
      </x:c>
      <x:c r="D1743" t="n">
        <x:v>17</x:v>
      </x:c>
      <x:c r="E1743" t="str">
        <x:v>Casual</x:v>
      </x:c>
      <x:c r="F1743" t="str">
        <x:v>Standard</x:v>
      </x:c>
      <x:c r="G1743" t="n">
        <x:v>43181</x:v>
      </x:c>
      <x:c r="H1743" t="str">
        <x:v>17266</x:v>
      </x:c>
      <x:c r="I1743" t="str">
        <x:v>https://www.smwcentral.net/?a=details&amp;id=17266&amp;p=section</x:v>
      </x:c>
      <x:c r="J1743" t="str">
        <x:v>https://dl.smwcentral.net/17266/Super%20Dazran%20World%20Demo%202.zip</x:v>
      </x:c>
    </x:row>
    <x:row r="1744">
      <x:c r="A1744" t="str">
        <x:v>Super DB World</x:v>
      </x:c>
      <x:c r="B1744" t="str">
        <x:v>Super DB World</x:v>
      </x:c>
      <x:c r="C1744" t="str">
        <x:v>Jordan</x:v>
      </x:c>
      <x:c r="D1744" t="n">
        <x:v>17</x:v>
      </x:c>
      <x:c r="E1744" t="str">
        <x:v>Expert</x:v>
      </x:c>
      <x:c r="F1744" t="str">
        <x:v>Kaizo</x:v>
      </x:c>
      <x:c r="G1744" t="n">
        <x:v>44263</x:v>
      </x:c>
      <x:c r="H1744" t="str">
        <x:v>26319</x:v>
      </x:c>
      <x:c r="I1744" t="str">
        <x:v>https://www.smwcentral.net/?a=details&amp;id=26319&amp;p=section</x:v>
      </x:c>
      <x:c r="J1744" t="str">
        <x:v>https://dl.smwcentral.net/26319/Super%20DB%20World.zip</x:v>
      </x:c>
    </x:row>
    <x:row r="1745">
      <x:c r="A1745" t="str">
        <x:v>Super Deboche World</x:v>
      </x:c>
      <x:c r="B1745" t="str">
        <x:v>Super Deboche World</x:v>
      </x:c>
      <x:c r="C1745" t="str">
        <x:v>AleGames</x:v>
      </x:c>
      <x:c r="D1745" t="n">
        <x:v>28</x:v>
      </x:c>
      <x:c r="E1745" t="str">
        <x:v>Intermediate</x:v>
      </x:c>
      <x:c r="F1745" t="str">
        <x:v>Standard</x:v>
      </x:c>
      <x:c r="G1745" t="n">
        <x:v>44850</x:v>
      </x:c>
      <x:c r="H1745" t="str">
        <x:v>32346</x:v>
      </x:c>
      <x:c r="I1745" t="str">
        <x:v>https://www.smwcentral.net/?a=details&amp;id=32346&amp;p=section</x:v>
      </x:c>
      <x:c r="J1745" t="str">
        <x:v>https://dl.smwcentral.net/32346/Super%20Deboche%20World.zip</x:v>
      </x:c>
    </x:row>
    <x:row r="1746">
      <x:c r="A1746" t="str">
        <x:v>Super Demo World</x:v>
      </x:c>
      <x:c r="B1746" t="str">
        <x:v>Super Demo World</x:v>
      </x:c>
      <x:c r="C1746" t="str">
        <x:v>FuSoYa</x:v>
      </x:c>
      <x:c r="D1746" t="n">
        <x:v>6</x:v>
      </x:c>
      <x:c r="E1746" t="str">
        <x:v>Intermediate</x:v>
      </x:c>
      <x:c r="F1746" t="str">
        <x:v>Standard</x:v>
      </x:c>
      <x:c r="G1746" t="n">
        <x:v>42047</x:v>
      </x:c>
      <x:c r="H1746" t="str">
        <x:v>9679</x:v>
      </x:c>
      <x:c r="I1746" t="str">
        <x:v>https://www.smwcentral.net/?a=details&amp;id=9679&amp;p=section</x:v>
      </x:c>
      <x:c r="J1746" t="str">
        <x:v>https://dl.smwcentral.net/9679/demoworld.zip</x:v>
      </x:c>
    </x:row>
    <x:row r="1747">
      <x:c r="A1747" t="str">
        <x:v>Super Demo World 3</x:v>
      </x:c>
      <x:c r="B1747" t="str">
        <x:v>Super Demo World 3</x:v>
      </x:c>
      <x:c r="C1747" t="str">
        <x:v>DJ Bouche, FuSoYa</x:v>
      </x:c>
      <x:c r="D1747" t="n">
        <x:v>9</x:v>
      </x:c>
      <x:c r="E1747" t="str">
        <x:v>Casual</x:v>
      </x:c>
      <x:c r="F1747" t="str">
        <x:v>Standard</x:v>
      </x:c>
      <x:c r="G1747" t="n">
        <x:v>42223</x:v>
      </x:c>
      <x:c r="H1747" t="str">
        <x:v>9825</x:v>
      </x:c>
      <x:c r="I1747" t="str">
        <x:v>https://www.smwcentral.net/?a=details&amp;id=9825&amp;p=section</x:v>
      </x:c>
      <x:c r="J1747" t="str">
        <x:v>https://dl.smwcentral.net/9825/Super%20Demo%20World%203.zip</x:v>
      </x:c>
    </x:row>
    <x:row r="1748">
      <x:c r="A1748" t="str">
        <x:v>Super Demo World: The Legend Continues</x:v>
      </x:c>
      <x:c r="B1748" t="str">
        <x:v>Super Demo World: The Legend Continues</x:v>
      </x:c>
      <x:c r="C1748" t="str">
        <x:v>FuSoYa, Zero-G</x:v>
      </x:c>
      <x:c r="D1748" t="n">
        <x:v>120</x:v>
      </x:c>
      <x:c r="E1748" t="str">
        <x:v>Advanced</x:v>
      </x:c>
      <x:c r="F1748" t="str">
        <x:v>Standard</x:v>
      </x:c>
      <x:c r="G1748" t="n">
        <x:v>42213</x:v>
      </x:c>
      <x:c r="H1748" t="str">
        <x:v>9678</x:v>
      </x:c>
      <x:c r="I1748" t="str">
        <x:v>https://www.smwcentral.net/?a=details&amp;id=9678&amp;p=section</x:v>
      </x:c>
      <x:c r="J1748" t="str">
        <x:v>https://dl.smwcentral.net/9678/downlaod.zip</x:v>
      </x:c>
    </x:row>
    <x:row r="1749">
      <x:c r="A1749" t="str">
        <x:v>Super Denis World</x:v>
      </x:c>
      <x:c r="B1749" t="str">
        <x:v>Super Denis World</x:v>
      </x:c>
      <x:c r="C1749" t="str">
        <x:v>Tony.Metcalfe</x:v>
      </x:c>
      <x:c r="D1749" t="n">
        <x:v>17</x:v>
      </x:c>
      <x:c r="E1749" t="str">
        <x:v>Expert</x:v>
      </x:c>
      <x:c r="F1749" t="str">
        <x:v>Kaizo</x:v>
      </x:c>
      <x:c r="G1749" t="n">
        <x:v>43388</x:v>
      </x:c>
      <x:c r="H1749" t="str">
        <x:v>18286</x:v>
      </x:c>
      <x:c r="I1749" t="str">
        <x:v>https://www.smwcentral.net/?a=details&amp;id=18286&amp;p=section</x:v>
      </x:c>
      <x:c r="J1749" t="str">
        <x:v>https://dl.smwcentral.net/18286/SuperDenisWorld_VF5.zip</x:v>
      </x:c>
    </x:row>
    <x:row r="1750">
      <x:c r="A1750" t="str">
        <x:v>Super Destructive World</x:v>
      </x:c>
      <x:c r="B1750" t="str">
        <x:v>Super Destructive World</x:v>
      </x:c>
      <x:c r="C1750" t="str">
        <x:v>SuperBeastGN</x:v>
      </x:c>
      <x:c r="D1750" t="n">
        <x:v>21</x:v>
      </x:c>
      <x:c r="E1750" t="str">
        <x:v>Intermediate</x:v>
      </x:c>
      <x:c r="F1750" t="str">
        <x:v>Kaizo</x:v>
      </x:c>
      <x:c r="G1750" t="n">
        <x:v>44584</x:v>
      </x:c>
      <x:c r="H1750" t="str">
        <x:v>29568</x:v>
      </x:c>
      <x:c r="I1750" t="str">
        <x:v>https://www.smwcentral.net/?a=details&amp;id=29568&amp;p=section</x:v>
      </x:c>
      <x:c r="J1750" t="str">
        <x:v>https://dl.smwcentral.net/29568/SuperDestructiveWorldV1.1.bps.zip</x:v>
      </x:c>
    </x:row>
    <x:row r="1751">
      <x:c r="A1751" t="str">
        <x:v>Super DGR World</x:v>
      </x:c>
      <x:c r="B1751" t="str">
        <x:v>Super DGR World</x:v>
      </x:c>
      <x:c r="C1751" t="str">
        <x:v>Sweetdude</x:v>
      </x:c>
      <x:c r="D1751" t="n">
        <x:v>32</x:v>
      </x:c>
      <x:c r="E1751" t="str">
        <x:v>Advanced</x:v>
      </x:c>
      <x:c r="F1751" t="str">
        <x:v>Kaizo</x:v>
      </x:c>
      <x:c r="G1751" t="n">
        <x:v>43349</x:v>
      </x:c>
      <x:c r="H1751" t="str">
        <x:v>18131</x:v>
      </x:c>
      <x:c r="I1751" t="str">
        <x:v>https://www.smwcentral.net/?a=details&amp;id=18131&amp;p=section</x:v>
      </x:c>
      <x:c r="J1751" t="str">
        <x:v>https://dl.smwcentral.net/18131/Super%20DGR%20World1.6.zip</x:v>
      </x:c>
    </x:row>
    <x:row r="1752">
      <x:c r="A1752" t="str">
        <x:v>Super Dram World</x:v>
      </x:c>
      <x:c r="B1752" t="str">
        <x:v>Super Dram World</x:v>
      </x:c>
      <x:c r="C1752" t="str">
        <x:v>PangaeaPanga</x:v>
      </x:c>
      <x:c r="D1752" t="n">
        <x:v>19</x:v>
      </x:c>
      <x:c r="E1752" t="str">
        <x:v>Master</x:v>
      </x:c>
      <x:c r="F1752" t="str">
        <x:v>Kaizo</x:v>
      </x:c>
      <x:c r="G1752" t="n">
        <x:v>45927</x:v>
      </x:c>
      <x:c r="H1752" t="str">
        <x:v>40663</x:v>
      </x:c>
      <x:c r="I1752" t="str">
        <x:v>https://www.smwcentral.net/?a=details&amp;id=40663&amp;p=section</x:v>
      </x:c>
      <x:c r="J1752" t="str">
        <x:v>https://dl.smwcentral.net/40663/Super%20Dram%20World%20v1.3.zip</x:v>
      </x:c>
    </x:row>
    <x:row r="1753">
      <x:c r="A1753" t="str">
        <x:v>Super Dram World 2</x:v>
      </x:c>
      <x:c r="B1753" t="str">
        <x:v>Super Dram World 2</x:v>
      </x:c>
      <x:c r="C1753" t="str">
        <x:v>PangaeaPanga</x:v>
      </x:c>
      <x:c r="D1753" t="n">
        <x:v>21</x:v>
      </x:c>
      <x:c r="E1753" t="str">
        <x:v>Master</x:v>
      </x:c>
      <x:c r="F1753" t="str">
        <x:v>Kaizo</x:v>
      </x:c>
      <x:c r="G1753" t="n">
        <x:v>45969</x:v>
      </x:c>
      <x:c r="H1753" t="str">
        <x:v>40662</x:v>
      </x:c>
      <x:c r="I1753" t="str">
        <x:v>https://www.smwcentral.net/?a=details&amp;id=40662&amp;p=section</x:v>
      </x:c>
      <x:c r="J1753" t="str">
        <x:v>https://dl.smwcentral.net/40662/Super%20Dram%20World%202%20v1.3.zip</x:v>
      </x:c>
    </x:row>
    <x:row r="1754">
      <x:c r="A1754" t="str">
        <x:v>Super Dram World 3</x:v>
      </x:c>
      <x:c r="B1754" t="str">
        <x:v>Super Dram World 3</x:v>
      </x:c>
      <x:c r="C1754" t="str">
        <x:v>PangaeaPanga</x:v>
      </x:c>
      <x:c r="D1754" t="n">
        <x:v>28</x:v>
      </x:c>
      <x:c r="E1754" t="str">
        <x:v>Grandmaster</x:v>
      </x:c>
      <x:c r="F1754" t="str">
        <x:v>Kaizo</x:v>
      </x:c>
      <x:c r="G1754" t="n">
        <x:v>46005</x:v>
      </x:c>
      <x:c r="H1754" t="str">
        <x:v>41022</x:v>
      </x:c>
      <x:c r="I1754" t="str">
        <x:v>https://www.smwcentral.net/?a=details&amp;id=41022&amp;p=section</x:v>
      </x:c>
      <x:c r="J1754" t="str">
        <x:v>https://dl.smwcentral.net/41022/Super%20Dram%20World%203%20v1.3.zip</x:v>
      </x:c>
    </x:row>
    <x:row r="1755">
      <x:c r="A1755" t="str">
        <x:v>Super Dream World</x:v>
      </x:c>
      <x:c r="B1755" t="str">
        <x:v>Super Dream World</x:v>
      </x:c>
      <x:c r="C1755" t="str">
        <x:v>Shingo</x:v>
      </x:c>
      <x:c r="D1755" t="n">
        <x:v>12</x:v>
      </x:c>
      <x:c r="E1755" t="str">
        <x:v>Advanced</x:v>
      </x:c>
      <x:c r="F1755" t="str">
        <x:v>Kaizo</x:v>
      </x:c>
      <x:c r="G1755" t="n">
        <x:v>43994</x:v>
      </x:c>
      <x:c r="H1755" t="str">
        <x:v>23193</x:v>
      </x:c>
      <x:c r="I1755" t="str">
        <x:v>https://www.smwcentral.net/?a=details&amp;id=23193&amp;p=section</x:v>
      </x:c>
      <x:c r="J1755" t="str">
        <x:v>https://dl.smwcentral.net/23193/SuperDreamWorld.zip</x:v>
      </x:c>
    </x:row>
    <x:row r="1756">
      <x:c r="A1756" t="str">
        <x:v>Super Duper Mario World W1 DEMO</x:v>
      </x:c>
      <x:c r="B1756" t="str">
        <x:v>Super Duper Mario World W1 DEMO</x:v>
      </x:c>
      <x:c r="C1756" t="str">
        <x:v>SuperWaluigiBro</x:v>
      </x:c>
      <x:c r="D1756" t="n">
        <x:v>10</x:v>
      </x:c>
      <x:c r="E1756" t="str">
        <x:v>Intermediate</x:v>
      </x:c>
      <x:c r="F1756" t="str">
        <x:v>Standard</x:v>
      </x:c>
      <x:c r="G1756" t="n">
        <x:v>46066</x:v>
      </x:c>
      <x:c r="H1756" t="str">
        <x:v>41566</x:v>
      </x:c>
      <x:c r="I1756" t="str">
        <x:v>https://www.smwcentral.net/?a=details&amp;id=41566&amp;p=section</x:v>
      </x:c>
      <x:c r="J1756" t="str">
        <x:v>https://dl.smwcentral.net/41566/SDMW%20DEMOv02c.zip</x:v>
      </x:c>
    </x:row>
    <x:row r="1757">
      <x:c r="A1757" t="str">
        <x:v>Super Duper World</x:v>
      </x:c>
      <x:c r="B1757" t="str">
        <x:v>Super Duper World</x:v>
      </x:c>
      <x:c r="C1757" t="str">
        <x:v>Partly Marble</x:v>
      </x:c>
      <x:c r="D1757" t="n">
        <x:v>4</x:v>
      </x:c>
      <x:c r="E1757" t="str">
        <x:v>Advanced</x:v>
      </x:c>
      <x:c r="F1757" t="str">
        <x:v>Kaizo</x:v>
      </x:c>
      <x:c r="G1757" t="n">
        <x:v>43290</x:v>
      </x:c>
      <x:c r="H1757" t="str">
        <x:v>17625</x:v>
      </x:c>
      <x:c r="I1757" t="str">
        <x:v>https://www.smwcentral.net/?a=details&amp;id=17625&amp;p=section</x:v>
      </x:c>
      <x:c r="J1757" t="str">
        <x:v>https://dl.smwcentral.net/17625/Super%20Duper%20World.zip</x:v>
      </x:c>
    </x:row>
    <x:row r="1758">
      <x:c r="A1758" t="str">
        <x:v>Super Empty Land</x:v>
      </x:c>
      <x:c r="B1758" t="str">
        <x:v>Super Empty Land</x:v>
      </x:c>
      <x:c r="C1758" t="str">
        <x:v>Firstnamebutt</x:v>
      </x:c>
      <x:c r="D1758" t="n">
        <x:v>5</x:v>
      </x:c>
      <x:c r="E1758" t="str">
        <x:v>Intermediate</x:v>
      </x:c>
      <x:c r="F1758" t="str">
        <x:v>Kaizo</x:v>
      </x:c>
      <x:c r="G1758" t="n">
        <x:v>45704</x:v>
      </x:c>
      <x:c r="H1758" t="str">
        <x:v>39264</x:v>
      </x:c>
      <x:c r="I1758" t="str">
        <x:v>https://www.smwcentral.net/?a=details&amp;id=39264&amp;p=section</x:v>
      </x:c>
      <x:c r="J1758" t="str">
        <x:v>https://dl.smwcentral.net/39264/SuperEmptyLand.zip</x:v>
      </x:c>
    </x:row>
    <x:row r="1759">
      <x:c r="A1759" t="str">
        <x:v>Super Enan World</x:v>
      </x:c>
      <x:c r="B1759" t="str">
        <x:v>Super Enan World</x:v>
      </x:c>
      <x:c r="C1759" t="str">
        <x:v>Enan63, Green Jerry</x:v>
      </x:c>
      <x:c r="D1759" t="n">
        <x:v>35</x:v>
      </x:c>
      <x:c r="E1759" t="str">
        <x:v>Intermediate</x:v>
      </x:c>
      <x:c r="F1759" t="str">
        <x:v>Standard</x:v>
      </x:c>
      <x:c r="G1759" t="n">
        <x:v>44044</x:v>
      </x:c>
      <x:c r="H1759" t="str">
        <x:v>23960</x:v>
      </x:c>
      <x:c r="I1759" t="str">
        <x:v>https://www.smwcentral.net/?a=details&amp;id=23960&amp;p=section</x:v>
      </x:c>
      <x:c r="J1759" t="str">
        <x:v>https://dl.smwcentral.net/23960/Super%20Enan%20World%20-%20Demo%203.2.4.zip</x:v>
      </x:c>
    </x:row>
    <x:row r="1760">
      <x:c r="A1760" t="str">
        <x:v>Super Endoplasm World</x:v>
      </x:c>
      <x:c r="B1760" t="str">
        <x:v>Super Endoplasm World</x:v>
      </x:c>
      <x:c r="C1760" t="str">
        <x:v>Octopus</x:v>
      </x:c>
      <x:c r="D1760" t="n">
        <x:v>24</x:v>
      </x:c>
      <x:c r="E1760" t="str">
        <x:v>Casual</x:v>
      </x:c>
      <x:c r="F1760" t="str">
        <x:v>Standard</x:v>
      </x:c>
      <x:c r="G1760" t="n">
        <x:v>41572</x:v>
      </x:c>
      <x:c r="H1760" t="str">
        <x:v>5519</x:v>
      </x:c>
      <x:c r="I1760" t="str">
        <x:v>https://www.smwcentral.net/?a=details&amp;id=5519&amp;p=section</x:v>
      </x:c>
      <x:c r="J1760" t="str">
        <x:v>https://dl.smwcentral.net/5519/SEW.zip</x:v>
      </x:c>
    </x:row>
    <x:row r="1761">
      <x:c r="A1761" t="str">
        <x:v>Super Enemy World</x:v>
      </x:c>
      <x:c r="B1761" t="str">
        <x:v>Super Enemy World</x:v>
      </x:c>
      <x:c r="C1761" t="str">
        <x:v>Yoshiboy</x:v>
      </x:c>
      <x:c r="D1761" t="n">
        <x:v>20</x:v>
      </x:c>
      <x:c r="E1761" t="str">
        <x:v>Casual</x:v>
      </x:c>
      <x:c r="F1761" t="str">
        <x:v>Standard</x:v>
      </x:c>
      <x:c r="G1761" t="n">
        <x:v>42222</x:v>
      </x:c>
      <x:c r="H1761" t="str">
        <x:v>9836</x:v>
      </x:c>
      <x:c r="I1761" t="str">
        <x:v>https://www.smwcentral.net/?a=details&amp;id=9836&amp;p=section</x:v>
      </x:c>
      <x:c r="J1761" t="str">
        <x:v>https://dl.smwcentral.net/9836/Super%20Enemy%20World.zip</x:v>
      </x:c>
    </x:row>
    <x:row r="1762">
      <x:c r="A1762" t="str">
        <x:v>Super Fail World</x:v>
      </x:c>
      <x:c r="B1762" t="str">
        <x:v>Super Fail World</x:v>
      </x:c>
      <x:c r="C1762" t="str">
        <x:v>dubefest</x:v>
      </x:c>
      <x:c r="D1762" t="n">
        <x:v>13</x:v>
      </x:c>
      <x:c r="E1762" t="str">
        <x:v>Intermediate</x:v>
      </x:c>
      <x:c r="F1762" t="str">
        <x:v>Standard</x:v>
      </x:c>
      <x:c r="G1762" t="n">
        <x:v>42271</x:v>
      </x:c>
      <x:c r="H1762" t="str">
        <x:v>10067</x:v>
      </x:c>
      <x:c r="I1762" t="str">
        <x:v>https://www.smwcentral.net/?a=details&amp;id=10067&amp;p=section</x:v>
      </x:c>
      <x:c r="J1762" t="str">
        <x:v>https://dl.smwcentral.net/10067/SuperFailWorld.zip</x:v>
      </x:c>
    </x:row>
    <x:row r="1763">
      <x:c r="A1763" t="str">
        <x:v>Super Fart World</x:v>
      </x:c>
      <x:c r="B1763" t="str">
        <x:v>Super Fart World</x:v>
      </x:c>
      <x:c r="C1763" t="str">
        <x:v>NaroGugul</x:v>
      </x:c>
      <x:c r="D1763" t="n">
        <x:v>15</x:v>
      </x:c>
      <x:c r="E1763" t="str">
        <x:v>Master</x:v>
      </x:c>
      <x:c r="F1763" t="str">
        <x:v>Kaizo</x:v>
      </x:c>
      <x:c r="G1763" t="n">
        <x:v>43582</x:v>
      </x:c>
      <x:c r="H1763" t="str">
        <x:v>19571</x:v>
      </x:c>
      <x:c r="I1763" t="str">
        <x:v>https://www.smwcentral.net/?a=details&amp;id=19571&amp;p=section</x:v>
      </x:c>
      <x:c r="J1763" t="str">
        <x:v>https://dl.smwcentral.net/19571/SuperFartWorld.zip</x:v>
      </x:c>
    </x:row>
    <x:row r="1764">
      <x:c r="A1764" t="str">
        <x:v>Super Fast World</x:v>
      </x:c>
      <x:c r="B1764" t="str">
        <x:v>Super Fast World</x:v>
      </x:c>
      <x:c r="C1764" t="str">
        <x:v>the_pilger</x:v>
      </x:c>
      <x:c r="D1764" t="n">
        <x:v>3</x:v>
      </x:c>
      <x:c r="E1764" t="str">
        <x:v>Intermediate</x:v>
      </x:c>
      <x:c r="F1764" t="str">
        <x:v>Kaizo</x:v>
      </x:c>
      <x:c r="G1764" t="n">
        <x:v>44254</x:v>
      </x:c>
      <x:c r="H1764" t="str">
        <x:v>26267</x:v>
      </x:c>
      <x:c r="I1764" t="str">
        <x:v>https://www.smwcentral.net/?a=details&amp;id=26267&amp;p=section</x:v>
      </x:c>
      <x:c r="J1764" t="str">
        <x:v>https://dl.smwcentral.net/26267/Super%20Fast%20World.zip</x:v>
      </x:c>
    </x:row>
    <x:row r="1765">
      <x:c r="A1765" t="str">
        <x:v>Super Fedora World</x:v>
      </x:c>
      <x:c r="B1765" t="str">
        <x:v>Super Fedora World</x:v>
      </x:c>
      <x:c r="C1765" t="str">
        <x:v>FridayFables</x:v>
      </x:c>
      <x:c r="D1765" t="n">
        <x:v>22</x:v>
      </x:c>
      <x:c r="E1765" t="str">
        <x:v>Casual</x:v>
      </x:c>
      <x:c r="F1765" t="str">
        <x:v>Standard</x:v>
      </x:c>
      <x:c r="G1765" t="n">
        <x:v>42983</x:v>
      </x:c>
      <x:c r="H1765" t="str">
        <x:v>16099</x:v>
      </x:c>
      <x:c r="I1765" t="str">
        <x:v>https://www.smwcentral.net/?a=details&amp;id=16099&amp;p=section</x:v>
      </x:c>
      <x:c r="J1765" t="str">
        <x:v>https://dl.smwcentral.net/16099/Super%20Fedora%20World.zip</x:v>
      </x:c>
    </x:row>
    <x:row r="1766">
      <x:c r="A1766" t="str">
        <x:v>Super Fish World</x:v>
      </x:c>
      <x:c r="B1766" t="str">
        <x:v>Super Fish World</x:v>
      </x:c>
      <x:c r="C1766" t="str">
        <x:v>Perkward</x:v>
      </x:c>
      <x:c r="D1766" t="n">
        <x:v>1</x:v>
      </x:c>
      <x:c r="E1766" t="str">
        <x:v>Casual</x:v>
      </x:c>
      <x:c r="F1766" t="str">
        <x:v>Standard</x:v>
      </x:c>
      <x:c r="G1766" t="n">
        <x:v>46028</x:v>
      </x:c>
      <x:c r="H1766" t="str">
        <x:v>41357</x:v>
      </x:c>
      <x:c r="I1766" t="str">
        <x:v>https://www.smwcentral.net/?a=details&amp;id=41357&amp;p=section</x:v>
      </x:c>
      <x:c r="J1766" t="str">
        <x:v>https://dl.smwcentral.net/41357/Follow%20the%20Fish.zip</x:v>
      </x:c>
    </x:row>
    <x:row r="1767">
      <x:c r="A1767" t="str">
        <x:v>Super Flash World</x:v>
      </x:c>
      <x:c r="B1767" t="str">
        <x:v>Super Flash World</x:v>
      </x:c>
      <x:c r="C1767" t="str">
        <x:v>Scags</x:v>
      </x:c>
      <x:c r="D1767" t="n">
        <x:v>20</x:v>
      </x:c>
      <x:c r="E1767" t="str">
        <x:v>Expert</x:v>
      </x:c>
      <x:c r="F1767" t="str">
        <x:v>Kaizo</x:v>
      </x:c>
      <x:c r="G1767" t="n">
        <x:v>44757</x:v>
      </x:c>
      <x:c r="H1767" t="str">
        <x:v>31454</x:v>
      </x:c>
      <x:c r="I1767" t="str">
        <x:v>https://www.smwcentral.net/?a=details&amp;id=31454&amp;p=section</x:v>
      </x:c>
      <x:c r="J1767" t="str">
        <x:v>https://dl.smwcentral.net/31454/FlashWorld.zip</x:v>
      </x:c>
    </x:row>
    <x:row r="1768">
      <x:c r="A1768" t="str">
        <x:v>Super Flash World 2</x:v>
      </x:c>
      <x:c r="B1768" t="str">
        <x:v>Super Flash World 2</x:v>
      </x:c>
      <x:c r="C1768" t="str">
        <x:v>Scags</x:v>
      </x:c>
      <x:c r="D1768" t="n">
        <x:v>23</x:v>
      </x:c>
      <x:c r="E1768" t="str">
        <x:v>Expert</x:v>
      </x:c>
      <x:c r="F1768" t="str">
        <x:v>Kaizo</x:v>
      </x:c>
      <x:c r="G1768" t="n">
        <x:v>46089</x:v>
      </x:c>
      <x:c r="H1768" t="str">
        <x:v>41538</x:v>
      </x:c>
      <x:c r="I1768" t="str">
        <x:v>https://www.smwcentral.net/?a=details&amp;id=41538&amp;p=section</x:v>
      </x:c>
      <x:c r="J1768" t="str">
        <x:v>https://dl.smwcentral.net/41538/FlashWorld2.zip</x:v>
      </x:c>
    </x:row>
    <x:row r="1769">
      <x:c r="A1769" t="str">
        <x:v>Super Focused World</x:v>
      </x:c>
      <x:c r="B1769" t="str">
        <x:v>Super Focused World</x:v>
      </x:c>
      <x:c r="C1769" t="str">
        <x:v>DigitalSine</x:v>
      </x:c>
      <x:c r="D1769" t="n">
        <x:v>22</x:v>
      </x:c>
      <x:c r="E1769" t="str">
        <x:v>Expert</x:v>
      </x:c>
      <x:c r="F1769" t="str">
        <x:v>Kaizo</x:v>
      </x:c>
      <x:c r="G1769" t="n">
        <x:v>43373</x:v>
      </x:c>
      <x:c r="H1769" t="str">
        <x:v>18172</x:v>
      </x:c>
      <x:c r="I1769" t="str">
        <x:v>https://www.smwcentral.net/?a=details&amp;id=18172&amp;p=section</x:v>
      </x:c>
      <x:c r="J1769" t="str">
        <x:v>https://dl.smwcentral.net/18172/Super%20Focused%20World.zip</x:v>
      </x:c>
    </x:row>
    <x:row r="1770">
      <x:c r="A1770" t="str">
        <x:v>Super Foo World</x:v>
      </x:c>
      <x:c r="B1770" t="str">
        <x:v>Super Foo World</x:v>
      </x:c>
      <x:c r="C1770" t="str">
        <x:v>xhsdf</x:v>
      </x:c>
      <x:c r="D1770" t="n">
        <x:v>27</x:v>
      </x:c>
      <x:c r="E1770" t="str">
        <x:v>Expert</x:v>
      </x:c>
      <x:c r="F1770" t="str">
        <x:v>Kaizo</x:v>
      </x:c>
      <x:c r="G1770" t="n">
        <x:v>44739</x:v>
      </x:c>
      <x:c r="H1770" t="str">
        <x:v>31166</x:v>
      </x:c>
      <x:c r="I1770" t="str">
        <x:v>https://www.smwcentral.net/?a=details&amp;id=31166&amp;p=section</x:v>
      </x:c>
      <x:c r="J1770" t="str">
        <x:v>https://dl.smwcentral.net/31166/Super%20Foo%20World%201.1.zip</x:v>
      </x:c>
    </x:row>
    <x:row r="1771">
      <x:c r="A1771" t="str">
        <x:v>Super Foo World -1</x:v>
      </x:c>
      <x:c r="B1771" t="str">
        <x:v>Super Foo World -1</x:v>
      </x:c>
      <x:c r="C1771" t="str">
        <x:v>xhsdf</x:v>
      </x:c>
      <x:c r="D1771" t="n">
        <x:v>9</x:v>
      </x:c>
      <x:c r="E1771" t="str">
        <x:v>Advanced</x:v>
      </x:c>
      <x:c r="F1771" t="str">
        <x:v>Kaizo</x:v>
      </x:c>
      <x:c r="G1771" t="n">
        <x:v>45715</x:v>
      </x:c>
      <x:c r="H1771" t="str">
        <x:v>39471</x:v>
      </x:c>
      <x:c r="I1771" t="str">
        <x:v>https://www.smwcentral.net/?a=details&amp;id=39471&amp;p=section</x:v>
      </x:c>
      <x:c r="J1771" t="str">
        <x:v>https://dl.smwcentral.net/39471/Super%20Foo%20World%20-1.zip</x:v>
      </x:c>
    </x:row>
    <x:row r="1772">
      <x:c r="A1772" t="str">
        <x:v>Super Foo World 0</x:v>
      </x:c>
      <x:c r="B1772" t="str">
        <x:v>Super Foo World 0</x:v>
      </x:c>
      <x:c r="C1772" t="str">
        <x:v>xhsdf</x:v>
      </x:c>
      <x:c r="D1772" t="n">
        <x:v>7</x:v>
      </x:c>
      <x:c r="E1772" t="str">
        <x:v>Expert</x:v>
      </x:c>
      <x:c r="F1772" t="str">
        <x:v>Kaizo</x:v>
      </x:c>
      <x:c r="G1772" t="n">
        <x:v>45162</x:v>
      </x:c>
      <x:c r="H1772" t="str">
        <x:v>34929</x:v>
      </x:c>
      <x:c r="I1772" t="str">
        <x:v>https://www.smwcentral.net/?a=details&amp;id=34929&amp;p=section</x:v>
      </x:c>
      <x:c r="J1772" t="str">
        <x:v>https://dl.smwcentral.net/34929/Super%20Foo%20World%200.zip</x:v>
      </x:c>
    </x:row>
    <x:row r="1773">
      <x:c r="A1773" t="str">
        <x:v>Super Foo World 2</x:v>
      </x:c>
      <x:c r="B1773" t="str">
        <x:v>Super Foo World 2</x:v>
      </x:c>
      <x:c r="C1773" t="str">
        <x:v>xhsdf</x:v>
      </x:c>
      <x:c r="D1773" t="n">
        <x:v>18</x:v>
      </x:c>
      <x:c r="E1773" t="str">
        <x:v>Advanced</x:v>
      </x:c>
      <x:c r="F1773" t="str">
        <x:v>Kaizo</x:v>
      </x:c>
      <x:c r="G1773" t="n">
        <x:v>45117</x:v>
      </x:c>
      <x:c r="H1773" t="str">
        <x:v>34184</x:v>
      </x:c>
      <x:c r="I1773" t="str">
        <x:v>https://www.smwcentral.net/?a=details&amp;id=34184&amp;p=section</x:v>
      </x:c>
      <x:c r="J1773" t="str">
        <x:v>https://dl.smwcentral.net/34184/Super%20Foo%20World%202%20v1.1.zip</x:v>
      </x:c>
    </x:row>
    <x:row r="1774">
      <x:c r="A1774" t="str">
        <x:v>Super Foo World 3</x:v>
      </x:c>
      <x:c r="B1774" t="str">
        <x:v>Super Foo World 3</x:v>
      </x:c>
      <x:c r="C1774" t="str">
        <x:v>xhsdf</x:v>
      </x:c>
      <x:c r="D1774" t="n">
        <x:v>18</x:v>
      </x:c>
      <x:c r="E1774" t="str">
        <x:v>Expert</x:v>
      </x:c>
      <x:c r="F1774" t="str">
        <x:v>Kaizo</x:v>
      </x:c>
      <x:c r="G1774" t="n">
        <x:v>45571</x:v>
      </x:c>
      <x:c r="H1774" t="str">
        <x:v>38458</x:v>
      </x:c>
      <x:c r="I1774" t="str">
        <x:v>https://www.smwcentral.net/?a=details&amp;id=38458&amp;p=section</x:v>
      </x:c>
      <x:c r="J1774" t="str">
        <x:v>https://dl.smwcentral.net/38458/Super%20Foo%20World%203%20v1.1.zip</x:v>
      </x:c>
    </x:row>
    <x:row r="1775">
      <x:c r="A1775" t="str">
        <x:v>Super Foo World Lite</x:v>
      </x:c>
      <x:c r="B1775" t="str">
        <x:v>Super Foo World Lite</x:v>
      </x:c>
      <x:c r="C1775" t="str">
        <x:v>xhsdf</x:v>
      </x:c>
      <x:c r="D1775" t="n">
        <x:v>13</x:v>
      </x:c>
      <x:c r="E1775" t="str">
        <x:v>Expert</x:v>
      </x:c>
      <x:c r="F1775" t="str">
        <x:v>Kaizo</x:v>
      </x:c>
      <x:c r="G1775" t="n">
        <x:v>44732</x:v>
      </x:c>
      <x:c r="H1775" t="str">
        <x:v>31123</x:v>
      </x:c>
      <x:c r="I1775" t="str">
        <x:v>https://www.smwcentral.net/?a=details&amp;id=31123&amp;p=section</x:v>
      </x:c>
      <x:c r="J1775" t="str">
        <x:v>https://dl.smwcentral.net/31123/Super%20Foo%20World%20Lite.zip</x:v>
      </x:c>
    </x:row>
    <x:row r="1776">
      <x:c r="A1776" t="str">
        <x:v>Super Foss World</x:v>
      </x:c>
      <x:c r="B1776" t="str">
        <x:v>Super Foss World</x:v>
      </x:c>
      <x:c r="C1776" t="str">
        <x:v>PangaeaPanga</x:v>
      </x:c>
      <x:c r="D1776" t="n">
        <x:v>22</x:v>
      </x:c>
      <x:c r="E1776" t="str">
        <x:v>Expert</x:v>
      </x:c>
      <x:c r="F1776" t="str">
        <x:v>Kaizo, Puzzle</x:v>
      </x:c>
      <x:c r="G1776" t="n">
        <x:v>42237</x:v>
      </x:c>
      <x:c r="H1776" t="str">
        <x:v>11932</x:v>
      </x:c>
      <x:c r="I1776" t="str">
        <x:v>https://www.smwcentral.net/?a=details&amp;id=11932&amp;p=section</x:v>
      </x:c>
      <x:c r="J1776" t="str">
        <x:v>https://dl.smwcentral.net/11932/Super%20Foss%20World%20v1.31.zip</x:v>
      </x:c>
    </x:row>
    <x:row r="1777">
      <x:c r="A1777" t="str">
        <x:v>Super Fruits 'n Veggies World</x:v>
      </x:c>
      <x:c r="B1777" t="str">
        <x:v>Super Fruits 'n Veggies World</x:v>
      </x:c>
      <x:c r="C1777" t="str">
        <x:v>JeepySol</x:v>
      </x:c>
      <x:c r="D1777" t="n">
        <x:v>21</x:v>
      </x:c>
      <x:c r="E1777" t="str">
        <x:v>Advanced</x:v>
      </x:c>
      <x:c r="F1777" t="str">
        <x:v>Kaizo</x:v>
      </x:c>
      <x:c r="G1777" t="n">
        <x:v>45152</x:v>
      </x:c>
      <x:c r="H1777" t="str">
        <x:v>34846</x:v>
      </x:c>
      <x:c r="I1777" t="str">
        <x:v>https://www.smwcentral.net/?a=details&amp;id=34846&amp;p=section</x:v>
      </x:c>
      <x:c r="J1777" t="str">
        <x:v>https://dl.smwcentral.net/34846/Super%20Fruits%20%27n%20Veggies%20World.zip</x:v>
      </x:c>
    </x:row>
    <x:row r="1778">
      <x:c r="A1778" t="str">
        <x:v>Super Galega World</x:v>
      </x:c>
      <x:c r="B1778" t="str">
        <x:v>Super Galega World</x:v>
      </x:c>
      <x:c r="C1778" t="str">
        <x:v>Rapha2k</x:v>
      </x:c>
      <x:c r="D1778" t="n">
        <x:v>6</x:v>
      </x:c>
      <x:c r="E1778" t="str">
        <x:v>Intermediate</x:v>
      </x:c>
      <x:c r="F1778" t="str">
        <x:v>Kaizo</x:v>
      </x:c>
      <x:c r="G1778" t="n">
        <x:v>45334</x:v>
      </x:c>
      <x:c r="H1778" t="str">
        <x:v>36828</x:v>
      </x:c>
      <x:c r="I1778" t="str">
        <x:v>https://www.smwcentral.net/?a=details&amp;id=36828&amp;p=section</x:v>
      </x:c>
      <x:c r="J1778" t="str">
        <x:v>https://dl.smwcentral.net/36828/Super%20Galega%20World%201.1.zip</x:v>
      </x:c>
    </x:row>
    <x:row r="1779">
      <x:c r="A1779" t="str">
        <x:v>Super germdove World</x:v>
      </x:c>
      <x:c r="B1779" t="str">
        <x:v>Super germdove World</x:v>
      </x:c>
      <x:c r="C1779" t="str">
        <x:v>dobbsworks</x:v>
      </x:c>
      <x:c r="D1779" t="n">
        <x:v>9</x:v>
      </x:c>
      <x:c r="E1779" t="str">
        <x:v>Intermediate</x:v>
      </x:c>
      <x:c r="F1779" t="str">
        <x:v>Kaizo</x:v>
      </x:c>
      <x:c r="G1779" t="n">
        <x:v>44553</x:v>
      </x:c>
      <x:c r="H1779" t="str">
        <x:v>29056</x:v>
      </x:c>
      <x:c r="I1779" t="str">
        <x:v>https://www.smwcentral.net/?a=details&amp;id=29056&amp;p=section</x:v>
      </x:c>
      <x:c r="J1779" t="str">
        <x:v>https://dl.smwcentral.net/29056/Super%20germdove%20World.zip</x:v>
      </x:c>
    </x:row>
    <x:row r="1780">
      <x:c r="A1780" t="str">
        <x:v>Super Ghetto World</x:v>
      </x:c>
      <x:c r="B1780" t="str">
        <x:v>Super Ghetto World</x:v>
      </x:c>
      <x:c r="C1780" t="str">
        <x:v>ghettoyouth</x:v>
      </x:c>
      <x:c r="D1780" t="n">
        <x:v>22</x:v>
      </x:c>
      <x:c r="E1780" t="str">
        <x:v>Casual</x:v>
      </x:c>
      <x:c r="F1780" t="str">
        <x:v>Standard</x:v>
      </x:c>
      <x:c r="G1780" t="n">
        <x:v>42213</x:v>
      </x:c>
      <x:c r="H1780" t="str">
        <x:v>9664</x:v>
      </x:c>
      <x:c r="I1780" t="str">
        <x:v>https://www.smwcentral.net/?a=details&amp;id=9664&amp;p=section</x:v>
      </x:c>
      <x:c r="J1780" t="str">
        <x:v>https://dl.smwcentral.net/9664/Super_Ghettoworld_final.zip</x:v>
      </x:c>
    </x:row>
    <x:row r="1781">
      <x:c r="A1781" t="str">
        <x:v>Super Glitchcat World</x:v>
      </x:c>
      <x:c r="B1781" t="str">
        <x:v>Super Glitchcat World</x:v>
      </x:c>
      <x:c r="C1781" t="str">
        <x:v>NeXuS15</x:v>
      </x:c>
      <x:c r="D1781" t="n">
        <x:v>15</x:v>
      </x:c>
      <x:c r="E1781" t="str">
        <x:v>Expert</x:v>
      </x:c>
      <x:c r="F1781" t="str">
        <x:v>Kaizo</x:v>
      </x:c>
      <x:c r="G1781" t="n">
        <x:v>42812</x:v>
      </x:c>
      <x:c r="H1781" t="str">
        <x:v>15216</x:v>
      </x:c>
      <x:c r="I1781" t="str">
        <x:v>https://www.smwcentral.net/?a=details&amp;id=15216&amp;p=section</x:v>
      </x:c>
      <x:c r="J1781" t="str">
        <x:v>https://dl.smwcentral.net/15216/Super%20Glitchcat%20World.zip</x:v>
      </x:c>
    </x:row>
    <x:row r="1782">
      <x:c r="A1782" t="str">
        <x:v>SUPER Glumper WORLD</x:v>
      </x:c>
      <x:c r="B1782" t="str">
        <x:v>SUPER Glumper WORLD</x:v>
      </x:c>
      <x:c r="C1782" t="str">
        <x:v>Lmao</x:v>
      </x:c>
      <x:c r="D1782" t="n">
        <x:v>5</x:v>
      </x:c>
      <x:c r="E1782" t="str">
        <x:v>Casual</x:v>
      </x:c>
      <x:c r="F1782" t="str">
        <x:v>Standard</x:v>
      </x:c>
      <x:c r="G1782" t="n">
        <x:v>45109</x:v>
      </x:c>
      <x:c r="H1782" t="str">
        <x:v>34189</x:v>
      </x:c>
      <x:c r="I1782" t="str">
        <x:v>https://www.smwcentral.net/?a=details&amp;id=34189&amp;p=section</x:v>
      </x:c>
      <x:c r="J1782" t="str">
        <x:v>https://dl.smwcentral.net/34189/glump.zip</x:v>
      </x:c>
    </x:row>
    <x:row r="1783">
      <x:c r="A1783" t="str">
        <x:v>Super Godly Worl 69</x:v>
      </x:c>
      <x:c r="B1783" t="str">
        <x:v>Super Godly Worl 69</x:v>
      </x:c>
      <x:c r="C1783" t="str">
        <x:v>Godly</x:v>
      </x:c>
      <x:c r="D1783" t="n">
        <x:v>2</x:v>
      </x:c>
      <x:c r="E1783" t="str">
        <x:v>Intermediate</x:v>
      </x:c>
      <x:c r="F1783" t="str">
        <x:v>Standard</x:v>
      </x:c>
      <x:c r="G1783" t="n">
        <x:v>43980</x:v>
      </x:c>
      <x:c r="H1783" t="str">
        <x:v>23156</x:v>
      </x:c>
      <x:c r="I1783" t="str">
        <x:v>https://www.smwcentral.net/?a=details&amp;id=23156&amp;p=section</x:v>
      </x:c>
      <x:c r="J1783" t="str">
        <x:v>https://dl.smwcentral.net/23156/Super%20Godly%20Worl%2069.zip</x:v>
      </x:c>
    </x:row>
    <x:row r="1784">
      <x:c r="A1784" t="str">
        <x:v>Super Goober World</x:v>
      </x:c>
      <x:c r="B1784" t="str">
        <x:v>Super Goober World</x:v>
      </x:c>
      <x:c r="C1784" t="str">
        <x:v>Gumby</x:v>
      </x:c>
      <x:c r="D1784" t="n">
        <x:v>7</x:v>
      </x:c>
      <x:c r="E1784" t="str">
        <x:v>Expert</x:v>
      </x:c>
      <x:c r="F1784" t="str">
        <x:v>Kaizo</x:v>
      </x:c>
      <x:c r="G1784" t="n">
        <x:v>45908</x:v>
      </x:c>
      <x:c r="H1784" t="str">
        <x:v>40585</x:v>
      </x:c>
      <x:c r="I1784" t="str">
        <x:v>https://www.smwcentral.net/?a=details&amp;id=40585&amp;p=section</x:v>
      </x:c>
      <x:c r="J1784" t="str">
        <x:v>https://dl.smwcentral.net/40585/SuperGooberWorld.zip</x:v>
      </x:c>
    </x:row>
    <x:row r="1785">
      <x:c r="A1785" t="str">
        <x:v>Super Gracie World</x:v>
      </x:c>
      <x:c r="B1785" t="str">
        <x:v>Super Gracie World</x:v>
      </x:c>
      <x:c r="C1785" t="str">
        <x:v>white_moth</x:v>
      </x:c>
      <x:c r="D1785" t="n">
        <x:v>14</x:v>
      </x:c>
      <x:c r="E1785" t="str">
        <x:v>Advanced</x:v>
      </x:c>
      <x:c r="F1785" t="str">
        <x:v>Kaizo</x:v>
      </x:c>
      <x:c r="G1785" t="n">
        <x:v>43213</x:v>
      </x:c>
      <x:c r="H1785" t="str">
        <x:v>17395</x:v>
      </x:c>
      <x:c r="I1785" t="str">
        <x:v>https://www.smwcentral.net/?a=details&amp;id=17395&amp;p=section</x:v>
      </x:c>
      <x:c r="J1785" t="str">
        <x:v>https://dl.smwcentral.net/17395/Super%20Gracie%20World%20v1.3.bps.zip</x:v>
      </x:c>
    </x:row>
    <x:row r="1786">
      <x:c r="A1786" t="str">
        <x:v>Super Hacked World</x:v>
      </x:c>
      <x:c r="B1786" t="str">
        <x:v>Super Hacked World</x:v>
      </x:c>
      <x:c r="C1786" t="str">
        <x:v>videolegoboy123</x:v>
      </x:c>
      <x:c r="D1786" t="n">
        <x:v>6</x:v>
      </x:c>
      <x:c r="E1786" t="str">
        <x:v>Casual</x:v>
      </x:c>
      <x:c r="F1786" t="str">
        <x:v>Standard</x:v>
      </x:c>
      <x:c r="G1786" t="n">
        <x:v>42292</x:v>
      </x:c>
      <x:c r="H1786" t="str">
        <x:v>9964</x:v>
      </x:c>
      <x:c r="I1786" t="str">
        <x:v>https://www.smwcentral.net/?a=details&amp;id=9964&amp;p=section</x:v>
      </x:c>
      <x:c r="J1786" t="str">
        <x:v>https://dl.smwcentral.net/9964/Super%20Hacked%20World%20%28V1.1%29%20%5BDemo%20Release%201%5D.zip</x:v>
      </x:c>
    </x:row>
    <x:row r="1787">
      <x:c r="A1787" t="str">
        <x:v>Super Hark Bros</x:v>
      </x:c>
      <x:c r="B1787" t="str">
        <x:v>Super Hark Bros</x:v>
      </x:c>
      <x:c r="C1787" t="str">
        <x:v>ChrisG___</x:v>
      </x:c>
      <x:c r="D1787" t="n">
        <x:v>16</x:v>
      </x:c>
      <x:c r="E1787" t="str">
        <x:v>Advanced</x:v>
      </x:c>
      <x:c r="F1787" t="str">
        <x:v>Kaizo</x:v>
      </x:c>
      <x:c r="G1787" t="n">
        <x:v>43193</x:v>
      </x:c>
      <x:c r="H1787" t="str">
        <x:v>17304</x:v>
      </x:c>
      <x:c r="I1787" t="str">
        <x:v>https://www.smwcentral.net/?a=details&amp;id=17304&amp;p=section</x:v>
      </x:c>
      <x:c r="J1787" t="str">
        <x:v>https://dl.smwcentral.net/17304/Super%20Hark%20Bros%201.21.zip</x:v>
      </x:c>
    </x:row>
    <x:row r="1788">
      <x:c r="A1788" t="str">
        <x:v>Super Hark Bros 2</x:v>
      </x:c>
      <x:c r="B1788" t="str">
        <x:v>Super Hark Bros 2</x:v>
      </x:c>
      <x:c r="C1788" t="str">
        <x:v>ChrisG___</x:v>
      </x:c>
      <x:c r="D1788" t="n">
        <x:v>24</x:v>
      </x:c>
      <x:c r="E1788" t="str">
        <x:v>Expert</x:v>
      </x:c>
      <x:c r="F1788" t="str">
        <x:v>Kaizo</x:v>
      </x:c>
      <x:c r="G1788" t="n">
        <x:v>45276</x:v>
      </x:c>
      <x:c r="H1788" t="str">
        <x:v>35698</x:v>
      </x:c>
      <x:c r="I1788" t="str">
        <x:v>https://www.smwcentral.net/?a=details&amp;id=35698&amp;p=section</x:v>
      </x:c>
      <x:c r="J1788" t="str">
        <x:v>https://dl.smwcentral.net/35698/Super%20Hark%20Bros%202.zip</x:v>
      </x:c>
    </x:row>
    <x:row r="1789">
      <x:c r="A1789" t="str">
        <x:v>Super Herbihalt World</x:v>
      </x:c>
      <x:c r="B1789" t="str">
        <x:v>Super Herbihalt World</x:v>
      </x:c>
      <x:c r="C1789" t="str">
        <x:v>OEO6</x:v>
      </x:c>
      <x:c r="D1789" t="n">
        <x:v>8</x:v>
      </x:c>
      <x:c r="E1789" t="str">
        <x:v>Intermediate</x:v>
      </x:c>
      <x:c r="F1789" t="str">
        <x:v>Standard</x:v>
      </x:c>
      <x:c r="G1789" t="n">
        <x:v>43534</x:v>
      </x:c>
      <x:c r="H1789" t="str">
        <x:v>19280</x:v>
      </x:c>
      <x:c r="I1789" t="str">
        <x:v>https://www.smwcentral.net/?a=details&amp;id=19280&amp;p=section</x:v>
      </x:c>
      <x:c r="J1789" t="str">
        <x:v>https://dl.smwcentral.net/19280/Super%20Herbihalt%20World.zip</x:v>
      </x:c>
    </x:row>
    <x:row r="1790">
      <x:c r="A1790" t="str">
        <x:v>Super Herbihalt World 2</x:v>
      </x:c>
      <x:c r="B1790" t="str">
        <x:v>Super Herbihalt World 2</x:v>
      </x:c>
      <x:c r="C1790" t="str">
        <x:v>OEO6</x:v>
      </x:c>
      <x:c r="D1790" t="n">
        <x:v>8</x:v>
      </x:c>
      <x:c r="E1790" t="str">
        <x:v>Casual</x:v>
      </x:c>
      <x:c r="F1790" t="str">
        <x:v>Standard</x:v>
      </x:c>
      <x:c r="G1790" t="n">
        <x:v>43604</x:v>
      </x:c>
      <x:c r="H1790" t="str">
        <x:v>19661</x:v>
      </x:c>
      <x:c r="I1790" t="str">
        <x:v>https://www.smwcentral.net/?a=details&amp;id=19661&amp;p=section</x:v>
      </x:c>
      <x:c r="J1790" t="str">
        <x:v>https://dl.smwcentral.net/19661/Super%20Herbihalt%20World%202.zip</x:v>
      </x:c>
    </x:row>
    <x:row r="1791">
      <x:c r="A1791" t="str">
        <x:v>Super Herbihalt World 3</x:v>
      </x:c>
      <x:c r="B1791" t="str">
        <x:v>Super Herbihalt World 3</x:v>
      </x:c>
      <x:c r="C1791" t="str">
        <x:v>OEO6</x:v>
      </x:c>
      <x:c r="D1791" t="n">
        <x:v>8</x:v>
      </x:c>
      <x:c r="E1791" t="str">
        <x:v>Intermediate</x:v>
      </x:c>
      <x:c r="F1791" t="str">
        <x:v>Standard</x:v>
      </x:c>
      <x:c r="G1791" t="n">
        <x:v>43784</x:v>
      </x:c>
      <x:c r="H1791" t="str">
        <x:v>21337</x:v>
      </x:c>
      <x:c r="I1791" t="str">
        <x:v>https://www.smwcentral.net/?a=details&amp;id=21337&amp;p=section</x:v>
      </x:c>
      <x:c r="J1791" t="str">
        <x:v>https://dl.smwcentral.net/21337/Super%20Herbihalt%20World%203%20%2820102019%29.zip</x:v>
      </x:c>
    </x:row>
    <x:row r="1792">
      <x:c r="A1792" t="str">
        <x:v>Super Huh World</x:v>
      </x:c>
      <x:c r="B1792" t="str">
        <x:v>Super Huh World</x:v>
      </x:c>
      <x:c r="C1792" t="str">
        <x:v>SolveForX</x:v>
      </x:c>
      <x:c r="D1792" t="n">
        <x:v>6</x:v>
      </x:c>
      <x:c r="E1792" t="str">
        <x:v>Master</x:v>
      </x:c>
      <x:c r="F1792" t="str">
        <x:v>Kaizo</x:v>
      </x:c>
      <x:c r="G1792" t="n">
        <x:v>45125</x:v>
      </x:c>
      <x:c r="H1792" t="str">
        <x:v>34151</x:v>
      </x:c>
      <x:c r="I1792" t="str">
        <x:v>https://www.smwcentral.net/?a=details&amp;id=34151&amp;p=section</x:v>
      </x:c>
      <x:c r="J1792" t="str">
        <x:v>https://dl.smwcentral.net/34151/superHuhWorld.zip</x:v>
      </x:c>
    </x:row>
    <x:row r="1793">
      <x:c r="A1793" t="str">
        <x:v>Super Husky World</x:v>
      </x:c>
      <x:c r="B1793" t="str">
        <x:v>Super Husky World</x:v>
      </x:c>
      <x:c r="C1793" t="str">
        <x:v>Daffoxy</x:v>
      </x:c>
      <x:c r="D1793" t="n">
        <x:v>12</x:v>
      </x:c>
      <x:c r="E1793" t="str">
        <x:v>Advanced</x:v>
      </x:c>
      <x:c r="F1793" t="str">
        <x:v>Kaizo</x:v>
      </x:c>
      <x:c r="G1793" t="n">
        <x:v>44481</x:v>
      </x:c>
      <x:c r="H1793" t="str">
        <x:v>28570</x:v>
      </x:c>
      <x:c r="I1793" t="str">
        <x:v>https://www.smwcentral.net/?a=details&amp;id=28570&amp;p=section</x:v>
      </x:c>
      <x:c r="J1793" t="str">
        <x:v>https://dl.smwcentral.net/28570/Super_Husky_World_1.1.zip</x:v>
      </x:c>
    </x:row>
    <x:row r="1794">
      <x:c r="A1794" t="str">
        <x:v>Super Husky World 2</x:v>
      </x:c>
      <x:c r="B1794" t="str">
        <x:v>Super Husky World 2</x:v>
      </x:c>
      <x:c r="C1794" t="str">
        <x:v>Daffoxy</x:v>
      </x:c>
      <x:c r="D1794" t="n">
        <x:v>15</x:v>
      </x:c>
      <x:c r="E1794" t="str">
        <x:v>Advanced</x:v>
      </x:c>
      <x:c r="F1794" t="str">
        <x:v>Kaizo</x:v>
      </x:c>
      <x:c r="G1794" t="n">
        <x:v>44944</x:v>
      </x:c>
      <x:c r="H1794" t="str">
        <x:v>32933</x:v>
      </x:c>
      <x:c r="I1794" t="str">
        <x:v>https://www.smwcentral.net/?a=details&amp;id=32933&amp;p=section</x:v>
      </x:c>
      <x:c r="J1794" t="str">
        <x:v>https://dl.smwcentral.net/32933/Super_Husky_World2v1.2.zip</x:v>
      </x:c>
    </x:row>
    <x:row r="1795">
      <x:c r="A1795" t="str">
        <x:v>Super I Will Make One Level a Day Until Doopu Publishes SHINE World</x:v>
      </x:c>
      <x:c r="B1795" t="str">
        <x:v>Super I Will Make One Level a Day Until Doopu Publishes SHINE World</x:v>
      </x:c>
      <x:c r="C1795" t="str">
        <x:v>EvilAdmiralKivi</x:v>
      </x:c>
      <x:c r="D1795" t="n">
        <x:v>14</x:v>
      </x:c>
      <x:c r="E1795" t="str">
        <x:v>Expert</x:v>
      </x:c>
      <x:c r="F1795" t="str">
        <x:v>Kaizo</x:v>
      </x:c>
      <x:c r="G1795" t="n">
        <x:v>45706</x:v>
      </x:c>
      <x:c r="H1795" t="str">
        <x:v>39366</x:v>
      </x:c>
      <x:c r="I1795" t="str">
        <x:v>https://www.smwcentral.net/?a=details&amp;id=39366&amp;p=section</x:v>
      </x:c>
      <x:c r="J1795" t="str">
        <x:v>https://dl.smwcentral.net/39366/super-iwmoladudps-world_v0.0.6.zip</x:v>
      </x:c>
    </x:row>
    <x:row r="1796">
      <x:c r="A1796" t="str">
        <x:v>Super Impressive World</x:v>
      </x:c>
      <x:c r="B1796" t="str">
        <x:v>Super Impressive World</x:v>
      </x:c>
      <x:c r="C1796" t="str">
        <x:v>Jack Levin</x:v>
      </x:c>
      <x:c r="D1796" t="n">
        <x:v>6</x:v>
      </x:c>
      <x:c r="E1796" t="str">
        <x:v>Newcomer</x:v>
      </x:c>
      <x:c r="F1796" t="str">
        <x:v>Standard</x:v>
      </x:c>
      <x:c r="G1796" t="n">
        <x:v>42236</x:v>
      </x:c>
      <x:c r="H1796" t="str">
        <x:v>9881</x:v>
      </x:c>
      <x:c r="I1796" t="str">
        <x:v>https://www.smwcentral.net/?a=details&amp;id=9881&amp;p=section</x:v>
      </x:c>
      <x:c r="J1796" t="str">
        <x:v>https://dl.smwcentral.net/9881/Super%20impressive%20world.zip</x:v>
      </x:c>
    </x:row>
    <x:row r="1797">
      <x:c r="A1797" t="str">
        <x:v>Super Insecure World</x:v>
      </x:c>
      <x:c r="B1797" t="str">
        <x:v>Super Insecure World</x:v>
      </x:c>
      <x:c r="C1797" t="str">
        <x:v>mmmdoggy</x:v>
      </x:c>
      <x:c r="D1797" t="n">
        <x:v>10</x:v>
      </x:c>
      <x:c r="E1797" t="str">
        <x:v>Advanced</x:v>
      </x:c>
      <x:c r="F1797" t="str">
        <x:v>Kaizo</x:v>
      </x:c>
      <x:c r="G1797" t="n">
        <x:v>45099</x:v>
      </x:c>
      <x:c r="H1797" t="str">
        <x:v>34138</x:v>
      </x:c>
      <x:c r="I1797" t="str">
        <x:v>https://www.smwcentral.net/?a=details&amp;id=34138&amp;p=section</x:v>
      </x:c>
      <x:c r="J1797" t="str">
        <x:v>https://dl.smwcentral.net/34138/Super%20Insecure%20World.zip</x:v>
      </x:c>
    </x:row>
    <x:row r="1798">
      <x:c r="A1798" t="str">
        <x:v>Super interdimensional crossroad world</x:v>
      </x:c>
      <x:c r="B1798" t="str">
        <x:v>Super interdimensional crossroad world</x:v>
      </x:c>
      <x:c r="C1798" t="str">
        <x:v>ageVerrly</x:v>
      </x:c>
      <x:c r="D1798" t="n">
        <x:v>1</x:v>
      </x:c>
      <x:c r="E1798" t="str">
        <x:v>Advanced</x:v>
      </x:c>
      <x:c r="F1798" t="str">
        <x:v>Standard, Kaizo</x:v>
      </x:c>
      <x:c r="G1798" t="n">
        <x:v>44062</x:v>
      </x:c>
      <x:c r="H1798" t="str">
        <x:v>24299</x:v>
      </x:c>
      <x:c r="I1798" t="str">
        <x:v>https://www.smwcentral.net/?a=details&amp;id=24299&amp;p=section</x:v>
      </x:c>
      <x:c r="J1798" t="str">
        <x:v>https://dl.smwcentral.net/24299/crossroad.zip</x:v>
      </x:c>
    </x:row>
    <x:row r="1799">
      <x:c r="A1799" t="str">
        <x:v>Super Irresponsible World</x:v>
      </x:c>
      <x:c r="B1799" t="str">
        <x:v>Super Irresponsible World</x:v>
      </x:c>
      <x:c r="C1799" t="str">
        <x:v>51690</x:v>
      </x:c>
      <x:c r="D1799" t="n">
        <x:v>9</x:v>
      </x:c>
      <x:c r="E1799" t="str">
        <x:v>Master</x:v>
      </x:c>
      <x:c r="F1799" t="str">
        <x:v>Kaizo</x:v>
      </x:c>
      <x:c r="G1799" t="n">
        <x:v>44580</x:v>
      </x:c>
      <x:c r="H1799" t="str">
        <x:v>28880</x:v>
      </x:c>
      <x:c r="I1799" t="str">
        <x:v>https://www.smwcentral.net/?a=details&amp;id=28880&amp;p=section</x:v>
      </x:c>
      <x:c r="J1799" t="str">
        <x:v>https://dl.smwcentral.net/28880/siw_1.1.zip</x:v>
      </x:c>
    </x:row>
    <x:row r="1800">
      <x:c r="A1800" t="str">
        <x:v>Super IsCamden World</x:v>
      </x:c>
      <x:c r="B1800" t="str">
        <x:v>Super IsCamden World</x:v>
      </x:c>
      <x:c r="C1800" t="str">
        <x:v>fancypanda98</x:v>
      </x:c>
      <x:c r="D1800" t="n">
        <x:v>12</x:v>
      </x:c>
      <x:c r="E1800" t="str">
        <x:v>Advanced</x:v>
      </x:c>
      <x:c r="F1800" t="str">
        <x:v>Kaizo</x:v>
      </x:c>
      <x:c r="G1800" t="n">
        <x:v>42729</x:v>
      </x:c>
      <x:c r="H1800" t="str">
        <x:v>14819</x:v>
      </x:c>
      <x:c r="I1800" t="str">
        <x:v>https://www.smwcentral.net/?a=details&amp;id=14819&amp;p=section</x:v>
      </x:c>
      <x:c r="J1800" t="str">
        <x:v>https://dl.smwcentral.net/14819/Super%20IsCamden%20World%20v%201.6.zip</x:v>
      </x:c>
    </x:row>
    <x:row r="1801">
      <x:c r="A1801" t="str">
        <x:v>Super Isikoro Mario World</x:v>
      </x:c>
      <x:c r="B1801" t="str">
        <x:v>Super Isikoro Mario World</x:v>
      </x:c>
      <x:c r="C1801" t="str">
        <x:v>Isikoro</x:v>
      </x:c>
      <x:c r="D1801" t="n">
        <x:v>116</x:v>
      </x:c>
      <x:c r="E1801" t="str">
        <x:v>Master</x:v>
      </x:c>
      <x:c r="F1801" t="str">
        <x:v>Standard</x:v>
      </x:c>
      <x:c r="G1801" t="n">
        <x:v>45114</x:v>
      </x:c>
      <x:c r="H1801" t="str">
        <x:v>33988</x:v>
      </x:c>
      <x:c r="I1801" t="str">
        <x:v>https://www.smwcentral.net/?a=details&amp;id=33988&amp;p=section</x:v>
      </x:c>
      <x:c r="J1801" t="str">
        <x:v>https://dl.smwcentral.net/33988/IsikoroMario.zip</x:v>
      </x:c>
    </x:row>
    <x:row r="1802">
      <x:c r="A1802" t="str">
        <x:v>Super IzToat World</x:v>
      </x:c>
      <x:c r="B1802" t="str">
        <x:v>Super IzToat World</x:v>
      </x:c>
      <x:c r="C1802" t="str">
        <x:v>Scags</x:v>
      </x:c>
      <x:c r="D1802" t="n">
        <x:v>11</x:v>
      </x:c>
      <x:c r="E1802" t="str">
        <x:v>Advanced</x:v>
      </x:c>
      <x:c r="F1802" t="str">
        <x:v>Kaizo</x:v>
      </x:c>
      <x:c r="G1802" t="n">
        <x:v>45995</x:v>
      </x:c>
      <x:c r="H1802" t="str">
        <x:v>41099</x:v>
      </x:c>
      <x:c r="I1802" t="str">
        <x:v>https://www.smwcentral.net/?a=details&amp;id=41099&amp;p=section</x:v>
      </x:c>
      <x:c r="J1802" t="str">
        <x:v>https://dl.smwcentral.net/41099/IzToat%20World.zip</x:v>
      </x:c>
    </x:row>
    <x:row r="1803">
      <x:c r="A1803" t="str">
        <x:v>Super Jars World</x:v>
      </x:c>
      <x:c r="B1803" t="str">
        <x:v>Super Jars World</x:v>
      </x:c>
      <x:c r="C1803" t="str">
        <x:v>Hwailaluta, JCSII, Mithrillionaire, SpaceGlam, Stucat, djEnby</x:v>
      </x:c>
      <x:c r="D1803" t="n">
        <x:v>20</x:v>
      </x:c>
      <x:c r="E1803" t="str">
        <x:v>Expert</x:v>
      </x:c>
      <x:c r="F1803" t="str">
        <x:v>Standard, Kaizo, Puzzle</x:v>
      </x:c>
      <x:c r="G1803" t="n">
        <x:v>46117</x:v>
      </x:c>
      <x:c r="H1803" t="str">
        <x:v>42097</x:v>
      </x:c>
      <x:c r="I1803" t="str">
        <x:v>https://www.smwcentral.net/?a=details&amp;id=42097&amp;p=section</x:v>
      </x:c>
      <x:c r="J1803" t="str">
        <x:v>https://dl.smwcentral.net/42097/Super%20Jars%20World.zip</x:v>
      </x:c>
    </x:row>
    <x:row r="1804">
      <x:c r="A1804" t="str">
        <x:v>Super Joe Bros 3</x:v>
      </x:c>
      <x:c r="B1804" t="str">
        <x:v>Super Joe Bros 3</x:v>
      </x:c>
      <x:c r="C1804" t="str">
        <x:v>NBSpider, Resnov23, The Voipah, Wolfguy423</x:v>
      </x:c>
      <x:c r="D1804" t="n">
        <x:v>23</x:v>
      </x:c>
      <x:c r="E1804" t="str">
        <x:v>Advanced</x:v>
      </x:c>
      <x:c r="F1804" t="str">
        <x:v>Kaizo</x:v>
      </x:c>
      <x:c r="G1804" t="n">
        <x:v>45203</x:v>
      </x:c>
      <x:c r="H1804" t="str">
        <x:v>35025</x:v>
      </x:c>
      <x:c r="I1804" t="str">
        <x:v>https://www.smwcentral.net/?a=details&amp;id=35025&amp;p=section</x:v>
      </x:c>
      <x:c r="J1804" t="str">
        <x:v>https://dl.smwcentral.net/35025/Super%20Joe%20Bros%203%20V1.1.zip</x:v>
      </x:c>
    </x:row>
    <x:row r="1805">
      <x:c r="A1805" t="str">
        <x:v>Super Joe Bros.</x:v>
      </x:c>
      <x:c r="B1805" t="str">
        <x:v>Super Joe Bros.</x:v>
      </x:c>
      <x:c r="C1805" t="str">
        <x:v>Wolfguy423</x:v>
      </x:c>
      <x:c r="D1805" t="n">
        <x:v>12</x:v>
      </x:c>
      <x:c r="E1805" t="str">
        <x:v>Intermediate</x:v>
      </x:c>
      <x:c r="F1805" t="str">
        <x:v>Kaizo</x:v>
      </x:c>
      <x:c r="G1805" t="n">
        <x:v>44318</x:v>
      </x:c>
      <x:c r="H1805" t="str">
        <x:v>26882</x:v>
      </x:c>
      <x:c r="I1805" t="str">
        <x:v>https://www.smwcentral.net/?a=details&amp;id=26882&amp;p=section</x:v>
      </x:c>
      <x:c r="J1805" t="str">
        <x:v>https://dl.smwcentral.net/26882/Super%20Joe%20Bros%20V3.0.zip</x:v>
      </x:c>
    </x:row>
    <x:row r="1806">
      <x:c r="A1806" t="str">
        <x:v>Super Joe Bros. 2</x:v>
      </x:c>
      <x:c r="B1806" t="str">
        <x:v>Super Joe Bros. 2</x:v>
      </x:c>
      <x:c r="C1806" t="str">
        <x:v>Wolfguy423</x:v>
      </x:c>
      <x:c r="D1806" t="n">
        <x:v>21</x:v>
      </x:c>
      <x:c r="E1806" t="str">
        <x:v>Advanced</x:v>
      </x:c>
      <x:c r="F1806" t="str">
        <x:v>Kaizo</x:v>
      </x:c>
      <x:c r="G1806" t="n">
        <x:v>44791</x:v>
      </x:c>
      <x:c r="H1806" t="str">
        <x:v>31836</x:v>
      </x:c>
      <x:c r="I1806" t="str">
        <x:v>https://www.smwcentral.net/?a=details&amp;id=31836&amp;p=section</x:v>
      </x:c>
      <x:c r="J1806" t="str">
        <x:v>https://dl.smwcentral.net/31836/Joe%20Bros%202%20V1.5.zip</x:v>
      </x:c>
    </x:row>
    <x:row r="1807">
      <x:c r="A1807" t="str">
        <x:v>Super Kaizo Nightmare</x:v>
      </x:c>
      <x:c r="B1807" t="str">
        <x:v>Super Kaizo Nightmare</x:v>
      </x:c>
      <x:c r="C1807" t="str">
        <x:v>Anonymous</x:v>
      </x:c>
      <x:c r="D1807" t="n">
        <x:v>8</x:v>
      </x:c>
      <x:c r="E1807" t="str">
        <x:v>Expert</x:v>
      </x:c>
      <x:c r="F1807" t="str">
        <x:v>Kaizo</x:v>
      </x:c>
      <x:c r="G1807" t="n">
        <x:v>45699</x:v>
      </x:c>
      <x:c r="H1807" t="str">
        <x:v>39039</x:v>
      </x:c>
      <x:c r="I1807" t="str">
        <x:v>https://www.smwcentral.net/?a=details&amp;id=39039&amp;p=section</x:v>
      </x:c>
      <x:c r="J1807" t="str">
        <x:v>https://dl.smwcentral.net/39039/SKN.zip</x:v>
      </x:c>
    </x:row>
    <x:row r="1808">
      <x:c r="A1808" t="str">
        <x:v>Super Kamek World</x:v>
      </x:c>
      <x:c r="B1808" t="str">
        <x:v>Super Kamek World</x:v>
      </x:c>
      <x:c r="C1808" t="str">
        <x:v>Zoreo</x:v>
      </x:c>
      <x:c r="D1808" t="n">
        <x:v>31</x:v>
      </x:c>
      <x:c r="E1808" t="str">
        <x:v>Advanced</x:v>
      </x:c>
      <x:c r="F1808" t="str">
        <x:v>Standard</x:v>
      </x:c>
      <x:c r="G1808" t="n">
        <x:v>45278</x:v>
      </x:c>
      <x:c r="H1808" t="str">
        <x:v>35498</x:v>
      </x:c>
      <x:c r="I1808" t="str">
        <x:v>https://www.smwcentral.net/?a=details&amp;id=35498&amp;p=section</x:v>
      </x:c>
      <x:c r="J1808" t="str">
        <x:v>https://dl.smwcentral.net/35498/Kamek%20World.zip</x:v>
      </x:c>
    </x:row>
    <x:row r="1809">
      <x:c r="A1809" t="str">
        <x:v>Super Kekcroc World 2 - A Croc Throughout Time</x:v>
      </x:c>
      <x:c r="B1809" t="str">
        <x:v>Super Kekcroc World 2 - A Croc Throughout Time</x:v>
      </x:c>
      <x:c r="C1809" t="str">
        <x:v>Knucklesfan</x:v>
      </x:c>
      <x:c r="D1809" t="n">
        <x:v>13</x:v>
      </x:c>
      <x:c r="E1809" t="str">
        <x:v>Intermediate</x:v>
      </x:c>
      <x:c r="F1809" t="str">
        <x:v>Standard</x:v>
      </x:c>
      <x:c r="G1809" t="n">
        <x:v>43692</x:v>
      </x:c>
      <x:c r="H1809" t="str">
        <x:v>20773</x:v>
      </x:c>
      <x:c r="I1809" t="str">
        <x:v>https://www.smwcentral.net/?a=details&amp;id=20773&amp;p=section</x:v>
      </x:c>
      <x:c r="J1809" t="str">
        <x:v>https://dl.smwcentral.net/20773/Super%20Kekcroc%20World%202%20A%20Croc%20Throughout%20Time%20Minor%20Update2.zip</x:v>
      </x:c>
    </x:row>
    <x:row r="1810">
      <x:c r="A1810" t="str">
        <x:v>Super Kekcroc World 3</x:v>
      </x:c>
      <x:c r="B1810" t="str">
        <x:v>Super Kekcroc World 3</x:v>
      </x:c>
      <x:c r="C1810" t="str">
        <x:v>Knucklesfan</x:v>
      </x:c>
      <x:c r="D1810" t="n">
        <x:v>12</x:v>
      </x:c>
      <x:c r="E1810" t="str">
        <x:v>Intermediate</x:v>
      </x:c>
      <x:c r="F1810" t="str">
        <x:v>Standard</x:v>
      </x:c>
      <x:c r="G1810" t="n">
        <x:v>44168</x:v>
      </x:c>
      <x:c r="H1810" t="str">
        <x:v>25202</x:v>
      </x:c>
      <x:c r="I1810" t="str">
        <x:v>https://www.smwcentral.net/?a=details&amp;id=25202&amp;p=section</x:v>
      </x:c>
      <x:c r="J1810" t="str">
        <x:v>https://dl.smwcentral.net/25202/Super%20Kekcroc%20World%203%20Ver%201.6.zip</x:v>
      </x:c>
    </x:row>
    <x:row r="1811">
      <x:c r="A1811" t="str">
        <x:v>Super Kekcroc World: Kekcroc in Space</x:v>
      </x:c>
      <x:c r="B1811" t="str">
        <x:v>Super Kekcroc World: Kekcroc in Space</x:v>
      </x:c>
      <x:c r="C1811" t="str">
        <x:v>Knucklesfan</x:v>
      </x:c>
      <x:c r="D1811" t="n">
        <x:v>16</x:v>
      </x:c>
      <x:c r="E1811" t="str">
        <x:v>Intermediate</x:v>
      </x:c>
      <x:c r="F1811" t="str">
        <x:v>Standard</x:v>
      </x:c>
      <x:c r="G1811" t="n">
        <x:v>43301</x:v>
      </x:c>
      <x:c r="H1811" t="str">
        <x:v>17909</x:v>
      </x:c>
      <x:c r="I1811" t="str">
        <x:v>https://www.smwcentral.net/?a=details&amp;id=17909&amp;p=section</x:v>
      </x:c>
      <x:c r="J1811" t="str">
        <x:v>https://dl.smwcentral.net/17909/Super%20Kekcroc%20World%20Official%20Release.zip</x:v>
      </x:c>
    </x:row>
    <x:row r="1812">
      <x:c r="A1812" t="str">
        <x:v>Super Kentucky Bros</x:v>
      </x:c>
      <x:c r="B1812" t="str">
        <x:v>Super Kentucky Bros</x:v>
      </x:c>
      <x:c r="C1812" t="str">
        <x:v>KBF</x:v>
      </x:c>
      <x:c r="D1812" t="n">
        <x:v>17</x:v>
      </x:c>
      <x:c r="E1812" t="str">
        <x:v>Expert</x:v>
      </x:c>
      <x:c r="F1812" t="str">
        <x:v>Kaizo</x:v>
      </x:c>
      <x:c r="G1812" t="n">
        <x:v>43600</x:v>
      </x:c>
      <x:c r="H1812" t="str">
        <x:v>19910</x:v>
      </x:c>
      <x:c r="I1812" t="str">
        <x:v>https://www.smwcentral.net/?a=details&amp;id=19910&amp;p=section</x:v>
      </x:c>
      <x:c r="J1812" t="str">
        <x:v>https://dl.smwcentral.net/19910/SKB1.1.zip</x:v>
      </x:c>
    </x:row>
    <x:row r="1813">
      <x:c r="A1813" t="str">
        <x:v>Super Kilik World</x:v>
      </x:c>
      <x:c r="B1813" t="str">
        <x:v>Super Kilik World</x:v>
      </x:c>
      <x:c r="C1813" t="str">
        <x:v>Kilik</x:v>
      </x:c>
      <x:c r="D1813" t="n">
        <x:v>8</x:v>
      </x:c>
      <x:c r="E1813" t="str">
        <x:v>Casual</x:v>
      </x:c>
      <x:c r="F1813" t="str">
        <x:v>Standard</x:v>
      </x:c>
      <x:c r="G1813" t="n">
        <x:v>42258</x:v>
      </x:c>
      <x:c r="H1813" t="str">
        <x:v>9989</x:v>
      </x:c>
      <x:c r="I1813" t="str">
        <x:v>https://www.smwcentral.net/?a=details&amp;id=9989&amp;p=section</x:v>
      </x:c>
      <x:c r="J1813" t="str">
        <x:v>https://dl.smwcentral.net/9989/Super%20Kilik%20World.zip</x:v>
      </x:c>
    </x:row>
    <x:row r="1814">
      <x:c r="A1814" t="str">
        <x:v>Super Killer World</x:v>
      </x:c>
      <x:c r="B1814" t="str">
        <x:v>Super Killer World</x:v>
      </x:c>
      <x:c r="C1814" t="str">
        <x:v>Wieus96</x:v>
      </x:c>
      <x:c r="D1814" t="n">
        <x:v>13</x:v>
      </x:c>
      <x:c r="E1814" t="str">
        <x:v>Advanced</x:v>
      </x:c>
      <x:c r="F1814" t="str">
        <x:v>Kaizo</x:v>
      </x:c>
      <x:c r="G1814" t="n">
        <x:v>43077</x:v>
      </x:c>
      <x:c r="H1814" t="str">
        <x:v>16725</x:v>
      </x:c>
      <x:c r="I1814" t="str">
        <x:v>https://www.smwcentral.net/?a=details&amp;id=16725&amp;p=section</x:v>
      </x:c>
      <x:c r="J1814" t="str">
        <x:v>https://dl.smwcentral.net/16725/Super%20Killer%20World%201.3.zip</x:v>
      </x:c>
    </x:row>
    <x:row r="1815">
      <x:c r="A1815" t="str">
        <x:v>Super King Jay World</x:v>
      </x:c>
      <x:c r="B1815" t="str">
        <x:v>Super King Jay World</x:v>
      </x:c>
      <x:c r="C1815" t="str">
        <x:v>Hiroki</x:v>
      </x:c>
      <x:c r="D1815" t="n">
        <x:v>14</x:v>
      </x:c>
      <x:c r="E1815" t="str">
        <x:v>Expert</x:v>
      </x:c>
      <x:c r="F1815" t="str">
        <x:v>Kaizo</x:v>
      </x:c>
      <x:c r="G1815" t="n">
        <x:v>45078</x:v>
      </x:c>
      <x:c r="H1815" t="str">
        <x:v>34039</x:v>
      </x:c>
      <x:c r="I1815" t="str">
        <x:v>https://www.smwcentral.net/?a=details&amp;id=34039&amp;p=section</x:v>
      </x:c>
      <x:c r="J1815" t="str">
        <x:v>https://dl.smwcentral.net/34039/SKJWv1.1.zip</x:v>
      </x:c>
    </x:row>
    <x:row r="1816">
      <x:c r="A1816" t="str">
        <x:v>Super Kroeti Kaizo World</x:v>
      </x:c>
      <x:c r="B1816" t="str">
        <x:v>Super Kroeti Kaizo World</x:v>
      </x:c>
      <x:c r="C1816" t="str">
        <x:v>Steffi4689</x:v>
      </x:c>
      <x:c r="D1816" t="n">
        <x:v>14</x:v>
      </x:c>
      <x:c r="E1816" t="str">
        <x:v>Advanced</x:v>
      </x:c>
      <x:c r="F1816" t="str">
        <x:v>Kaizo</x:v>
      </x:c>
      <x:c r="G1816" t="n">
        <x:v>44503</x:v>
      </x:c>
      <x:c r="H1816" t="str">
        <x:v>28658</x:v>
      </x:c>
      <x:c r="I1816" t="str">
        <x:v>https://www.smwcentral.net/?a=details&amp;id=28658&amp;p=section</x:v>
      </x:c>
      <x:c r="J1816" t="str">
        <x:v>https://dl.smwcentral.net/28658/SuperKroetiKaizoWorld.zip</x:v>
      </x:c>
    </x:row>
    <x:row r="1817">
      <x:c r="A1817" t="str">
        <x:v>Super Kuso World</x:v>
      </x:c>
      <x:c r="B1817" t="str">
        <x:v>Super Kuso World</x:v>
      </x:c>
      <x:c r="C1817" t="str">
        <x:v>Volpey</x:v>
      </x:c>
      <x:c r="D1817" t="n">
        <x:v>14</x:v>
      </x:c>
      <x:c r="E1817" t="str">
        <x:v>Master</x:v>
      </x:c>
      <x:c r="F1817" t="str">
        <x:v>Kaizo</x:v>
      </x:c>
      <x:c r="G1817" t="n">
        <x:v>43107</x:v>
      </x:c>
      <x:c r="H1817" t="str">
        <x:v>16700</x:v>
      </x:c>
      <x:c r="I1817" t="str">
        <x:v>https://www.smwcentral.net/?a=details&amp;id=16700&amp;p=section</x:v>
      </x:c>
      <x:c r="J1817" t="str">
        <x:v>https://dl.smwcentral.net/16700/Super%20Kuso%20World.zip</x:v>
      </x:c>
    </x:row>
    <x:row r="1818">
      <x:c r="A1818" t="str">
        <x:v>Super LAME World</x:v>
      </x:c>
      <x:c r="B1818" t="str">
        <x:v>Super LAME World</x:v>
      </x:c>
      <x:c r="C1818" t="str">
        <x:v>Big Brawler</x:v>
      </x:c>
      <x:c r="D1818" t="n">
        <x:v>76</x:v>
      </x:c>
      <x:c r="E1818" t="str">
        <x:v>Newcomer</x:v>
      </x:c>
      <x:c r="F1818" t="str">
        <x:v>Standard</x:v>
      </x:c>
      <x:c r="G1818" t="n">
        <x:v>45822</x:v>
      </x:c>
      <x:c r="H1818" t="str">
        <x:v>39964</x:v>
      </x:c>
      <x:c r="I1818" t="str">
        <x:v>https://www.smwcentral.net/?a=details&amp;id=39964&amp;p=section</x:v>
      </x:c>
      <x:c r="J1818" t="str">
        <x:v>https://dl.smwcentral.net/39964/LAME%201.1.zip</x:v>
      </x:c>
    </x:row>
    <x:row r="1819">
      <x:c r="A1819" t="str">
        <x:v>Super Lani World (Remastered)</x:v>
      </x:c>
      <x:c r="B1819" t="str">
        <x:v>Super Lani World (Remastered)</x:v>
      </x:c>
      <x:c r="C1819" t="str">
        <x:v>Dan2point5</x:v>
      </x:c>
      <x:c r="D1819" t="n">
        <x:v>24</x:v>
      </x:c>
      <x:c r="E1819" t="str">
        <x:v>Expert</x:v>
      </x:c>
      <x:c r="F1819" t="str">
        <x:v>Kaizo</x:v>
      </x:c>
      <x:c r="G1819" t="n">
        <x:v>44318</x:v>
      </x:c>
      <x:c r="H1819" t="str">
        <x:v>26877</x:v>
      </x:c>
      <x:c r="I1819" t="str">
        <x:v>https://www.smwcentral.net/?a=details&amp;id=26877&amp;p=section</x:v>
      </x:c>
      <x:c r="J1819" t="str">
        <x:v>https://dl.smwcentral.net/26877/Super%20Lani%20World.zip</x:v>
      </x:c>
    </x:row>
    <x:row r="1820">
      <x:c r="A1820" t="str">
        <x:v>Super Lani World 2 (Remastered)</x:v>
      </x:c>
      <x:c r="B1820" t="str">
        <x:v>Super Lani World 2 (Remastered)</x:v>
      </x:c>
      <x:c r="C1820" t="str">
        <x:v>Dan2point5</x:v>
      </x:c>
      <x:c r="D1820" t="n">
        <x:v>21</x:v>
      </x:c>
      <x:c r="E1820" t="str">
        <x:v>Expert</x:v>
      </x:c>
      <x:c r="F1820" t="str">
        <x:v>Kaizo</x:v>
      </x:c>
      <x:c r="G1820" t="n">
        <x:v>44343</x:v>
      </x:c>
      <x:c r="H1820" t="str">
        <x:v>27103</x:v>
      </x:c>
      <x:c r="I1820" t="str">
        <x:v>https://www.smwcentral.net/?a=details&amp;id=27103&amp;p=section</x:v>
      </x:c>
      <x:c r="J1820" t="str">
        <x:v>https://dl.smwcentral.net/27103/Super%20Lani%20World%202%20%28Remastered%29.zip</x:v>
      </x:c>
    </x:row>
    <x:row r="1821">
      <x:c r="A1821" t="str">
        <x:v>Super Lani World 3</x:v>
      </x:c>
      <x:c r="B1821" t="str">
        <x:v>Super Lani World 3</x:v>
      </x:c>
      <x:c r="C1821" t="str">
        <x:v>Dan2point5</x:v>
      </x:c>
      <x:c r="D1821" t="n">
        <x:v>35</x:v>
      </x:c>
      <x:c r="E1821" t="str">
        <x:v>Expert</x:v>
      </x:c>
      <x:c r="F1821" t="str">
        <x:v>Kaizo</x:v>
      </x:c>
      <x:c r="G1821" t="n">
        <x:v>45579</x:v>
      </x:c>
      <x:c r="H1821" t="str">
        <x:v>38590</x:v>
      </x:c>
      <x:c r="I1821" t="str">
        <x:v>https://www.smwcentral.net/?a=details&amp;id=38590&amp;p=section</x:v>
      </x:c>
      <x:c r="J1821" t="str">
        <x:v>https://dl.smwcentral.net/38590/Super%20Lani%20World%203%20v1.1.zip</x:v>
      </x:c>
    </x:row>
    <x:row r="1822">
      <x:c r="A1822" t="str">
        <x:v>Super Linkdead World</x:v>
      </x:c>
      <x:c r="B1822" t="str">
        <x:v>Super Linkdead World</x:v>
      </x:c>
      <x:c r="C1822" t="str">
        <x:v>GbreezeSunset</x:v>
      </x:c>
      <x:c r="D1822" t="n">
        <x:v>10</x:v>
      </x:c>
      <x:c r="E1822" t="str">
        <x:v>Master</x:v>
      </x:c>
      <x:c r="F1822" t="str">
        <x:v>Kaizo</x:v>
      </x:c>
      <x:c r="G1822" t="n">
        <x:v>42438</x:v>
      </x:c>
      <x:c r="H1822" t="str">
        <x:v>12923</x:v>
      </x:c>
      <x:c r="I1822" t="str">
        <x:v>https://www.smwcentral.net/?a=details&amp;id=12923&amp;p=section</x:v>
      </x:c>
      <x:c r="J1822" t="str">
        <x:v>https://dl.smwcentral.net/12923/Super%20Linkdead%20World.zip</x:v>
      </x:c>
    </x:row>
    <x:row r="1823">
      <x:c r="A1823" t="str">
        <x:v>Super Linkdeadx Dream</x:v>
      </x:c>
      <x:c r="B1823" t="str">
        <x:v>Super Linkdeadx Dream</x:v>
      </x:c>
      <x:c r="C1823" t="str">
        <x:v>MarioFan1337</x:v>
      </x:c>
      <x:c r="D1823" t="n">
        <x:v>0</x:v>
      </x:c>
      <x:c r="E1823" t="str">
        <x:v>Expert</x:v>
      </x:c>
      <x:c r="F1823" t="str">
        <x:v>Kaizo</x:v>
      </x:c>
      <x:c r="G1823" t="n">
        <x:v>45869</x:v>
      </x:c>
      <x:c r="H1823" t="str">
        <x:v>40178</x:v>
      </x:c>
      <x:c r="I1823" t="str">
        <x:v>https://www.smwcentral.net/?a=details&amp;id=40178&amp;p=section</x:v>
      </x:c>
      <x:c r="J1823" t="str">
        <x:v>https://dl.smwcentral.net/40178/Super%20Linkdeadx%20Dream.zip</x:v>
      </x:c>
    </x:row>
    <x:row r="1824">
      <x:c r="A1824" t="str">
        <x:v>Super Little Miss A.D.D. World</x:v>
      </x:c>
      <x:c r="B1824" t="str">
        <x:v>Super Little Miss A.D.D. World</x:v>
      </x:c>
      <x:c r="C1824" t="str">
        <x:v>AttentionDeficitDad</x:v>
      </x:c>
      <x:c r="D1824" t="n">
        <x:v>83</x:v>
      </x:c>
      <x:c r="E1824" t="str">
        <x:v>Newcomer</x:v>
      </x:c>
      <x:c r="F1824" t="str">
        <x:v>Standard, Kaizo</x:v>
      </x:c>
      <x:c r="G1824" t="n">
        <x:v>44906</x:v>
      </x:c>
      <x:c r="H1824" t="str">
        <x:v>32714</x:v>
      </x:c>
      <x:c r="I1824" t="str">
        <x:v>https://www.smwcentral.net/?a=details&amp;id=32714&amp;p=section</x:v>
      </x:c>
      <x:c r="J1824" t="str">
        <x:v>https://dl.smwcentral.net/32714/Super_Little_Miss_ADD_World_v1_0.zip</x:v>
      </x:c>
    </x:row>
    <x:row r="1825">
      <x:c r="A1825" t="str">
        <x:v>Super Little Miss ADD World DEMO</x:v>
      </x:c>
      <x:c r="B1825" t="str">
        <x:v>Super Little Miss ADD World DEMO</x:v>
      </x:c>
      <x:c r="C1825" t="str">
        <x:v>AttentionDeficitDad</x:v>
      </x:c>
      <x:c r="D1825" t="n">
        <x:v>21</x:v>
      </x:c>
      <x:c r="E1825" t="str">
        <x:v>Newcomer</x:v>
      </x:c>
      <x:c r="F1825" t="str">
        <x:v>Standard</x:v>
      </x:c>
      <x:c r="G1825" t="n">
        <x:v>44599</x:v>
      </x:c>
      <x:c r="H1825" t="str">
        <x:v>29719</x:v>
      </x:c>
      <x:c r="I1825" t="str">
        <x:v>https://www.smwcentral.net/?a=details&amp;id=29719&amp;p=section</x:v>
      </x:c>
      <x:c r="J1825" t="str">
        <x:v>https://dl.smwcentral.net/29719/Super%20Little%20Miss%20ADD%20World%20DEMO%20V1_0.zip</x:v>
      </x:c>
    </x:row>
    <x:row r="1826">
      <x:c r="A1826" t="str">
        <x:v>Super Logic World 1</x:v>
      </x:c>
      <x:c r="B1826" t="str">
        <x:v>Super Logic World 1</x:v>
      </x:c>
      <x:c r="C1826" t="str">
        <x:v>AKKA</x:v>
      </x:c>
      <x:c r="D1826" t="n">
        <x:v>7</x:v>
      </x:c>
      <x:c r="E1826" t="str">
        <x:v>Casual</x:v>
      </x:c>
      <x:c r="F1826" t="str">
        <x:v>Standard</x:v>
      </x:c>
      <x:c r="G1826" t="n">
        <x:v>45145</x:v>
      </x:c>
      <x:c r="H1826" t="str">
        <x:v>34469</x:v>
      </x:c>
      <x:c r="I1826" t="str">
        <x:v>https://www.smwcentral.net/?a=details&amp;id=34469&amp;p=section</x:v>
      </x:c>
      <x:c r="J1826" t="str">
        <x:v>https://dl.smwcentral.net/34469/Super%20Logic%20World%201.zip</x:v>
      </x:c>
    </x:row>
    <x:row r="1827">
      <x:c r="A1827" t="str">
        <x:v>Super LouisDoucet World</x:v>
      </x:c>
      <x:c r="B1827" t="str">
        <x:v>Super LouisDoucet World</x:v>
      </x:c>
      <x:c r="C1827" t="str">
        <x:v>gui</x:v>
      </x:c>
      <x:c r="D1827" t="n">
        <x:v>11</x:v>
      </x:c>
      <x:c r="E1827" t="str">
        <x:v>Expert</x:v>
      </x:c>
      <x:c r="F1827" t="str">
        <x:v>Kaizo</x:v>
      </x:c>
      <x:c r="G1827" t="n">
        <x:v>44692</x:v>
      </x:c>
      <x:c r="H1827" t="str">
        <x:v>30838</x:v>
      </x:c>
      <x:c r="I1827" t="str">
        <x:v>https://www.smwcentral.net/?a=details&amp;id=30838&amp;p=section</x:v>
      </x:c>
      <x:c r="J1827" t="str">
        <x:v>https://dl.smwcentral.net/30838/LOUISFINALE.zip</x:v>
      </x:c>
    </x:row>
    <x:row r="1828">
      <x:c r="A1828" t="str">
        <x:v>Super LouisDoucet World 2</x:v>
      </x:c>
      <x:c r="B1828" t="str">
        <x:v>Super LouisDoucet World 2</x:v>
      </x:c>
      <x:c r="C1828" t="str">
        <x:v>gui</x:v>
      </x:c>
      <x:c r="D1828" t="n">
        <x:v>30</x:v>
      </x:c>
      <x:c r="E1828" t="str">
        <x:v>Master</x:v>
      </x:c>
      <x:c r="F1828" t="str">
        <x:v>Kaizo</x:v>
      </x:c>
      <x:c r="G1828" t="n">
        <x:v>45020</x:v>
      </x:c>
      <x:c r="H1828" t="str">
        <x:v>33563</x:v>
      </x:c>
      <x:c r="I1828" t="str">
        <x:v>https://www.smwcentral.net/?a=details&amp;id=33563&amp;p=section</x:v>
      </x:c>
      <x:c r="J1828" t="str">
        <x:v>https://dl.smwcentral.net/33563/Super%20LouisDoucet%20World%202%20%28v1.1%29.zip</x:v>
      </x:c>
    </x:row>
    <x:row r="1829">
      <x:c r="A1829" t="str">
        <x:v>Super LSG World</x:v>
      </x:c>
      <x:c r="B1829" t="str">
        <x:v>Super LSG World</x:v>
      </x:c>
      <x:c r="C1829" t="str">
        <x:v>Insanit</x:v>
      </x:c>
      <x:c r="D1829" t="n">
        <x:v>15</x:v>
      </x:c>
      <x:c r="E1829" t="str">
        <x:v>Intermediate</x:v>
      </x:c>
      <x:c r="F1829" t="str">
        <x:v>Kaizo</x:v>
      </x:c>
      <x:c r="G1829" t="n">
        <x:v>44238</x:v>
      </x:c>
      <x:c r="H1829" t="str">
        <x:v>26130</x:v>
      </x:c>
      <x:c r="I1829" t="str">
        <x:v>https://www.smwcentral.net/?a=details&amp;id=26130&amp;p=section</x:v>
      </x:c>
      <x:c r="J1829" t="str">
        <x:v>https://dl.smwcentral.net/26130/Super%20LSG%20World%201.2.zip</x:v>
      </x:c>
    </x:row>
    <x:row r="1830">
      <x:c r="A1830" t="str">
        <x:v>Super LSG World (B-Side)</x:v>
      </x:c>
      <x:c r="B1830" t="str">
        <x:v>Super LSG World (B-Side)</x:v>
      </x:c>
      <x:c r="C1830" t="str">
        <x:v>Insanit</x:v>
      </x:c>
      <x:c r="D1830" t="n">
        <x:v>6</x:v>
      </x:c>
      <x:c r="E1830" t="str">
        <x:v>Expert</x:v>
      </x:c>
      <x:c r="F1830" t="str">
        <x:v>Kaizo</x:v>
      </x:c>
      <x:c r="G1830" t="n">
        <x:v>44992</x:v>
      </x:c>
      <x:c r="H1830" t="str">
        <x:v>33322</x:v>
      </x:c>
      <x:c r="I1830" t="str">
        <x:v>https://www.smwcentral.net/?a=details&amp;id=33322&amp;p=section</x:v>
      </x:c>
      <x:c r="J1830" t="str">
        <x:v>https://dl.smwcentral.net/33322/LSGB-Side1.03.zip</x:v>
      </x:c>
    </x:row>
    <x:row r="1831">
      <x:c r="A1831" t="str">
        <x:v>Super Luigi Arcade</x:v>
      </x:c>
      <x:c r="B1831" t="str">
        <x:v>Super Luigi Arcade</x:v>
      </x:c>
      <x:c r="C1831" t="str">
        <x:v>zacmario</x:v>
      </x:c>
      <x:c r="D1831" t="n">
        <x:v>24</x:v>
      </x:c>
      <x:c r="E1831" t="str">
        <x:v>Intermediate</x:v>
      </x:c>
      <x:c r="F1831" t="str">
        <x:v>Standard</x:v>
      </x:c>
      <x:c r="G1831" t="n">
        <x:v>42890</x:v>
      </x:c>
      <x:c r="H1831" t="str">
        <x:v>15639</x:v>
      </x:c>
      <x:c r="I1831" t="str">
        <x:v>https://www.smwcentral.net/?a=details&amp;id=15639&amp;p=section</x:v>
      </x:c>
      <x:c r="J1831" t="str">
        <x:v>https://dl.smwcentral.net/15639/SLA.zip</x:v>
      </x:c>
    </x:row>
    <x:row r="1832">
      <x:c r="A1832" t="str">
        <x:v>Super Luigi Bros: Mystery Of the 7 Jewels</x:v>
      </x:c>
      <x:c r="B1832" t="str">
        <x:v>Super Luigi Bros: Mystery Of the 7 Jewels</x:v>
      </x:c>
      <x:c r="C1832" t="str">
        <x:v>Lexator</x:v>
      </x:c>
      <x:c r="D1832" t="n">
        <x:v>37</x:v>
      </x:c>
      <x:c r="E1832" t="str">
        <x:v>Casual</x:v>
      </x:c>
      <x:c r="F1832" t="str">
        <x:v>Standard</x:v>
      </x:c>
      <x:c r="G1832" t="n">
        <x:v>41599</x:v>
      </x:c>
      <x:c r="H1832" t="str">
        <x:v>5594</x:v>
      </x:c>
      <x:c r="I1832" t="str">
        <x:v>https://www.smwcentral.net/?a=details&amp;id=5594&amp;p=section</x:v>
      </x:c>
      <x:c r="J1832" t="str">
        <x:v>https://dl.smwcentral.net/5594/Super%20Luigi%20Bros%20m7j%20demo2%20%28fixed%29.zip</x:v>
      </x:c>
    </x:row>
    <x:row r="1833">
      <x:c r="A1833" t="str">
        <x:v>Super Luigi Land</x:v>
      </x:c>
      <x:c r="B1833" t="str">
        <x:v>Super Luigi Land</x:v>
      </x:c>
      <x:c r="C1833" t="str">
        <x:v>Gamma V</x:v>
      </x:c>
      <x:c r="D1833" t="n">
        <x:v>108</x:v>
      </x:c>
      <x:c r="E1833" t="str">
        <x:v>Casual</x:v>
      </x:c>
      <x:c r="F1833" t="str">
        <x:v>Standard</x:v>
      </x:c>
      <x:c r="G1833" t="n">
        <x:v>43799</x:v>
      </x:c>
      <x:c r="H1833" t="str">
        <x:v>21515</x:v>
      </x:c>
      <x:c r="I1833" t="str">
        <x:v>https://www.smwcentral.net/?a=details&amp;id=21515&amp;p=section</x:v>
      </x:c>
      <x:c r="J1833" t="str">
        <x:v>https://dl.smwcentral.net/21515/Super%20Luigi%20Land%20Rev.%2011-20-2019.zip</x:v>
      </x:c>
    </x:row>
    <x:row r="1834">
      <x:c r="A1834" t="str">
        <x:v>Super Luigi Land 2</x:v>
      </x:c>
      <x:c r="B1834" t="str">
        <x:v>Super Luigi Land 2</x:v>
      </x:c>
      <x:c r="C1834" t="str">
        <x:v>Gamma V</x:v>
      </x:c>
      <x:c r="D1834" t="n">
        <x:v>64</x:v>
      </x:c>
      <x:c r="E1834" t="str">
        <x:v>Casual</x:v>
      </x:c>
      <x:c r="F1834" t="str">
        <x:v>Standard</x:v>
      </x:c>
      <x:c r="G1834" t="n">
        <x:v>46066</x:v>
      </x:c>
      <x:c r="H1834" t="str">
        <x:v>41555</x:v>
      </x:c>
      <x:c r="I1834" t="str">
        <x:v>https://www.smwcentral.net/?a=details&amp;id=41555&amp;p=section</x:v>
      </x:c>
      <x:c r="J1834" t="str">
        <x:v>https://dl.smwcentral.net/41555/SLL2%20NewIntro.zip</x:v>
      </x:c>
    </x:row>
    <x:row r="1835">
      <x:c r="A1835" t="str">
        <x:v>Super Luigi RPG World</x:v>
      </x:c>
      <x:c r="B1835" t="str">
        <x:v>Super Luigi RPG World</x:v>
      </x:c>
      <x:c r="C1835" t="str">
        <x:v>Luigi</x:v>
      </x:c>
      <x:c r="D1835" t="n">
        <x:v>5</x:v>
      </x:c>
      <x:c r="E1835" t="str">
        <x:v>Intermediate</x:v>
      </x:c>
      <x:c r="F1835" t="str">
        <x:v>Standard</x:v>
      </x:c>
      <x:c r="G1835" t="n">
        <x:v>42062</x:v>
      </x:c>
      <x:c r="H1835" t="str">
        <x:v>9753</x:v>
      </x:c>
      <x:c r="I1835" t="str">
        <x:v>https://www.smwcentral.net/?a=details&amp;id=9753&amp;p=section</x:v>
      </x:c>
      <x:c r="J1835" t="str">
        <x:v>https://dl.smwcentral.net/9753/SLRPGW%20%28Demo%201%29.zip</x:v>
      </x:c>
    </x:row>
    <x:row r="1836">
      <x:c r="A1836" t="str">
        <x:v>Super Luigi World 0.5</x:v>
      </x:c>
      <x:c r="B1836" t="str">
        <x:v>Super Luigi World 0.5</x:v>
      </x:c>
      <x:c r="C1836" t="str">
        <x:v>Dark Prince, Gamma V, The Cursed Goomba, h.carrell</x:v>
      </x:c>
      <x:c r="D1836" t="n">
        <x:v>24</x:v>
      </x:c>
      <x:c r="E1836" t="str">
        <x:v>Intermediate</x:v>
      </x:c>
      <x:c r="F1836" t="str">
        <x:v>Standard</x:v>
      </x:c>
      <x:c r="G1836" t="n">
        <x:v>45285</x:v>
      </x:c>
      <x:c r="H1836" t="str">
        <x:v>35747</x:v>
      </x:c>
      <x:c r="I1836" t="str">
        <x:v>https://www.smwcentral.net/?a=details&amp;id=35747&amp;p=section</x:v>
      </x:c>
      <x:c r="J1836" t="str">
        <x:v>https://dl.smwcentral.net/35747/slw0.5_w2_demo%20v0.5.zip</x:v>
      </x:c>
    </x:row>
    <x:row r="1837">
      <x:c r="A1837" t="str">
        <x:v>Super Luigi World DELUXE</x:v>
      </x:c>
      <x:c r="B1837" t="str">
        <x:v>Super Luigi World DELUXE</x:v>
      </x:c>
      <x:c r="C1837" t="str">
        <x:v>SMW Miguelix</x:v>
      </x:c>
      <x:c r="D1837" t="n">
        <x:v>34</x:v>
      </x:c>
      <x:c r="E1837" t="str">
        <x:v>Casual</x:v>
      </x:c>
      <x:c r="F1837" t="str">
        <x:v>Standard</x:v>
      </x:c>
      <x:c r="G1837" t="n">
        <x:v>45897</x:v>
      </x:c>
      <x:c r="H1837" t="str">
        <x:v>40430</x:v>
      </x:c>
      <x:c r="I1837" t="str">
        <x:v>https://www.smwcentral.net/?a=details&amp;id=40430&amp;p=section</x:v>
      </x:c>
      <x:c r="J1837" t="str">
        <x:v>https://dl.smwcentral.net/40430/SuperLuigiWorldDeluxe.zip</x:v>
      </x:c>
    </x:row>
    <x:row r="1838">
      <x:c r="A1838" t="str">
        <x:v>Super Luigi World: Luigi's Fantastic Dream</x:v>
      </x:c>
      <x:c r="B1838" t="str">
        <x:v>Super Luigi World: Luigi's Fantastic Dream</x:v>
      </x:c>
      <x:c r="C1838" t="str">
        <x:v>Magi</x:v>
      </x:c>
      <x:c r="D1838" t="n">
        <x:v>18</x:v>
      </x:c>
      <x:c r="E1838" t="str">
        <x:v>Intermediate</x:v>
      </x:c>
      <x:c r="F1838" t="str">
        <x:v>Standard</x:v>
      </x:c>
      <x:c r="G1838" t="n">
        <x:v>42130</x:v>
      </x:c>
      <x:c r="H1838" t="str">
        <x:v>10049</x:v>
      </x:c>
      <x:c r="I1838" t="str">
        <x:v>https://www.smwcentral.net/?a=details&amp;id=10049&amp;p=section</x:v>
      </x:c>
      <x:c r="J1838" t="str">
        <x:v>https://dl.smwcentral.net/10049/SLWLFD%20demo.zip</x:v>
      </x:c>
    </x:row>
    <x:row r="1839">
      <x:c r="A1839" t="str">
        <x:v>Super Luigi World: Luigi's Quest!</x:v>
      </x:c>
      <x:c r="B1839" t="str">
        <x:v>Super Luigi World: Luigi's Quest!</x:v>
      </x:c>
      <x:c r="C1839" t="str">
        <x:v>Yashum</x:v>
      </x:c>
      <x:c r="D1839" t="n">
        <x:v>96</x:v>
      </x:c>
      <x:c r="E1839" t="str">
        <x:v>Intermediate</x:v>
      </x:c>
      <x:c r="F1839" t="str">
        <x:v>Standard</x:v>
      </x:c>
      <x:c r="G1839" t="n">
        <x:v>42337</x:v>
      </x:c>
      <x:c r="H1839" t="str">
        <x:v>9717</x:v>
      </x:c>
      <x:c r="I1839" t="str">
        <x:v>https://www.smwcentral.net/?a=details&amp;id=9717&amp;p=section</x:v>
      </x:c>
      <x:c r="J1839" t="str">
        <x:v>https://dl.smwcentral.net/9717/Super%20Luigi%20World%20-%20Luigi%27s%20Quest%21.zip</x:v>
      </x:c>
    </x:row>
    <x:row r="1840">
      <x:c r="A1840" t="str">
        <x:v>Super Luigi: King Koopa and the PU</x:v>
      </x:c>
      <x:c r="B1840" t="str">
        <x:v>Super Luigi: King Koopa and the PU</x:v>
      </x:c>
      <x:c r="C1840" t="str">
        <x:v>edgar</x:v>
      </x:c>
      <x:c r="D1840" t="n">
        <x:v>12</x:v>
      </x:c>
      <x:c r="E1840" t="str">
        <x:v>Intermediate</x:v>
      </x:c>
      <x:c r="F1840" t="str">
        <x:v>Standard</x:v>
      </x:c>
      <x:c r="G1840" t="n">
        <x:v>44571</x:v>
      </x:c>
      <x:c r="H1840" t="str">
        <x:v>29309</x:v>
      </x:c>
      <x:c r="I1840" t="str">
        <x:v>https://www.smwcentral.net/?a=details&amp;id=29309&amp;p=section</x:v>
      </x:c>
      <x:c r="J1840" t="str">
        <x:v>https://dl.smwcentral.net/29309/Super%20Luigi%20King%20Koopa%20and%20the%20PU.zip</x:v>
      </x:c>
    </x:row>
    <x:row r="1841">
      <x:c r="A1841" t="str">
        <x:v>Super Luigi: The Regular Quest</x:v>
      </x:c>
      <x:c r="B1841" t="str">
        <x:v>Super Luigi: The Regular Quest</x:v>
      </x:c>
      <x:c r="C1841" t="str">
        <x:v>Blittle McNilsen</x:v>
      </x:c>
      <x:c r="D1841" t="n">
        <x:v>6</x:v>
      </x:c>
      <x:c r="E1841" t="str">
        <x:v>Newcomer</x:v>
      </x:c>
      <x:c r="F1841" t="str">
        <x:v>Standard</x:v>
      </x:c>
      <x:c r="G1841" t="n">
        <x:v>42334</x:v>
      </x:c>
      <x:c r="H1841" t="str">
        <x:v>12758</x:v>
      </x:c>
      <x:c r="I1841" t="str">
        <x:v>https://www.smwcentral.net/?a=details&amp;id=12758&amp;p=section</x:v>
      </x:c>
      <x:c r="J1841" t="str">
        <x:v>https://dl.smwcentral.net/12758/Super%20Luigi%20-%20The%20Regular%20Quest%20DEMO%201.2.zip</x:v>
      </x:c>
    </x:row>
    <x:row r="1842">
      <x:c r="A1842" t="str">
        <x:v>Super Machok World</x:v>
      </x:c>
      <x:c r="B1842" t="str">
        <x:v>Super Machok World</x:v>
      </x:c>
      <x:c r="C1842" t="str">
        <x:v>Kurukururin</x:v>
      </x:c>
      <x:c r="D1842" t="n">
        <x:v>11</x:v>
      </x:c>
      <x:c r="E1842" t="str">
        <x:v>Advanced</x:v>
      </x:c>
      <x:c r="F1842" t="str">
        <x:v>Kaizo</x:v>
      </x:c>
      <x:c r="G1842" t="n">
        <x:v>43305</x:v>
      </x:c>
      <x:c r="H1842" t="str">
        <x:v>17936</x:v>
      </x:c>
      <x:c r="I1842" t="str">
        <x:v>https://www.smwcentral.net/?a=details&amp;id=17936&amp;p=section</x:v>
      </x:c>
      <x:c r="J1842" t="str">
        <x:v>https://dl.smwcentral.net/17936/Super_Machok_World_1.0.zip</x:v>
      </x:c>
    </x:row>
    <x:row r="1843">
      <x:c r="A1843" t="str">
        <x:v>Super Macron World</x:v>
      </x:c>
      <x:c r="B1843" t="str">
        <x:v>Super Macron World</x:v>
      </x:c>
      <x:c r="C1843" t="str">
        <x:v>fanfan21</x:v>
      </x:c>
      <x:c r="D1843" t="n">
        <x:v>4</x:v>
      </x:c>
      <x:c r="E1843" t="str">
        <x:v>Advanced</x:v>
      </x:c>
      <x:c r="F1843" t="str">
        <x:v>Kaizo, Tool-Assisted</x:v>
      </x:c>
      <x:c r="G1843" t="n">
        <x:v>45811</x:v>
      </x:c>
      <x:c r="H1843" t="str">
        <x:v>39777</x:v>
      </x:c>
      <x:c r="I1843" t="str">
        <x:v>https://www.smwcentral.net/?a=details&amp;id=39777&amp;p=section</x:v>
      </x:c>
      <x:c r="J1843" t="str">
        <x:v>https://dl.smwcentral.net/39777/Super%20Macron%20World%20%28Fixed%29.zip</x:v>
      </x:c>
    </x:row>
    <x:row r="1844">
      <x:c r="A1844" t="str">
        <x:v>Super Macron World: Ultra Lite</x:v>
      </x:c>
      <x:c r="B1844" t="str">
        <x:v>Super Macron World: Ultra Lite</x:v>
      </x:c>
      <x:c r="C1844" t="str">
        <x:v>fanfan21</x:v>
      </x:c>
      <x:c r="D1844" t="n">
        <x:v>4</x:v>
      </x:c>
      <x:c r="E1844" t="str">
        <x:v>Intermediate</x:v>
      </x:c>
      <x:c r="F1844" t="str">
        <x:v>Kaizo</x:v>
      </x:c>
      <x:c r="G1844" t="n">
        <x:v>45942</x:v>
      </x:c>
      <x:c r="H1844" t="str">
        <x:v>40742</x:v>
      </x:c>
      <x:c r="I1844" t="str">
        <x:v>https://www.smwcentral.net/?a=details&amp;id=40742&amp;p=section</x:v>
      </x:c>
      <x:c r="J1844" t="str">
        <x:v>https://dl.smwcentral.net/40742/Super%20Macron%20World%20Ultra%20Lite.zip</x:v>
      </x:c>
    </x:row>
    <x:row r="1845">
      <x:c r="A1845" t="str">
        <x:v>Super MADE World</x:v>
      </x:c>
      <x:c r="B1845" t="str">
        <x:v>Super MADE World</x:v>
      </x:c>
      <x:c r="C1845" t="str">
        <x:v>detroitkoza</x:v>
      </x:c>
      <x:c r="D1845" t="n">
        <x:v>10</x:v>
      </x:c>
      <x:c r="E1845" t="str">
        <x:v>Advanced</x:v>
      </x:c>
      <x:c r="F1845" t="str">
        <x:v>Kaizo</x:v>
      </x:c>
      <x:c r="G1845" t="n">
        <x:v>46185</x:v>
      </x:c>
      <x:c r="H1845" t="str">
        <x:v>42519</x:v>
      </x:c>
      <x:c r="I1845" t="str">
        <x:v>https://www.smwcentral.net/?a=details&amp;id=42519&amp;p=section</x:v>
      </x:c>
      <x:c r="J1845" t="str">
        <x:v>https://dl.smwcentral.net/42519/Super%20MADE%20World.zip</x:v>
      </x:c>
    </x:row>
    <x:row r="1846">
      <x:c r="A1846" t="str">
        <x:v>Super Mallow World</x:v>
      </x:c>
      <x:c r="B1846" t="str">
        <x:v>Super Mallow World</x:v>
      </x:c>
      <x:c r="C1846" t="str">
        <x:v>Deakula, FerpyMcFrosting, Flabort, FridayFables, FuryfulFawful, IanBoy, Joe Smo, MarkAlarm, Uzerro, frost_heart</x:v>
      </x:c>
      <x:c r="D1846" t="n">
        <x:v>71</x:v>
      </x:c>
      <x:c r="E1846" t="str">
        <x:v>Intermediate</x:v>
      </x:c>
      <x:c r="F1846" t="str">
        <x:v>Standard</x:v>
      </x:c>
      <x:c r="G1846" t="n">
        <x:v>43140</x:v>
      </x:c>
      <x:c r="H1846" t="str">
        <x:v>17104</x:v>
      </x:c>
      <x:c r="I1846" t="str">
        <x:v>https://www.smwcentral.net/?a=details&amp;id=17104&amp;p=section</x:v>
      </x:c>
      <x:c r="J1846" t="str">
        <x:v>https://dl.smwcentral.net/17104/SuperMallowWorld.zip</x:v>
      </x:c>
    </x:row>
    <x:row r="1847">
      <x:c r="A1847" t="str">
        <x:v>Super Mallow World - Master Quest</x:v>
      </x:c>
      <x:c r="B1847" t="str">
        <x:v>Super Mallow World - Master Quest</x:v>
      </x:c>
      <x:c r="C1847" t="str">
        <x:v>Deakula, FerpyMcFrosting, Flabort, FridayFables, FuryfulFawful, IanBoy, Joe Smo, MarkAlarm, Uzerro, frost_heart</x:v>
      </x:c>
      <x:c r="D1847" t="n">
        <x:v>11</x:v>
      </x:c>
      <x:c r="E1847" t="str">
        <x:v>Master</x:v>
      </x:c>
      <x:c r="F1847" t="str">
        <x:v>Kaizo</x:v>
      </x:c>
      <x:c r="G1847" t="n">
        <x:v>43112</x:v>
      </x:c>
      <x:c r="H1847" t="str">
        <x:v>16893</x:v>
      </x:c>
      <x:c r="I1847" t="str">
        <x:v>https://www.smwcentral.net/?a=details&amp;id=16893&amp;p=section</x:v>
      </x:c>
      <x:c r="J1847" t="str">
        <x:v>https://dl.smwcentral.net/16893/Super_Mallow_World_Master_Quest.zip</x:v>
      </x:c>
    </x:row>
    <x:row r="1848">
      <x:c r="A1848" t="str">
        <x:v>Super Maple World</x:v>
      </x:c>
      <x:c r="B1848" t="str">
        <x:v>Super Maple World</x:v>
      </x:c>
      <x:c r="C1848" t="str">
        <x:v>Letsmangle</x:v>
      </x:c>
      <x:c r="D1848" t="n">
        <x:v>8</x:v>
      </x:c>
      <x:c r="E1848" t="str">
        <x:v>Advanced</x:v>
      </x:c>
      <x:c r="F1848" t="str">
        <x:v>Kaizo</x:v>
      </x:c>
      <x:c r="G1848" t="n">
        <x:v>43849</x:v>
      </x:c>
      <x:c r="H1848" t="str">
        <x:v>21953</x:v>
      </x:c>
      <x:c r="I1848" t="str">
        <x:v>https://www.smwcentral.net/?a=details&amp;id=21953&amp;p=section</x:v>
      </x:c>
      <x:c r="J1848" t="str">
        <x:v>https://dl.smwcentral.net/21953/Super%20Maple%20World%20v1.1.zip</x:v>
      </x:c>
    </x:row>
    <x:row r="1849">
      <x:c r="A1849" t="str">
        <x:v>Super Marina World</x:v>
      </x:c>
      <x:c r="B1849" t="str">
        <x:v>Super Marina World</x:v>
      </x:c>
      <x:c r="C1849" t="str">
        <x:v>kona</x:v>
      </x:c>
      <x:c r="D1849" t="n">
        <x:v>100</x:v>
      </x:c>
      <x:c r="E1849" t="str">
        <x:v>Advanced</x:v>
      </x:c>
      <x:c r="F1849" t="str">
        <x:v>Standard</x:v>
      </x:c>
      <x:c r="G1849" t="n">
        <x:v>43877</x:v>
      </x:c>
      <x:c r="H1849" t="str">
        <x:v>21832</x:v>
      </x:c>
      <x:c r="I1849" t="str">
        <x:v>https://www.smwcentral.net/?a=details&amp;id=21832&amp;p=section</x:v>
      </x:c>
      <x:c r="J1849" t="str">
        <x:v>https://dl.smwcentral.net/21832/SuperMarinaWorldv2.2.zip</x:v>
      </x:c>
    </x:row>
    <x:row r="1850">
      <x:c r="A1850" t="str">
        <x:v>Super Mario (Tentative Title)</x:v>
      </x:c>
      <x:c r="B1850" t="str">
        <x:v>Super Mario (Tentative Title)</x:v>
      </x:c>
      <x:c r="C1850" t="str">
        <x:v>LunarDrake</x:v>
      </x:c>
      <x:c r="D1850" t="n">
        <x:v>7</x:v>
      </x:c>
      <x:c r="E1850" t="str">
        <x:v>Newcomer</x:v>
      </x:c>
      <x:c r="F1850" t="str">
        <x:v>Standard</x:v>
      </x:c>
      <x:c r="G1850" t="n">
        <x:v>41493</x:v>
      </x:c>
      <x:c r="H1850" t="str">
        <x:v>5150</x:v>
      </x:c>
      <x:c r="I1850" t="str">
        <x:v>https://www.smwcentral.net/?a=details&amp;id=5150&amp;p=section</x:v>
      </x:c>
      <x:c r="J1850" t="str">
        <x:v>https://dl.smwcentral.net/5150/supermario.zip</x:v>
      </x:c>
    </x:row>
    <x:row r="1851">
      <x:c r="A1851" t="str">
        <x:v>Super Mario - Bowser's Secret Weapon</x:v>
      </x:c>
      <x:c r="B1851" t="str">
        <x:v>Super Mario - Bowser's Secret Weapon</x:v>
      </x:c>
      <x:c r="C1851" t="str">
        <x:v>Zerio</x:v>
      </x:c>
      <x:c r="D1851" t="n">
        <x:v>7</x:v>
      </x:c>
      <x:c r="E1851" t="str">
        <x:v>Newcomer</x:v>
      </x:c>
      <x:c r="F1851" t="str">
        <x:v>Standard</x:v>
      </x:c>
      <x:c r="G1851" t="n">
        <x:v>42293</x:v>
      </x:c>
      <x:c r="H1851" t="str">
        <x:v>9910</x:v>
      </x:c>
      <x:c r="I1851" t="str">
        <x:v>https://www.smwcentral.net/?a=details&amp;id=9910&amp;p=section</x:v>
      </x:c>
      <x:c r="J1851" t="str">
        <x:v>https://dl.smwcentral.net/9910/Super%20Mario%20-%20Bowser%27s%20Secret%20Weapon%20Demo%201%20By%20Zerio.zip</x:v>
      </x:c>
    </x:row>
    <x:row r="1852">
      <x:c r="A1852" t="str">
        <x:v>Super Mario - Modo Competitivo (Competitive Mode)</x:v>
      </x:c>
      <x:c r="B1852" t="str">
        <x:v>Super Mario - Modo Competitivo (Competitive Mode)</x:v>
      </x:c>
      <x:c r="C1852" t="str">
        <x:v>Leozoppi</x:v>
      </x:c>
      <x:c r="D1852" t="n">
        <x:v>32</x:v>
      </x:c>
      <x:c r="E1852" t="str">
        <x:v>Intermediate</x:v>
      </x:c>
      <x:c r="F1852" t="str">
        <x:v>Standard</x:v>
      </x:c>
      <x:c r="G1852" t="n">
        <x:v>44474</x:v>
      </x:c>
      <x:c r="H1852" t="str">
        <x:v>27968</x:v>
      </x:c>
      <x:c r="I1852" t="str">
        <x:v>https://www.smwcentral.net/?a=details&amp;id=27968&amp;p=section</x:v>
      </x:c>
      <x:c r="J1852" t="str">
        <x:v>https://dl.smwcentral.net/27968/Super%20Mario%20-%20Modo%20Competitivo.zip</x:v>
      </x:c>
    </x:row>
    <x:row r="1853">
      <x:c r="A1853" t="str">
        <x:v>Super Mario - The Ultimate Challenge</x:v>
      </x:c>
      <x:c r="B1853" t="str">
        <x:v>Super Mario - The Ultimate Challenge</x:v>
      </x:c>
      <x:c r="C1853" t="str">
        <x:v>UltimateMeh</x:v>
      </x:c>
      <x:c r="D1853" t="n">
        <x:v>5</x:v>
      </x:c>
      <x:c r="E1853" t="str">
        <x:v>Newcomer</x:v>
      </x:c>
      <x:c r="F1853" t="str">
        <x:v>Standard</x:v>
      </x:c>
      <x:c r="G1853" t="n">
        <x:v>42302</x:v>
      </x:c>
      <x:c r="H1853" t="str">
        <x:v>10053</x:v>
      </x:c>
      <x:c r="I1853" t="str">
        <x:v>https://www.smwcentral.net/?a=details&amp;id=10053&amp;p=section</x:v>
      </x:c>
      <x:c r="J1853" t="str">
        <x:v>https://dl.smwcentral.net/10053/Super%20Mario%20-%20The%20Ultimate%20Challenge%20-%20Demo.zip</x:v>
      </x:c>
    </x:row>
    <x:row r="1854">
      <x:c r="A1854" t="str">
        <x:v>Super Mario 16: The Fall of Yoshi</x:v>
      </x:c>
      <x:c r="B1854" t="str">
        <x:v>Super Mario 16: The Fall of Yoshi</x:v>
      </x:c>
      <x:c r="C1854" t="str">
        <x:v>Alex No</x:v>
      </x:c>
      <x:c r="D1854" t="n">
        <x:v>77</x:v>
      </x:c>
      <x:c r="E1854" t="str">
        <x:v>Casual</x:v>
      </x:c>
      <x:c r="F1854" t="str">
        <x:v>Standard</x:v>
      </x:c>
      <x:c r="G1854" t="n">
        <x:v>45789</x:v>
      </x:c>
      <x:c r="H1854" t="str">
        <x:v>39344</x:v>
      </x:c>
      <x:c r="I1854" t="str">
        <x:v>https://www.smwcentral.net/?a=details&amp;id=39344&amp;p=section</x:v>
      </x:c>
      <x:c r="J1854" t="str">
        <x:v>https://dl.smwcentral.net/39344/Super%20Mario%2016%20The%20Fall%20of%20Yoshi%20v1.54.zip</x:v>
      </x:c>
    </x:row>
    <x:row r="1855">
      <x:c r="A1855" t="str">
        <x:v>Super Mario 2D Land</x:v>
      </x:c>
      <x:c r="B1855" t="str">
        <x:v>Super Mario 2D Land</x:v>
      </x:c>
      <x:c r="C1855" t="str">
        <x:v>Alex No</x:v>
      </x:c>
      <x:c r="D1855" t="n">
        <x:v>87</x:v>
      </x:c>
      <x:c r="E1855" t="str">
        <x:v>Casual</x:v>
      </x:c>
      <x:c r="F1855" t="str">
        <x:v>Standard</x:v>
      </x:c>
      <x:c r="G1855" t="n">
        <x:v>41654</x:v>
      </x:c>
      <x:c r="H1855" t="str">
        <x:v>6068</x:v>
      </x:c>
      <x:c r="I1855" t="str">
        <x:v>https://www.smwcentral.net/?a=details&amp;id=6068&amp;p=section</x:v>
      </x:c>
      <x:c r="J1855" t="str">
        <x:v>https://dl.smwcentral.net/6068/Super%20Mario%202D%20Land%20fix%20Desember%202013.zip</x:v>
      </x:c>
    </x:row>
    <x:row r="1856">
      <x:c r="A1856" t="str">
        <x:v>Super Mario 32 Levels</x:v>
      </x:c>
      <x:c r="B1856" t="str">
        <x:v>Super Mario 32 Levels</x:v>
      </x:c>
      <x:c r="C1856" t="str">
        <x:v>Leozoppi</x:v>
      </x:c>
      <x:c r="D1856" t="n">
        <x:v>31</x:v>
      </x:c>
      <x:c r="E1856" t="str">
        <x:v>Casual</x:v>
      </x:c>
      <x:c r="F1856" t="str">
        <x:v>Standard</x:v>
      </x:c>
      <x:c r="G1856" t="n">
        <x:v>44041</x:v>
      </x:c>
      <x:c r="H1856" t="str">
        <x:v>23339</x:v>
      </x:c>
      <x:c r="I1856" t="str">
        <x:v>https://www.smwcentral.net/?a=details&amp;id=23339&amp;p=section</x:v>
      </x:c>
      <x:c r="J1856" t="str">
        <x:v>https://dl.smwcentral.net/23339/Super%20Mario%2032%20Levels.zip</x:v>
      </x:c>
    </x:row>
    <x:row r="1857">
      <x:c r="A1857" t="str">
        <x:v>Super Mario 32 Levels (R4.0)</x:v>
      </x:c>
      <x:c r="B1857" t="str">
        <x:v>Super Mario 32 Levels (R4.0)</x:v>
      </x:c>
      <x:c r="C1857" t="str">
        <x:v>Leozoppi</x:v>
      </x:c>
      <x:c r="D1857" t="n">
        <x:v>33</x:v>
      </x:c>
      <x:c r="E1857" t="str">
        <x:v>Intermediate</x:v>
      </x:c>
      <x:c r="F1857" t="str">
        <x:v>Standard</x:v>
      </x:c>
      <x:c r="G1857" t="n">
        <x:v>44068</x:v>
      </x:c>
      <x:c r="H1857" t="str">
        <x:v>24103</x:v>
      </x:c>
      <x:c r="I1857" t="str">
        <x:v>https://www.smwcentral.net/?a=details&amp;id=24103&amp;p=section</x:v>
      </x:c>
      <x:c r="J1857" t="str">
        <x:v>https://dl.smwcentral.net/24103/Super%20Mario%2032%20Levels%20%28R4.0%29.zip</x:v>
      </x:c>
    </x:row>
    <x:row r="1858">
      <x:c r="A1858" t="str">
        <x:v>Super Mario 64/4</x:v>
      </x:c>
      <x:c r="B1858" t="str">
        <x:v>Super Mario 64/4</x:v>
      </x:c>
      <x:c r="C1858" t="str">
        <x:v>Jagfillit</x:v>
      </x:c>
      <x:c r="D1858" t="n">
        <x:v>6</x:v>
      </x:c>
      <x:c r="E1858" t="str">
        <x:v>Newcomer</x:v>
      </x:c>
      <x:c r="F1858" t="str">
        <x:v>Standard</x:v>
      </x:c>
      <x:c r="G1858" t="n">
        <x:v>41531</x:v>
      </x:c>
      <x:c r="H1858" t="str">
        <x:v>5267</x:v>
      </x:c>
      <x:c r="I1858" t="str">
        <x:v>https://www.smwcentral.net/?a=details&amp;id=5267&amp;p=section</x:v>
      </x:c>
      <x:c r="J1858" t="str">
        <x:v>https://dl.smwcentral.net/5267/Mario64over4.zip</x:v>
      </x:c>
    </x:row>
    <x:row r="1859">
      <x:c r="A1859" t="str">
        <x:v>Super Mario 96: Adventures in Parallel Land</x:v>
      </x:c>
      <x:c r="B1859" t="str">
        <x:v>Super Mario 96: Adventures in Parallel Land</x:v>
      </x:c>
      <x:c r="C1859" t="str">
        <x:v>K3Blue64</x:v>
      </x:c>
      <x:c r="D1859" t="n">
        <x:v>14</x:v>
      </x:c>
      <x:c r="E1859" t="str">
        <x:v>Newcomer</x:v>
      </x:c>
      <x:c r="F1859" t="str">
        <x:v>Standard</x:v>
      </x:c>
      <x:c r="G1859" t="n">
        <x:v>41648</x:v>
      </x:c>
      <x:c r="H1859" t="str">
        <x:v>6070</x:v>
      </x:c>
      <x:c r="I1859" t="str">
        <x:v>https://www.smwcentral.net/?a=details&amp;id=6070&amp;p=section</x:v>
      </x:c>
      <x:c r="J1859" t="str">
        <x:v>https://dl.smwcentral.net/6070/sm96.zip</x:v>
      </x:c>
    </x:row>
    <x:row r="1860">
      <x:c r="A1860" t="str">
        <x:v>Super Mario Adventure [SMWC #10103]</x:v>
      </x:c>
      <x:c r="B1860" t="str">
        <x:v>Super Mario Adventure</x:v>
      </x:c>
      <x:c r="C1860" t="str">
        <x:v>JVyrn</x:v>
      </x:c>
      <x:c r="D1860" t="n">
        <x:v>0</x:v>
      </x:c>
      <x:c r="E1860" t="str">
        <x:v>Casual</x:v>
      </x:c>
      <x:c r="F1860" t="str">
        <x:v>Standard</x:v>
      </x:c>
      <x:c r="G1860" t="n">
        <x:v>42310</x:v>
      </x:c>
      <x:c r="H1860" t="str">
        <x:v>10103</x:v>
      </x:c>
      <x:c r="I1860" t="str">
        <x:v>https://www.smwcentral.net/?a=details&amp;id=10103&amp;p=section</x:v>
      </x:c>
      <x:c r="J1860" t="str">
        <x:v>https://dl.smwcentral.net/10103/Super%20Mario%20Adventure%20C3%20Fall%202010%20v1.2.zip</x:v>
      </x:c>
    </x:row>
    <x:row r="1861">
      <x:c r="A1861" t="str">
        <x:v>Super Mario Adventure [SMWC #5248]</x:v>
      </x:c>
      <x:c r="B1861" t="str">
        <x:v>Super Mario Adventure</x:v>
      </x:c>
      <x:c r="C1861" t="str">
        <x:v>BlackMageMario</x:v>
      </x:c>
      <x:c r="D1861" t="n">
        <x:v>8</x:v>
      </x:c>
      <x:c r="E1861" t="str">
        <x:v>Newcomer</x:v>
      </x:c>
      <x:c r="F1861" t="str">
        <x:v>Standard</x:v>
      </x:c>
      <x:c r="G1861" t="n">
        <x:v>41544</x:v>
      </x:c>
      <x:c r="H1861" t="str">
        <x:v>5248</x:v>
      </x:c>
      <x:c r="I1861" t="str">
        <x:v>https://www.smwcentral.net/?a=details&amp;id=5248&amp;p=section</x:v>
      </x:c>
      <x:c r="J1861" t="str">
        <x:v>https://dl.smwcentral.net/5248/SMA%20Demo%201.zip</x:v>
      </x:c>
    </x:row>
    <x:row r="1862">
      <x:c r="A1862" t="str">
        <x:v>Super Mario Adventures</x:v>
      </x:c>
      <x:c r="B1862" t="str">
        <x:v>Super Mario Adventures</x:v>
      </x:c>
      <x:c r="C1862" t="str">
        <x:v>xAsianjay</x:v>
      </x:c>
      <x:c r="D1862" t="n">
        <x:v>7</x:v>
      </x:c>
      <x:c r="E1862" t="str">
        <x:v>Casual</x:v>
      </x:c>
      <x:c r="F1862" t="str">
        <x:v>Standard</x:v>
      </x:c>
      <x:c r="G1862" t="n">
        <x:v>41666</x:v>
      </x:c>
      <x:c r="H1862" t="str">
        <x:v>6207</x:v>
      </x:c>
      <x:c r="I1862" t="str">
        <x:v>https://www.smwcentral.net/?a=details&amp;id=6207&amp;p=section</x:v>
      </x:c>
      <x:c r="J1862" t="str">
        <x:v>https://dl.smwcentral.net/6207/Mario%27s%20adventure.zip</x:v>
      </x:c>
    </x:row>
    <x:row r="1863">
      <x:c r="A1863" t="str">
        <x:v>Super Mario and Luigi World: Brotherhood</x:v>
      </x:c>
      <x:c r="B1863" t="str">
        <x:v>Super Mario and Luigi World: Brotherhood</x:v>
      </x:c>
      <x:c r="C1863" t="str">
        <x:v>CircleFriendo</x:v>
      </x:c>
      <x:c r="D1863" t="n">
        <x:v>12</x:v>
      </x:c>
      <x:c r="E1863" t="str">
        <x:v>Intermediate</x:v>
      </x:c>
      <x:c r="F1863" t="str">
        <x:v>Kaizo</x:v>
      </x:c>
      <x:c r="G1863" t="n">
        <x:v>46212</x:v>
      </x:c>
      <x:c r="H1863" t="str">
        <x:v>42669</x:v>
      </x:c>
      <x:c r="I1863" t="str">
        <x:v>https://www.smwcentral.net/?a=details&amp;id=42669&amp;p=section</x:v>
      </x:c>
      <x:c r="J1863" t="str">
        <x:v>https://dl.smwcentral.net/42669/brotherhood.zip</x:v>
      </x:c>
    </x:row>
    <x:row r="1864">
      <x:c r="A1864" t="str">
        <x:v>Super Mario And Super Alli World</x:v>
      </x:c>
      <x:c r="B1864" t="str">
        <x:v>Super Mario And Super Alli World</x:v>
      </x:c>
      <x:c r="C1864" t="str">
        <x:v>RealMarioGamer</x:v>
      </x:c>
      <x:c r="D1864" t="n">
        <x:v>9</x:v>
      </x:c>
      <x:c r="E1864" t="str">
        <x:v>Newcomer</x:v>
      </x:c>
      <x:c r="F1864" t="str">
        <x:v>Standard</x:v>
      </x:c>
      <x:c r="G1864" t="n">
        <x:v>42279</x:v>
      </x:c>
      <x:c r="H1864" t="str">
        <x:v>9702</x:v>
      </x:c>
      <x:c r="I1864" t="str">
        <x:v>https://www.smwcentral.net/?a=details&amp;id=9702&amp;p=section</x:v>
      </x:c>
      <x:c r="J1864" t="str">
        <x:v>https://dl.smwcentral.net/9702/Super%20Mario%20and%20Super%20Alli%20World.zip</x:v>
      </x:c>
    </x:row>
    <x:row r="1865">
      <x:c r="A1865" t="str">
        <x:v>Super Mario and the Cretaceous Castle</x:v>
      </x:c>
      <x:c r="B1865" t="str">
        <x:v>Super Mario and the Cretaceous Castle</x:v>
      </x:c>
      <x:c r="C1865" t="str">
        <x:v>TheStellarstrix</x:v>
      </x:c>
      <x:c r="D1865" t="n">
        <x:v>20</x:v>
      </x:c>
      <x:c r="E1865" t="str">
        <x:v>Expert</x:v>
      </x:c>
      <x:c r="F1865" t="str">
        <x:v>Kaizo</x:v>
      </x:c>
      <x:c r="G1865" t="n">
        <x:v>43631</x:v>
      </x:c>
      <x:c r="H1865" t="str">
        <x:v>20201</x:v>
      </x:c>
      <x:c r="I1865" t="str">
        <x:v>https://www.smwcentral.net/?a=details&amp;id=20201&amp;p=section</x:v>
      </x:c>
      <x:c r="J1865" t="str">
        <x:v>https://dl.smwcentral.net/20201/Super%20Mario%20and%20the%20Cretaceous%20Castle.zip</x:v>
      </x:c>
    </x:row>
    <x:row r="1866">
      <x:c r="A1866" t="str">
        <x:v>Super Mario and the Missing Mushroom Coins</x:v>
      </x:c>
      <x:c r="B1866" t="str">
        <x:v>Super Mario and the Missing Mushroom Coins</x:v>
      </x:c>
      <x:c r="C1866" t="str">
        <x:v>Cellcen</x:v>
      </x:c>
      <x:c r="D1866" t="n">
        <x:v>8</x:v>
      </x:c>
      <x:c r="E1866" t="str">
        <x:v>Intermediate</x:v>
      </x:c>
      <x:c r="F1866" t="str">
        <x:v>Standard</x:v>
      </x:c>
      <x:c r="G1866" t="n">
        <x:v>41541</x:v>
      </x:c>
      <x:c r="H1866" t="str">
        <x:v>5034</x:v>
      </x:c>
      <x:c r="I1866" t="str">
        <x:v>https://www.smwcentral.net/?a=details&amp;id=5034&amp;p=section</x:v>
      </x:c>
      <x:c r="J1866" t="str">
        <x:v>https://dl.smwcentral.net/5034/Super%20Mario%20and%20the%20missing%20Mushroom%20Coins%20Demo%201.zip</x:v>
      </x:c>
    </x:row>
    <x:row r="1867">
      <x:c r="A1867" t="str">
        <x:v>Super Mario and the Undersea Lab</x:v>
      </x:c>
      <x:c r="B1867" t="str">
        <x:v>Super Mario and the Undersea Lab</x:v>
      </x:c>
      <x:c r="C1867" t="str">
        <x:v>Yonowaaru</x:v>
      </x:c>
      <x:c r="D1867" t="n">
        <x:v>7</x:v>
      </x:c>
      <x:c r="E1867" t="str">
        <x:v>Casual</x:v>
      </x:c>
      <x:c r="F1867" t="str">
        <x:v>Standard</x:v>
      </x:c>
      <x:c r="G1867" t="n">
        <x:v>42297</x:v>
      </x:c>
      <x:c r="H1867" t="str">
        <x:v>10130</x:v>
      </x:c>
      <x:c r="I1867" t="str">
        <x:v>https://www.smwcentral.net/?a=details&amp;id=10130&amp;p=section</x:v>
      </x:c>
      <x:c r="J1867" t="str">
        <x:v>https://dl.smwcentral.net/10130/Super%20Mario%20and%20the%20Underwater%20Lab.zip</x:v>
      </x:c>
    </x:row>
    <x:row r="1868">
      <x:c r="A1868" t="str">
        <x:v>Super Mario Another Retro</x:v>
      </x:c>
      <x:c r="B1868" t="str">
        <x:v>Super Mario Another Retro</x:v>
      </x:c>
      <x:c r="C1868" t="str">
        <x:v>Zavok</x:v>
      </x:c>
      <x:c r="D1868" t="n">
        <x:v>70</x:v>
      </x:c>
      <x:c r="E1868" t="str">
        <x:v>Casual</x:v>
      </x:c>
      <x:c r="F1868" t="str">
        <x:v>Standard</x:v>
      </x:c>
      <x:c r="G1868" t="n">
        <x:v>43910</x:v>
      </x:c>
      <x:c r="H1868" t="str">
        <x:v>22012</x:v>
      </x:c>
      <x:c r="I1868" t="str">
        <x:v>https://www.smwcentral.net/?a=details&amp;id=22012&amp;p=section</x:v>
      </x:c>
      <x:c r="J1868" t="str">
        <x:v>https://dl.smwcentral.net/22012/Super%20Mario%20Another%20Retro%20%28Full-version%29.zip</x:v>
      </x:c>
    </x:row>
    <x:row r="1869">
      <x:c r="A1869" t="str">
        <x:v>Super Mario Another Retro 2 (Demo)</x:v>
      </x:c>
      <x:c r="B1869" t="str">
        <x:v>Super Mario Another Retro 2 (Demo)</x:v>
      </x:c>
      <x:c r="C1869" t="str">
        <x:v>Zavok</x:v>
      </x:c>
      <x:c r="D1869" t="n">
        <x:v>19</x:v>
      </x:c>
      <x:c r="E1869" t="str">
        <x:v>Casual</x:v>
      </x:c>
      <x:c r="F1869" t="str">
        <x:v>Standard</x:v>
      </x:c>
      <x:c r="G1869" t="n">
        <x:v>46074</x:v>
      </x:c>
      <x:c r="H1869" t="str">
        <x:v>41602</x:v>
      </x:c>
      <x:c r="I1869" t="str">
        <x:v>https://www.smwcentral.net/?a=details&amp;id=41602&amp;p=section</x:v>
      </x:c>
      <x:c r="J1869" t="str">
        <x:v>https://dl.smwcentral.net/41602/SMAR2%20%28Demo%29.zip</x:v>
      </x:c>
    </x:row>
    <x:row r="1870">
      <x:c r="A1870" t="str">
        <x:v>Super Mario Arbitrium - Demo 2</x:v>
      </x:c>
      <x:c r="B1870" t="str">
        <x:v>Super Mario Arbitrium - Demo 2</x:v>
      </x:c>
      <x:c r="C1870" t="str">
        <x:v>Evernn</x:v>
      </x:c>
      <x:c r="D1870" t="n">
        <x:v>24</x:v>
      </x:c>
      <x:c r="E1870" t="str">
        <x:v>Advanced</x:v>
      </x:c>
      <x:c r="F1870" t="str">
        <x:v>Standard</x:v>
      </x:c>
      <x:c r="G1870" t="n">
        <x:v>45192</x:v>
      </x:c>
      <x:c r="H1870" t="str">
        <x:v>34256</x:v>
      </x:c>
      <x:c r="I1870" t="str">
        <x:v>https://www.smwcentral.net/?a=details&amp;id=34256&amp;p=section</x:v>
      </x:c>
      <x:c r="J1870" t="str">
        <x:v>https://dl.smwcentral.net/34256/Super_Mario_Arbitrium_Demo_2.zip</x:v>
      </x:c>
    </x:row>
    <x:row r="1871">
      <x:c r="A1871" t="str">
        <x:v>Super Mario Arcade</x:v>
      </x:c>
      <x:c r="B1871" t="str">
        <x:v>Super Mario Arcade</x:v>
      </x:c>
      <x:c r="C1871" t="str">
        <x:v>zacmario</x:v>
      </x:c>
      <x:c r="D1871" t="n">
        <x:v>24</x:v>
      </x:c>
      <x:c r="E1871" t="str">
        <x:v>Intermediate</x:v>
      </x:c>
      <x:c r="F1871" t="str">
        <x:v>Standard</x:v>
      </x:c>
      <x:c r="G1871" t="n">
        <x:v>42847</x:v>
      </x:c>
      <x:c r="H1871" t="str">
        <x:v>15456</x:v>
      </x:c>
      <x:c r="I1871" t="str">
        <x:v>https://www.smwcentral.net/?a=details&amp;id=15456&amp;p=section</x:v>
      </x:c>
      <x:c r="J1871" t="str">
        <x:v>https://dl.smwcentral.net/15456/SMAv1.6.zip</x:v>
      </x:c>
    </x:row>
    <x:row r="1872">
      <x:c r="A1872" t="str">
        <x:v>Super Mario Archipelago</x:v>
      </x:c>
      <x:c r="B1872" t="str">
        <x:v>Super Mario Archipelago</x:v>
      </x:c>
      <x:c r="C1872" t="str">
        <x:v>PROMETHEUS</x:v>
      </x:c>
      <x:c r="D1872" t="n">
        <x:v>44</x:v>
      </x:c>
      <x:c r="E1872" t="str">
        <x:v>Intermediate</x:v>
      </x:c>
      <x:c r="F1872" t="str">
        <x:v>Standard</x:v>
      </x:c>
      <x:c r="G1872" t="n">
        <x:v>43861</x:v>
      </x:c>
      <x:c r="H1872" t="str">
        <x:v>21493</x:v>
      </x:c>
      <x:c r="I1872" t="str">
        <x:v>https://www.smwcentral.net/?a=details&amp;id=21493&amp;p=section</x:v>
      </x:c>
      <x:c r="J1872" t="str">
        <x:v>https://dl.smwcentral.net/21493/Super%20Mario%20Archipelago.zip</x:v>
      </x:c>
    </x:row>
    <x:row r="1873">
      <x:c r="A1873" t="str">
        <x:v>Super Mario Aways - Redrawn</x:v>
      </x:c>
      <x:c r="B1873" t="str">
        <x:v>Super Mario Aways - Redrawn</x:v>
      </x:c>
      <x:c r="C1873" t="str">
        <x:v>Mr. MS</x:v>
      </x:c>
      <x:c r="D1873" t="n">
        <x:v>8</x:v>
      </x:c>
      <x:c r="E1873" t="str">
        <x:v>Casual</x:v>
      </x:c>
      <x:c r="F1873" t="str">
        <x:v>Standard</x:v>
      </x:c>
      <x:c r="G1873" t="n">
        <x:v>43155</x:v>
      </x:c>
      <x:c r="H1873" t="str">
        <x:v>17086</x:v>
      </x:c>
      <x:c r="I1873" t="str">
        <x:v>https://www.smwcentral.net/?a=details&amp;id=17086&amp;p=section</x:v>
      </x:c>
      <x:c r="J1873" t="str">
        <x:v>https://dl.smwcentral.net/17086/Super%20Mario%20Aways%20-%20Redrawn.zip</x:v>
      </x:c>
    </x:row>
    <x:row r="1874">
      <x:c r="A1874" t="str">
        <x:v>Super Mario Balloon World</x:v>
      </x:c>
      <x:c r="B1874" t="str">
        <x:v>Super Mario Balloon World</x:v>
      </x:c>
      <x:c r="C1874" t="str">
        <x:v>Blue Leaf</x:v>
      </x:c>
      <x:c r="D1874" t="n">
        <x:v>79</x:v>
      </x:c>
      <x:c r="E1874" t="str">
        <x:v>Advanced</x:v>
      </x:c>
      <x:c r="F1874" t="str">
        <x:v>Standard</x:v>
      </x:c>
      <x:c r="G1874" t="n">
        <x:v>44213</x:v>
      </x:c>
      <x:c r="H1874" t="str">
        <x:v>25840</x:v>
      </x:c>
      <x:c r="I1874" t="str">
        <x:v>https://www.smwcentral.net/?a=details&amp;id=25840&amp;p=section</x:v>
      </x:c>
      <x:c r="J1874" t="str">
        <x:v>https://dl.smwcentral.net/25840/SuperMarioBalloonWorld.zip</x:v>
      </x:c>
    </x:row>
    <x:row r="1875">
      <x:c r="A1875" t="str">
        <x:v>Super Mario Blooper World</x:v>
      </x:c>
      <x:c r="B1875" t="str">
        <x:v>Super Mario Blooper World</x:v>
      </x:c>
      <x:c r="C1875" t="str">
        <x:v>Megaman765</x:v>
      </x:c>
      <x:c r="D1875" t="n">
        <x:v>29</x:v>
      </x:c>
      <x:c r="E1875" t="str">
        <x:v>Casual</x:v>
      </x:c>
      <x:c r="F1875" t="str">
        <x:v>Standard</x:v>
      </x:c>
      <x:c r="G1875" t="n">
        <x:v>42213</x:v>
      </x:c>
      <x:c r="H1875" t="str">
        <x:v>9692</x:v>
      </x:c>
      <x:c r="I1875" t="str">
        <x:v>https://www.smwcentral.net/?a=details&amp;id=9692&amp;p=section</x:v>
      </x:c>
      <x:c r="J1875" t="str">
        <x:v>https://dl.smwcentral.net/9692/Hack.zip</x:v>
      </x:c>
    </x:row>
    <x:row r="1876">
      <x:c r="A1876" t="str">
        <x:v>Super Mario Brain Dead</x:v>
      </x:c>
      <x:c r="B1876" t="str">
        <x:v>Super Mario Brain Dead</x:v>
      </x:c>
      <x:c r="C1876" t="str">
        <x:v>Rock</x:v>
      </x:c>
      <x:c r="D1876" t="n">
        <x:v>17</x:v>
      </x:c>
      <x:c r="E1876" t="str">
        <x:v>Casual</x:v>
      </x:c>
      <x:c r="F1876" t="str">
        <x:v>Standard</x:v>
      </x:c>
      <x:c r="G1876" t="n">
        <x:v>42223</x:v>
      </x:c>
      <x:c r="H1876" t="str">
        <x:v>9830</x:v>
      </x:c>
      <x:c r="I1876" t="str">
        <x:v>https://www.smwcentral.net/?a=details&amp;id=9830&amp;p=section</x:v>
      </x:c>
      <x:c r="J1876" t="str">
        <x:v>https://dl.smwcentral.net/9830/Brain%20Dead.zip</x:v>
      </x:c>
    </x:row>
    <x:row r="1877">
      <x:c r="A1877" t="str">
        <x:v>Super Mario Broken Anomaly: Prototype version</x:v>
      </x:c>
      <x:c r="B1877" t="str">
        <x:v>Super Mario Broken Anomaly: Prototype version</x:v>
      </x:c>
      <x:c r="C1877" t="str">
        <x:v>Airbourne Bubblun</x:v>
      </x:c>
      <x:c r="D1877" t="n">
        <x:v>5</x:v>
      </x:c>
      <x:c r="E1877" t="str">
        <x:v>Newcomer</x:v>
      </x:c>
      <x:c r="F1877" t="str">
        <x:v>Standard</x:v>
      </x:c>
      <x:c r="G1877" t="n">
        <x:v>41528</x:v>
      </x:c>
      <x:c r="H1877" t="str">
        <x:v>5333</x:v>
      </x:c>
      <x:c r="I1877" t="str">
        <x:v>https://www.smwcentral.net/?a=details&amp;id=5333&amp;p=section</x:v>
      </x:c>
      <x:c r="J1877" t="str">
        <x:v>https://dl.smwcentral.net/5333/Super%20Mario%20Broken%20Anomaly.zip</x:v>
      </x:c>
    </x:row>
    <x:row r="1878">
      <x:c r="A1878" t="str">
        <x:v>Super Mario Bros - Merry Mountain Christmas Adventure</x:v>
      </x:c>
      <x:c r="B1878" t="str">
        <x:v>Super Mario Bros - Merry Mountain Christmas Adventure</x:v>
      </x:c>
      <x:c r="C1878" t="str">
        <x:v>Bensalot, Nowieso</x:v>
      </x:c>
      <x:c r="D1878" t="n">
        <x:v>31</x:v>
      </x:c>
      <x:c r="E1878" t="str">
        <x:v>Casual</x:v>
      </x:c>
      <x:c r="F1878" t="str">
        <x:v>Standard</x:v>
      </x:c>
      <x:c r="G1878" t="n">
        <x:v>45333</x:v>
      </x:c>
      <x:c r="H1878" t="str">
        <x:v>35786</x:v>
      </x:c>
      <x:c r="I1878" t="str">
        <x:v>https://www.smwcentral.net/?a=details&amp;id=35786&amp;p=section</x:v>
      </x:c>
      <x:c r="J1878" t="str">
        <x:v>https://dl.smwcentral.net/35786/Super%20Mario%20Bros%20-%20Merry%20Moutaint%20Christmas%20Adventure%20-%20SMW%20Christmas%20Edition%20V3.2.zip</x:v>
      </x:c>
    </x:row>
    <x:row r="1879">
      <x:c r="A1879" t="str">
        <x:v>Super Mario Bros 2 Dream Courses</x:v>
      </x:c>
      <x:c r="B1879" t="str">
        <x:v>Super Mario Bros 2 Dream Courses</x:v>
      </x:c>
      <x:c r="C1879" t="str">
        <x:v>Alex No</x:v>
      </x:c>
      <x:c r="D1879" t="n">
        <x:v>22</x:v>
      </x:c>
      <x:c r="E1879" t="str">
        <x:v>Intermediate</x:v>
      </x:c>
      <x:c r="F1879" t="str">
        <x:v>Standard</x:v>
      </x:c>
      <x:c r="G1879" t="n">
        <x:v>41571</x:v>
      </x:c>
      <x:c r="H1879" t="str">
        <x:v>5400</x:v>
      </x:c>
      <x:c r="I1879" t="str">
        <x:v>https://www.smwcentral.net/?a=details&amp;id=5400&amp;p=section</x:v>
      </x:c>
      <x:c r="J1879" t="str">
        <x:v>https://dl.smwcentral.net/5400/Super%20Mario%20Bros%202%20Dream%20Courses.zip</x:v>
      </x:c>
    </x:row>
    <x:row r="1880">
      <x:c r="A1880" t="str">
        <x:v>Super Mario Bros 2: Mega Mario X</x:v>
      </x:c>
      <x:c r="B1880" t="str">
        <x:v>Super Mario Bros 2: Mega Mario X</x:v>
      </x:c>
      <x:c r="C1880" t="str">
        <x:v>Alex No</x:v>
      </x:c>
      <x:c r="D1880" t="n">
        <x:v>75</x:v>
      </x:c>
      <x:c r="E1880" t="str">
        <x:v>Casual</x:v>
      </x:c>
      <x:c r="F1880" t="str">
        <x:v>Standard</x:v>
      </x:c>
      <x:c r="G1880" t="n">
        <x:v>43271</x:v>
      </x:c>
      <x:c r="H1880" t="str">
        <x:v>17554</x:v>
      </x:c>
      <x:c r="I1880" t="str">
        <x:v>https://www.smwcentral.net/?a=details&amp;id=17554&amp;p=section</x:v>
      </x:c>
      <x:c r="J1880" t="str">
        <x:v>https://dl.smwcentral.net/17554/Super%20Mario%20Bros%202%20Mega%20Mario%20X%20version%201.2.zip</x:v>
      </x:c>
    </x:row>
    <x:row r="1881">
      <x:c r="A1881" t="str">
        <x:v>Super Mario Bros 3 as Dinosaur Land</x:v>
      </x:c>
      <x:c r="B1881" t="str">
        <x:v>Super Mario Bros 3 as Dinosaur Land</x:v>
      </x:c>
      <x:c r="C1881" t="str">
        <x:v>Fento34</x:v>
      </x:c>
      <x:c r="D1881" t="n">
        <x:v>120</x:v>
      </x:c>
      <x:c r="E1881" t="str">
        <x:v>Advanced</x:v>
      </x:c>
      <x:c r="F1881" t="str">
        <x:v>Standard</x:v>
      </x:c>
      <x:c r="G1881" t="n">
        <x:v>46168</x:v>
      </x:c>
      <x:c r="H1881" t="str">
        <x:v>42366</x:v>
      </x:c>
      <x:c r="I1881" t="str">
        <x:v>https://www.smwcentral.net/?a=details&amp;id=42366&amp;p=section</x:v>
      </x:c>
      <x:c r="J1881" t="str">
        <x:v>https://dl.smwcentral.net/42366/SMB3%20as%20Dinosaur%20Land%20v3.4.zip</x:v>
      </x:c>
    </x:row>
    <x:row r="1882">
      <x:c r="A1882" t="str">
        <x:v>Super Mario Bros. - The Castle</x:v>
      </x:c>
      <x:c r="B1882" t="str">
        <x:v>Super Mario Bros. - The Castle</x:v>
      </x:c>
      <x:c r="C1882" t="str">
        <x:v>Lightvayne</x:v>
      </x:c>
      <x:c r="D1882" t="n">
        <x:v>2</x:v>
      </x:c>
      <x:c r="E1882" t="str">
        <x:v>Casual</x:v>
      </x:c>
      <x:c r="F1882" t="str">
        <x:v>Standard</x:v>
      </x:c>
      <x:c r="G1882" t="n">
        <x:v>42209</x:v>
      </x:c>
      <x:c r="H1882" t="str">
        <x:v>9696</x:v>
      </x:c>
      <x:c r="I1882" t="str">
        <x:v>https://www.smwcentral.net/?a=details&amp;id=9696&amp;p=section</x:v>
      </x:c>
      <x:c r="J1882" t="str">
        <x:v>https://dl.smwcentral.net/9696/smbthecastle.zip</x:v>
      </x:c>
    </x:row>
    <x:row r="1883">
      <x:c r="A1883" t="str">
        <x:v>Super Mario Bros. - The Key Of Nightmares</x:v>
      </x:c>
      <x:c r="B1883" t="str">
        <x:v>Super Mario Bros. - The Key Of Nightmares</x:v>
      </x:c>
      <x:c r="C1883" t="str">
        <x:v>Kaeru</x:v>
      </x:c>
      <x:c r="D1883" t="n">
        <x:v>19</x:v>
      </x:c>
      <x:c r="E1883" t="str">
        <x:v>Casual</x:v>
      </x:c>
      <x:c r="F1883" t="str">
        <x:v>Standard</x:v>
      </x:c>
      <x:c r="G1883" t="n">
        <x:v>42221</x:v>
      </x:c>
      <x:c r="H1883" t="str">
        <x:v>9749</x:v>
      </x:c>
      <x:c r="I1883" t="str">
        <x:v>https://www.smwcentral.net/?a=details&amp;id=9749&amp;p=section</x:v>
      </x:c>
      <x:c r="J1883" t="str">
        <x:v>https://dl.smwcentral.net/9749/Super%20Mario%20Bros.%20-%20The%20Key%20Of%20Nightmares.zip</x:v>
      </x:c>
    </x:row>
    <x:row r="1884">
      <x:c r="A1884" t="str">
        <x:v>Super Mario Bros. - The Lost Mario Quest</x:v>
      </x:c>
      <x:c r="B1884" t="str">
        <x:v>Super Mario Bros. - The Lost Mario Quest</x:v>
      </x:c>
      <x:c r="C1884" t="str">
        <x:v>Bullymario</x:v>
      </x:c>
      <x:c r="D1884" t="n">
        <x:v>89</x:v>
      </x:c>
      <x:c r="E1884" t="str">
        <x:v>Intermediate</x:v>
      </x:c>
      <x:c r="F1884" t="str">
        <x:v>Standard</x:v>
      </x:c>
      <x:c r="G1884" t="n">
        <x:v>45364</x:v>
      </x:c>
      <x:c r="H1884" t="str">
        <x:v>37334</x:v>
      </x:c>
      <x:c r="I1884" t="str">
        <x:v>https://www.smwcentral.net/?a=details&amp;id=37334&amp;p=section</x:v>
      </x:c>
      <x:c r="J1884" t="str">
        <x:v>https://dl.smwcentral.net/37334/SMBTLMQ%20v2.2.zip</x:v>
      </x:c>
    </x:row>
    <x:row r="1885">
      <x:c r="A1885" t="str">
        <x:v>Super Mario Bros. - The Seven Wands</x:v>
      </x:c>
      <x:c r="B1885" t="str">
        <x:v>Super Mario Bros. - The Seven Wands</x:v>
      </x:c>
      <x:c r="C1885" t="str">
        <x:v>Dark Bob-Omb</x:v>
      </x:c>
      <x:c r="D1885" t="n">
        <x:v>14</x:v>
      </x:c>
      <x:c r="E1885" t="str">
        <x:v>Casual</x:v>
      </x:c>
      <x:c r="F1885" t="str">
        <x:v>Standard</x:v>
      </x:c>
      <x:c r="G1885" t="n">
        <x:v>42222</x:v>
      </x:c>
      <x:c r="H1885" t="str">
        <x:v>9762</x:v>
      </x:c>
      <x:c r="I1885" t="str">
        <x:v>https://www.smwcentral.net/?a=details&amp;id=9762&amp;p=section</x:v>
      </x:c>
      <x:c r="J1885" t="str">
        <x:v>https://dl.smwcentral.net/9762/Super%20Mario%20Bros.%20-%20The%20Seven%20Wands.zip</x:v>
      </x:c>
    </x:row>
    <x:row r="1886">
      <x:c r="A1886" t="str">
        <x:v>Super Mario Bros. 1X</x:v>
      </x:c>
      <x:c r="B1886" t="str">
        <x:v>Super Mario Bros. 1X</x:v>
      </x:c>
      <x:c r="C1886" t="str">
        <x:v>Koyuki</x:v>
      </x:c>
      <x:c r="D1886" t="n">
        <x:v>66</x:v>
      </x:c>
      <x:c r="E1886" t="str">
        <x:v>Casual</x:v>
      </x:c>
      <x:c r="F1886" t="str">
        <x:v>Standard</x:v>
      </x:c>
      <x:c r="G1886" t="n">
        <x:v>43338</x:v>
      </x:c>
      <x:c r="H1886" t="str">
        <x:v>18086</x:v>
      </x:c>
      <x:c r="I1886" t="str">
        <x:v>https://www.smwcentral.net/?a=details&amp;id=18086&amp;p=section</x:v>
      </x:c>
      <x:c r="J1886" t="str">
        <x:v>https://dl.smwcentral.net/18086/SMB1X%20v1.6.zip</x:v>
      </x:c>
    </x:row>
    <x:row r="1887">
      <x:c r="A1887" t="str">
        <x:v>Super Mario Bros. 2 DX</x:v>
      </x:c>
      <x:c r="B1887" t="str">
        <x:v>Super Mario Bros. 2 DX</x:v>
      </x:c>
      <x:c r="C1887" t="str">
        <x:v>SSM</x:v>
      </x:c>
      <x:c r="D1887" t="n">
        <x:v>24</x:v>
      </x:c>
      <x:c r="E1887" t="str">
        <x:v>Casual</x:v>
      </x:c>
      <x:c r="F1887" t="str">
        <x:v>Standard</x:v>
      </x:c>
      <x:c r="G1887" t="n">
        <x:v>42220</x:v>
      </x:c>
      <x:c r="H1887" t="str">
        <x:v>9682</x:v>
      </x:c>
      <x:c r="I1887" t="str">
        <x:v>https://www.smwcentral.net/?a=details&amp;id=9682&amp;p=section</x:v>
      </x:c>
      <x:c r="J1887" t="str">
        <x:v>https://dl.smwcentral.net/9682/Super%20Mario%20Bros.%202%20DX.zip</x:v>
      </x:c>
    </x:row>
    <x:row r="1888">
      <x:c r="A1888" t="str">
        <x:v>Super Mario Bros. 3 Redrawn</x:v>
      </x:c>
      <x:c r="B1888" t="str">
        <x:v>Super Mario Bros. 3 Redrawn</x:v>
      </x:c>
      <x:c r="C1888" t="str">
        <x:v>ghettoyouth</x:v>
      </x:c>
      <x:c r="D1888" t="n">
        <x:v>0</x:v>
      </x:c>
      <x:c r="E1888" t="str">
        <x:v>Newcomer</x:v>
      </x:c>
      <x:c r="F1888" t="str">
        <x:v>Standard</x:v>
      </x:c>
      <x:c r="G1888" t="n">
        <x:v>42213</x:v>
      </x:c>
      <x:c r="H1888" t="str">
        <x:v>9670</x:v>
      </x:c>
      <x:c r="I1888" t="str">
        <x:v>https://www.smwcentral.net/?a=details&amp;id=9670&amp;p=section</x:v>
      </x:c>
      <x:c r="J1888" t="str">
        <x:v>https://dl.smwcentral.net/9670/SMB3r.zip</x:v>
      </x:c>
    </x:row>
    <x:row r="1889">
      <x:c r="A1889" t="str">
        <x:v>Super Mario Bros. 3 X</x:v>
      </x:c>
      <x:c r="B1889" t="str">
        <x:v>Super Mario Bros. 3 X</x:v>
      </x:c>
      <x:c r="C1889" t="str">
        <x:v>Koyuki</x:v>
      </x:c>
      <x:c r="D1889" t="n">
        <x:v>70</x:v>
      </x:c>
      <x:c r="E1889" t="str">
        <x:v>Casual</x:v>
      </x:c>
      <x:c r="F1889" t="str">
        <x:v>Standard</x:v>
      </x:c>
      <x:c r="G1889" t="n">
        <x:v>41818</x:v>
      </x:c>
      <x:c r="H1889" t="str">
        <x:v>6764</x:v>
      </x:c>
      <x:c r="I1889" t="str">
        <x:v>https://www.smwcentral.net/?a=details&amp;id=6764&amp;p=section</x:v>
      </x:c>
      <x:c r="J1889" t="str">
        <x:v>https://dl.smwcentral.net/6764/SMB3X%20Final%202.6.zip</x:v>
      </x:c>
    </x:row>
    <x:row r="1890">
      <x:c r="A1890" t="str">
        <x:v>Super Mario Bros. 3: Golden</x:v>
      </x:c>
      <x:c r="B1890" t="str">
        <x:v>Super Mario Bros. 3: Golden</x:v>
      </x:c>
      <x:c r="C1890" t="str">
        <x:v>1339</x:v>
      </x:c>
      <x:c r="D1890" t="n">
        <x:v>88</x:v>
      </x:c>
      <x:c r="E1890" t="str">
        <x:v>Casual</x:v>
      </x:c>
      <x:c r="F1890" t="str">
        <x:v>Standard</x:v>
      </x:c>
      <x:c r="G1890" t="n">
        <x:v>42218</x:v>
      </x:c>
      <x:c r="H1890" t="str">
        <x:v>9786</x:v>
      </x:c>
      <x:c r="I1890" t="str">
        <x:v>https://www.smwcentral.net/?a=details&amp;id=9786&amp;p=section</x:v>
      </x:c>
      <x:c r="J1890" t="str">
        <x:v>https://dl.smwcentral.net/9786/smb3.zip</x:v>
      </x:c>
    </x:row>
    <x:row r="1891">
      <x:c r="A1891" t="str">
        <x:v>Super Mario Bros. 3: The Secret Place</x:v>
      </x:c>
      <x:c r="B1891" t="str">
        <x:v>Super Mario Bros. 3: The Secret Place</x:v>
      </x:c>
      <x:c r="C1891" t="str">
        <x:v>Hinalyte</x:v>
      </x:c>
      <x:c r="D1891" t="n">
        <x:v>27</x:v>
      </x:c>
      <x:c r="E1891" t="str">
        <x:v>Intermediate</x:v>
      </x:c>
      <x:c r="F1891" t="str">
        <x:v>Standard</x:v>
      </x:c>
      <x:c r="G1891" t="n">
        <x:v>41690</x:v>
      </x:c>
      <x:c r="H1891" t="str">
        <x:v>6195</x:v>
      </x:c>
      <x:c r="I1891" t="str">
        <x:v>https://www.smwcentral.net/?a=details&amp;id=6195&amp;p=section</x:v>
      </x:c>
      <x:c r="J1891" t="str">
        <x:v>https://dl.smwcentral.net/6195/SMB3TSP%200.5.zip</x:v>
      </x:c>
    </x:row>
    <x:row r="1892">
      <x:c r="A1892" t="str">
        <x:v>Super Mario Bros. 4 - The Mystery Of The Five Stones</x:v>
      </x:c>
      <x:c r="B1892" t="str">
        <x:v>Super Mario Bros. 4 - The Mystery Of The Five Stones</x:v>
      </x:c>
      <x:c r="C1892" t="str">
        <x:v>Lexator</x:v>
      </x:c>
      <x:c r="D1892" t="n">
        <x:v>76</x:v>
      </x:c>
      <x:c r="E1892" t="str">
        <x:v>Casual</x:v>
      </x:c>
      <x:c r="F1892" t="str">
        <x:v>Standard</x:v>
      </x:c>
      <x:c r="G1892" t="n">
        <x:v>42280</x:v>
      </x:c>
      <x:c r="H1892" t="str">
        <x:v>10047</x:v>
      </x:c>
      <x:c r="I1892" t="str">
        <x:v>https://www.smwcentral.net/?a=details&amp;id=10047&amp;p=section</x:v>
      </x:c>
      <x:c r="J1892" t="str">
        <x:v>https://dl.smwcentral.net/10047/smb4.zip.zip</x:v>
      </x:c>
    </x:row>
    <x:row r="1893">
      <x:c r="A1893" t="str">
        <x:v>Super Mario Bros. 4: Super Mario World | Mario and Luigi's Return to The Plains</x:v>
      </x:c>
      <x:c r="B1893" t="str">
        <x:v>Super Mario Bros. 4: Super Mario World | Mario and Luigi's Return to The Plains</x:v>
      </x:c>
      <x:c r="C1893" t="str">
        <x:v>MomentBruh</x:v>
      </x:c>
      <x:c r="D1893" t="n">
        <x:v>18</x:v>
      </x:c>
      <x:c r="E1893" t="str">
        <x:v>Casual</x:v>
      </x:c>
      <x:c r="F1893" t="str">
        <x:v>Standard</x:v>
      </x:c>
      <x:c r="G1893" t="n">
        <x:v>44739</x:v>
      </x:c>
      <x:c r="H1893" t="str">
        <x:v>31151</x:v>
      </x:c>
      <x:c r="I1893" t="str">
        <x:v>https://www.smwcentral.net/?a=details&amp;id=31151&amp;p=section</x:v>
      </x:c>
      <x:c r="J1893" t="str">
        <x:v>https://dl.smwcentral.net/31151/hac.zip</x:v>
      </x:c>
    </x:row>
    <x:row r="1894">
      <x:c r="A1894" t="str">
        <x:v>Super Mario Bros. 5 Reborn</x:v>
      </x:c>
      <x:c r="B1894" t="str">
        <x:v>Super Mario Bros. 5 Reborn</x:v>
      </x:c>
      <x:c r="C1894" t="str">
        <x:v>Gamma V</x:v>
      </x:c>
      <x:c r="D1894" t="n">
        <x:v>85</x:v>
      </x:c>
      <x:c r="E1894" t="str">
        <x:v>Newcomer</x:v>
      </x:c>
      <x:c r="F1894" t="str">
        <x:v>Standard</x:v>
      </x:c>
      <x:c r="G1894" t="n">
        <x:v>42288</x:v>
      </x:c>
      <x:c r="H1894" t="str">
        <x:v>10171</x:v>
      </x:c>
      <x:c r="I1894" t="str">
        <x:v>https://www.smwcentral.net/?a=details&amp;id=10171&amp;p=section</x:v>
      </x:c>
      <x:c r="J1894" t="str">
        <x:v>https://dl.smwcentral.net/10171/SMB5Rv5.zip</x:v>
      </x:c>
    </x:row>
    <x:row r="1895">
      <x:c r="A1895" t="str">
        <x:v>Super Mario Bros. Advance 2 : Super Mario Bros. 3</x:v>
      </x:c>
      <x:c r="B1895" t="str">
        <x:v>Super Mario Bros. Advance 2 : Super Mario Bros. 3</x:v>
      </x:c>
      <x:c r="C1895" t="str">
        <x:v>King Mayro</x:v>
      </x:c>
      <x:c r="D1895" t="n">
        <x:v>10</x:v>
      </x:c>
      <x:c r="E1895" t="str">
        <x:v>Casual</x:v>
      </x:c>
      <x:c r="F1895" t="str">
        <x:v>Standard</x:v>
      </x:c>
      <x:c r="G1895" t="n">
        <x:v>44190</x:v>
      </x:c>
      <x:c r="H1895" t="str">
        <x:v>25236</x:v>
      </x:c>
      <x:c r="I1895" t="str">
        <x:v>https://www.smwcentral.net/?a=details&amp;id=25236&amp;p=section</x:v>
      </x:c>
      <x:c r="J1895" t="str">
        <x:v>https://dl.smwcentral.net/25236/SMBA2%20V1.0.zip</x:v>
      </x:c>
    </x:row>
    <x:row r="1896">
      <x:c r="A1896" t="str">
        <x:v>Super Mario Bros. Chaos</x:v>
      </x:c>
      <x:c r="B1896" t="str">
        <x:v>Super Mario Bros. Chaos</x:v>
      </x:c>
      <x:c r="C1896" t="str">
        <x:v>Koyuki</x:v>
      </x:c>
      <x:c r="D1896" t="n">
        <x:v>8</x:v>
      </x:c>
      <x:c r="E1896" t="str">
        <x:v>Newcomer</x:v>
      </x:c>
      <x:c r="F1896" t="str">
        <x:v>Standard</x:v>
      </x:c>
      <x:c r="G1896" t="n">
        <x:v>41511</x:v>
      </x:c>
      <x:c r="H1896" t="str">
        <x:v>5151</x:v>
      </x:c>
      <x:c r="I1896" t="str">
        <x:v>https://www.smwcentral.net/?a=details&amp;id=5151&amp;p=section</x:v>
      </x:c>
      <x:c r="J1896" t="str">
        <x:v>https://dl.smwcentral.net/5151/SMB%20Chaos%20Demo.zip</x:v>
      </x:c>
    </x:row>
    <x:row r="1897">
      <x:c r="A1897" t="str">
        <x:v>Super Mario Bros. Easter Adventure</x:v>
      </x:c>
      <x:c r="B1897" t="str">
        <x:v>Super Mario Bros. Easter Adventure</x:v>
      </x:c>
      <x:c r="C1897" t="str">
        <x:v>Demonsul</x:v>
      </x:c>
      <x:c r="D1897" t="n">
        <x:v>1</x:v>
      </x:c>
      <x:c r="E1897" t="str">
        <x:v>Newcomer</x:v>
      </x:c>
      <x:c r="F1897" t="str">
        <x:v>Standard</x:v>
      </x:c>
      <x:c r="G1897" t="n">
        <x:v>42207</x:v>
      </x:c>
      <x:c r="H1897" t="str">
        <x:v>9894</x:v>
      </x:c>
      <x:c r="I1897" t="str">
        <x:v>https://www.smwcentral.net/?a=details&amp;id=9894&amp;p=section</x:v>
      </x:c>
      <x:c r="J1897" t="str">
        <x:v>https://dl.smwcentral.net/9894/Easter.zip</x:v>
      </x:c>
    </x:row>
    <x:row r="1898">
      <x:c r="A1898" t="str">
        <x:v>Super Mario Bros. Enhanced</x:v>
      </x:c>
      <x:c r="B1898" t="str">
        <x:v>Super Mario Bros. Enhanced</x:v>
      </x:c>
      <x:c r="C1898" t="str">
        <x:v>Pac</x:v>
      </x:c>
      <x:c r="D1898" t="n">
        <x:v>42</x:v>
      </x:c>
      <x:c r="E1898" t="str">
        <x:v>Casual</x:v>
      </x:c>
      <x:c r="F1898" t="str">
        <x:v>Standard</x:v>
      </x:c>
      <x:c r="G1898" t="n">
        <x:v>42298</x:v>
      </x:c>
      <x:c r="H1898" t="str">
        <x:v>10223</x:v>
      </x:c>
      <x:c r="I1898" t="str">
        <x:v>https://www.smwcentral.net/?a=details&amp;id=10223&amp;p=section</x:v>
      </x:c>
      <x:c r="J1898" t="str">
        <x:v>https://dl.smwcentral.net/10223/smbe.zip</x:v>
      </x:c>
    </x:row>
    <x:row r="1899">
      <x:c r="A1899" t="str">
        <x:v>Super Mario Bros. For Lost Players</x:v>
      </x:c>
      <x:c r="B1899" t="str">
        <x:v>Super Mario Bros. For Lost Players</x:v>
      </x:c>
      <x:c r="C1899" t="str">
        <x:v>Adam, Truxton, beasteye89, lolyoshi, rextep</x:v>
      </x:c>
      <x:c r="D1899" t="n">
        <x:v>36</x:v>
      </x:c>
      <x:c r="E1899" t="str">
        <x:v>Advanced</x:v>
      </x:c>
      <x:c r="F1899" t="str">
        <x:v>Standard</x:v>
      </x:c>
      <x:c r="G1899" t="n">
        <x:v>44558</x:v>
      </x:c>
      <x:c r="H1899" t="str">
        <x:v>29052</x:v>
      </x:c>
      <x:c r="I1899" t="str">
        <x:v>https://www.smwcentral.net/?a=details&amp;id=29052&amp;p=section</x:v>
      </x:c>
      <x:c r="J1899" t="str">
        <x:v>https://dl.smwcentral.net/29052/JAM_ALERT.zip</x:v>
      </x:c>
    </x:row>
    <x:row r="1900">
      <x:c r="A1900" t="str">
        <x:v>Super Mario Bros. Peach's Adventure</x:v>
      </x:c>
      <x:c r="B1900" t="str">
        <x:v>Super Mario Bros. Peach's Adventure</x:v>
      </x:c>
      <x:c r="C1900" t="str">
        <x:v>Rosicom</x:v>
      </x:c>
      <x:c r="D1900" t="n">
        <x:v>61</x:v>
      </x:c>
      <x:c r="E1900" t="str">
        <x:v>Casual</x:v>
      </x:c>
      <x:c r="F1900" t="str">
        <x:v>Standard</x:v>
      </x:c>
      <x:c r="G1900" t="n">
        <x:v>44239</x:v>
      </x:c>
      <x:c r="H1900" t="str">
        <x:v>25738</x:v>
      </x:c>
      <x:c r="I1900" t="str">
        <x:v>https://www.smwcentral.net/?a=details&amp;id=25738&amp;p=section</x:v>
      </x:c>
      <x:c r="J1900" t="str">
        <x:v>https://dl.smwcentral.net/25738/Super%20Mario%20Bros.%20Peach%27s%20Adventure.zip</x:v>
      </x:c>
    </x:row>
    <x:row r="1901">
      <x:c r="A1901" t="str">
        <x:v>Super Mario Bros. Remix</x:v>
      </x:c>
      <x:c r="B1901" t="str">
        <x:v>Super Mario Bros. Remix</x:v>
      </x:c>
      <x:c r="C1901" t="str">
        <x:v>Phantom Kid</x:v>
      </x:c>
      <x:c r="D1901" t="n">
        <x:v>14</x:v>
      </x:c>
      <x:c r="E1901" t="str">
        <x:v>Intermediate</x:v>
      </x:c>
      <x:c r="F1901" t="str">
        <x:v>Standard</x:v>
      </x:c>
      <x:c r="G1901" t="n">
        <x:v>42306</x:v>
      </x:c>
      <x:c r="H1901" t="str">
        <x:v>10036</x:v>
      </x:c>
      <x:c r="I1901" t="str">
        <x:v>https://www.smwcentral.net/?a=details&amp;id=10036&amp;p=section</x:v>
      </x:c>
      <x:c r="J1901" t="str">
        <x:v>https://dl.smwcentral.net/10036/Super%20Mario%20Bros.%20Remix.zip</x:v>
      </x:c>
    </x:row>
    <x:row r="1902">
      <x:c r="A1902" t="str">
        <x:v>Super Mario Bros. The Hunt For The Magical Key</x:v>
      </x:c>
      <x:c r="B1902" t="str">
        <x:v>Super Mario Bros. The Hunt For The Magical Key</x:v>
      </x:c>
      <x:c r="C1902" t="str">
        <x:v>Alex No</x:v>
      </x:c>
      <x:c r="D1902" t="n">
        <x:v>120</x:v>
      </x:c>
      <x:c r="E1902" t="str">
        <x:v>Casual</x:v>
      </x:c>
      <x:c r="F1902" t="str">
        <x:v>Standard</x:v>
      </x:c>
      <x:c r="G1902" t="n">
        <x:v>41982</x:v>
      </x:c>
      <x:c r="H1902" t="str">
        <x:v>9535</x:v>
      </x:c>
      <x:c r="I1902" t="str">
        <x:v>https://www.smwcentral.net/?a=details&amp;id=9535&amp;p=section</x:v>
      </x:c>
      <x:c r="J1902" t="str">
        <x:v>https://dl.smwcentral.net/9535/Super%20Mario%20Bros.%20The%20Hunt%20For%20The%20Magical%20Key.zip</x:v>
      </x:c>
    </x:row>
    <x:row r="1903">
      <x:c r="A1903" t="str">
        <x:v>Super Mario Bros. The Invaders of Mushroom Kingdom</x:v>
      </x:c>
      <x:c r="B1903" t="str">
        <x:v>Super Mario Bros. The Invaders of Mushroom Kingdom</x:v>
      </x:c>
      <x:c r="C1903" t="str">
        <x:v>Alex No</x:v>
      </x:c>
      <x:c r="D1903" t="n">
        <x:v>58</x:v>
      </x:c>
      <x:c r="E1903" t="str">
        <x:v>Casual</x:v>
      </x:c>
      <x:c r="F1903" t="str">
        <x:v>Standard</x:v>
      </x:c>
      <x:c r="G1903" t="n">
        <x:v>42091</x:v>
      </x:c>
      <x:c r="H1903" t="str">
        <x:v>11063</x:v>
      </x:c>
      <x:c r="I1903" t="str">
        <x:v>https://www.smwcentral.net/?a=details&amp;id=11063&amp;p=section</x:v>
      </x:c>
      <x:c r="J1903" t="str">
        <x:v>https://dl.smwcentral.net/11063/Super%20Mario%20Bros.%20The%20Invaders%20of%20Mushroom%20Kingdom%201.22.zip</x:v>
      </x:c>
    </x:row>
    <x:row r="1904">
      <x:c r="A1904" t="str">
        <x:v>Super Mario Bros. The Search for Bowser</x:v>
      </x:c>
      <x:c r="B1904" t="str">
        <x:v>Super Mario Bros. The Search for Bowser</x:v>
      </x:c>
      <x:c r="C1904" t="str">
        <x:v>yoshiguy978</x:v>
      </x:c>
      <x:c r="D1904" t="n">
        <x:v>7</x:v>
      </x:c>
      <x:c r="E1904" t="str">
        <x:v>Newcomer</x:v>
      </x:c>
      <x:c r="F1904" t="str">
        <x:v>Standard</x:v>
      </x:c>
      <x:c r="G1904" t="n">
        <x:v>42279</x:v>
      </x:c>
      <x:c r="H1904" t="str">
        <x:v>10095</x:v>
      </x:c>
      <x:c r="I1904" t="str">
        <x:v>https://www.smwcentral.net/?a=details&amp;id=10095&amp;p=section</x:v>
      </x:c>
      <x:c r="J1904" t="str">
        <x:v>https://dl.smwcentral.net/10095/Super%20Mario%20Bros.%20the%20search%20for%20bowser%20demo%201.zip</x:v>
      </x:c>
    </x:row>
    <x:row r="1905">
      <x:c r="A1905" t="str">
        <x:v>Super Mario Bros.: Peach's Challenge</x:v>
      </x:c>
      <x:c r="B1905" t="str">
        <x:v>Super Mario Bros.: Peach's Challenge</x:v>
      </x:c>
      <x:c r="C1905" t="str">
        <x:v>Marioman</x:v>
      </x:c>
      <x:c r="D1905" t="n">
        <x:v>7</x:v>
      </x:c>
      <x:c r="E1905" t="str">
        <x:v>Casual</x:v>
      </x:c>
      <x:c r="F1905" t="str">
        <x:v>Standard</x:v>
      </x:c>
      <x:c r="G1905" t="n">
        <x:v>42062</x:v>
      </x:c>
      <x:c r="H1905" t="str">
        <x:v>9793</x:v>
      </x:c>
      <x:c r="I1905" t="str">
        <x:v>https://www.smwcentral.net/?a=details&amp;id=9793&amp;p=section</x:v>
      </x:c>
      <x:c r="J1905" t="str">
        <x:v>https://dl.smwcentral.net/9793/SMB%20PC.zip</x:v>
      </x:c>
    </x:row>
    <x:row r="1906">
      <x:c r="A1906" t="str">
        <x:v>Super Mario Bros.: The Last Showdown</x:v>
      </x:c>
      <x:c r="B1906" t="str">
        <x:v>Super Mario Bros.: The Last Showdown</x:v>
      </x:c>
      <x:c r="C1906" t="str">
        <x:v>Kaeru</x:v>
      </x:c>
      <x:c r="D1906" t="n">
        <x:v>3</x:v>
      </x:c>
      <x:c r="E1906" t="str">
        <x:v>Intermediate</x:v>
      </x:c>
      <x:c r="F1906" t="str">
        <x:v>Standard</x:v>
      </x:c>
      <x:c r="G1906" t="n">
        <x:v>42323</x:v>
      </x:c>
      <x:c r="H1906" t="str">
        <x:v>9729</x:v>
      </x:c>
      <x:c r="I1906" t="str">
        <x:v>https://www.smwcentral.net/?a=details&amp;id=9729&amp;p=section</x:v>
      </x:c>
      <x:c r="J1906" t="str">
        <x:v>https://dl.smwcentral.net/9729/Super%20Mario%20Bros.%20-%20The%20Last%20Showdown.zip</x:v>
      </x:c>
    </x:row>
    <x:row r="1907">
      <x:c r="A1907" t="str">
        <x:v>Super Mario Bros.: The Lost Levels 2</x:v>
      </x:c>
      <x:c r="B1907" t="str">
        <x:v>Super Mario Bros.: The Lost Levels 2</x:v>
      </x:c>
      <x:c r="C1907" t="str">
        <x:v>Pete3k</x:v>
      </x:c>
      <x:c r="D1907" t="n">
        <x:v>32</x:v>
      </x:c>
      <x:c r="E1907" t="str">
        <x:v>Newcomer</x:v>
      </x:c>
      <x:c r="F1907" t="str">
        <x:v>Standard</x:v>
      </x:c>
      <x:c r="G1907" t="n">
        <x:v>42288</x:v>
      </x:c>
      <x:c r="H1907" t="str">
        <x:v>10156</x:v>
      </x:c>
      <x:c r="I1907" t="str">
        <x:v>https://www.smwcentral.net/?a=details&amp;id=10156&amp;p=section</x:v>
      </x:c>
      <x:c r="J1907" t="str">
        <x:v>https://dl.smwcentral.net/10156/Lost%20Levels%202.zip</x:v>
      </x:c>
    </x:row>
    <x:row r="1908">
      <x:c r="A1908" t="str">
        <x:v>Super Mario Bros.: The Minus World</x:v>
      </x:c>
      <x:c r="B1908" t="str">
        <x:v>Super Mario Bros.: The Minus World</x:v>
      </x:c>
      <x:c r="C1908" t="str">
        <x:v>Lexi</x:v>
      </x:c>
      <x:c r="D1908" t="n">
        <x:v>4</x:v>
      </x:c>
      <x:c r="E1908" t="str">
        <x:v>Casual</x:v>
      </x:c>
      <x:c r="F1908" t="str">
        <x:v>Standard</x:v>
      </x:c>
      <x:c r="G1908" t="n">
        <x:v>42345</x:v>
      </x:c>
      <x:c r="H1908" t="str">
        <x:v>10139</x:v>
      </x:c>
      <x:c r="I1908" t="str">
        <x:v>https://www.smwcentral.net/?a=details&amp;id=10139&amp;p=section</x:v>
      </x:c>
      <x:c r="J1908" t="str">
        <x:v>https://dl.smwcentral.net/10139/SMB-TMW0.1.zip</x:v>
      </x:c>
    </x:row>
    <x:row r="1909">
      <x:c r="A1909" t="str">
        <x:v>Super Mario Bros: Bowser Chaos</x:v>
      </x:c>
      <x:c r="B1909" t="str">
        <x:v>Super Mario Bros: Bowser Chaos</x:v>
      </x:c>
      <x:c r="C1909" t="str">
        <x:v>tfpivman</x:v>
      </x:c>
      <x:c r="D1909" t="n">
        <x:v>17</x:v>
      </x:c>
      <x:c r="E1909" t="str">
        <x:v>Newcomer</x:v>
      </x:c>
      <x:c r="F1909" t="str">
        <x:v>Standard</x:v>
      </x:c>
      <x:c r="G1909" t="n">
        <x:v>41551</x:v>
      </x:c>
      <x:c r="H1909" t="str">
        <x:v>5452</x:v>
      </x:c>
      <x:c r="I1909" t="str">
        <x:v>https://www.smwcentral.net/?a=details&amp;id=5452&amp;p=section</x:v>
      </x:c>
      <x:c r="J1909" t="str">
        <x:v>https://dl.smwcentral.net/5452/smbbc%20%28demo4%29.zip</x:v>
      </x:c>
    </x:row>
    <x:row r="1910">
      <x:c r="A1910" t="str">
        <x:v>Super Mario Bros: The Castle 2</x:v>
      </x:c>
      <x:c r="B1910" t="str">
        <x:v>Super Mario Bros: The Castle 2</x:v>
      </x:c>
      <x:c r="C1910" t="str">
        <x:v>Lightvayne</x:v>
      </x:c>
      <x:c r="D1910" t="n">
        <x:v>0</x:v>
      </x:c>
      <x:c r="E1910" t="str">
        <x:v>Casual</x:v>
      </x:c>
      <x:c r="F1910" t="str">
        <x:v>Standard</x:v>
      </x:c>
      <x:c r="G1910" t="n">
        <x:v>42222</x:v>
      </x:c>
      <x:c r="H1910" t="str">
        <x:v>9712</x:v>
      </x:c>
      <x:c r="I1910" t="str">
        <x:v>https://www.smwcentral.net/?a=details&amp;id=9712&amp;p=section</x:v>
      </x:c>
      <x:c r="J1910" t="str">
        <x:v>https://dl.smwcentral.net/9712/SMBTheCastle2Demo.zip</x:v>
      </x:c>
    </x:row>
    <x:row r="1911">
      <x:c r="A1911" t="str">
        <x:v>Super Mario Bros: The Early Years</x:v>
      </x:c>
      <x:c r="B1911" t="str">
        <x:v>Super Mario Bros: The Early Years</x:v>
      </x:c>
      <x:c r="C1911" t="str">
        <x:v>Gamma V</x:v>
      </x:c>
      <x:c r="D1911" t="n">
        <x:v>47</x:v>
      </x:c>
      <x:c r="E1911" t="str">
        <x:v>Casual</x:v>
      </x:c>
      <x:c r="F1911" t="str">
        <x:v>Standard</x:v>
      </x:c>
      <x:c r="G1911" t="n">
        <x:v>42947</x:v>
      </x:c>
      <x:c r="H1911" t="str">
        <x:v>15943</x:v>
      </x:c>
      <x:c r="I1911" t="str">
        <x:v>https://www.smwcentral.net/?a=details&amp;id=15943&amp;p=section</x:v>
      </x:c>
      <x:c r="J1911" t="str">
        <x:v>https://dl.smwcentral.net/15943/SMBTEY%20Fixed%20Forever.zip</x:v>
      </x:c>
    </x:row>
    <x:row r="1912">
      <x:c r="A1912" t="str">
        <x:v>Super Mario Bros: The Search for Oreo Cakesters</x:v>
      </x:c>
      <x:c r="B1912" t="str">
        <x:v>Super Mario Bros: The Search for Oreo Cakesters</x:v>
      </x:c>
      <x:c r="C1912" t="str">
        <x:v>Apple Boy</x:v>
      </x:c>
      <x:c r="D1912" t="n">
        <x:v>3</x:v>
      </x:c>
      <x:c r="E1912" t="str">
        <x:v>Casual</x:v>
      </x:c>
      <x:c r="F1912" t="str">
        <x:v>Standard</x:v>
      </x:c>
      <x:c r="G1912" t="n">
        <x:v>44652</x:v>
      </x:c>
      <x:c r="H1912" t="str">
        <x:v>30202</x:v>
      </x:c>
      <x:c r="I1912" t="str">
        <x:v>https://www.smwcentral.net/?a=details&amp;id=30202&amp;p=section</x:v>
      </x:c>
      <x:c r="J1912" t="str">
        <x:v>https://dl.smwcentral.net/30202/Super%20Mario%20Bros.%20The%20Search%20for%20Oreo%20Cakesters.zip</x:v>
      </x:c>
    </x:row>
    <x:row r="1913">
      <x:c r="A1913" t="str">
        <x:v>Super Mario Bros: Vanilla Islands</x:v>
      </x:c>
      <x:c r="B1913" t="str">
        <x:v>Super Mario Bros: Vanilla Islands</x:v>
      </x:c>
      <x:c r="C1913" t="str">
        <x:v>Gamma V</x:v>
      </x:c>
      <x:c r="D1913" t="n">
        <x:v>32</x:v>
      </x:c>
      <x:c r="E1913" t="str">
        <x:v>Casual</x:v>
      </x:c>
      <x:c r="F1913" t="str">
        <x:v>Standard</x:v>
      </x:c>
      <x:c r="G1913" t="n">
        <x:v>44324</x:v>
      </x:c>
      <x:c r="H1913" t="str">
        <x:v>26960</x:v>
      </x:c>
      <x:c r="I1913" t="str">
        <x:v>https://www.smwcentral.net/?a=details&amp;id=26960&amp;p=section</x:v>
      </x:c>
      <x:c r="J1913" t="str">
        <x:v>https://dl.smwcentral.net/26960/Super%20Mario%20Bros%20Vanilla%20Islands%201.1.zip</x:v>
      </x:c>
    </x:row>
    <x:row r="1914">
      <x:c r="A1914" t="str">
        <x:v>Super Mario Brothers and the Giant Omelette</x:v>
      </x:c>
      <x:c r="B1914" t="str">
        <x:v>Super Mario Brothers and the Giant Omelette</x:v>
      </x:c>
      <x:c r="C1914" t="str">
        <x:v>BloodyToothBrush, TimothyBor</x:v>
      </x:c>
      <x:c r="D1914" t="n">
        <x:v>9</x:v>
      </x:c>
      <x:c r="E1914" t="str">
        <x:v>Casual</x:v>
      </x:c>
      <x:c r="F1914" t="str">
        <x:v>Standard</x:v>
      </x:c>
      <x:c r="G1914" t="n">
        <x:v>42240</x:v>
      </x:c>
      <x:c r="H1914" t="str">
        <x:v>9892</x:v>
      </x:c>
      <x:c r="I1914" t="str">
        <x:v>https://www.smwcentral.net/?a=details&amp;id=9892&amp;p=section</x:v>
      </x:c>
      <x:c r="J1914" t="str">
        <x:v>https://dl.smwcentral.net/9892/SMB%26TGO.zip</x:v>
      </x:c>
    </x:row>
    <x:row r="1915">
      <x:c r="A1915" t="str">
        <x:v>Super Mario Challenge</x:v>
      </x:c>
      <x:c r="B1915" t="str">
        <x:v>Super Mario Challenge</x:v>
      </x:c>
      <x:c r="C1915" t="str">
        <x:v>Awesomeman</x:v>
      </x:c>
      <x:c r="D1915" t="n">
        <x:v>34</x:v>
      </x:c>
      <x:c r="E1915" t="str">
        <x:v>Intermediate</x:v>
      </x:c>
      <x:c r="F1915" t="str">
        <x:v>Standard</x:v>
      </x:c>
      <x:c r="G1915" t="n">
        <x:v>44383</x:v>
      </x:c>
      <x:c r="H1915" t="str">
        <x:v>27363</x:v>
      </x:c>
      <x:c r="I1915" t="str">
        <x:v>https://www.smwcentral.net/?a=details&amp;id=27363&amp;p=section</x:v>
      </x:c>
      <x:c r="J1915" t="str">
        <x:v>https://dl.smwcentral.net/27363/Super%20Mario%20Challenge_FIXED.zip</x:v>
      </x:c>
    </x:row>
    <x:row r="1916">
      <x:c r="A1916" t="str">
        <x:v>Super Mario Classic'd</x:v>
      </x:c>
      <x:c r="B1916" t="str">
        <x:v>Super Mario Classic'd</x:v>
      </x:c>
      <x:c r="C1916" t="str">
        <x:v>blocc</x:v>
      </x:c>
      <x:c r="D1916" t="n">
        <x:v>7</x:v>
      </x:c>
      <x:c r="E1916" t="str">
        <x:v>Casual</x:v>
      </x:c>
      <x:c r="F1916" t="str">
        <x:v>Standard</x:v>
      </x:c>
      <x:c r="G1916" t="n">
        <x:v>43624</x:v>
      </x:c>
      <x:c r="H1916" t="str">
        <x:v>20166</x:v>
      </x:c>
      <x:c r="I1916" t="str">
        <x:v>https://www.smwcentral.net/?a=details&amp;id=20166&amp;p=section</x:v>
      </x:c>
      <x:c r="J1916" t="str">
        <x:v>https://dl.smwcentral.net/20166/Super%20Mario%20Classic%27d%20v2.zip</x:v>
      </x:c>
    </x:row>
    <x:row r="1917">
      <x:c r="A1917" t="str">
        <x:v>Super Mario Cosmos</x:v>
      </x:c>
      <x:c r="B1917" t="str">
        <x:v>Super Mario Cosmos</x:v>
      </x:c>
      <x:c r="C1917" t="str">
        <x:v>Xeruss</x:v>
      </x:c>
      <x:c r="D1917" t="n">
        <x:v>9</x:v>
      </x:c>
      <x:c r="E1917" t="str">
        <x:v>Casual</x:v>
      </x:c>
      <x:c r="F1917" t="str">
        <x:v>Standard</x:v>
      </x:c>
      <x:c r="G1917" t="n">
        <x:v>42065</x:v>
      </x:c>
      <x:c r="H1917" t="str">
        <x:v>9822</x:v>
      </x:c>
      <x:c r="I1917" t="str">
        <x:v>https://www.smwcentral.net/?a=details&amp;id=9822&amp;p=section</x:v>
      </x:c>
      <x:c r="J1917" t="str">
        <x:v>https://dl.smwcentral.net/9822/Super%20Mario%20Cosmos.zip</x:v>
      </x:c>
    </x:row>
    <x:row r="1918">
      <x:c r="A1918" t="str">
        <x:v>Super Mario Del Lago</x:v>
      </x:c>
      <x:c r="B1918" t="str">
        <x:v>Super Mario Del Lago</x:v>
      </x:c>
      <x:c r="C1918" t="str">
        <x:v>Slash Man</x:v>
      </x:c>
      <x:c r="D1918" t="n">
        <x:v>46</x:v>
      </x:c>
      <x:c r="E1918" t="str">
        <x:v>Casual</x:v>
      </x:c>
      <x:c r="F1918" t="str">
        <x:v>Standard</x:v>
      </x:c>
      <x:c r="G1918" t="n">
        <x:v>42228</x:v>
      </x:c>
      <x:c r="H1918" t="str">
        <x:v>9888</x:v>
      </x:c>
      <x:c r="I1918" t="str">
        <x:v>https://www.smwcentral.net/?a=details&amp;id=9888&amp;p=section</x:v>
      </x:c>
      <x:c r="J1918" t="str">
        <x:v>https://dl.smwcentral.net/9888/Super%20Mario%20Del%20Lago.zip</x:v>
      </x:c>
    </x:row>
    <x:row r="1919">
      <x:c r="A1919" t="str">
        <x:v>Super Mario Denied World</x:v>
      </x:c>
      <x:c r="B1919" t="str">
        <x:v>Super Mario Denied World</x:v>
      </x:c>
      <x:c r="C1919" t="str">
        <x:v>Major Flare</x:v>
      </x:c>
      <x:c r="D1919" t="n">
        <x:v>6</x:v>
      </x:c>
      <x:c r="E1919" t="str">
        <x:v>Newcomer</x:v>
      </x:c>
      <x:c r="F1919" t="str">
        <x:v>Standard</x:v>
      </x:c>
      <x:c r="G1919" t="n">
        <x:v>42246</x:v>
      </x:c>
      <x:c r="H1919" t="str">
        <x:v>10010</x:v>
      </x:c>
      <x:c r="I1919" t="str">
        <x:v>https://www.smwcentral.net/?a=details&amp;id=10010&amp;p=section</x:v>
      </x:c>
      <x:c r="J1919" t="str">
        <x:v>https://dl.smwcentral.net/10010/Denied.zip</x:v>
      </x:c>
    </x:row>
    <x:row r="1920">
      <x:c r="A1920" t="str">
        <x:v>Super Mario Dream World</x:v>
      </x:c>
      <x:c r="B1920" t="str">
        <x:v>Super Mario Dream World</x:v>
      </x:c>
      <x:c r="C1920" t="str">
        <x:v>Andyana Jonseph</x:v>
      </x:c>
      <x:c r="D1920" t="n">
        <x:v>59</x:v>
      </x:c>
      <x:c r="E1920" t="str">
        <x:v>Casual</x:v>
      </x:c>
      <x:c r="F1920" t="str">
        <x:v>Standard</x:v>
      </x:c>
      <x:c r="G1920" t="n">
        <x:v>42726</x:v>
      </x:c>
      <x:c r="H1920" t="str">
        <x:v>14786</x:v>
      </x:c>
      <x:c r="I1920" t="str">
        <x:v>https://www.smwcentral.net/?a=details&amp;id=14786&amp;p=section</x:v>
      </x:c>
      <x:c r="J1920" t="str">
        <x:v>https://dl.smwcentral.net/14786/Super%20Mario%20Dream%20World.zip</x:v>
      </x:c>
    </x:row>
    <x:row r="1921">
      <x:c r="A1921" t="str">
        <x:v>Super Mario DX</x:v>
      </x:c>
      <x:c r="B1921" t="str">
        <x:v>Super Mario DX</x:v>
      </x:c>
      <x:c r="C1921" t="str">
        <x:v>Reynner's</x:v>
      </x:c>
      <x:c r="D1921" t="n">
        <x:v>48</x:v>
      </x:c>
      <x:c r="E1921" t="str">
        <x:v>Casual</x:v>
      </x:c>
      <x:c r="F1921" t="str">
        <x:v>Standard</x:v>
      </x:c>
      <x:c r="G1921" t="n">
        <x:v>46015</x:v>
      </x:c>
      <x:c r="H1921" t="str">
        <x:v>41188</x:v>
      </x:c>
      <x:c r="I1921" t="str">
        <x:v>https://www.smwcentral.net/?a=details&amp;id=41188&amp;p=section</x:v>
      </x:c>
      <x:c r="J1921" t="str">
        <x:v>https://dl.smwcentral.net/41188/Super%20Mario%20DX.zip</x:v>
      </x:c>
    </x:row>
    <x:row r="1922">
      <x:c r="A1922" t="str">
        <x:v>Super Mario Element Worlds</x:v>
      </x:c>
      <x:c r="B1922" t="str">
        <x:v>Super Mario Element Worlds</x:v>
      </x:c>
      <x:c r="C1922" t="str">
        <x:v>New Skyon</x:v>
      </x:c>
      <x:c r="D1922" t="n">
        <x:v>12</x:v>
      </x:c>
      <x:c r="E1922" t="str">
        <x:v>Casual</x:v>
      </x:c>
      <x:c r="F1922" t="str">
        <x:v>Standard</x:v>
      </x:c>
      <x:c r="G1922" t="n">
        <x:v>42873</x:v>
      </x:c>
      <x:c r="H1922" t="str">
        <x:v>15576</x:v>
      </x:c>
      <x:c r="I1922" t="str">
        <x:v>https://www.smwcentral.net/?a=details&amp;id=15576&amp;p=section</x:v>
      </x:c>
      <x:c r="J1922" t="str">
        <x:v>https://dl.smwcentral.net/15576/Super%20Mario%20Element%20Worlds%20FIXED.zip</x:v>
      </x:c>
    </x:row>
    <x:row r="1923">
      <x:c r="A1923" t="str">
        <x:v>Super Mario Emulator (PTB)</x:v>
      </x:c>
      <x:c r="B1923" t="str">
        <x:v>Super Mario Emulator (PTB)</x:v>
      </x:c>
      <x:c r="C1923" t="str">
        <x:v>noname</x:v>
      </x:c>
      <x:c r="D1923" t="n">
        <x:v>25</x:v>
      </x:c>
      <x:c r="E1923" t="str">
        <x:v>Newcomer</x:v>
      </x:c>
      <x:c r="F1923" t="str">
        <x:v>Standard</x:v>
      </x:c>
      <x:c r="G1923" t="n">
        <x:v>42293</x:v>
      </x:c>
      <x:c r="H1923" t="str">
        <x:v>10022</x:v>
      </x:c>
      <x:c r="I1923" t="str">
        <x:v>https://www.smwcentral.net/?a=details&amp;id=10022&amp;p=section</x:v>
      </x:c>
      <x:c r="J1923" t="str">
        <x:v>https://dl.smwcentral.net/10022/SME%20patch.zip</x:v>
      </x:c>
    </x:row>
    <x:row r="1924">
      <x:c r="A1924" t="str">
        <x:v>Super Mario Endless World</x:v>
      </x:c>
      <x:c r="B1924" t="str">
        <x:v>Super Mario Endless World</x:v>
      </x:c>
      <x:c r="C1924" t="str">
        <x:v>Haithius</x:v>
      </x:c>
      <x:c r="D1924" t="n">
        <x:v>12</x:v>
      </x:c>
      <x:c r="E1924" t="str">
        <x:v>Casual</x:v>
      </x:c>
      <x:c r="F1924" t="str">
        <x:v>Standard</x:v>
      </x:c>
      <x:c r="G1924" t="n">
        <x:v>43726</x:v>
      </x:c>
      <x:c r="H1924" t="str">
        <x:v>21176</x:v>
      </x:c>
      <x:c r="I1924" t="str">
        <x:v>https://www.smwcentral.net/?a=details&amp;id=21176&amp;p=section</x:v>
      </x:c>
      <x:c r="J1924" t="str">
        <x:v>https://dl.smwcentral.net/21176/Super%20Mario%20Endless%20World%20DEMO.zip</x:v>
      </x:c>
    </x:row>
    <x:row r="1925">
      <x:c r="A1925" t="str">
        <x:v>Super Mario Escapades</x:v>
      </x:c>
      <x:c r="B1925" t="str">
        <x:v>Super Mario Escapades</x:v>
      </x:c>
      <x:c r="C1925" t="str">
        <x:v>GammaSlap</x:v>
      </x:c>
      <x:c r="D1925" t="n">
        <x:v>7</x:v>
      </x:c>
      <x:c r="E1925" t="str">
        <x:v>Casual</x:v>
      </x:c>
      <x:c r="F1925" t="str">
        <x:v>Standard</x:v>
      </x:c>
      <x:c r="G1925" t="n">
        <x:v>42421</x:v>
      </x:c>
      <x:c r="H1925" t="str">
        <x:v>13342</x:v>
      </x:c>
      <x:c r="I1925" t="str">
        <x:v>https://www.smwcentral.net/?a=details&amp;id=13342&amp;p=section</x:v>
      </x:c>
      <x:c r="J1925" t="str">
        <x:v>https://dl.smwcentral.net/13342/Super%20Mario%20Escapades%20DEMO.zip</x:v>
      </x:c>
    </x:row>
    <x:row r="1926">
      <x:c r="A1926" t="str">
        <x:v>Super Mario Expedition</x:v>
      </x:c>
      <x:c r="B1926" t="str">
        <x:v>Super Mario Expedition</x:v>
      </x:c>
      <x:c r="C1926" t="str">
        <x:v>akacesfan</x:v>
      </x:c>
      <x:c r="D1926" t="n">
        <x:v>8</x:v>
      </x:c>
      <x:c r="E1926" t="str">
        <x:v>Newcomer</x:v>
      </x:c>
      <x:c r="F1926" t="str">
        <x:v>Standard</x:v>
      </x:c>
      <x:c r="G1926" t="n">
        <x:v>42314</x:v>
      </x:c>
      <x:c r="H1926" t="str">
        <x:v>10184</x:v>
      </x:c>
      <x:c r="I1926" t="str">
        <x:v>https://www.smwcentral.net/?a=details&amp;id=10184&amp;p=section</x:v>
      </x:c>
      <x:c r="J1926" t="str">
        <x:v>https://dl.smwcentral.net/10184/Super%20Mario%20Expedition.zip</x:v>
      </x:c>
    </x:row>
    <x:row r="1927">
      <x:c r="A1927" t="str">
        <x:v>Super Mario Fiwerland</x:v>
      </x:c>
      <x:c r="B1927" t="str">
        <x:v>Super Mario Fiwerland</x:v>
      </x:c>
      <x:c r="C1927" t="str">
        <x:v>Cristian Cardoso</x:v>
      </x:c>
      <x:c r="D1927" t="n">
        <x:v>73</x:v>
      </x:c>
      <x:c r="E1927" t="str">
        <x:v>Intermediate</x:v>
      </x:c>
      <x:c r="F1927" t="str">
        <x:v>Standard</x:v>
      </x:c>
      <x:c r="G1927" t="n">
        <x:v>44950</x:v>
      </x:c>
      <x:c r="H1927" t="str">
        <x:v>32985</x:v>
      </x:c>
      <x:c r="I1927" t="str">
        <x:v>https://www.smwcentral.net/?a=details&amp;id=32985&amp;p=section</x:v>
      </x:c>
      <x:c r="J1927" t="str">
        <x:v>https://dl.smwcentral.net/32985/Super%20Mario%20Fiwerland.zip</x:v>
      </x:c>
    </x:row>
    <x:row r="1928">
      <x:c r="A1928" t="str">
        <x:v>Super Mario Flash 2: SMW Remake</x:v>
      </x:c>
      <x:c r="B1928" t="str">
        <x:v>Super Mario Flash 2: SMW Remake</x:v>
      </x:c>
      <x:c r="C1928" t="str">
        <x:v>Apple Boy, Dark Prince, Donut, Segment1Zone2, Stivi</x:v>
      </x:c>
      <x:c r="D1928" t="n">
        <x:v>20</x:v>
      </x:c>
      <x:c r="E1928" t="str">
        <x:v>Casual</x:v>
      </x:c>
      <x:c r="F1928" t="str">
        <x:v>Standard</x:v>
      </x:c>
      <x:c r="G1928" t="n">
        <x:v>44384</x:v>
      </x:c>
      <x:c r="H1928" t="str">
        <x:v>27400</x:v>
      </x:c>
      <x:c r="I1928" t="str">
        <x:v>https://www.smwcentral.net/?a=details&amp;id=27400&amp;p=section</x:v>
      </x:c>
      <x:c r="J1928" t="str">
        <x:v>https://dl.smwcentral.net/27400/Super%20Mario%20Flash%202%20-%20SMW%20Remake%201.3.zip</x:v>
      </x:c>
    </x:row>
    <x:row r="1929">
      <x:c r="A1929" t="str">
        <x:v>Super Mario Flash: Super Mario World Remake</x:v>
      </x:c>
      <x:c r="B1929" t="str">
        <x:v>Super Mario Flash: Super Mario World Remake</x:v>
      </x:c>
      <x:c r="C1929" t="str">
        <x:v>Dark Prince</x:v>
      </x:c>
      <x:c r="D1929" t="n">
        <x:v>10</x:v>
      </x:c>
      <x:c r="E1929" t="str">
        <x:v>Intermediate</x:v>
      </x:c>
      <x:c r="F1929" t="str">
        <x:v>Standard</x:v>
      </x:c>
      <x:c r="G1929" t="n">
        <x:v>45135</x:v>
      </x:c>
      <x:c r="H1929" t="str">
        <x:v>34419</x:v>
      </x:c>
      <x:c r="I1929" t="str">
        <x:v>https://www.smwcentral.net/?a=details&amp;id=34419&amp;p=section</x:v>
      </x:c>
      <x:c r="J1929" t="str">
        <x:v>https://dl.smwcentral.net/34419/Super%20Mario%20Flash.zip</x:v>
      </x:c>
    </x:row>
    <x:row r="1930">
      <x:c r="A1930" t="str">
        <x:v>Super Mario Fooland</x:v>
      </x:c>
      <x:c r="B1930" t="str">
        <x:v>Super Mario Fooland</x:v>
      </x:c>
      <x:c r="C1930" t="str">
        <x:v>Fullcannon</x:v>
      </x:c>
      <x:c r="D1930" t="n">
        <x:v>8</x:v>
      </x:c>
      <x:c r="E1930" t="str">
        <x:v>Casual</x:v>
      </x:c>
      <x:c r="F1930" t="str">
        <x:v>Standard</x:v>
      </x:c>
      <x:c r="G1930" t="n">
        <x:v>43558</x:v>
      </x:c>
      <x:c r="H1930" t="str">
        <x:v>19560</x:v>
      </x:c>
      <x:c r="I1930" t="str">
        <x:v>https://www.smwcentral.net/?a=details&amp;id=19560&amp;p=section</x:v>
      </x:c>
      <x:c r="J1930" t="str">
        <x:v>https://dl.smwcentral.net/19560/smfooland34.zip</x:v>
      </x:c>
    </x:row>
    <x:row r="1931">
      <x:c r="A1931" t="str">
        <x:v>Super Mario Gaia</x:v>
      </x:c>
      <x:c r="B1931" t="str">
        <x:v>Super Mario Gaia</x:v>
      </x:c>
      <x:c r="C1931" t="str">
        <x:v>grisu</x:v>
      </x:c>
      <x:c r="D1931" t="n">
        <x:v>28</x:v>
      </x:c>
      <x:c r="E1931" t="str">
        <x:v>Advanced</x:v>
      </x:c>
      <x:c r="F1931" t="str">
        <x:v>Kaizo</x:v>
      </x:c>
      <x:c r="G1931" t="n">
        <x:v>44740</x:v>
      </x:c>
      <x:c r="H1931" t="str">
        <x:v>31243</x:v>
      </x:c>
      <x:c r="I1931" t="str">
        <x:v>https://www.smwcentral.net/?a=details&amp;id=31243&amp;p=section</x:v>
      </x:c>
      <x:c r="J1931" t="str">
        <x:v>https://dl.smwcentral.net/31243/Super%20Mario%20Gaia%201.1.zip</x:v>
      </x:c>
    </x:row>
    <x:row r="1932">
      <x:c r="A1932" t="str">
        <x:v>Super Mario Hack</x:v>
      </x:c>
      <x:c r="B1932" t="str">
        <x:v>Super Mario Hack</x:v>
      </x:c>
      <x:c r="C1932" t="str">
        <x:v>Kyanite</x:v>
      </x:c>
      <x:c r="D1932" t="n">
        <x:v>8</x:v>
      </x:c>
      <x:c r="E1932" t="str">
        <x:v>Casual</x:v>
      </x:c>
      <x:c r="F1932" t="str">
        <x:v>Standard</x:v>
      </x:c>
      <x:c r="G1932" t="n">
        <x:v>42846</x:v>
      </x:c>
      <x:c r="H1932" t="str">
        <x:v>15487</x:v>
      </x:c>
      <x:c r="I1932" t="str">
        <x:v>https://www.smwcentral.net/?a=details&amp;id=15487&amp;p=section</x:v>
      </x:c>
      <x:c r="J1932" t="str">
        <x:v>https://dl.smwcentral.net/15487/Super%20Mario%20Hack%20v1.7.zip</x:v>
      </x:c>
    </x:row>
    <x:row r="1933">
      <x:c r="A1933" t="str">
        <x:v>Super Mario Hack - Uma Nova Aventura - A New Adventure (Lite Version)</x:v>
      </x:c>
      <x:c r="B1933" t="str">
        <x:v>Super Mario Hack - Uma Nova Aventura - A New Adventure (Lite Version)</x:v>
      </x:c>
      <x:c r="C1933" t="str">
        <x:v>Leozoppi</x:v>
      </x:c>
      <x:c r="D1933" t="n">
        <x:v>33</x:v>
      </x:c>
      <x:c r="E1933" t="str">
        <x:v>Intermediate</x:v>
      </x:c>
      <x:c r="F1933" t="str">
        <x:v>Standard</x:v>
      </x:c>
      <x:c r="G1933" t="n">
        <x:v>44466</x:v>
      </x:c>
      <x:c r="H1933" t="str">
        <x:v>28153</x:v>
      </x:c>
      <x:c r="I1933" t="str">
        <x:v>https://www.smwcentral.net/?a=details&amp;id=28153&amp;p=section</x:v>
      </x:c>
      <x:c r="J1933" t="str">
        <x:v>https://dl.smwcentral.net/28153/Super%20Mario%20Hack%20-%20Uma%20Nova%20Aventura%20-%20A%20New%20Adventure.zip</x:v>
      </x:c>
    </x:row>
    <x:row r="1934">
      <x:c r="A1934" t="str">
        <x:v>Super Mario Heroes</x:v>
      </x:c>
      <x:c r="B1934" t="str">
        <x:v>Super Mario Heroes</x:v>
      </x:c>
      <x:c r="C1934" t="str">
        <x:v>543</x:v>
      </x:c>
      <x:c r="D1934" t="n">
        <x:v>2</x:v>
      </x:c>
      <x:c r="E1934" t="str">
        <x:v>Newcomer</x:v>
      </x:c>
      <x:c r="F1934" t="str">
        <x:v>Standard</x:v>
      </x:c>
      <x:c r="G1934" t="n">
        <x:v>42037</x:v>
      </x:c>
      <x:c r="H1934" t="str">
        <x:v>9854</x:v>
      </x:c>
      <x:c r="I1934" t="str">
        <x:v>https://www.smwcentral.net/?a=details&amp;id=9854&amp;p=section</x:v>
      </x:c>
      <x:c r="J1934" t="str">
        <x:v>https://dl.smwcentral.net/9854/smheroes2.zip</x:v>
      </x:c>
    </x:row>
    <x:row r="1935">
      <x:c r="A1935" t="str">
        <x:v>Super Mario Horizons 1.0b</x:v>
      </x:c>
      <x:c r="B1935" t="str">
        <x:v>Super Mario Horizons 1.0b</x:v>
      </x:c>
      <x:c r="C1935" t="str">
        <x:v>MegacesarCG</x:v>
      </x:c>
      <x:c r="D1935" t="n">
        <x:v>57</x:v>
      </x:c>
      <x:c r="E1935" t="str">
        <x:v>Intermediate</x:v>
      </x:c>
      <x:c r="F1935" t="str">
        <x:v>Standard</x:v>
      </x:c>
      <x:c r="G1935" t="n">
        <x:v>45215</x:v>
      </x:c>
      <x:c r="H1935" t="str">
        <x:v>35232</x:v>
      </x:c>
      <x:c r="I1935" t="str">
        <x:v>https://www.smwcentral.net/?a=details&amp;id=35232&amp;p=section</x:v>
      </x:c>
      <x:c r="J1935" t="str">
        <x:v>https://dl.smwcentral.net/35232/SMH1.0b.zip</x:v>
      </x:c>
    </x:row>
    <x:row r="1936">
      <x:c r="A1936" t="str">
        <x:v>Super Mario Iggy's Revenge</x:v>
      </x:c>
      <x:c r="B1936" t="str">
        <x:v>Super Mario Iggy's Revenge</x:v>
      </x:c>
      <x:c r="C1936" t="str">
        <x:v>Doseianasan</x:v>
      </x:c>
      <x:c r="D1936" t="n">
        <x:v>19</x:v>
      </x:c>
      <x:c r="E1936" t="str">
        <x:v>Casual</x:v>
      </x:c>
      <x:c r="F1936" t="str">
        <x:v>Standard</x:v>
      </x:c>
      <x:c r="G1936" t="n">
        <x:v>42282</x:v>
      </x:c>
      <x:c r="H1936" t="str">
        <x:v>10076</x:v>
      </x:c>
      <x:c r="I1936" t="str">
        <x:v>https://www.smwcentral.net/?a=details&amp;id=10076&amp;p=section</x:v>
      </x:c>
      <x:c r="J1936" t="str">
        <x:v>https://dl.smwcentral.net/10076/Super%20Mario%20Iggy%27s%20Revenge.zip</x:v>
      </x:c>
    </x:row>
    <x:row r="1937">
      <x:c r="A1937" t="str">
        <x:v>Super Mario In Element World</x:v>
      </x:c>
      <x:c r="B1937" t="str">
        <x:v>Super Mario In Element World</x:v>
      </x:c>
      <x:c r="C1937" t="str">
        <x:v>TheInsanity115</x:v>
      </x:c>
      <x:c r="D1937" t="n">
        <x:v>32</x:v>
      </x:c>
      <x:c r="E1937" t="str">
        <x:v>Casual</x:v>
      </x:c>
      <x:c r="F1937" t="str">
        <x:v>Standard</x:v>
      </x:c>
      <x:c r="G1937" t="n">
        <x:v>41814</x:v>
      </x:c>
      <x:c r="H1937" t="str">
        <x:v>6745</x:v>
      </x:c>
      <x:c r="I1937" t="str">
        <x:v>https://www.smwcentral.net/?a=details&amp;id=6745&amp;p=section</x:v>
      </x:c>
      <x:c r="J1937" t="str">
        <x:v>https://dl.smwcentral.net/6745/SMW%20patch.zip</x:v>
      </x:c>
    </x:row>
    <x:row r="1938">
      <x:c r="A1938" t="str">
        <x:v>Super Mario In Element World 2: The Master Hand Revenge</x:v>
      </x:c>
      <x:c r="B1938" t="str">
        <x:v>Super Mario In Element World 2: The Master Hand Revenge</x:v>
      </x:c>
      <x:c r="C1938" t="str">
        <x:v>TheInsanity115</x:v>
      </x:c>
      <x:c r="D1938" t="n">
        <x:v>7</x:v>
      </x:c>
      <x:c r="E1938" t="str">
        <x:v>Newcomer</x:v>
      </x:c>
      <x:c r="F1938" t="str">
        <x:v>Standard</x:v>
      </x:c>
      <x:c r="G1938" t="n">
        <x:v>41819</x:v>
      </x:c>
      <x:c r="H1938" t="str">
        <x:v>6794</x:v>
      </x:c>
      <x:c r="I1938" t="str">
        <x:v>https://www.smwcentral.net/?a=details&amp;id=6794&amp;p=section</x:v>
      </x:c>
      <x:c r="J1938" t="str">
        <x:v>https://dl.smwcentral.net/6794/smw%20patch.zip</x:v>
      </x:c>
    </x:row>
    <x:row r="1939">
      <x:c r="A1939" t="str">
        <x:v>Super Mario in Miscland 2: GrisBoo's Switches!</x:v>
      </x:c>
      <x:c r="B1939" t="str">
        <x:v>Super Mario in Miscland 2: GrisBoo's Switches!</x:v>
      </x:c>
      <x:c r="C1939" t="str">
        <x:v>Saturn the Donkey</x:v>
      </x:c>
      <x:c r="D1939" t="n">
        <x:v>5</x:v>
      </x:c>
      <x:c r="E1939" t="str">
        <x:v>Intermediate</x:v>
      </x:c>
      <x:c r="F1939" t="str">
        <x:v>Standard</x:v>
      </x:c>
      <x:c r="G1939" t="n">
        <x:v>42160</x:v>
      </x:c>
      <x:c r="H1939" t="str">
        <x:v>10070</x:v>
      </x:c>
      <x:c r="I1939" t="str">
        <x:v>https://www.smwcentral.net/?a=details&amp;id=10070&amp;p=section</x:v>
      </x:c>
      <x:c r="J1939" t="str">
        <x:v>https://dl.smwcentral.net/10070/Miscland2.zip</x:v>
      </x:c>
    </x:row>
    <x:row r="1940">
      <x:c r="A1940" t="str">
        <x:v>Super Mario in the Health Advocacy Project</x:v>
      </x:c>
      <x:c r="B1940" t="str">
        <x:v>Super Mario in the Health Advocacy Project</x:v>
      </x:c>
      <x:c r="C1940" t="str">
        <x:v>Herobrine81902</x:v>
      </x:c>
      <x:c r="D1940" t="n">
        <x:v>4</x:v>
      </x:c>
      <x:c r="E1940" t="str">
        <x:v>Newcomer</x:v>
      </x:c>
      <x:c r="F1940" t="str">
        <x:v>Standard</x:v>
      </x:c>
      <x:c r="G1940" t="n">
        <x:v>43123</x:v>
      </x:c>
      <x:c r="H1940" t="str">
        <x:v>17022</x:v>
      </x:c>
      <x:c r="I1940" t="str">
        <x:v>https://www.smwcentral.net/?a=details&amp;id=17022&amp;p=section</x:v>
      </x:c>
      <x:c r="J1940" t="str">
        <x:v>https://dl.smwcentral.net/17022/Super%20Mario%20in%20the%20Health%20Advocacy%20Project.zip</x:v>
      </x:c>
    </x:row>
    <x:row r="1941">
      <x:c r="A1941" t="str">
        <x:v>Super Mario in the Vanilla Forest</x:v>
      </x:c>
      <x:c r="B1941" t="str">
        <x:v>Super Mario in the Vanilla Forest</x:v>
      </x:c>
      <x:c r="C1941" t="str">
        <x:v>DatLeon</x:v>
      </x:c>
      <x:c r="D1941" t="n">
        <x:v>2</x:v>
      </x:c>
      <x:c r="E1941" t="str">
        <x:v>Intermediate</x:v>
      </x:c>
      <x:c r="F1941" t="str">
        <x:v>Standard</x:v>
      </x:c>
      <x:c r="G1941" t="n">
        <x:v>42044</x:v>
      </x:c>
      <x:c r="H1941" t="str">
        <x:v>10205</x:v>
      </x:c>
      <x:c r="I1941" t="str">
        <x:v>https://www.smwcentral.net/?a=details&amp;id=10205&amp;p=section</x:v>
      </x:c>
      <x:c r="J1941" t="str">
        <x:v>https://dl.smwcentral.net/10205/Vanilla%20Land%20%28EN%29.zip</x:v>
      </x:c>
    </x:row>
    <x:row r="1942">
      <x:c r="A1942" t="str">
        <x:v>Super Mario in Yoshi Heaven</x:v>
      </x:c>
      <x:c r="B1942" t="str">
        <x:v>Super Mario in Yoshi Heaven</x:v>
      </x:c>
      <x:c r="C1942" t="str">
        <x:v>wtfweb</x:v>
      </x:c>
      <x:c r="D1942" t="n">
        <x:v>13</x:v>
      </x:c>
      <x:c r="E1942" t="str">
        <x:v>Casual</x:v>
      </x:c>
      <x:c r="F1942" t="str">
        <x:v>Standard</x:v>
      </x:c>
      <x:c r="G1942" t="n">
        <x:v>41559</x:v>
      </x:c>
      <x:c r="H1942" t="str">
        <x:v>5000</x:v>
      </x:c>
      <x:c r="I1942" t="str">
        <x:v>https://www.smwcentral.net/?a=details&amp;id=5000&amp;p=section</x:v>
      </x:c>
      <x:c r="J1942" t="str">
        <x:v>https://dl.smwcentral.net/5000/yoshi_heaven.zip</x:v>
      </x:c>
    </x:row>
    <x:row r="1943">
      <x:c r="A1943" t="str">
        <x:v>Super Mario in: Yoshi's Revenge</x:v>
      </x:c>
      <x:c r="B1943" t="str">
        <x:v>Super Mario in: Yoshi's Revenge</x:v>
      </x:c>
      <x:c r="C1943" t="str">
        <x:v>2dareduck</x:v>
      </x:c>
      <x:c r="D1943" t="n">
        <x:v>53</x:v>
      </x:c>
      <x:c r="E1943" t="str">
        <x:v>Casual</x:v>
      </x:c>
      <x:c r="F1943" t="str">
        <x:v>Standard</x:v>
      </x:c>
      <x:c r="G1943" t="n">
        <x:v>42308</x:v>
      </x:c>
      <x:c r="H1943" t="str">
        <x:v>10187</x:v>
      </x:c>
      <x:c r="I1943" t="str">
        <x:v>https://www.smwcentral.net/?a=details&amp;id=10187&amp;p=section</x:v>
      </x:c>
      <x:c r="J1943" t="str">
        <x:v>https://dl.smwcentral.net/10187/YRV1-4.zip</x:v>
      </x:c>
    </x:row>
    <x:row r="1944">
      <x:c r="A1944" t="str">
        <x:v>Super Mario Infinity 2: The Cursed Gem</x:v>
      </x:c>
      <x:c r="B1944" t="str">
        <x:v>Super Mario Infinity 2: The Cursed Gem</x:v>
      </x:c>
      <x:c r="C1944" t="str">
        <x:v>Reading</x:v>
      </x:c>
      <x:c r="D1944" t="n">
        <x:v>114</x:v>
      </x:c>
      <x:c r="E1944" t="str">
        <x:v>Expert</x:v>
      </x:c>
      <x:c r="F1944" t="str">
        <x:v>Standard</x:v>
      </x:c>
      <x:c r="G1944" t="n">
        <x:v>43690</x:v>
      </x:c>
      <x:c r="H1944" t="str">
        <x:v>20859</x:v>
      </x:c>
      <x:c r="I1944" t="str">
        <x:v>https://www.smwcentral.net/?a=details&amp;id=20859&amp;p=section</x:v>
      </x:c>
      <x:c r="J1944" t="str">
        <x:v>https://dl.smwcentral.net/20859/smi2.zip</x:v>
      </x:c>
    </x:row>
    <x:row r="1945">
      <x:c r="A1945" t="str">
        <x:v>Super Mario Infinity: Mystery of the Magic Wand</x:v>
      </x:c>
      <x:c r="B1945" t="str">
        <x:v>Super Mario Infinity: Mystery of the Magic Wand</x:v>
      </x:c>
      <x:c r="C1945" t="str">
        <x:v>Reading</x:v>
      </x:c>
      <x:c r="D1945" t="n">
        <x:v>114</x:v>
      </x:c>
      <x:c r="E1945" t="str">
        <x:v>Advanced</x:v>
      </x:c>
      <x:c r="F1945" t="str">
        <x:v>Standard</x:v>
      </x:c>
      <x:c r="G1945" t="n">
        <x:v>43575</x:v>
      </x:c>
      <x:c r="H1945" t="str">
        <x:v>19547</x:v>
      </x:c>
      <x:c r="I1945" t="str">
        <x:v>https://www.smwcentral.net/?a=details&amp;id=19547&amp;p=section</x:v>
      </x:c>
      <x:c r="J1945" t="str">
        <x:v>https://dl.smwcentral.net/19547/smi.zip</x:v>
      </x:c>
    </x:row>
    <x:row r="1946">
      <x:c r="A1946" t="str">
        <x:v>Super Mario Islands</x:v>
      </x:c>
      <x:c r="B1946" t="str">
        <x:v>Super Mario Islands</x:v>
      </x:c>
      <x:c r="C1946" t="str">
        <x:v>bkbusters</x:v>
      </x:c>
      <x:c r="D1946" t="n">
        <x:v>8</x:v>
      </x:c>
      <x:c r="E1946" t="str">
        <x:v>Newcomer</x:v>
      </x:c>
      <x:c r="F1946" t="str">
        <x:v>Standard</x:v>
      </x:c>
      <x:c r="G1946" t="n">
        <x:v>42066</x:v>
      </x:c>
      <x:c r="H1946" t="str">
        <x:v>9804</x:v>
      </x:c>
      <x:c r="I1946" t="str">
        <x:v>https://www.smwcentral.net/?a=details&amp;id=9804&amp;p=section</x:v>
      </x:c>
      <x:c r="J1946" t="str">
        <x:v>https://dl.smwcentral.net/9804/Super%20Mario%20Islands%20Demo%202.zip</x:v>
      </x:c>
    </x:row>
    <x:row r="1947">
      <x:c r="A1947" t="str">
        <x:v>Super Mario Justice</x:v>
      </x:c>
      <x:c r="B1947" t="str">
        <x:v>Super Mario Justice</x:v>
      </x:c>
      <x:c r="C1947" t="str">
        <x:v>RpGaming</x:v>
      </x:c>
      <x:c r="D1947" t="n">
        <x:v>13</x:v>
      </x:c>
      <x:c r="E1947" t="str">
        <x:v>Casual</x:v>
      </x:c>
      <x:c r="F1947" t="str">
        <x:v>Standard</x:v>
      </x:c>
      <x:c r="G1947" t="n">
        <x:v>41895</x:v>
      </x:c>
      <x:c r="H1947" t="str">
        <x:v>8983</x:v>
      </x:c>
      <x:c r="I1947" t="str">
        <x:v>https://www.smwcentral.net/?a=details&amp;id=8983&amp;p=section</x:v>
      </x:c>
      <x:c r="J1947" t="str">
        <x:v>https://dl.smwcentral.net/8983/Super%20Mario%20Justice%20-%20Demo%20I.zip</x:v>
      </x:c>
    </x:row>
    <x:row r="1948">
      <x:c r="A1948" t="str">
        <x:v>Super Mario Land 2.5</x:v>
      </x:c>
      <x:c r="B1948" t="str">
        <x:v>Super Mario Land 2.5</x:v>
      </x:c>
      <x:c r="C1948" t="str">
        <x:v>Lexator</x:v>
      </x:c>
      <x:c r="D1948" t="n">
        <x:v>57</x:v>
      </x:c>
      <x:c r="E1948" t="str">
        <x:v>Intermediate</x:v>
      </x:c>
      <x:c r="F1948" t="str">
        <x:v>Standard</x:v>
      </x:c>
      <x:c r="G1948" t="n">
        <x:v>42607</x:v>
      </x:c>
      <x:c r="H1948" t="str">
        <x:v>14243</x:v>
      </x:c>
      <x:c r="I1948" t="str">
        <x:v>https://www.smwcentral.net/?a=details&amp;id=14243&amp;p=section</x:v>
      </x:c>
      <x:c r="J1948" t="str">
        <x:v>https://dl.smwcentral.net/14243/sml%20demo2.zip</x:v>
      </x:c>
    </x:row>
    <x:row r="1949">
      <x:c r="A1949" t="str">
        <x:v>Super Mario Land 3: Tatanga's Return</x:v>
      </x:c>
      <x:c r="B1949" t="str">
        <x:v>Super Mario Land 3: Tatanga's Return</x:v>
      </x:c>
      <x:c r="C1949" t="str">
        <x:v>Gamma V</x:v>
      </x:c>
      <x:c r="D1949" t="n">
        <x:v>70</x:v>
      </x:c>
      <x:c r="E1949" t="str">
        <x:v>Casual</x:v>
      </x:c>
      <x:c r="F1949" t="str">
        <x:v>Standard</x:v>
      </x:c>
      <x:c r="G1949" t="n">
        <x:v>42502</x:v>
      </x:c>
      <x:c r="H1949" t="str">
        <x:v>13608</x:v>
      </x:c>
      <x:c r="I1949" t="str">
        <x:v>https://www.smwcentral.net/?a=details&amp;id=13608&amp;p=section</x:v>
      </x:c>
      <x:c r="J1949" t="str">
        <x:v>https://dl.smwcentral.net/13608/TatangasReturn2.1.zip</x:v>
      </x:c>
    </x:row>
    <x:row r="1950">
      <x:c r="A1950" t="str">
        <x:v>Super Mario Land 4</x:v>
      </x:c>
      <x:c r="B1950" t="str">
        <x:v>Super Mario Land 4</x:v>
      </x:c>
      <x:c r="C1950" t="str">
        <x:v>Lexator</x:v>
      </x:c>
      <x:c r="D1950" t="n">
        <x:v>28</x:v>
      </x:c>
      <x:c r="E1950" t="str">
        <x:v>Casual</x:v>
      </x:c>
      <x:c r="F1950" t="str">
        <x:v>Standard</x:v>
      </x:c>
      <x:c r="G1950" t="n">
        <x:v>42329</x:v>
      </x:c>
      <x:c r="H1950" t="str">
        <x:v>9963</x:v>
      </x:c>
      <x:c r="I1950" t="str">
        <x:v>https://www.smwcentral.net/?a=details&amp;id=9963&amp;p=section</x:v>
      </x:c>
      <x:c r="J1950" t="str">
        <x:v>https://dl.smwcentral.net/9963/SML4_C3%20demo%5Bfr%5D.zip</x:v>
      </x:c>
    </x:row>
    <x:row r="1951">
      <x:c r="A1951" t="str">
        <x:v>Super Mario Land Arcade!</x:v>
      </x:c>
      <x:c r="B1951" t="str">
        <x:v>Super Mario Land Arcade!</x:v>
      </x:c>
      <x:c r="C1951" t="str">
        <x:v>DonnyKD</x:v>
      </x:c>
      <x:c r="D1951" t="n">
        <x:v>3</x:v>
      </x:c>
      <x:c r="E1951" t="str">
        <x:v>Newcomer</x:v>
      </x:c>
      <x:c r="F1951" t="str">
        <x:v>Standard</x:v>
      </x:c>
      <x:c r="G1951" t="n">
        <x:v>42153</x:v>
      </x:c>
      <x:c r="H1951" t="str">
        <x:v>10260</x:v>
      </x:c>
      <x:c r="I1951" t="str">
        <x:v>https://www.smwcentral.net/?a=details&amp;id=10260&amp;p=section</x:v>
      </x:c>
      <x:c r="J1951" t="str">
        <x:v>https://dl.smwcentral.net/10260/SMLA%20demo%201.zip</x:v>
      </x:c>
    </x:row>
    <x:row r="1952">
      <x:c r="A1952" t="str">
        <x:v>Super Mario Land World</x:v>
      </x:c>
      <x:c r="B1952" t="str">
        <x:v>Super Mario Land World</x:v>
      </x:c>
      <x:c r="C1952" t="str">
        <x:v>Lush_50</x:v>
      </x:c>
      <x:c r="D1952" t="n">
        <x:v>13</x:v>
      </x:c>
      <x:c r="E1952" t="str">
        <x:v>Casual</x:v>
      </x:c>
      <x:c r="F1952" t="str">
        <x:v>Standard</x:v>
      </x:c>
      <x:c r="G1952" t="n">
        <x:v>45497</x:v>
      </x:c>
      <x:c r="H1952" t="str">
        <x:v>38127</x:v>
      </x:c>
      <x:c r="I1952" t="str">
        <x:v>https://www.smwcentral.net/?a=details&amp;id=38127&amp;p=section</x:v>
      </x:c>
      <x:c r="J1952" t="str">
        <x:v>https://dl.smwcentral.net/38127/Super%20Mario%20Land%20World%20V1.1%20%28%202024%20%29.zip</x:v>
      </x:c>
    </x:row>
    <x:row r="1953">
      <x:c r="A1953" t="str">
        <x:v>Super Mario Legacy</x:v>
      </x:c>
      <x:c r="B1953" t="str">
        <x:v>Super Mario Legacy</x:v>
      </x:c>
      <x:c r="C1953" t="str">
        <x:v>Ragey</x:v>
      </x:c>
      <x:c r="D1953" t="n">
        <x:v>140</x:v>
      </x:c>
      <x:c r="E1953" t="str">
        <x:v>Intermediate</x:v>
      </x:c>
      <x:c r="F1953" t="str">
        <x:v>Standard</x:v>
      </x:c>
      <x:c r="G1953" t="n">
        <x:v>43247</x:v>
      </x:c>
      <x:c r="H1953" t="str">
        <x:v>17478</x:v>
      </x:c>
      <x:c r="I1953" t="str">
        <x:v>https://www.smwcentral.net/?a=details&amp;id=17478&amp;p=section</x:v>
      </x:c>
      <x:c r="J1953" t="str">
        <x:v>https://dl.smwcentral.net/17478/Super%20Mario%20Legacy.zip</x:v>
      </x:c>
    </x:row>
    <x:row r="1954">
      <x:c r="A1954" t="str">
        <x:v>Super Mario Logic</x:v>
      </x:c>
      <x:c r="B1954" t="str">
        <x:v>Super Mario Logic</x:v>
      </x:c>
      <x:c r="C1954" t="str">
        <x:v>Final Theory</x:v>
      </x:c>
      <x:c r="D1954" t="n">
        <x:v>94</x:v>
      </x:c>
      <x:c r="E1954" t="str">
        <x:v>Casual</x:v>
      </x:c>
      <x:c r="F1954" t="str">
        <x:v>Standard, Puzzle</x:v>
      </x:c>
      <x:c r="G1954" t="n">
        <x:v>43121</x:v>
      </x:c>
      <x:c r="H1954" t="str">
        <x:v>17005</x:v>
      </x:c>
      <x:c r="I1954" t="str">
        <x:v>https://www.smwcentral.net/?a=details&amp;id=17005&amp;p=section</x:v>
      </x:c>
      <x:c r="J1954" t="str">
        <x:v>https://dl.smwcentral.net/17005/Super%20Mario%20Logic.zip</x:v>
      </x:c>
    </x:row>
    <x:row r="1955">
      <x:c r="A1955" t="str">
        <x:v>Super Mario Lost in Monochrome</x:v>
      </x:c>
      <x:c r="B1955" t="str">
        <x:v>Super Mario Lost in Monochrome</x:v>
      </x:c>
      <x:c r="C1955" t="str">
        <x:v>EL santo</x:v>
      </x:c>
      <x:c r="D1955" t="n">
        <x:v>16</x:v>
      </x:c>
      <x:c r="E1955" t="str">
        <x:v>Casual</x:v>
      </x:c>
      <x:c r="F1955" t="str">
        <x:v>Standard</x:v>
      </x:c>
      <x:c r="G1955" t="n">
        <x:v>42312</x:v>
      </x:c>
      <x:c r="H1955" t="str">
        <x:v>10191</x:v>
      </x:c>
      <x:c r="I1955" t="str">
        <x:v>https://www.smwcentral.net/?a=details&amp;id=10191&amp;p=section</x:v>
      </x:c>
      <x:c r="J1955" t="str">
        <x:v>https://dl.smwcentral.net/10191/Super%20Mario%20Lost%20in%20Monochrome%20%28v1.4v%29.zip</x:v>
      </x:c>
    </x:row>
    <x:row r="1956">
      <x:c r="A1956" t="str">
        <x:v>Super Mario Lost World</x:v>
      </x:c>
      <x:c r="B1956" t="str">
        <x:v>Super Mario Lost World</x:v>
      </x:c>
      <x:c r="C1956" t="str">
        <x:v>Andyana Jonseph, RussianMan, darken, niko</x:v>
      </x:c>
      <x:c r="D1956" t="n">
        <x:v>10</x:v>
      </x:c>
      <x:c r="E1956" t="str">
        <x:v>Advanced</x:v>
      </x:c>
      <x:c r="F1956" t="str">
        <x:v>Standard</x:v>
      </x:c>
      <x:c r="G1956" t="n">
        <x:v>42964</x:v>
      </x:c>
      <x:c r="H1956" t="str">
        <x:v>16048</x:v>
      </x:c>
      <x:c r="I1956" t="str">
        <x:v>https://www.smwcentral.net/?a=details&amp;id=16048&amp;p=section</x:v>
      </x:c>
      <x:c r="J1956" t="str">
        <x:v>https://dl.smwcentral.net/16048/Super%20Mario%20Lost%20World%20Demo.zip</x:v>
      </x:c>
    </x:row>
    <x:row r="1957">
      <x:c r="A1957" t="str">
        <x:v>Super Mario Makers' Holiday Extravaganza</x:v>
      </x:c>
      <x:c r="B1957" t="str">
        <x:v>Super Mario Makers' Holiday Extravaganza</x:v>
      </x:c>
      <x:c r="C1957" t="str">
        <x:v>Brakkie, Buflen, Donkeymint, JeepySol, NewPointless, Scags, mmmdoggy, revolug</x:v>
      </x:c>
      <x:c r="D1957" t="n">
        <x:v>21</x:v>
      </x:c>
      <x:c r="E1957" t="str">
        <x:v>Expert</x:v>
      </x:c>
      <x:c r="F1957" t="str">
        <x:v>Standard, Kaizo</x:v>
      </x:c>
      <x:c r="G1957" t="n">
        <x:v>46063</x:v>
      </x:c>
      <x:c r="H1957" t="str">
        <x:v>41494</x:v>
      </x:c>
      <x:c r="I1957" t="str">
        <x:v>https://www.smwcentral.net/?a=details&amp;id=41494&amp;p=section</x:v>
      </x:c>
      <x:c r="J1957" t="str">
        <x:v>https://dl.smwcentral.net/41494/SuperMarioMakersHolidayExtravaganza1_1.zip</x:v>
      </x:c>
    </x:row>
    <x:row r="1958">
      <x:c r="A1958" t="str">
        <x:v>Super Mario Mania</x:v>
      </x:c>
      <x:c r="B1958" t="str">
        <x:v>Super Mario Mania</x:v>
      </x:c>
      <x:c r="C1958" t="str">
        <x:v>OiMuka</x:v>
      </x:c>
      <x:c r="D1958" t="n">
        <x:v>9</x:v>
      </x:c>
      <x:c r="E1958" t="str">
        <x:v>Casual</x:v>
      </x:c>
      <x:c r="F1958" t="str">
        <x:v>Standard</x:v>
      </x:c>
      <x:c r="G1958" t="n">
        <x:v>46136</x:v>
      </x:c>
      <x:c r="H1958" t="str">
        <x:v>42235</x:v>
      </x:c>
      <x:c r="I1958" t="str">
        <x:v>https://www.smwcentral.net/?a=details&amp;id=42235&amp;p=section</x:v>
      </x:c>
      <x:c r="J1958" t="str">
        <x:v>https://dl.smwcentral.net/42235/SMM%20-%20Demo%20V1.1.zip</x:v>
      </x:c>
    </x:row>
    <x:row r="1959">
      <x:c r="A1959" t="str">
        <x:v>Super Mario New Life!</x:v>
      </x:c>
      <x:c r="B1959" t="str">
        <x:v>Super Mario New Life!</x:v>
      </x:c>
      <x:c r="C1959" t="str">
        <x:v>FamilyTeamProductions</x:v>
      </x:c>
      <x:c r="D1959" t="n">
        <x:v>4</x:v>
      </x:c>
      <x:c r="E1959" t="str">
        <x:v>Newcomer</x:v>
      </x:c>
      <x:c r="F1959" t="str">
        <x:v>Standard</x:v>
      </x:c>
      <x:c r="G1959" t="n">
        <x:v>42338</x:v>
      </x:c>
      <x:c r="H1959" t="str">
        <x:v>10168</x:v>
      </x:c>
      <x:c r="I1959" t="str">
        <x:v>https://www.smwcentral.net/?a=details&amp;id=10168&amp;p=section</x:v>
      </x:c>
      <x:c r="J1959" t="str">
        <x:v>https://dl.smwcentral.net/10168/SMNL.zip</x:v>
      </x:c>
    </x:row>
    <x:row r="1960">
      <x:c r="A1960" t="str">
        <x:v>Super Mario Ocean</x:v>
      </x:c>
      <x:c r="B1960" t="str">
        <x:v>Super Mario Ocean</x:v>
      </x:c>
      <x:c r="C1960" t="str">
        <x:v>yogui</x:v>
      </x:c>
      <x:c r="D1960" t="n">
        <x:v>36</x:v>
      </x:c>
      <x:c r="E1960" t="str">
        <x:v>Casual</x:v>
      </x:c>
      <x:c r="F1960" t="str">
        <x:v>Standard</x:v>
      </x:c>
      <x:c r="G1960" t="n">
        <x:v>42215</x:v>
      </x:c>
      <x:c r="H1960" t="str">
        <x:v>9761</x:v>
      </x:c>
      <x:c r="I1960" t="str">
        <x:v>https://www.smwcentral.net/?a=details&amp;id=9761&amp;p=section</x:v>
      </x:c>
      <x:c r="J1960" t="str">
        <x:v>https://dl.smwcentral.net/9761/SuperMarioOcean.zip</x:v>
      </x:c>
    </x:row>
    <x:row r="1961">
      <x:c r="A1961" t="str">
        <x:v>Super Mario Odyssey</x:v>
      </x:c>
      <x:c r="B1961" t="str">
        <x:v>Super Mario Odyssey</x:v>
      </x:c>
      <x:c r="C1961" t="str">
        <x:v>Rachel Mae</x:v>
      </x:c>
      <x:c r="D1961" t="n">
        <x:v>20</x:v>
      </x:c>
      <x:c r="E1961" t="str">
        <x:v>Casual</x:v>
      </x:c>
      <x:c r="F1961" t="str">
        <x:v>Standard</x:v>
      </x:c>
      <x:c r="G1961" t="n">
        <x:v>41448</x:v>
      </x:c>
      <x:c r="H1961" t="str">
        <x:v>4987</x:v>
      </x:c>
      <x:c r="I1961" t="str">
        <x:v>https://www.smwcentral.net/?a=details&amp;id=4987&amp;p=section</x:v>
      </x:c>
      <x:c r="J1961" t="str">
        <x:v>https://dl.smwcentral.net/4987/odyssey_v02.zip</x:v>
      </x:c>
    </x:row>
    <x:row r="1962">
      <x:c r="A1962" t="str">
        <x:v>Super Mario Omega</x:v>
      </x:c>
      <x:c r="B1962" t="str">
        <x:v>Super Mario Omega</x:v>
      </x:c>
      <x:c r="C1962" t="str">
        <x:v>Higsby</x:v>
      </x:c>
      <x:c r="D1962" t="n">
        <x:v>100</x:v>
      </x:c>
      <x:c r="E1962" t="str">
        <x:v>Intermediate</x:v>
      </x:c>
      <x:c r="F1962" t="str">
        <x:v>Standard</x:v>
      </x:c>
      <x:c r="G1962" t="n">
        <x:v>41531</x:v>
      </x:c>
      <x:c r="H1962" t="str">
        <x:v>5252</x:v>
      </x:c>
      <x:c r="I1962" t="str">
        <x:v>https://www.smwcentral.net/?a=details&amp;id=5252&amp;p=section</x:v>
      </x:c>
      <x:c r="J1962" t="str">
        <x:v>https://dl.smwcentral.net/5252/Super%20Mario%20Omega%20V1.07.zip</x:v>
      </x:c>
    </x:row>
    <x:row r="1963">
      <x:c r="A1963" t="str">
        <x:v>Super Mario Outbreak</x:v>
      </x:c>
      <x:c r="B1963" t="str">
        <x:v>Super Mario Outbreak</x:v>
      </x:c>
      <x:c r="C1963" t="str">
        <x:v>Gamma V</x:v>
      </x:c>
      <x:c r="D1963" t="n">
        <x:v>20</x:v>
      </x:c>
      <x:c r="E1963" t="str">
        <x:v>Casual</x:v>
      </x:c>
      <x:c r="F1963" t="str">
        <x:v>Standard</x:v>
      </x:c>
      <x:c r="G1963" t="n">
        <x:v>43961</x:v>
      </x:c>
      <x:c r="H1963" t="str">
        <x:v>22929</x:v>
      </x:c>
      <x:c r="I1963" t="str">
        <x:v>https://www.smwcentral.net/?a=details&amp;id=22929&amp;p=section</x:v>
      </x:c>
      <x:c r="J1963" t="str">
        <x:v>https://dl.smwcentral.net/22929/Outbreak%20Demo%20-%20Fixed.zip</x:v>
      </x:c>
    </x:row>
    <x:row r="1964">
      <x:c r="A1964" t="str">
        <x:v>Super Mario OWMS</x:v>
      </x:c>
      <x:c r="B1964" t="str">
        <x:v>Super Mario OWMS</x:v>
      </x:c>
      <x:c r="C1964" t="str">
        <x:v>BanzaiChuck</x:v>
      </x:c>
      <x:c r="D1964" t="n">
        <x:v>13</x:v>
      </x:c>
      <x:c r="E1964" t="str">
        <x:v>Expert</x:v>
      </x:c>
      <x:c r="F1964" t="str">
        <x:v>Kaizo</x:v>
      </x:c>
      <x:c r="G1964" t="n">
        <x:v>43260</x:v>
      </x:c>
      <x:c r="H1964" t="str">
        <x:v>17584</x:v>
      </x:c>
      <x:c r="I1964" t="str">
        <x:v>https://www.smwcentral.net/?a=details&amp;id=17584&amp;p=section</x:v>
      </x:c>
      <x:c r="J1964" t="str">
        <x:v>https://dl.smwcentral.net/17584/Super%20Mario%20OWMS.zip</x:v>
      </x:c>
    </x:row>
    <x:row r="1965">
      <x:c r="A1965" t="str">
        <x:v>Super Mario Pants World</x:v>
      </x:c>
      <x:c r="B1965" t="str">
        <x:v>Super Mario Pants World</x:v>
      </x:c>
      <x:c r="C1965" t="str">
        <x:v>Romano338</x:v>
      </x:c>
      <x:c r="D1965" t="n">
        <x:v>7</x:v>
      </x:c>
      <x:c r="E1965" t="str">
        <x:v>Expert</x:v>
      </x:c>
      <x:c r="F1965" t="str">
        <x:v>Kaizo</x:v>
      </x:c>
      <x:c r="G1965" t="n">
        <x:v>43017</x:v>
      </x:c>
      <x:c r="H1965" t="str">
        <x:v>16416</x:v>
      </x:c>
      <x:c r="I1965" t="str">
        <x:v>https://www.smwcentral.net/?a=details&amp;id=16416&amp;p=section</x:v>
      </x:c>
      <x:c r="J1965" t="str">
        <x:v>https://dl.smwcentral.net/16416/SMPWv2.zip</x:v>
      </x:c>
    </x:row>
    <x:row r="1966">
      <x:c r="A1966" t="str">
        <x:v>Super Mario Place</x:v>
      </x:c>
      <x:c r="B1966" t="str">
        <x:v>Super Mario Place</x:v>
      </x:c>
      <x:c r="C1966" t="str">
        <x:v>Angel Astronaut</x:v>
      </x:c>
      <x:c r="D1966" t="n">
        <x:v>81</x:v>
      </x:c>
      <x:c r="E1966" t="str">
        <x:v>Intermediate</x:v>
      </x:c>
      <x:c r="F1966" t="str">
        <x:v>Standard</x:v>
      </x:c>
      <x:c r="G1966" t="n">
        <x:v>41531</x:v>
      </x:c>
      <x:c r="H1966" t="str">
        <x:v>5175</x:v>
      </x:c>
      <x:c r="I1966" t="str">
        <x:v>https://www.smwcentral.net/?a=details&amp;id=5175&amp;p=section</x:v>
      </x:c>
      <x:c r="J1966" t="str">
        <x:v>https://dl.smwcentral.net/5175/Super%20Mario%20Place.zip</x:v>
      </x:c>
    </x:row>
    <x:row r="1967">
      <x:c r="A1967" t="str">
        <x:v>Super Mario Planet</x:v>
      </x:c>
      <x:c r="B1967" t="str">
        <x:v>Super Mario Planet</x:v>
      </x:c>
      <x:c r="C1967" t="str">
        <x:v>Merthacks</x:v>
      </x:c>
      <x:c r="D1967" t="n">
        <x:v>7</x:v>
      </x:c>
      <x:c r="E1967" t="str">
        <x:v>Casual</x:v>
      </x:c>
      <x:c r="F1967" t="str">
        <x:v>Standard</x:v>
      </x:c>
      <x:c r="G1967" t="n">
        <x:v>41517</x:v>
      </x:c>
      <x:c r="H1967" t="str">
        <x:v>5520</x:v>
      </x:c>
      <x:c r="I1967" t="str">
        <x:v>https://www.smwcentral.net/?a=details&amp;id=5520&amp;p=section</x:v>
      </x:c>
      <x:c r="J1967" t="str">
        <x:v>https://dl.smwcentral.net/5520/Super%20Mario%20Planet.zip</x:v>
      </x:c>
    </x:row>
    <x:row r="1968">
      <x:c r="A1968" t="str">
        <x:v>Super Mario Quest</x:v>
      </x:c>
      <x:c r="B1968" t="str">
        <x:v>Super Mario Quest</x:v>
      </x:c>
      <x:c r="C1968" t="str">
        <x:v>nathanx365</x:v>
      </x:c>
      <x:c r="D1968" t="n">
        <x:v>19</x:v>
      </x:c>
      <x:c r="E1968" t="str">
        <x:v>Casual</x:v>
      </x:c>
      <x:c r="F1968" t="str">
        <x:v>Standard</x:v>
      </x:c>
      <x:c r="G1968" t="n">
        <x:v>42166</x:v>
      </x:c>
      <x:c r="H1968" t="str">
        <x:v>11428</x:v>
      </x:c>
      <x:c r="I1968" t="str">
        <x:v>https://www.smwcentral.net/?a=details&amp;id=11428&amp;p=section</x:v>
      </x:c>
      <x:c r="J1968" t="str">
        <x:v>https://dl.smwcentral.net/11428/Super%20Mario%20Quest.zip</x:v>
      </x:c>
    </x:row>
    <x:row r="1969">
      <x:c r="A1969" t="str">
        <x:v>Super Mario Radish Kingdom Adventure</x:v>
      </x:c>
      <x:c r="B1969" t="str">
        <x:v>Super Mario Radish Kingdom Adventure</x:v>
      </x:c>
      <x:c r="C1969" t="str">
        <x:v>autisticsceptile1993</x:v>
      </x:c>
      <x:c r="D1969" t="n">
        <x:v>88</x:v>
      </x:c>
      <x:c r="E1969" t="str">
        <x:v>Advanced</x:v>
      </x:c>
      <x:c r="F1969" t="str">
        <x:v>Standard</x:v>
      </x:c>
      <x:c r="G1969" t="n">
        <x:v>44208</x:v>
      </x:c>
      <x:c r="H1969" t="str">
        <x:v>25875</x:v>
      </x:c>
      <x:c r="I1969" t="str">
        <x:v>https://www.smwcentral.net/?a=details&amp;id=25875&amp;p=section</x:v>
      </x:c>
      <x:c r="J1969" t="str">
        <x:v>https://dl.smwcentral.net/25875/Super%20Mario%20Radish%20Kingdom%20Adventure%20V3.1.zip</x:v>
      </x:c>
    </x:row>
    <x:row r="1970">
      <x:c r="A1970" t="str">
        <x:v>Super Mario Redux</x:v>
      </x:c>
      <x:c r="B1970" t="str">
        <x:v>Super Mario Redux</x:v>
      </x:c>
      <x:c r="C1970" t="str">
        <x:v>Noivern</x:v>
      </x:c>
      <x:c r="D1970" t="n">
        <x:v>62</x:v>
      </x:c>
      <x:c r="E1970" t="str">
        <x:v>Casual</x:v>
      </x:c>
      <x:c r="F1970" t="str">
        <x:v>Standard</x:v>
      </x:c>
      <x:c r="G1970" t="n">
        <x:v>42304</x:v>
      </x:c>
      <x:c r="H1970" t="str">
        <x:v>10100</x:v>
      </x:c>
      <x:c r="I1970" t="str">
        <x:v>https://www.smwcentral.net/?a=details&amp;id=10100&amp;p=section</x:v>
      </x:c>
      <x:c r="J1970" t="str">
        <x:v>https://dl.smwcentral.net/10100/Redux.zip</x:v>
      </x:c>
    </x:row>
    <x:row r="1971">
      <x:c r="A1971" t="str">
        <x:v>Super Mario Revelations</x:v>
      </x:c>
      <x:c r="B1971" t="str">
        <x:v>Super Mario Revelations</x:v>
      </x:c>
      <x:c r="C1971" t="str">
        <x:v>ItsSnowyTime</x:v>
      </x:c>
      <x:c r="D1971" t="n">
        <x:v>12</x:v>
      </x:c>
      <x:c r="E1971" t="str">
        <x:v>Casual</x:v>
      </x:c>
      <x:c r="F1971" t="str">
        <x:v>Standard</x:v>
      </x:c>
      <x:c r="G1971" t="n">
        <x:v>42065</x:v>
      </x:c>
      <x:c r="H1971" t="str">
        <x:v>9750</x:v>
      </x:c>
      <x:c r="I1971" t="str">
        <x:v>https://www.smwcentral.net/?a=details&amp;id=9750&amp;p=section</x:v>
      </x:c>
      <x:c r="J1971" t="str">
        <x:v>https://dl.smwcentral.net/9750/Super_Mario_Revelations.zip</x:v>
      </x:c>
    </x:row>
    <x:row r="1972">
      <x:c r="A1972" t="str">
        <x:v>Super Mario Robotical Trouble</x:v>
      </x:c>
      <x:c r="B1972" t="str">
        <x:v>Super Mario Robotical Trouble</x:v>
      </x:c>
      <x:c r="C1972" t="str">
        <x:v>Dark Yoshi</x:v>
      </x:c>
      <x:c r="D1972" t="n">
        <x:v>8</x:v>
      </x:c>
      <x:c r="E1972" t="str">
        <x:v>Casual</x:v>
      </x:c>
      <x:c r="F1972" t="str">
        <x:v>Standard</x:v>
      </x:c>
      <x:c r="G1972" t="n">
        <x:v>41517</x:v>
      </x:c>
      <x:c r="H1972" t="str">
        <x:v>5464</x:v>
      </x:c>
      <x:c r="I1972" t="str">
        <x:v>https://www.smwcentral.net/?a=details&amp;id=5464&amp;p=section</x:v>
      </x:c>
      <x:c r="J1972" t="str">
        <x:v>https://dl.smwcentral.net/5464/Super%20Mario%20Robotical%20Trouble.zip</x:v>
      </x:c>
    </x:row>
    <x:row r="1973">
      <x:c r="A1973" t="str">
        <x:v>Super Mario SS2 - Bowser is Back</x:v>
      </x:c>
      <x:c r="B1973" t="str">
        <x:v>Super Mario SS2 - Bowser is Back</x:v>
      </x:c>
      <x:c r="C1973" t="str">
        <x:v>EmuGamer</x:v>
      </x:c>
      <x:c r="D1973" t="n">
        <x:v>34</x:v>
      </x:c>
      <x:c r="E1973" t="str">
        <x:v>Casual</x:v>
      </x:c>
      <x:c r="F1973" t="str">
        <x:v>Standard</x:v>
      </x:c>
      <x:c r="G1973" t="n">
        <x:v>43281</x:v>
      </x:c>
      <x:c r="H1973" t="str">
        <x:v>17597</x:v>
      </x:c>
      <x:c r="I1973" t="str">
        <x:v>https://www.smwcentral.net/?a=details&amp;id=17597&amp;p=section</x:v>
      </x:c>
      <x:c r="J1973" t="str">
        <x:v>https://dl.smwcentral.net/17597/Super%20Mario%20SS2%20-%20Bowser%20is%20Back.zip</x:v>
      </x:c>
    </x:row>
    <x:row r="1974">
      <x:c r="A1974" t="str">
        <x:v>Super Mario SS3 - PU</x:v>
      </x:c>
      <x:c r="B1974" t="str">
        <x:v>Super Mario SS3 - PU</x:v>
      </x:c>
      <x:c r="C1974" t="str">
        <x:v>EmuGamer</x:v>
      </x:c>
      <x:c r="D1974" t="n">
        <x:v>32</x:v>
      </x:c>
      <x:c r="E1974" t="str">
        <x:v>Intermediate</x:v>
      </x:c>
      <x:c r="F1974" t="str">
        <x:v>Standard</x:v>
      </x:c>
      <x:c r="G1974" t="n">
        <x:v>44242</x:v>
      </x:c>
      <x:c r="H1974" t="str">
        <x:v>26132</x:v>
      </x:c>
      <x:c r="I1974" t="str">
        <x:v>https://www.smwcentral.net/?a=details&amp;id=26132&amp;p=section</x:v>
      </x:c>
      <x:c r="J1974" t="str">
        <x:v>https://dl.smwcentral.net/26132/Super%20Mario%20SS3.zip</x:v>
      </x:c>
    </x:row>
    <x:row r="1975">
      <x:c r="A1975" t="str">
        <x:v>Super Mario Starlight</x:v>
      </x:c>
      <x:c r="B1975" t="str">
        <x:v>Super Mario Starlight</x:v>
      </x:c>
      <x:c r="C1975" t="str">
        <x:v>hendog30_</x:v>
      </x:c>
      <x:c r="D1975" t="n">
        <x:v>30</x:v>
      </x:c>
      <x:c r="E1975" t="str">
        <x:v>Intermediate</x:v>
      </x:c>
      <x:c r="F1975" t="str">
        <x:v>Standard</x:v>
      </x:c>
      <x:c r="G1975" t="n">
        <x:v>45206</x:v>
      </x:c>
      <x:c r="H1975" t="str">
        <x:v>35049</x:v>
      </x:c>
      <x:c r="I1975" t="str">
        <x:v>https://www.smwcentral.net/?a=details&amp;id=35049&amp;p=section</x:v>
      </x:c>
      <x:c r="J1975" t="str">
        <x:v>https://dl.smwcentral.net/35049/SuperMarioStarlight.zip</x:v>
      </x:c>
    </x:row>
    <x:row r="1976">
      <x:c r="A1976" t="str">
        <x:v>Super Mario Starlight Remix</x:v>
      </x:c>
      <x:c r="B1976" t="str">
        <x:v>Super Mario Starlight Remix</x:v>
      </x:c>
      <x:c r="C1976" t="str">
        <x:v>Gamma V</x:v>
      </x:c>
      <x:c r="D1976" t="n">
        <x:v>96</x:v>
      </x:c>
      <x:c r="E1976" t="str">
        <x:v>Newcomer</x:v>
      </x:c>
      <x:c r="F1976" t="str">
        <x:v>Standard</x:v>
      </x:c>
      <x:c r="G1976" t="n">
        <x:v>42292</x:v>
      </x:c>
      <x:c r="H1976" t="str">
        <x:v>10060</x:v>
      </x:c>
      <x:c r="I1976" t="str">
        <x:v>https://www.smwcentral.net/?a=details&amp;id=10060&amp;p=section</x:v>
      </x:c>
      <x:c r="J1976" t="str">
        <x:v>https://dl.smwcentral.net/10060/SM%20Starlight%20Remix%20Version%202.1.zip</x:v>
      </x:c>
    </x:row>
    <x:row r="1977">
      <x:c r="A1977" t="str">
        <x:v>Super Mario Stole the Souls of the Innocent and Now Must Climb a Tower to Reclaim his Humanity World</x:v>
      </x:c>
      <x:c r="B1977" t="str">
        <x:v>Super Mario Stole the Souls of the Innocent and Now Must Climb a Tower to Reclaim his Humanity World</x:v>
      </x:c>
      <x:c r="C1977" t="str">
        <x:v>Jamie</x:v>
      </x:c>
      <x:c r="D1977" t="n">
        <x:v>1</x:v>
      </x:c>
      <x:c r="E1977" t="str">
        <x:v>Master</x:v>
      </x:c>
      <x:c r="F1977" t="str">
        <x:v>Kaizo</x:v>
      </x:c>
      <x:c r="G1977" t="n">
        <x:v>45487</x:v>
      </x:c>
      <x:c r="H1977" t="str">
        <x:v>38051</x:v>
      </x:c>
      <x:c r="I1977" t="str">
        <x:v>https://www.smwcentral.net/?a=details&amp;id=38051&amp;p=section</x:v>
      </x:c>
      <x:c r="J1977" t="str">
        <x:v>https://dl.smwcentral.net/38051/Mario%20Climbs%20A%20Tower.zip</x:v>
      </x:c>
    </x:row>
    <x:row r="1978">
      <x:c r="A1978" t="str">
        <x:v>Super Mario Super Quest (demo)</x:v>
      </x:c>
      <x:c r="B1978" t="str">
        <x:v>Super Mario Super Quest (demo)</x:v>
      </x:c>
      <x:c r="C1978" t="str">
        <x:v>Greeeen</x:v>
      </x:c>
      <x:c r="D1978" t="n">
        <x:v>20</x:v>
      </x:c>
      <x:c r="E1978" t="str">
        <x:v>Casual</x:v>
      </x:c>
      <x:c r="F1978" t="str">
        <x:v>Standard</x:v>
      </x:c>
      <x:c r="G1978" t="n">
        <x:v>45980</x:v>
      </x:c>
      <x:c r="H1978" t="str">
        <x:v>41047</x:v>
      </x:c>
      <x:c r="I1978" t="str">
        <x:v>https://www.smwcentral.net/?a=details&amp;id=41047&amp;p=section</x:v>
      </x:c>
      <x:c r="J1978" t="str">
        <x:v>https://dl.smwcentral.net/41047/SMSQ%20demo.zip</x:v>
      </x:c>
    </x:row>
    <x:row r="1979">
      <x:c r="A1979" t="str">
        <x:v>Super Mario SuperStar</x:v>
      </x:c>
      <x:c r="B1979" t="str">
        <x:v>Super Mario SuperStar</x:v>
      </x:c>
      <x:c r="C1979" t="str">
        <x:v>Super Mario 64</x:v>
      </x:c>
      <x:c r="D1979" t="n">
        <x:v>8</x:v>
      </x:c>
      <x:c r="E1979" t="str">
        <x:v>Casual</x:v>
      </x:c>
      <x:c r="F1979" t="str">
        <x:v>Standard</x:v>
      </x:c>
      <x:c r="G1979" t="n">
        <x:v>42209</x:v>
      </x:c>
      <x:c r="H1979" t="str">
        <x:v>9791</x:v>
      </x:c>
      <x:c r="I1979" t="str">
        <x:v>https://www.smwcentral.net/?a=details&amp;id=9791&amp;p=section</x:v>
      </x:c>
      <x:c r="J1979" t="str">
        <x:v>https://dl.smwcentral.net/9791/SMSSW1.zip</x:v>
      </x:c>
    </x:row>
    <x:row r="1980">
      <x:c r="A1980" t="str">
        <x:v>Super Mario Tales!</x:v>
      </x:c>
      <x:c r="B1980" t="str">
        <x:v>Super Mario Tales!</x:v>
      </x:c>
      <x:c r="C1980" t="str">
        <x:v>Kobrah</x:v>
      </x:c>
      <x:c r="D1980" t="n">
        <x:v>6</x:v>
      </x:c>
      <x:c r="E1980" t="str">
        <x:v>Newcomer</x:v>
      </x:c>
      <x:c r="F1980" t="str">
        <x:v>Standard</x:v>
      </x:c>
      <x:c r="G1980" t="n">
        <x:v>41530</x:v>
      </x:c>
      <x:c r="H1980" t="str">
        <x:v>5581</x:v>
      </x:c>
      <x:c r="I1980" t="str">
        <x:v>https://www.smwcentral.net/?a=details&amp;id=5581&amp;p=section</x:v>
      </x:c>
      <x:c r="J1980" t="str">
        <x:v>https://dl.smwcentral.net/5581/Super%20Mario%20Tales%20DEMO.zip</x:v>
      </x:c>
    </x:row>
    <x:row r="1981">
      <x:c r="A1981" t="str">
        <x:v>Super Mario The Trip</x:v>
      </x:c>
      <x:c r="B1981" t="str">
        <x:v>Super Mario The Trip</x:v>
      </x:c>
      <x:c r="C1981" t="str">
        <x:v>Sig_AM</x:v>
      </x:c>
      <x:c r="D1981" t="n">
        <x:v>75</x:v>
      </x:c>
      <x:c r="E1981" t="str">
        <x:v>Casual</x:v>
      </x:c>
      <x:c r="F1981" t="str">
        <x:v>Standard</x:v>
      </x:c>
      <x:c r="G1981" t="n">
        <x:v>44693</x:v>
      </x:c>
      <x:c r="H1981" t="str">
        <x:v>30265</x:v>
      </x:c>
      <x:c r="I1981" t="str">
        <x:v>https://www.smwcentral.net/?a=details&amp;id=30265&amp;p=section</x:v>
      </x:c>
      <x:c r="J1981" t="str">
        <x:v>https://dl.smwcentral.net/30265/Super%20Mario%20The%20Trip.zip</x:v>
      </x:c>
    </x:row>
    <x:row r="1982">
      <x:c r="A1982" t="str">
        <x:v>Super Mario Thousand Islands</x:v>
      </x:c>
      <x:c r="B1982" t="str">
        <x:v>Super Mario Thousand Islands</x:v>
      </x:c>
      <x:c r="C1982" t="str">
        <x:v>blueyosh</x:v>
      </x:c>
      <x:c r="D1982" t="n">
        <x:v>17</x:v>
      </x:c>
      <x:c r="E1982" t="str">
        <x:v>Newcomer</x:v>
      </x:c>
      <x:c r="F1982" t="str">
        <x:v>Standard</x:v>
      </x:c>
      <x:c r="G1982" t="n">
        <x:v>42227</x:v>
      </x:c>
      <x:c r="H1982" t="str">
        <x:v>9841</x:v>
      </x:c>
      <x:c r="I1982" t="str">
        <x:v>https://www.smwcentral.net/?a=details&amp;id=9841&amp;p=section</x:v>
      </x:c>
      <x:c r="J1982" t="str">
        <x:v>https://dl.smwcentral.net/9841/SMTI2.zip</x:v>
      </x:c>
    </x:row>
    <x:row r="1983">
      <x:c r="A1983" t="str">
        <x:v>Super Mario TKO</x:v>
      </x:c>
      <x:c r="B1983" t="str">
        <x:v>Super Mario TKO</x:v>
      </x:c>
      <x:c r="C1983" t="str">
        <x:v>Dispari Scuro, Heisanevilgenius</x:v>
      </x:c>
      <x:c r="D1983" t="n">
        <x:v>17</x:v>
      </x:c>
      <x:c r="E1983" t="str">
        <x:v>Casual</x:v>
      </x:c>
      <x:c r="F1983" t="str">
        <x:v>Standard</x:v>
      </x:c>
      <x:c r="G1983" t="n">
        <x:v>41447</x:v>
      </x:c>
      <x:c r="H1983" t="str">
        <x:v>5038</x:v>
      </x:c>
      <x:c r="I1983" t="str">
        <x:v>https://www.smwcentral.net/?a=details&amp;id=5038&amp;p=section</x:v>
      </x:c>
      <x:c r="J1983" t="str">
        <x:v>https://dl.smwcentral.net/5038/smtko_demo_1.zip</x:v>
      </x:c>
    </x:row>
    <x:row r="1984">
      <x:c r="A1984" t="str">
        <x:v>Super Mario Ubs</x:v>
      </x:c>
      <x:c r="B1984" t="str">
        <x:v>Super Mario Ubs</x:v>
      </x:c>
      <x:c r="C1984" t="str">
        <x:v>Ubsje</x:v>
      </x:c>
      <x:c r="D1984" t="n">
        <x:v>7</x:v>
      </x:c>
      <x:c r="E1984" t="str">
        <x:v>Casual</x:v>
      </x:c>
      <x:c r="F1984" t="str">
        <x:v>Standard</x:v>
      </x:c>
      <x:c r="G1984" t="n">
        <x:v>43029</x:v>
      </x:c>
      <x:c r="H1984" t="str">
        <x:v>16490</x:v>
      </x:c>
      <x:c r="I1984" t="str">
        <x:v>https://www.smwcentral.net/?a=details&amp;id=16490&amp;p=section</x:v>
      </x:c>
      <x:c r="J1984" t="str">
        <x:v>https://dl.smwcentral.net/16490/Super%20mario%20Ubs.zip</x:v>
      </x:c>
    </x:row>
    <x:row r="1985">
      <x:c r="A1985" t="str">
        <x:v>Super Mario Ultima</x:v>
      </x:c>
      <x:c r="B1985" t="str">
        <x:v>Super Mario Ultima</x:v>
      </x:c>
      <x:c r="C1985" t="str">
        <x:v>Time Traveler</x:v>
      </x:c>
      <x:c r="D1985" t="n">
        <x:v>3</x:v>
      </x:c>
      <x:c r="E1985" t="str">
        <x:v>Intermediate</x:v>
      </x:c>
      <x:c r="F1985" t="str">
        <x:v>Standard</x:v>
      </x:c>
      <x:c r="G1985" t="n">
        <x:v>42066</x:v>
      </x:c>
      <x:c r="H1985" t="str">
        <x:v>9808</x:v>
      </x:c>
      <x:c r="I1985" t="str">
        <x:v>https://www.smwcentral.net/?a=details&amp;id=9808&amp;p=section</x:v>
      </x:c>
      <x:c r="J1985" t="str">
        <x:v>https://dl.smwcentral.net/9808/Ultima%20World.zip</x:v>
      </x:c>
    </x:row>
    <x:row r="1986">
      <x:c r="A1986" t="str">
        <x:v>Super Mario Ultra World</x:v>
      </x:c>
      <x:c r="B1986" t="str">
        <x:v>Super Mario Ultra World</x:v>
      </x:c>
      <x:c r="C1986" t="str">
        <x:v>Andrew Ultra Gamer</x:v>
      </x:c>
      <x:c r="D1986" t="n">
        <x:v>9</x:v>
      </x:c>
      <x:c r="E1986" t="str">
        <x:v>Newcomer</x:v>
      </x:c>
      <x:c r="F1986" t="str">
        <x:v>Standard</x:v>
      </x:c>
      <x:c r="G1986" t="n">
        <x:v>44508</x:v>
      </x:c>
      <x:c r="H1986" t="str">
        <x:v>28587</x:v>
      </x:c>
      <x:c r="I1986" t="str">
        <x:v>https://www.smwcentral.net/?a=details&amp;id=28587&amp;p=section</x:v>
      </x:c>
      <x:c r="J1986" t="str">
        <x:v>https://dl.smwcentral.net/28587/Super%20Mario%20Ultra%20World%20Demo.zip</x:v>
      </x:c>
    </x:row>
    <x:row r="1987">
      <x:c r="A1987" t="str">
        <x:v>Super Mario Underworld</x:v>
      </x:c>
      <x:c r="B1987" t="str">
        <x:v>Super Mario Underworld</x:v>
      </x:c>
      <x:c r="C1987" t="str">
        <x:v>Golden Yoshi, Uhrix</x:v>
      </x:c>
      <x:c r="D1987" t="n">
        <x:v>4</x:v>
      </x:c>
      <x:c r="E1987" t="str">
        <x:v>Casual</x:v>
      </x:c>
      <x:c r="F1987" t="str">
        <x:v>Standard</x:v>
      </x:c>
      <x:c r="G1987" t="n">
        <x:v>41530</x:v>
      </x:c>
      <x:c r="H1987" t="str">
        <x:v>5356</x:v>
      </x:c>
      <x:c r="I1987" t="str">
        <x:v>https://www.smwcentral.net/?a=details&amp;id=5356&amp;p=section</x:v>
      </x:c>
      <x:c r="J1987" t="str">
        <x:v>https://dl.smwcentral.net/5356/Super%20Mario%20Underworld-%20Final%20Version.zip</x:v>
      </x:c>
    </x:row>
    <x:row r="1988">
      <x:c r="A1988" t="str">
        <x:v>Super Mario Universe 2: The Adventure Resumes</x:v>
      </x:c>
      <x:c r="B1988" t="str">
        <x:v>Super Mario Universe 2: The Adventure Resumes</x:v>
      </x:c>
      <x:c r="C1988" t="str">
        <x:v>Black Crystal Wisher, Marino.EXE</x:v>
      </x:c>
      <x:c r="D1988" t="n">
        <x:v>62</x:v>
      </x:c>
      <x:c r="E1988" t="str">
        <x:v>Newcomer</x:v>
      </x:c>
      <x:c r="F1988" t="str">
        <x:v>Standard</x:v>
      </x:c>
      <x:c r="G1988" t="n">
        <x:v>42213</x:v>
      </x:c>
      <x:c r="H1988" t="str">
        <x:v>9817</x:v>
      </x:c>
      <x:c r="I1988" t="str">
        <x:v>https://www.smwcentral.net/?a=details&amp;id=9817&amp;p=section</x:v>
      </x:c>
      <x:c r="J1988" t="str">
        <x:v>https://dl.smwcentral.net/9817/Super%20Mario%20Universe%20II%20-%20The%20Adventure%20Resumes.zip</x:v>
      </x:c>
    </x:row>
    <x:row r="1989">
      <x:c r="A1989" t="str">
        <x:v>Super Mario Universe [SMWC #25489]</x:v>
      </x:c>
      <x:c r="B1989" t="str">
        <x:v>Super Mario Universe</x:v>
      </x:c>
      <x:c r="C1989" t="str">
        <x:v>hendog30_</x:v>
      </x:c>
      <x:c r="D1989" t="n">
        <x:v>30</x:v>
      </x:c>
      <x:c r="E1989" t="str">
        <x:v>Casual</x:v>
      </x:c>
      <x:c r="F1989" t="str">
        <x:v>Standard</x:v>
      </x:c>
      <x:c r="G1989" t="n">
        <x:v>44189</x:v>
      </x:c>
      <x:c r="H1989" t="str">
        <x:v>25489</x:v>
      </x:c>
      <x:c r="I1989" t="str">
        <x:v>https://www.smwcentral.net/?a=details&amp;id=25489&amp;p=section</x:v>
      </x:c>
      <x:c r="J1989" t="str">
        <x:v>https://dl.smwcentral.net/25489/Super%20Mario%20Universe.zip</x:v>
      </x:c>
    </x:row>
    <x:row r="1990">
      <x:c r="A1990" t="str">
        <x:v>Super Mario Universe [SMWC #9855]</x:v>
      </x:c>
      <x:c r="B1990" t="str">
        <x:v>Super Mario Universe</x:v>
      </x:c>
      <x:c r="C1990" t="str">
        <x:v>Black Crystal Wisher</x:v>
      </x:c>
      <x:c r="D1990" t="n">
        <x:v>80</x:v>
      </x:c>
      <x:c r="E1990" t="str">
        <x:v>Casual</x:v>
      </x:c>
      <x:c r="F1990" t="str">
        <x:v>Standard</x:v>
      </x:c>
      <x:c r="G1990" t="n">
        <x:v>42236</x:v>
      </x:c>
      <x:c r="H1990" t="str">
        <x:v>9855</x:v>
      </x:c>
      <x:c r="I1990" t="str">
        <x:v>https://www.smwcentral.net/?a=details&amp;id=9855&amp;p=section</x:v>
      </x:c>
      <x:c r="J1990" t="str">
        <x:v>https://dl.smwcentral.net/9855/smu.zip</x:v>
      </x:c>
    </x:row>
    <x:row r="1991">
      <x:c r="A1991" t="str">
        <x:v>Super Mario Universe Deluxe</x:v>
      </x:c>
      <x:c r="B1991" t="str">
        <x:v>Super Mario Universe Deluxe</x:v>
      </x:c>
      <x:c r="C1991" t="str">
        <x:v>hendog30_</x:v>
      </x:c>
      <x:c r="D1991" t="n">
        <x:v>40</x:v>
      </x:c>
      <x:c r="E1991" t="str">
        <x:v>Casual</x:v>
      </x:c>
      <x:c r="F1991" t="str">
        <x:v>Standard</x:v>
      </x:c>
      <x:c r="G1991" t="n">
        <x:v>44621</x:v>
      </x:c>
      <x:c r="H1991" t="str">
        <x:v>29968</x:v>
      </x:c>
      <x:c r="I1991" t="str">
        <x:v>https://www.smwcentral.net/?a=details&amp;id=29968&amp;p=section</x:v>
      </x:c>
      <x:c r="J1991" t="str">
        <x:v>https://dl.smwcentral.net/29968/SuperMarioUniverseDELUXE.zip</x:v>
      </x:c>
    </x:row>
    <x:row r="1992">
      <x:c r="A1992" t="str">
        <x:v>Super Mario Versus Bowser's New Army</x:v>
      </x:c>
      <x:c r="B1992" t="str">
        <x:v>Super Mario Versus Bowser's New Army</x:v>
      </x:c>
      <x:c r="C1992" t="str">
        <x:v>yogui</x:v>
      </x:c>
      <x:c r="D1992" t="n">
        <x:v>19</x:v>
      </x:c>
      <x:c r="E1992" t="str">
        <x:v>Casual</x:v>
      </x:c>
      <x:c r="F1992" t="str">
        <x:v>Standard</x:v>
      </x:c>
      <x:c r="G1992" t="n">
        <x:v>41508</x:v>
      </x:c>
      <x:c r="H1992" t="str">
        <x:v>5198</x:v>
      </x:c>
      <x:c r="I1992" t="str">
        <x:v>https://www.smwcentral.net/?a=details&amp;id=5198&amp;p=section</x:v>
      </x:c>
      <x:c r="J1992" t="str">
        <x:v>https://dl.smwcentral.net/5198/SuperMarioVersusBowsersNewArmy.zip</x:v>
      </x:c>
    </x:row>
    <x:row r="1993">
      <x:c r="A1993" t="str">
        <x:v>Super Mario World (Super Mario Bros. 4) : A Trip Full Of Fun!</x:v>
      </x:c>
      <x:c r="B1993" t="str">
        <x:v>Super Mario World (Super Mario Bros. 4) : A Trip Full Of Fun!</x:v>
      </x:c>
      <x:c r="C1993" t="str">
        <x:v>Dark Prince</x:v>
      </x:c>
      <x:c r="D1993" t="n">
        <x:v>5</x:v>
      </x:c>
      <x:c r="E1993" t="str">
        <x:v>Casual</x:v>
      </x:c>
      <x:c r="F1993" t="str">
        <x:v>Standard</x:v>
      </x:c>
      <x:c r="G1993" t="n">
        <x:v>43536</x:v>
      </x:c>
      <x:c r="H1993" t="str">
        <x:v>19293</x:v>
      </x:c>
      <x:c r="I1993" t="str">
        <x:v>https://www.smwcentral.net/?a=details&amp;id=19293&amp;p=section</x:v>
      </x:c>
      <x:c r="J1993" t="str">
        <x:v>https://dl.smwcentral.net/19293/smw%20smb4%20a%20trip%20full%20of%20fun%20fixed%2Cagain%2Cyes.zip</x:v>
      </x:c>
    </x:row>
    <x:row r="1994">
      <x:c r="A1994" t="str">
        <x:v>Super Mario World + Land</x:v>
      </x:c>
      <x:c r="B1994" t="str">
        <x:v>Super Mario World + Land</x:v>
      </x:c>
      <x:c r="C1994" t="str">
        <x:v>Bioma</x:v>
      </x:c>
      <x:c r="D1994" t="n">
        <x:v>96</x:v>
      </x:c>
      <x:c r="E1994" t="str">
        <x:v>Casual</x:v>
      </x:c>
      <x:c r="F1994" t="str">
        <x:v>Standard</x:v>
      </x:c>
      <x:c r="G1994" t="n">
        <x:v>42841</x:v>
      </x:c>
      <x:c r="H1994" t="str">
        <x:v>15300</x:v>
      </x:c>
      <x:c r="I1994" t="str">
        <x:v>https://www.smwcentral.net/?a=details&amp;id=15300&amp;p=section</x:v>
      </x:c>
      <x:c r="J1994" t="str">
        <x:v>https://dl.smwcentral.net/15300/SMWL.zip</x:v>
      </x:c>
    </x:row>
    <x:row r="1995">
      <x:c r="A1995" t="str">
        <x:v>Super Mario World - Bowser's Last Revenge</x:v>
      </x:c>
      <x:c r="B1995" t="str">
        <x:v>Super Mario World - Bowser's Last Revenge</x:v>
      </x:c>
      <x:c r="C1995" t="str">
        <x:v>BLR_Team, Systrem Studios</x:v>
      </x:c>
      <x:c r="D1995" t="n">
        <x:v>8</x:v>
      </x:c>
      <x:c r="E1995" t="str">
        <x:v>Newcomer</x:v>
      </x:c>
      <x:c r="F1995" t="str">
        <x:v>Standard</x:v>
      </x:c>
      <x:c r="G1995" t="n">
        <x:v>43031</x:v>
      </x:c>
      <x:c r="H1995" t="str">
        <x:v>16452</x:v>
      </x:c>
      <x:c r="I1995" t="str">
        <x:v>https://www.smwcentral.net/?a=details&amp;id=16452&amp;p=section</x:v>
      </x:c>
      <x:c r="J1995" t="str">
        <x:v>https://dl.smwcentral.net/16452/SMW%20-%20Bowser%27s%20Last%20Revenge%20DEMO%202.0.zip</x:v>
      </x:c>
    </x:row>
    <x:row r="1996">
      <x:c r="A1996" t="str">
        <x:v>Super Mario World - Bowser's Return</x:v>
      </x:c>
      <x:c r="B1996" t="str">
        <x:v>Super Mario World - Bowser's Return</x:v>
      </x:c>
      <x:c r="C1996" t="str">
        <x:v>Ice Man, ghettoyouth</x:v>
      </x:c>
      <x:c r="D1996" t="n">
        <x:v>60</x:v>
      </x:c>
      <x:c r="E1996" t="str">
        <x:v>Casual</x:v>
      </x:c>
      <x:c r="F1996" t="str">
        <x:v>Standard</x:v>
      </x:c>
      <x:c r="G1996" t="n">
        <x:v>46221</x:v>
      </x:c>
      <x:c r="H1996" t="str">
        <x:v>42676</x:v>
      </x:c>
      <x:c r="I1996" t="str">
        <x:v>https://www.smwcentral.net/?a=details&amp;id=42676&amp;p=section</x:v>
      </x:c>
      <x:c r="J1996" t="str">
        <x:v>https://dl.smwcentral.net/42676/Super%20Mario%20World%20-%20Bowser%27s%20Return%20%282026%20Version%20-%20Update%202%29.zip</x:v>
      </x:c>
    </x:row>
    <x:row r="1997">
      <x:c r="A1997" t="str">
        <x:v>Super Mario World - Bowser's Return Redux</x:v>
      </x:c>
      <x:c r="B1997" t="str">
        <x:v>Super Mario World - Bowser's Return Redux</x:v>
      </x:c>
      <x:c r="C1997" t="str">
        <x:v>Ice Man</x:v>
      </x:c>
      <x:c r="D1997" t="n">
        <x:v>62</x:v>
      </x:c>
      <x:c r="E1997" t="str">
        <x:v>Casual</x:v>
      </x:c>
      <x:c r="F1997" t="str">
        <x:v>Standard</x:v>
      </x:c>
      <x:c r="G1997" t="n">
        <x:v>46191</x:v>
      </x:c>
      <x:c r="H1997" t="str">
        <x:v>42380</x:v>
      </x:c>
      <x:c r="I1997" t="str">
        <x:v>https://www.smwcentral.net/?a=details&amp;id=42380&amp;p=section</x:v>
      </x:c>
      <x:c r="J1997" t="str">
        <x:v>https://dl.smwcentral.net/42380/Super%20Mario%20World%20-%20Bowser%27s%20Return%20Redux.zip</x:v>
      </x:c>
    </x:row>
    <x:row r="1998">
      <x:c r="A1998" t="str">
        <x:v>Super Mario World - Bulgarian Translation</x:v>
      </x:c>
      <x:c r="B1998" t="str">
        <x:v>Super Mario World - Bulgarian Translation</x:v>
      </x:c>
      <x:c r="C1998" t="str">
        <x:v>Azzara, DKL, KaptainAlexander</x:v>
      </x:c>
      <x:c r="D1998" t="n">
        <x:v>96</x:v>
      </x:c>
      <x:c r="E1998" t="str">
        <x:v>Casual</x:v>
      </x:c>
      <x:c r="F1998" t="str">
        <x:v>Standard</x:v>
      </x:c>
      <x:c r="G1998" t="n">
        <x:v>45132</x:v>
      </x:c>
      <x:c r="H1998" t="str">
        <x:v>33731</x:v>
      </x:c>
      <x:c r="I1998" t="str">
        <x:v>https://www.smwcentral.net/?a=details&amp;id=33731&amp;p=section</x:v>
      </x:c>
      <x:c r="J1998" t="str">
        <x:v>https://dl.smwcentral.net/33731/mario-world-bg-v3.1.zip</x:v>
      </x:c>
    </x:row>
    <x:row r="1999">
      <x:c r="A1999" t="str">
        <x:v>Super Mario World - Final Mysterious Quest</x:v>
      </x:c>
      <x:c r="B1999" t="str">
        <x:v>Super Mario World - Final Mysterious Quest</x:v>
      </x:c>
      <x:c r="C1999" t="str">
        <x:v>Superwan</x:v>
      </x:c>
      <x:c r="D1999" t="n">
        <x:v>53</x:v>
      </x:c>
      <x:c r="E1999" t="str">
        <x:v>Intermediate</x:v>
      </x:c>
      <x:c r="F1999" t="str">
        <x:v>Standard</x:v>
      </x:c>
      <x:c r="G1999" t="n">
        <x:v>44037</x:v>
      </x:c>
      <x:c r="H1999" t="str">
        <x:v>23494</x:v>
      </x:c>
      <x:c r="I1999" t="str">
        <x:v>https://www.smwcentral.net/?a=details&amp;id=23494&amp;p=section</x:v>
      </x:c>
      <x:c r="J1999" t="str">
        <x:v>https://dl.smwcentral.net/23494/SMWFMQ.zip</x:v>
      </x:c>
    </x:row>
    <x:row r="2000">
      <x:c r="A2000" t="str">
        <x:v>Super Mario World - Gamergull's Version</x:v>
      </x:c>
      <x:c r="B2000" t="str">
        <x:v>Super Mario World - Gamergull's Version</x:v>
      </x:c>
      <x:c r="C2000" t="str">
        <x:v>Gamergull</x:v>
      </x:c>
      <x:c r="D2000" t="n">
        <x:v>33</x:v>
      </x:c>
      <x:c r="E2000" t="str">
        <x:v>Newcomer</x:v>
      </x:c>
      <x:c r="F2000" t="str">
        <x:v>Standard</x:v>
      </x:c>
      <x:c r="G2000" t="n">
        <x:v>42304</x:v>
      </x:c>
      <x:c r="H2000" t="str">
        <x:v>10192</x:v>
      </x:c>
      <x:c r="I2000" t="str">
        <x:v>https://www.smwcentral.net/?a=details&amp;id=10192&amp;p=section</x:v>
      </x:c>
      <x:c r="J2000" t="str">
        <x:v>https://dl.smwcentral.net/10192/SMWGGV.zip</x:v>
      </x:c>
    </x:row>
    <x:row r="2001">
      <x:c r="A2001" t="str">
        <x:v>Super Mario World - Hack Project</x:v>
      </x:c>
      <x:c r="B2001" t="str">
        <x:v>Super Mario World - Hack Project</x:v>
      </x:c>
      <x:c r="C2001" t="str">
        <x:v>EvilGames</x:v>
      </x:c>
      <x:c r="D2001" t="n">
        <x:v>6</x:v>
      </x:c>
      <x:c r="E2001" t="str">
        <x:v>Newcomer</x:v>
      </x:c>
      <x:c r="F2001" t="str">
        <x:v>Standard</x:v>
      </x:c>
      <x:c r="G2001" t="n">
        <x:v>42339</x:v>
      </x:c>
      <x:c r="H2001" t="str">
        <x:v>10166</x:v>
      </x:c>
      <x:c r="I2001" t="str">
        <x:v>https://www.smwcentral.net/?a=details&amp;id=10166&amp;p=section</x:v>
      </x:c>
      <x:c r="J2001" t="str">
        <x:v>https://dl.smwcentral.net/10166/SMW-HC_Demo2_069a.zip</x:v>
      </x:c>
    </x:row>
    <x:row r="2002">
      <x:c r="A2002" t="str">
        <x:v>Super Mario World - Koopa Revenge</x:v>
      </x:c>
      <x:c r="B2002" t="str">
        <x:v>Super Mario World - Koopa Revenge</x:v>
      </x:c>
      <x:c r="C2002" t="str">
        <x:v>Maxderdachs</x:v>
      </x:c>
      <x:c r="D2002" t="n">
        <x:v>20</x:v>
      </x:c>
      <x:c r="E2002" t="str">
        <x:v>Newcomer</x:v>
      </x:c>
      <x:c r="F2002" t="str">
        <x:v>Standard</x:v>
      </x:c>
      <x:c r="G2002" t="n">
        <x:v>42214</x:v>
      </x:c>
      <x:c r="H2002" t="str">
        <x:v>9787</x:v>
      </x:c>
      <x:c r="I2002" t="str">
        <x:v>https://www.smwcentral.net/?a=details&amp;id=9787&amp;p=section</x:v>
      </x:c>
      <x:c r="J2002" t="str">
        <x:v>https://dl.smwcentral.net/9787/SMW%20Koopa%20revenge.zip</x:v>
      </x:c>
    </x:row>
    <x:row r="2003">
      <x:c r="A2003" t="str">
        <x:v>Super Mario World - Leaving Dinosaur Island</x:v>
      </x:c>
      <x:c r="B2003" t="str">
        <x:v>Super Mario World - Leaving Dinosaur Island</x:v>
      </x:c>
      <x:c r="C2003" t="str">
        <x:v>Chromite</x:v>
      </x:c>
      <x:c r="D2003" t="n">
        <x:v>5</x:v>
      </x:c>
      <x:c r="E2003" t="str">
        <x:v>Casual</x:v>
      </x:c>
      <x:c r="F2003" t="str">
        <x:v>Standard</x:v>
      </x:c>
      <x:c r="G2003" t="n">
        <x:v>42277</x:v>
      </x:c>
      <x:c r="H2003" t="str">
        <x:v>9962</x:v>
      </x:c>
      <x:c r="I2003" t="str">
        <x:v>https://www.smwcentral.net/?a=details&amp;id=9962&amp;p=section</x:v>
      </x:c>
      <x:c r="J2003" t="str">
        <x:v>https://dl.smwcentral.net/9962/SMW-LDI.zip</x:v>
      </x:c>
    </x:row>
    <x:row r="2004">
      <x:c r="A2004" t="str">
        <x:v>Super Mario World - Luigi's World Edition</x:v>
      </x:c>
      <x:c r="B2004" t="str">
        <x:v>Super Mario World - Luigi's World Edition</x:v>
      </x:c>
      <x:c r="C2004" t="str">
        <x:v>Random_Josh</x:v>
      </x:c>
      <x:c r="D2004" t="n">
        <x:v>19</x:v>
      </x:c>
      <x:c r="E2004" t="str">
        <x:v>Expert</x:v>
      </x:c>
      <x:c r="F2004" t="str">
        <x:v>Kaizo</x:v>
      </x:c>
      <x:c r="G2004" t="n">
        <x:v>42818</x:v>
      </x:c>
      <x:c r="H2004" t="str">
        <x:v>15266</x:v>
      </x:c>
      <x:c r="I2004" t="str">
        <x:v>https://www.smwcentral.net/?a=details&amp;id=15266&amp;p=section</x:v>
      </x:c>
      <x:c r="J2004" t="str">
        <x:v>https://dl.smwcentral.net/15266/SMW%20LWE.zip</x:v>
      </x:c>
    </x:row>
    <x:row r="2005">
      <x:c r="A2005" t="str">
        <x:v>Super Mario World - Mario's Expedition</x:v>
      </x:c>
      <x:c r="B2005" t="str">
        <x:v>Super Mario World - Mario's Expedition</x:v>
      </x:c>
      <x:c r="C2005" t="str">
        <x:v>Domokun007</x:v>
      </x:c>
      <x:c r="D2005" t="n">
        <x:v>1</x:v>
      </x:c>
      <x:c r="E2005" t="str">
        <x:v>Advanced</x:v>
      </x:c>
      <x:c r="F2005" t="str">
        <x:v>Standard</x:v>
      </x:c>
      <x:c r="G2005" t="n">
        <x:v>45667</x:v>
      </x:c>
      <x:c r="H2005" t="str">
        <x:v>38649</x:v>
      </x:c>
      <x:c r="I2005" t="str">
        <x:v>https://www.smwcentral.net/?a=details&amp;id=38649&amp;p=section</x:v>
      </x:c>
      <x:c r="J2005" t="str">
        <x:v>https://dl.smwcentral.net/38649/Super%20Mario%20World%20-%20Mario%27s%20Expedition%20v1.4.zip</x:v>
      </x:c>
    </x:row>
    <x:row r="2006">
      <x:c r="A2006" t="str">
        <x:v>Super Mario World - Mushroom Revolution</x:v>
      </x:c>
      <x:c r="B2006" t="str">
        <x:v>Super Mario World - Mushroom Revolution</x:v>
      </x:c>
      <x:c r="C2006" t="str">
        <x:v>PMH</x:v>
      </x:c>
      <x:c r="D2006" t="n">
        <x:v>23</x:v>
      </x:c>
      <x:c r="E2006" t="str">
        <x:v>Casual</x:v>
      </x:c>
      <x:c r="F2006" t="str">
        <x:v>Standard</x:v>
      </x:c>
      <x:c r="G2006" t="n">
        <x:v>45377</x:v>
      </x:c>
      <x:c r="H2006" t="str">
        <x:v>36862</x:v>
      </x:c>
      <x:c r="I2006" t="str">
        <x:v>https://www.smwcentral.net/?a=details&amp;id=36862&amp;p=section</x:v>
      </x:c>
      <x:c r="J2006" t="str">
        <x:v>https://dl.smwcentral.net/36862/SMW%20Mushroom%20Revolution%20%28Demo%202.5%29.zip</x:v>
      </x:c>
    </x:row>
    <x:row r="2007">
      <x:c r="A2007" t="str">
        <x:v>Super Mario World - Neeberz's Hack</x:v>
      </x:c>
      <x:c r="B2007" t="str">
        <x:v>Super Mario World - Neeberz's Hack</x:v>
      </x:c>
      <x:c r="C2007" t="str">
        <x:v>Neeberz</x:v>
      </x:c>
      <x:c r="D2007" t="n">
        <x:v>26</x:v>
      </x:c>
      <x:c r="E2007" t="str">
        <x:v>Newcomer</x:v>
      </x:c>
      <x:c r="F2007" t="str">
        <x:v>Standard</x:v>
      </x:c>
      <x:c r="G2007" t="n">
        <x:v>44186</x:v>
      </x:c>
      <x:c r="H2007" t="str">
        <x:v>25462</x:v>
      </x:c>
      <x:c r="I2007" t="str">
        <x:v>https://www.smwcentral.net/?a=details&amp;id=25462&amp;p=section</x:v>
      </x:c>
      <x:c r="J2007" t="str">
        <x:v>https://dl.smwcentral.net/25462/Super%20Mario%20World%20-%20Neeberz%27s%20Hack.zip</x:v>
      </x:c>
    </x:row>
    <x:row r="2008">
      <x:c r="A2008" t="str">
        <x:v>Super Mario World - Parodian Art Edition</x:v>
      </x:c>
      <x:c r="B2008" t="str">
        <x:v>Super Mario World - Parodian Art Edition</x:v>
      </x:c>
      <x:c r="C2008" t="str">
        <x:v>Parodian Dark</x:v>
      </x:c>
      <x:c r="D2008" t="n">
        <x:v>9</x:v>
      </x:c>
      <x:c r="E2008" t="str">
        <x:v>Casual</x:v>
      </x:c>
      <x:c r="F2008" t="str">
        <x:v>Standard</x:v>
      </x:c>
      <x:c r="G2008" t="n">
        <x:v>44940</x:v>
      </x:c>
      <x:c r="H2008" t="str">
        <x:v>32917</x:v>
      </x:c>
      <x:c r="I2008" t="str">
        <x:v>https://www.smwcentral.net/?a=details&amp;id=32917&amp;p=section</x:v>
      </x:c>
      <x:c r="J2008" t="str">
        <x:v>https://dl.smwcentral.net/32917/SMWPAE.zip</x:v>
      </x:c>
    </x:row>
    <x:row r="2009">
      <x:c r="A2009" t="str">
        <x:v>Super Mario World - Some Random Adventure</x:v>
      </x:c>
      <x:c r="B2009" t="str">
        <x:v>Super Mario World - Some Random Adventure</x:v>
      </x:c>
      <x:c r="C2009" t="str">
        <x:v>TheSpeedyJay</x:v>
      </x:c>
      <x:c r="D2009" t="n">
        <x:v>15</x:v>
      </x:c>
      <x:c r="E2009" t="str">
        <x:v>Casual</x:v>
      </x:c>
      <x:c r="F2009" t="str">
        <x:v>Standard</x:v>
      </x:c>
      <x:c r="G2009" t="n">
        <x:v>43560</x:v>
      </x:c>
      <x:c r="H2009" t="str">
        <x:v>19535</x:v>
      </x:c>
      <x:c r="I2009" t="str">
        <x:v>https://www.smwcentral.net/?a=details&amp;id=19535&amp;p=section</x:v>
      </x:c>
      <x:c r="J2009" t="str">
        <x:v>https://dl.smwcentral.net/19535/Super%20Mario%20World%20-%20Some%20Random%20Adventure%20%28Demo%202%29.zip</x:v>
      </x:c>
    </x:row>
    <x:row r="2010">
      <x:c r="A2010" t="str">
        <x:v>Super Mario World - The 4 Elemental Jewels</x:v>
      </x:c>
      <x:c r="B2010" t="str">
        <x:v>Super Mario World - The 4 Elemental Jewels</x:v>
      </x:c>
      <x:c r="C2010" t="str">
        <x:v>SacredSilverYoshi</x:v>
      </x:c>
      <x:c r="D2010" t="n">
        <x:v>8</x:v>
      </x:c>
      <x:c r="E2010" t="str">
        <x:v>Casual</x:v>
      </x:c>
      <x:c r="F2010" t="str">
        <x:v>Standard</x:v>
      </x:c>
      <x:c r="G2010" t="n">
        <x:v>42322</x:v>
      </x:c>
      <x:c r="H2010" t="str">
        <x:v>10085</x:v>
      </x:c>
      <x:c r="I2010" t="str">
        <x:v>https://www.smwcentral.net/?a=details&amp;id=10085&amp;p=section</x:v>
      </x:c>
      <x:c r="J2010" t="str">
        <x:v>https://dl.smwcentral.net/10085/T4J6-23-2010.zip</x:v>
      </x:c>
    </x:row>
    <x:row r="2011">
      <x:c r="A2011" t="str">
        <x:v>Super Mario World - The search of Luigi</x:v>
      </x:c>
      <x:c r="B2011" t="str">
        <x:v>Super Mario World - The search of Luigi</x:v>
      </x:c>
      <x:c r="C2011" t="str">
        <x:v>tmauri</x:v>
      </x:c>
      <x:c r="D2011" t="n">
        <x:v>7</x:v>
      </x:c>
      <x:c r="E2011" t="str">
        <x:v>Casual</x:v>
      </x:c>
      <x:c r="F2011" t="str">
        <x:v>Standard</x:v>
      </x:c>
      <x:c r="G2011" t="n">
        <x:v>43038</x:v>
      </x:c>
      <x:c r="H2011" t="str">
        <x:v>16522</x:v>
      </x:c>
      <x:c r="I2011" t="str">
        <x:v>https://www.smwcentral.net/?a=details&amp;id=16522&amp;p=section</x:v>
      </x:c>
      <x:c r="J2011" t="str">
        <x:v>https://dl.smwcentral.net/16522/SMWTSOL.zip</x:v>
      </x:c>
    </x:row>
    <x:row r="2012">
      <x:c r="A2012" t="str">
        <x:v>Super Mario World - The Secret Levels</x:v>
      </x:c>
      <x:c r="B2012" t="str">
        <x:v>Super Mario World - The Secret Levels</x:v>
      </x:c>
      <x:c r="C2012" t="str">
        <x:v>JOSHUAPLAYER2002</x:v>
      </x:c>
      <x:c r="D2012" t="n">
        <x:v>3</x:v>
      </x:c>
      <x:c r="E2012" t="str">
        <x:v>Newcomer</x:v>
      </x:c>
      <x:c r="F2012" t="str">
        <x:v>Standard</x:v>
      </x:c>
      <x:c r="G2012" t="n">
        <x:v>42781</x:v>
      </x:c>
      <x:c r="H2012" t="str">
        <x:v>15187</x:v>
      </x:c>
      <x:c r="I2012" t="str">
        <x:v>https://www.smwcentral.net/?a=details&amp;id=15187&amp;p=section</x:v>
      </x:c>
      <x:c r="J2012" t="str">
        <x:v>https://dl.smwcentral.net/15187/Super%20Mario%20World.The%20Secret%20Levels.zip</x:v>
      </x:c>
    </x:row>
    <x:row r="2013">
      <x:c r="A2013" t="str">
        <x:v>Super Mario World 1.5</x:v>
      </x:c>
      <x:c r="B2013" t="str">
        <x:v>Super Mario World 1.5</x:v>
      </x:c>
      <x:c r="C2013" t="str">
        <x:v>edit1754</x:v>
      </x:c>
      <x:c r="D2013" t="n">
        <x:v>66</x:v>
      </x:c>
      <x:c r="E2013" t="str">
        <x:v>Newcomer</x:v>
      </x:c>
      <x:c r="F2013" t="str">
        <x:v>Standard</x:v>
      </x:c>
      <x:c r="G2013" t="n">
        <x:v>42210</x:v>
      </x:c>
      <x:c r="H2013" t="str">
        <x:v>9853</x:v>
      </x:c>
      <x:c r="I2013" t="str">
        <x:v>https://www.smwcentral.net/?a=details&amp;id=9853&amp;p=section</x:v>
      </x:c>
      <x:c r="J2013" t="str">
        <x:v>https://dl.smwcentral.net/9853/SMW1.5.zip</x:v>
      </x:c>
    </x:row>
    <x:row r="2014">
      <x:c r="A2014" t="str">
        <x:v>Super Mario World 2</x:v>
      </x:c>
      <x:c r="B2014" t="str">
        <x:v>Super Mario World 2</x:v>
      </x:c>
      <x:c r="C2014" t="str">
        <x:v>Adam</x:v>
      </x:c>
      <x:c r="D2014" t="n">
        <x:v>7</x:v>
      </x:c>
      <x:c r="E2014" t="str">
        <x:v>Newcomer</x:v>
      </x:c>
      <x:c r="F2014" t="str">
        <x:v>Standard</x:v>
      </x:c>
      <x:c r="G2014" t="n">
        <x:v>41451</x:v>
      </x:c>
      <x:c r="H2014" t="str">
        <x:v>5237</x:v>
      </x:c>
      <x:c r="I2014" t="str">
        <x:v>https://www.smwcentral.net/?a=details&amp;id=5237&amp;p=section</x:v>
      </x:c>
      <x:c r="J2014" t="str">
        <x:v>https://dl.smwcentral.net/5237/SMW2%20Demo.zip</x:v>
      </x:c>
    </x:row>
    <x:row r="2015">
      <x:c r="A2015" t="str">
        <x:v>Super Mario World 2021 (PT-BR) + (USA)</x:v>
      </x:c>
      <x:c r="B2015" t="str">
        <x:v>Super Mario World 2021 (PT-BR) + (USA)</x:v>
      </x:c>
      <x:c r="C2015" t="str">
        <x:v>edu_dyck</x:v>
      </x:c>
      <x:c r="D2015" t="n">
        <x:v>92</x:v>
      </x:c>
      <x:c r="E2015" t="str">
        <x:v>Casual</x:v>
      </x:c>
      <x:c r="F2015" t="str">
        <x:v>Standard</x:v>
      </x:c>
      <x:c r="G2015" t="n">
        <x:v>44347</x:v>
      </x:c>
      <x:c r="H2015" t="str">
        <x:v>26444</x:v>
      </x:c>
      <x:c r="I2015" t="str">
        <x:v>https://www.smwcentral.net/?a=details&amp;id=26444&amp;p=section</x:v>
      </x:c>
      <x:c r="J2015" t="str">
        <x:v>https://dl.smwcentral.net/26444/Super%20Mario%20World%202021.zip</x:v>
      </x:c>
    </x:row>
    <x:row r="2016">
      <x:c r="A2016" t="str">
        <x:v>Super Mario World 2025</x:v>
      </x:c>
      <x:c r="B2016" t="str">
        <x:v>Super Mario World 2025</x:v>
      </x:c>
      <x:c r="C2016" t="str">
        <x:v>Hamilton64</x:v>
      </x:c>
      <x:c r="D2016" t="n">
        <x:v>93</x:v>
      </x:c>
      <x:c r="E2016" t="str">
        <x:v>Casual</x:v>
      </x:c>
      <x:c r="F2016" t="str">
        <x:v>Standard</x:v>
      </x:c>
      <x:c r="G2016" t="n">
        <x:v>45760</x:v>
      </x:c>
      <x:c r="H2016" t="str">
        <x:v>39482</x:v>
      </x:c>
      <x:c r="I2016" t="str">
        <x:v>https://www.smwcentral.net/?a=details&amp;id=39482&amp;p=section</x:v>
      </x:c>
      <x:c r="J2016" t="str">
        <x:v>https://dl.smwcentral.net/39482/Super%20Mario%20World%202025.zip</x:v>
      </x:c>
    </x:row>
    <x:row r="2017">
      <x:c r="A2017" t="str">
        <x:v>Super Mario World 3 - A whole new world</x:v>
      </x:c>
      <x:c r="B2017" t="str">
        <x:v>Super Mario World 3 - A whole new world</x:v>
      </x:c>
      <x:c r="C2017" t="str">
        <x:v>Easy Difficulty</x:v>
      </x:c>
      <x:c r="D2017" t="n">
        <x:v>44</x:v>
      </x:c>
      <x:c r="E2017" t="str">
        <x:v>Intermediate</x:v>
      </x:c>
      <x:c r="F2017" t="str">
        <x:v>Standard</x:v>
      </x:c>
      <x:c r="G2017" t="n">
        <x:v>44520</x:v>
      </x:c>
      <x:c r="H2017" t="str">
        <x:v>28563</x:v>
      </x:c>
      <x:c r="I2017" t="str">
        <x:v>https://www.smwcentral.net/?a=details&amp;id=28563&amp;p=section</x:v>
      </x:c>
      <x:c r="J2017" t="str">
        <x:v>https://dl.smwcentral.net/28563/SMW3.zip</x:v>
      </x:c>
    </x:row>
    <x:row r="2018">
      <x:c r="A2018" t="str">
        <x:v>Super Mario World 3 - Bowser's Revenge</x:v>
      </x:c>
      <x:c r="B2018" t="str">
        <x:v>Super Mario World 3 - Bowser's Revenge</x:v>
      </x:c>
      <x:c r="C2018" t="str">
        <x:v>thekenbaum</x:v>
      </x:c>
      <x:c r="D2018" t="n">
        <x:v>8</x:v>
      </x:c>
      <x:c r="E2018" t="str">
        <x:v>Newcomer</x:v>
      </x:c>
      <x:c r="F2018" t="str">
        <x:v>Standard</x:v>
      </x:c>
      <x:c r="G2018" t="n">
        <x:v>42308</x:v>
      </x:c>
      <x:c r="H2018" t="str">
        <x:v>10138</x:v>
      </x:c>
      <x:c r="I2018" t="str">
        <x:v>https://www.smwcentral.net/?a=details&amp;id=10138&amp;p=section</x:v>
      </x:c>
      <x:c r="J2018" t="str">
        <x:v>https://dl.smwcentral.net/10138/Super%20Mario%20World%20patch.zip</x:v>
      </x:c>
    </x:row>
    <x:row r="2019">
      <x:c r="A2019" t="str">
        <x:v>Super Mario World 3: The Koopas Strike Back</x:v>
      </x:c>
      <x:c r="B2019" t="str">
        <x:v>Super Mario World 3: The Koopas Strike Back</x:v>
      </x:c>
      <x:c r="C2019" t="str">
        <x:v>RZ1</x:v>
      </x:c>
      <x:c r="D2019" t="n">
        <x:v>29</x:v>
      </x:c>
      <x:c r="E2019" t="str">
        <x:v>Intermediate</x:v>
      </x:c>
      <x:c r="F2019" t="str">
        <x:v>Standard</x:v>
      </x:c>
      <x:c r="G2019" t="n">
        <x:v>44675</x:v>
      </x:c>
      <x:c r="H2019" t="str">
        <x:v>30565</x:v>
      </x:c>
      <x:c r="I2019" t="str">
        <x:v>https://www.smwcentral.net/?a=details&amp;id=30565&amp;p=section</x:v>
      </x:c>
      <x:c r="J2019" t="str">
        <x:v>https://dl.smwcentral.net/30565/SMW3%20-%20TKSB%20v1.06.zip</x:v>
      </x:c>
    </x:row>
    <x:row r="2020">
      <x:c r="A2020" t="str">
        <x:v>Super Mario World 3: The Universe's Star!</x:v>
      </x:c>
      <x:c r="B2020" t="str">
        <x:v>Super Mario World 3: The Universe's Star!</x:v>
      </x:c>
      <x:c r="C2020" t="str">
        <x:v>mariocool1999</x:v>
      </x:c>
      <x:c r="D2020" t="n">
        <x:v>10</x:v>
      </x:c>
      <x:c r="E2020" t="str">
        <x:v>Newcomer</x:v>
      </x:c>
      <x:c r="F2020" t="str">
        <x:v>Standard</x:v>
      </x:c>
      <x:c r="G2020" t="n">
        <x:v>41542</x:v>
      </x:c>
      <x:c r="H2020" t="str">
        <x:v>5245</x:v>
      </x:c>
      <x:c r="I2020" t="str">
        <x:v>https://www.smwcentral.net/?a=details&amp;id=5245&amp;p=section</x:v>
      </x:c>
      <x:c r="J2020" t="str">
        <x:v>https://dl.smwcentral.net/5245/Hack.zip</x:v>
      </x:c>
    </x:row>
    <x:row r="2021">
      <x:c r="A2021" t="str">
        <x:v>Super Mario World 4: The Shining Super Star</x:v>
      </x:c>
      <x:c r="B2021" t="str">
        <x:v>Super Mario World 4: The Shining Super Star</x:v>
      </x:c>
      <x:c r="C2021" t="str">
        <x:v>Super Buzzy Yoshi</x:v>
      </x:c>
      <x:c r="D2021" t="n">
        <x:v>6</x:v>
      </x:c>
      <x:c r="E2021" t="str">
        <x:v>Casual</x:v>
      </x:c>
      <x:c r="F2021" t="str">
        <x:v>Standard</x:v>
      </x:c>
      <x:c r="G2021" t="n">
        <x:v>43637</x:v>
      </x:c>
      <x:c r="H2021" t="str">
        <x:v>20259</x:v>
      </x:c>
      <x:c r="I2021" t="str">
        <x:v>https://www.smwcentral.net/?a=details&amp;id=20259&amp;p=section</x:v>
      </x:c>
      <x:c r="J2021" t="str">
        <x:v>https://dl.smwcentral.net/20259/SMW4.zip</x:v>
      </x:c>
    </x:row>
    <x:row r="2022">
      <x:c r="A2022" t="str">
        <x:v>Super Mario World 64</x:v>
      </x:c>
      <x:c r="B2022" t="str">
        <x:v>Super Mario World 64</x:v>
      </x:c>
      <x:c r="C2022" t="str">
        <x:v>XLer8</x:v>
      </x:c>
      <x:c r="D2022" t="n">
        <x:v>1</x:v>
      </x:c>
      <x:c r="E2022" t="str">
        <x:v>Casual</x:v>
      </x:c>
      <x:c r="F2022" t="str">
        <x:v>Standard</x:v>
      </x:c>
      <x:c r="G2022" t="n">
        <x:v>44886</x:v>
      </x:c>
      <x:c r="H2022" t="str">
        <x:v>32569</x:v>
      </x:c>
      <x:c r="I2022" t="str">
        <x:v>https://www.smwcentral.net/?a=details&amp;id=32569&amp;p=section</x:v>
      </x:c>
      <x:c r="J2022" t="str">
        <x:v>https://dl.smwcentral.net/32569/SuperMarioWorld64-DEMO.zip</x:v>
      </x:c>
    </x:row>
    <x:row r="2023">
      <x:c r="A2023" t="str">
        <x:v>Super Mario World Adventure</x:v>
      </x:c>
      <x:c r="B2023" t="str">
        <x:v>Super Mario World Adventure</x:v>
      </x:c>
      <x:c r="C2023" t="str">
        <x:v>Gregor</x:v>
      </x:c>
      <x:c r="D2023" t="n">
        <x:v>7</x:v>
      </x:c>
      <x:c r="E2023" t="str">
        <x:v>Casual</x:v>
      </x:c>
      <x:c r="F2023" t="str">
        <x:v>Standard</x:v>
      </x:c>
      <x:c r="G2023" t="n">
        <x:v>43028</x:v>
      </x:c>
      <x:c r="H2023" t="str">
        <x:v>16483</x:v>
      </x:c>
      <x:c r="I2023" t="str">
        <x:v>https://www.smwcentral.net/?a=details&amp;id=16483&amp;p=section</x:v>
      </x:c>
      <x:c r="J2023" t="str">
        <x:v>https://dl.smwcentral.net/16483/smwa.zip</x:v>
      </x:c>
    </x:row>
    <x:row r="2024">
      <x:c r="A2024" t="str">
        <x:v>Super Mario World ALPHA 2</x:v>
      </x:c>
      <x:c r="B2024" t="str">
        <x:v>Super Mario World ALPHA 2</x:v>
      </x:c>
      <x:c r="C2024" t="str">
        <x:v>tunest</x:v>
      </x:c>
      <x:c r="D2024" t="n">
        <x:v>76</x:v>
      </x:c>
      <x:c r="E2024" t="str">
        <x:v>Casual</x:v>
      </x:c>
      <x:c r="F2024" t="str">
        <x:v>Standard</x:v>
      </x:c>
      <x:c r="G2024" t="n">
        <x:v>42330</x:v>
      </x:c>
      <x:c r="H2024" t="str">
        <x:v>10056</x:v>
      </x:c>
      <x:c r="I2024" t="str">
        <x:v>https://www.smwcentral.net/?a=details&amp;id=10056&amp;p=section</x:v>
      </x:c>
      <x:c r="J2024" t="str">
        <x:v>https://dl.smwcentral.net/10056/SMWAlpha%202demo3.zip</x:v>
      </x:c>
    </x:row>
    <x:row r="2025">
      <x:c r="A2025" t="str">
        <x:v>Super Mario World and Beyond</x:v>
      </x:c>
      <x:c r="B2025" t="str">
        <x:v>Super Mario World and Beyond</x:v>
      </x:c>
      <x:c r="C2025" t="str">
        <x:v>Tox</x:v>
      </x:c>
      <x:c r="D2025" t="n">
        <x:v>5</x:v>
      </x:c>
      <x:c r="E2025" t="str">
        <x:v>Casual</x:v>
      </x:c>
      <x:c r="F2025" t="str">
        <x:v>Standard</x:v>
      </x:c>
      <x:c r="G2025" t="n">
        <x:v>42843</x:v>
      </x:c>
      <x:c r="H2025" t="str">
        <x:v>15465</x:v>
      </x:c>
      <x:c r="I2025" t="str">
        <x:v>https://www.smwcentral.net/?a=details&amp;id=15465&amp;p=section</x:v>
      </x:c>
      <x:c r="J2025" t="str">
        <x:v>https://dl.smwcentral.net/15465/Super%20Mario%20World%20and%20Beyond.zip</x:v>
      </x:c>
    </x:row>
    <x:row r="2026">
      <x:c r="A2026" t="str">
        <x:v>Super Mario World And the 8 jars</x:v>
      </x:c>
      <x:c r="B2026" t="str">
        <x:v>Super Mario World And the 8 jars</x:v>
      </x:c>
      <x:c r="C2026" t="str">
        <x:v>Mario is the best</x:v>
      </x:c>
      <x:c r="D2026" t="n">
        <x:v>9</x:v>
      </x:c>
      <x:c r="E2026" t="str">
        <x:v>Casual</x:v>
      </x:c>
      <x:c r="F2026" t="str">
        <x:v>Standard</x:v>
      </x:c>
      <x:c r="G2026" t="n">
        <x:v>44043</x:v>
      </x:c>
      <x:c r="H2026" t="str">
        <x:v>24029</x:v>
      </x:c>
      <x:c r="I2026" t="str">
        <x:v>https://www.smwcentral.net/?a=details&amp;id=24029&amp;p=section</x:v>
      </x:c>
      <x:c r="J2026" t="str">
        <x:v>https://dl.smwcentral.net/24029/7jars_new.zip</x:v>
      </x:c>
    </x:row>
    <x:row r="2027">
      <x:c r="A2027" t="str">
        <x:v>Super Mario World and the Bois!</x:v>
      </x:c>
      <x:c r="B2027" t="str">
        <x:v>Super Mario World and the Bois!</x:v>
      </x:c>
      <x:c r="C2027" t="str">
        <x:v>SubconYoshi, The Bois</x:v>
      </x:c>
      <x:c r="D2027" t="n">
        <x:v>16</x:v>
      </x:c>
      <x:c r="E2027" t="str">
        <x:v>Casual</x:v>
      </x:c>
      <x:c r="F2027" t="str">
        <x:v>Standard</x:v>
      </x:c>
      <x:c r="G2027" t="n">
        <x:v>43991</x:v>
      </x:c>
      <x:c r="H2027" t="str">
        <x:v>23276</x:v>
      </x:c>
      <x:c r="I2027" t="str">
        <x:v>https://www.smwcentral.net/?a=details&amp;id=23276&amp;p=section</x:v>
      </x:c>
      <x:c r="J2027" t="str">
        <x:v>https://dl.smwcentral.net/23276/Super%20Mario%20World%20and%20the%20Bois%21.zip</x:v>
      </x:c>
    </x:row>
    <x:row r="2028">
      <x:c r="A2028" t="str">
        <x:v>Super Mario World Arrangement</x:v>
      </x:c>
      <x:c r="B2028" t="str">
        <x:v>Super Mario World Arrangement</x:v>
      </x:c>
      <x:c r="C2028" t="str">
        <x:v>Andyana Jonseph</x:v>
      </x:c>
      <x:c r="D2028" t="n">
        <x:v>7</x:v>
      </x:c>
      <x:c r="E2028" t="str">
        <x:v>Casual</x:v>
      </x:c>
      <x:c r="F2028" t="str">
        <x:v>Standard</x:v>
      </x:c>
      <x:c r="G2028" t="n">
        <x:v>42868</x:v>
      </x:c>
      <x:c r="H2028" t="str">
        <x:v>15568</x:v>
      </x:c>
      <x:c r="I2028" t="str">
        <x:v>https://www.smwcentral.net/?a=details&amp;id=15568&amp;p=section</x:v>
      </x:c>
      <x:c r="J2028" t="str">
        <x:v>https://dl.smwcentral.net/15568/Super%20Mario%20World%20Arrangement.zip</x:v>
      </x:c>
    </x:row>
    <x:row r="2029">
      <x:c r="A2029" t="str">
        <x:v>Super Mario World Beta</x:v>
      </x:c>
      <x:c r="B2029" t="str">
        <x:v>Super Mario World Beta</x:v>
      </x:c>
      <x:c r="C2029" t="str">
        <x:v>Yoshi Master</x:v>
      </x:c>
      <x:c r="D2029" t="n">
        <x:v>17</x:v>
      </x:c>
      <x:c r="E2029" t="str">
        <x:v>Newcomer</x:v>
      </x:c>
      <x:c r="F2029" t="str">
        <x:v>Standard</x:v>
      </x:c>
      <x:c r="G2029" t="n">
        <x:v>41675</x:v>
      </x:c>
      <x:c r="H2029" t="str">
        <x:v>6267</x:v>
      </x:c>
      <x:c r="I2029" t="str">
        <x:v>https://www.smwcentral.net/?a=details&amp;id=6267&amp;p=section</x:v>
      </x:c>
      <x:c r="J2029" t="str">
        <x:v>https://dl.smwcentral.net/6267/Super%20Mario%20World%20Beta.zip</x:v>
      </x:c>
    </x:row>
    <x:row r="2030">
      <x:c r="A2030" t="str">
        <x:v>Super Mario World Bowser's Vacation (JPN)</x:v>
      </x:c>
      <x:c r="B2030" t="str">
        <x:v>Super Mario World Bowser's Vacation (JPN)</x:v>
      </x:c>
      <x:c r="C2030" t="str">
        <x:v>Esc</x:v>
      </x:c>
      <x:c r="D2030" t="n">
        <x:v>36</x:v>
      </x:c>
      <x:c r="E2030" t="str">
        <x:v>Intermediate</x:v>
      </x:c>
      <x:c r="F2030" t="str">
        <x:v>Standard</x:v>
      </x:c>
      <x:c r="G2030" t="n">
        <x:v>44963</x:v>
      </x:c>
      <x:c r="H2030" t="str">
        <x:v>32929</x:v>
      </x:c>
      <x:c r="I2030" t="str">
        <x:v>https://www.smwcentral.net/?a=details&amp;id=32929&amp;p=section</x:v>
      </x:c>
      <x:c r="J2030" t="str">
        <x:v>https://dl.smwcentral.net/32929/SMW_ver.0.5.zip</x:v>
      </x:c>
    </x:row>
    <x:row r="2031">
      <x:c r="A2031" t="str">
        <x:v>Super Mario World Central Production 2</x:v>
      </x:c>
      <x:c r="B2031" t="str">
        <x:v>Super Mario World Central Production 2</x:v>
      </x:c>
      <x:c r="C2031" t="str">
        <x:v>SMW Central</x:v>
      </x:c>
      <x:c r="D2031" t="n">
        <x:v>108</x:v>
      </x:c>
      <x:c r="E2031" t="str">
        <x:v>Intermediate</x:v>
      </x:c>
      <x:c r="F2031" t="str">
        <x:v>Standard</x:v>
      </x:c>
      <x:c r="G2031" t="n">
        <x:v>44765</x:v>
      </x:c>
      <x:c r="H2031" t="str">
        <x:v>30718</x:v>
      </x:c>
      <x:c r="I2031" t="str">
        <x:v>https://www.smwcentral.net/?a=details&amp;id=30718&amp;p=section</x:v>
      </x:c>
      <x:c r="J2031" t="str">
        <x:v>https://dl.smwcentral.net/30718/SMWCP2.zip</x:v>
      </x:c>
    </x:row>
    <x:row r="2032">
      <x:c r="A2032" t="str">
        <x:v>Super Mario World Challenges</x:v>
      </x:c>
      <x:c r="B2032" t="str">
        <x:v>Super Mario World Challenges</x:v>
      </x:c>
      <x:c r="C2032" t="str">
        <x:v>Daizo Dee Von</x:v>
      </x:c>
      <x:c r="D2032" t="n">
        <x:v>12</x:v>
      </x:c>
      <x:c r="E2032" t="str">
        <x:v>Advanced</x:v>
      </x:c>
      <x:c r="F2032" t="str">
        <x:v>Standard</x:v>
      </x:c>
      <x:c r="G2032" t="n">
        <x:v>44496</x:v>
      </x:c>
      <x:c r="H2032" t="str">
        <x:v>28581</x:v>
      </x:c>
      <x:c r="I2032" t="str">
        <x:v>https://www.smwcentral.net/?a=details&amp;id=28581&amp;p=section</x:v>
      </x:c>
      <x:c r="J2032" t="str">
        <x:v>https://dl.smwcentral.net/28581/Super%20Mario%20World%20Challenges.zip</x:v>
      </x:c>
    </x:row>
    <x:row r="2033">
      <x:c r="A2033" t="str">
        <x:v>Super Mario World Challenges 2</x:v>
      </x:c>
      <x:c r="B2033" t="str">
        <x:v>Super Mario World Challenges 2</x:v>
      </x:c>
      <x:c r="C2033" t="str">
        <x:v>Daizo Dee Von</x:v>
      </x:c>
      <x:c r="D2033" t="n">
        <x:v>6</x:v>
      </x:c>
      <x:c r="E2033" t="str">
        <x:v>Advanced</x:v>
      </x:c>
      <x:c r="F2033" t="str">
        <x:v>Standard</x:v>
      </x:c>
      <x:c r="G2033" t="n">
        <x:v>46222</x:v>
      </x:c>
      <x:c r="H2033" t="str">
        <x:v>42545</x:v>
      </x:c>
      <x:c r="I2033" t="str">
        <x:v>https://www.smwcentral.net/?a=details&amp;id=42545&amp;p=section</x:v>
      </x:c>
      <x:c r="J2033" t="str">
        <x:v>https://dl.smwcentral.net/42545/%5BHack%5D%20Super%20Mario%20World%20Challenges%202%20v1.0.2..zip</x:v>
      </x:c>
    </x:row>
    <x:row r="2034">
      <x:c r="A2034" t="str">
        <x:v>Super Mario World Classic Comebacks</x:v>
      </x:c>
      <x:c r="B2034" t="str">
        <x:v>Super Mario World Classic Comebacks</x:v>
      </x:c>
      <x:c r="C2034" t="str">
        <x:v>reghrhre</x:v>
      </x:c>
      <x:c r="D2034" t="n">
        <x:v>7</x:v>
      </x:c>
      <x:c r="E2034" t="str">
        <x:v>Newcomer</x:v>
      </x:c>
      <x:c r="F2034" t="str">
        <x:v>Standard</x:v>
      </x:c>
      <x:c r="G2034" t="n">
        <x:v>41830</x:v>
      </x:c>
      <x:c r="H2034" t="str">
        <x:v>6843</x:v>
      </x:c>
      <x:c r="I2034" t="str">
        <x:v>https://www.smwcentral.net/?a=details&amp;id=6843&amp;p=section</x:v>
      </x:c>
      <x:c r="J2034" t="str">
        <x:v>https://dl.smwcentral.net/6843/Super%20Mario%20World%20Classic%20Comebacks.zip</x:v>
      </x:c>
    </x:row>
    <x:row r="2035">
      <x:c r="A2035" t="str">
        <x:v>Super Mario World Competition Cartridge</x:v>
      </x:c>
      <x:c r="B2035" t="str">
        <x:v>Super Mario World Competition Cartridge</x:v>
      </x:c>
      <x:c r="C2035" t="str">
        <x:v>arnpoly</x:v>
      </x:c>
      <x:c r="D2035" t="n">
        <x:v>0</x:v>
      </x:c>
      <x:c r="E2035" t="str">
        <x:v>Newcomer</x:v>
      </x:c>
      <x:c r="F2035" t="str">
        <x:v>Standard</x:v>
      </x:c>
      <x:c r="G2035" t="n">
        <x:v>41466</x:v>
      </x:c>
      <x:c r="H2035" t="str">
        <x:v>5521</x:v>
      </x:c>
      <x:c r="I2035" t="str">
        <x:v>https://www.smwcentral.net/?a=details&amp;id=5521&amp;p=section</x:v>
      </x:c>
      <x:c r="J2035" t="str">
        <x:v>https://dl.smwcentral.net/5521/SMW%20Competition%20Cartridge.zip</x:v>
      </x:c>
    </x:row>
    <x:row r="2036">
      <x:c r="A2036" t="str">
        <x:v>Super Mario World feat. Marisa Kirisame</x:v>
      </x:c>
      <x:c r="B2036" t="str">
        <x:v>Super Mario World feat. Marisa Kirisame</x:v>
      </x:c>
      <x:c r="C2036" t="str">
        <x:v>FailSandwich</x:v>
      </x:c>
      <x:c r="D2036" t="n">
        <x:v>5</x:v>
      </x:c>
      <x:c r="E2036" t="str">
        <x:v>Casual</x:v>
      </x:c>
      <x:c r="F2036" t="str">
        <x:v>Standard</x:v>
      </x:c>
      <x:c r="G2036" t="n">
        <x:v>43918</x:v>
      </x:c>
      <x:c r="H2036" t="str">
        <x:v>21996</x:v>
      </x:c>
      <x:c r="I2036" t="str">
        <x:v>https://www.smwcentral.net/?a=details&amp;id=21996&amp;p=section</x:v>
      </x:c>
      <x:c r="J2036" t="str">
        <x:v>https://dl.smwcentral.net/21996/smw_ft_marisa.zip</x:v>
      </x:c>
    </x:row>
    <x:row r="2037">
      <x:c r="A2037" t="str">
        <x:v>Super Mario World Future The Shadow Queen Returns 2021</x:v>
      </x:c>
      <x:c r="B2037" t="str">
        <x:v>Super Mario World Future The Shadow Queen Returns 2021</x:v>
      </x:c>
      <x:c r="C2037" t="str">
        <x:v>TheOrangeToad</x:v>
      </x:c>
      <x:c r="D2037" t="n">
        <x:v>52</x:v>
      </x:c>
      <x:c r="E2037" t="str">
        <x:v>Casual</x:v>
      </x:c>
      <x:c r="F2037" t="str">
        <x:v>Standard</x:v>
      </x:c>
      <x:c r="G2037" t="n">
        <x:v>44271</x:v>
      </x:c>
      <x:c r="H2037" t="str">
        <x:v>26093</x:v>
      </x:c>
      <x:c r="I2037" t="str">
        <x:v>https://www.smwcentral.net/?a=details&amp;id=26093&amp;p=section</x:v>
      </x:c>
      <x:c r="J2037" t="str">
        <x:v>https://dl.smwcentral.net/26093/SMW%20Future%202021%20Demo.zip</x:v>
      </x:c>
    </x:row>
    <x:row r="2038">
      <x:c r="A2038" t="str">
        <x:v>Super Mario World Hacks 101</x:v>
      </x:c>
      <x:c r="B2038" t="str">
        <x:v>Super Mario World Hacks 101</x:v>
      </x:c>
      <x:c r="C2038" t="str">
        <x:v>Tails_155</x:v>
      </x:c>
      <x:c r="D2038" t="n">
        <x:v>20</x:v>
      </x:c>
      <x:c r="E2038" t="str">
        <x:v>Casual</x:v>
      </x:c>
      <x:c r="F2038" t="str">
        <x:v>Standard</x:v>
      </x:c>
      <x:c r="G2038" t="n">
        <x:v>43595</x:v>
      </x:c>
      <x:c r="H2038" t="str">
        <x:v>19884</x:v>
      </x:c>
      <x:c r="I2038" t="str">
        <x:v>https://www.smwcentral.net/?a=details&amp;id=19884&amp;p=section</x:v>
      </x:c>
      <x:c r="J2038" t="str">
        <x:v>https://dl.smwcentral.net/19884/SMW_Hacks_101_Fixed.zip</x:v>
      </x:c>
    </x:row>
    <x:row r="2039">
      <x:c r="A2039" t="str">
        <x:v>Super Mario World II</x:v>
      </x:c>
      <x:c r="B2039" t="str">
        <x:v>Super Mario World II</x:v>
      </x:c>
      <x:c r="C2039" t="str">
        <x:v>Saturn the Donkey</x:v>
      </x:c>
      <x:c r="D2039" t="n">
        <x:v>97</x:v>
      </x:c>
      <x:c r="E2039" t="str">
        <x:v>Intermediate</x:v>
      </x:c>
      <x:c r="F2039" t="str">
        <x:v>Standard</x:v>
      </x:c>
      <x:c r="G2039" t="n">
        <x:v>46205</x:v>
      </x:c>
      <x:c r="H2039" t="str">
        <x:v>42555</x:v>
      </x:c>
      <x:c r="I2039" t="str">
        <x:v>https://www.smwcentral.net/?a=details&amp;id=42555&amp;p=section</x:v>
      </x:c>
      <x:c r="J2039" t="str">
        <x:v>https://dl.smwcentral.net/42555/Super%20Mario%20World%20II.zip</x:v>
      </x:c>
    </x:row>
    <x:row r="2040">
      <x:c r="A2040" t="str">
        <x:v>Super Mario World Master Quest 1</x:v>
      </x:c>
      <x:c r="B2040" t="str">
        <x:v>Super Mario World Master Quest 1</x:v>
      </x:c>
      <x:c r="C2040" t="str">
        <x:v>Alex No</x:v>
      </x:c>
      <x:c r="D2040" t="n">
        <x:v>96</x:v>
      </x:c>
      <x:c r="E2040" t="str">
        <x:v>Casual</x:v>
      </x:c>
      <x:c r="F2040" t="str">
        <x:v>Standard</x:v>
      </x:c>
      <x:c r="G2040" t="n">
        <x:v>42225</x:v>
      </x:c>
      <x:c r="H2040" t="str">
        <x:v>9832</x:v>
      </x:c>
      <x:c r="I2040" t="str">
        <x:v>https://www.smwcentral.net/?a=details&amp;id=9832&amp;p=section</x:v>
      </x:c>
      <x:c r="J2040" t="str">
        <x:v>https://dl.smwcentral.net/9832/Super%20Mario%20World%20Master%20Quest%201.zip</x:v>
      </x:c>
    </x:row>
    <x:row r="2041">
      <x:c r="A2041" t="str">
        <x:v>Super Mario World Master Quest 2</x:v>
      </x:c>
      <x:c r="B2041" t="str">
        <x:v>Super Mario World Master Quest 2</x:v>
      </x:c>
      <x:c r="C2041" t="str">
        <x:v>Alex No</x:v>
      </x:c>
      <x:c r="D2041" t="n">
        <x:v>96</x:v>
      </x:c>
      <x:c r="E2041" t="str">
        <x:v>Casual</x:v>
      </x:c>
      <x:c r="F2041" t="str">
        <x:v>Standard</x:v>
      </x:c>
      <x:c r="G2041" t="n">
        <x:v>42241</x:v>
      </x:c>
      <x:c r="H2041" t="str">
        <x:v>9690</x:v>
      </x:c>
      <x:c r="I2041" t="str">
        <x:v>https://www.smwcentral.net/?a=details&amp;id=9690&amp;p=section</x:v>
      </x:c>
      <x:c r="J2041" t="str">
        <x:v>https://dl.smwcentral.net/9690/Super%20Mario%20World%20Master%20Quest%202%20%28Update%201.3%29.zip</x:v>
      </x:c>
    </x:row>
    <x:row r="2042">
      <x:c r="A2042" t="str">
        <x:v>Super Mario World Master Quest 3: The Adventure Of Mario</x:v>
      </x:c>
      <x:c r="B2042" t="str">
        <x:v>Super Mario World Master Quest 3: The Adventure Of Mario</x:v>
      </x:c>
      <x:c r="C2042" t="str">
        <x:v>Alex No</x:v>
      </x:c>
      <x:c r="D2042" t="n">
        <x:v>100</x:v>
      </x:c>
      <x:c r="E2042" t="str">
        <x:v>Intermediate</x:v>
      </x:c>
      <x:c r="F2042" t="str">
        <x:v>Standard</x:v>
      </x:c>
      <x:c r="G2042" t="n">
        <x:v>41691</x:v>
      </x:c>
      <x:c r="H2042" t="str">
        <x:v>6315</x:v>
      </x:c>
      <x:c r="I2042" t="str">
        <x:v>https://www.smwcentral.net/?a=details&amp;id=6315&amp;p=section</x:v>
      </x:c>
      <x:c r="J2042" t="str">
        <x:v>https://dl.smwcentral.net/6315/Super%20Mario%20World%20Master%20Quest%206%20%2CUPDATE%201%2C3.zip</x:v>
      </x:c>
    </x:row>
    <x:row r="2043">
      <x:c r="A2043" t="str">
        <x:v>Super Mario World Master Quest 4: Redrawn</x:v>
      </x:c>
      <x:c r="B2043" t="str">
        <x:v>Super Mario World Master Quest 4: Redrawn</x:v>
      </x:c>
      <x:c r="C2043" t="str">
        <x:v>Alex No</x:v>
      </x:c>
      <x:c r="D2043" t="n">
        <x:v>70</x:v>
      </x:c>
      <x:c r="E2043" t="str">
        <x:v>Casual</x:v>
      </x:c>
      <x:c r="F2043" t="str">
        <x:v>Standard</x:v>
      </x:c>
      <x:c r="G2043" t="n">
        <x:v>42251</x:v>
      </x:c>
      <x:c r="H2043" t="str">
        <x:v>9901</x:v>
      </x:c>
      <x:c r="I2043" t="str">
        <x:v>https://www.smwcentral.net/?a=details&amp;id=9901&amp;p=section</x:v>
      </x:c>
      <x:c r="J2043" t="str">
        <x:v>https://dl.smwcentral.net/9901/Super%20Mario%20World%20Master%20Quest%204%20Redrawn%20Update%201.2.zip</x:v>
      </x:c>
    </x:row>
    <x:row r="2044">
      <x:c r="A2044" t="str">
        <x:v>Super Mario World Master Quest 8: The Final Quest</x:v>
      </x:c>
      <x:c r="B2044" t="str">
        <x:v>Super Mario World Master Quest 8: The Final Quest</x:v>
      </x:c>
      <x:c r="C2044" t="str">
        <x:v>Alex No</x:v>
      </x:c>
      <x:c r="D2044" t="n">
        <x:v>120</x:v>
      </x:c>
      <x:c r="E2044" t="str">
        <x:v>Casual</x:v>
      </x:c>
      <x:c r="F2044" t="str">
        <x:v>Standard</x:v>
      </x:c>
      <x:c r="G2044" t="n">
        <x:v>42296</x:v>
      </x:c>
      <x:c r="H2044" t="str">
        <x:v>10186</x:v>
      </x:c>
      <x:c r="I2044" t="str">
        <x:v>https://www.smwcentral.net/?a=details&amp;id=10186&amp;p=section</x:v>
      </x:c>
      <x:c r="J2044" t="str">
        <x:v>https://dl.smwcentral.net/10186/Super%20Mario%20World%20Master%20Quest%208%20The%20Final%20Quest%201%2C3.zip</x:v>
      </x:c>
    </x:row>
    <x:row r="2045">
      <x:c r="A2045" t="str">
        <x:v>Super Mario World Master Quest Reborn</x:v>
      </x:c>
      <x:c r="B2045" t="str">
        <x:v>Super Mario World Master Quest Reborn</x:v>
      </x:c>
      <x:c r="C2045" t="str">
        <x:v>Alex No</x:v>
      </x:c>
      <x:c r="D2045" t="n">
        <x:v>89</x:v>
      </x:c>
      <x:c r="E2045" t="str">
        <x:v>Intermediate</x:v>
      </x:c>
      <x:c r="F2045" t="str">
        <x:v>Standard</x:v>
      </x:c>
      <x:c r="G2045" t="n">
        <x:v>44605</x:v>
      </x:c>
      <x:c r="H2045" t="str">
        <x:v>29698</x:v>
      </x:c>
      <x:c r="I2045" t="str">
        <x:v>https://www.smwcentral.net/?a=details&amp;id=29698&amp;p=section</x:v>
      </x:c>
      <x:c r="J2045" t="str">
        <x:v>https://dl.smwcentral.net/29698/Super_Mario_World_Master_Quest_Reborn_2.3.zip</x:v>
      </x:c>
    </x:row>
    <x:row r="2046">
      <x:c r="A2046" t="str">
        <x:v>Super Mario World Mix</x:v>
      </x:c>
      <x:c r="B2046" t="str">
        <x:v>Super Mario World Mix</x:v>
      </x:c>
      <x:c r="C2046" t="str">
        <x:v>Steven Atauchi C.</x:v>
      </x:c>
      <x:c r="D2046" t="n">
        <x:v>29</x:v>
      </x:c>
      <x:c r="E2046" t="str">
        <x:v>Intermediate</x:v>
      </x:c>
      <x:c r="F2046" t="str">
        <x:v>Standard</x:v>
      </x:c>
      <x:c r="G2046" t="n">
        <x:v>45926</x:v>
      </x:c>
      <x:c r="H2046" t="str">
        <x:v>40597</x:v>
      </x:c>
      <x:c r="I2046" t="str">
        <x:v>https://www.smwcentral.net/?a=details&amp;id=40597&amp;p=section</x:v>
      </x:c>
      <x:c r="J2046" t="str">
        <x:v>https://dl.smwcentral.net/40597/SMW_MIX_BETA2.zip</x:v>
      </x:c>
    </x:row>
    <x:row r="2047">
      <x:c r="A2047" t="str">
        <x:v>Super Mario World Random Revolution X</x:v>
      </x:c>
      <x:c r="B2047" t="str">
        <x:v>Super Mario World Random Revolution X</x:v>
      </x:c>
      <x:c r="C2047" t="str">
        <x:v>SMWRR Team</x:v>
      </x:c>
      <x:c r="D2047" t="n">
        <x:v>0</x:v>
      </x:c>
      <x:c r="E2047" t="str">
        <x:v>Advanced</x:v>
      </x:c>
      <x:c r="F2047" t="str">
        <x:v>Standard</x:v>
      </x:c>
      <x:c r="G2047" t="n">
        <x:v>45386</x:v>
      </x:c>
      <x:c r="H2047" t="str">
        <x:v>37161</x:v>
      </x:c>
      <x:c r="I2047" t="str">
        <x:v>https://www.smwcentral.net/?a=details&amp;id=37161&amp;p=section</x:v>
      </x:c>
      <x:c r="J2047" t="str">
        <x:v>https://dl.smwcentral.net/37161/Super%20Mario%20World%20Random%20Revolution%20X%20V1.0.zip</x:v>
      </x:c>
    </x:row>
    <x:row r="2048">
      <x:c r="A2048" t="str">
        <x:v>Super Mario World Reloaded</x:v>
      </x:c>
      <x:c r="B2048" t="str">
        <x:v>Super Mario World Reloaded</x:v>
      </x:c>
      <x:c r="C2048" t="str">
        <x:v>AltheronX</x:v>
      </x:c>
      <x:c r="D2048" t="n">
        <x:v>6</x:v>
      </x:c>
      <x:c r="E2048" t="str">
        <x:v>Newcomer</x:v>
      </x:c>
      <x:c r="F2048" t="str">
        <x:v>Standard</x:v>
      </x:c>
      <x:c r="G2048" t="n">
        <x:v>42315</x:v>
      </x:c>
      <x:c r="H2048" t="str">
        <x:v>10289</x:v>
      </x:c>
      <x:c r="I2048" t="str">
        <x:v>https://www.smwcentral.net/?a=details&amp;id=10289&amp;p=section</x:v>
      </x:c>
      <x:c r="J2048" t="str">
        <x:v>https://dl.smwcentral.net/10289/AltheronX.zip</x:v>
      </x:c>
    </x:row>
    <x:row r="2049">
      <x:c r="A2049" t="str">
        <x:v>Super Mario World Remix</x:v>
      </x:c>
      <x:c r="B2049" t="str">
        <x:v>Super Mario World Remix</x:v>
      </x:c>
      <x:c r="C2049" t="str">
        <x:v>YMM</x:v>
      </x:c>
      <x:c r="D2049" t="n">
        <x:v>32</x:v>
      </x:c>
      <x:c r="E2049" t="str">
        <x:v>Intermediate</x:v>
      </x:c>
      <x:c r="F2049" t="str">
        <x:v>Standard</x:v>
      </x:c>
      <x:c r="G2049" t="n">
        <x:v>44189</x:v>
      </x:c>
      <x:c r="H2049" t="str">
        <x:v>25540</x:v>
      </x:c>
      <x:c r="I2049" t="str">
        <x:v>https://www.smwcentral.net/?a=details&amp;id=25540&amp;p=section</x:v>
      </x:c>
      <x:c r="J2049" t="str">
        <x:v>https://dl.smwcentral.net/25540/SuperMarioWorldRemix.zip</x:v>
      </x:c>
    </x:row>
    <x:row r="2050">
      <x:c r="A2050" t="str">
        <x:v>Super Mario World Revamped</x:v>
      </x:c>
      <x:c r="B2050" t="str">
        <x:v>Super Mario World Revamped</x:v>
      </x:c>
      <x:c r="C2050" t="str">
        <x:v>msi810</x:v>
      </x:c>
      <x:c r="D2050" t="n">
        <x:v>5</x:v>
      </x:c>
      <x:c r="E2050" t="str">
        <x:v>Casual</x:v>
      </x:c>
      <x:c r="F2050" t="str">
        <x:v>Standard</x:v>
      </x:c>
      <x:c r="G2050" t="n">
        <x:v>42425</x:v>
      </x:c>
      <x:c r="H2050" t="str">
        <x:v>13364</x:v>
      </x:c>
      <x:c r="I2050" t="str">
        <x:v>https://www.smwcentral.net/?a=details&amp;id=13364&amp;p=section</x:v>
      </x:c>
      <x:c r="J2050" t="str">
        <x:v>https://dl.smwcentral.net/13364/Super%20Mario%20World%20Revamped.zip</x:v>
      </x:c>
    </x:row>
    <x:row r="2051">
      <x:c r="A2051" t="str">
        <x:v>Super Mario World Ridley X Hack</x:v>
      </x:c>
      <x:c r="B2051" t="str">
        <x:v>Super Mario World Ridley X Hack</x:v>
      </x:c>
      <x:c r="C2051" t="str">
        <x:v>Ridley X</x:v>
      </x:c>
      <x:c r="D2051" t="n">
        <x:v>52</x:v>
      </x:c>
      <x:c r="E2051" t="str">
        <x:v>Casual</x:v>
      </x:c>
      <x:c r="F2051" t="str">
        <x:v>Standard</x:v>
      </x:c>
      <x:c r="G2051" t="n">
        <x:v>46102</x:v>
      </x:c>
      <x:c r="H2051" t="str">
        <x:v>41928</x:v>
      </x:c>
      <x:c r="I2051" t="str">
        <x:v>https://www.smwcentral.net/?a=details&amp;id=41928&amp;p=section</x:v>
      </x:c>
      <x:c r="J2051" t="str">
        <x:v>https://dl.smwcentral.net/41928/smw%20ridleyx%20hack%20v1.0.zip</x:v>
      </x:c>
    </x:row>
    <x:row r="2052">
      <x:c r="A2052" t="str">
        <x:v>Super Mario World The Forest  Adventure</x:v>
      </x:c>
      <x:c r="B2052" t="str">
        <x:v>Super Mario World The Forest  Adventure</x:v>
      </x:c>
      <x:c r="C2052" t="str">
        <x:v>jesus angel</x:v>
      </x:c>
      <x:c r="D2052" t="n">
        <x:v>1</x:v>
      </x:c>
      <x:c r="E2052" t="str">
        <x:v>Advanced</x:v>
      </x:c>
      <x:c r="F2052" t="str">
        <x:v>Kaizo</x:v>
      </x:c>
      <x:c r="G2052" t="n">
        <x:v>44302</x:v>
      </x:c>
      <x:c r="H2052" t="str">
        <x:v>26478</x:v>
      </x:c>
      <x:c r="I2052" t="str">
        <x:v>https://www.smwcentral.net/?a=details&amp;id=26478&amp;p=section</x:v>
      </x:c>
      <x:c r="J2052" t="str">
        <x:v>https://dl.smwcentral.net/26478/Super%20Mario%20World%20The%20Forest%20Adventure.zip</x:v>
      </x:c>
    </x:row>
    <x:row r="2053">
      <x:c r="A2053" t="str">
        <x:v>Super Mario World The Garden</x:v>
      </x:c>
      <x:c r="B2053" t="str">
        <x:v>Super Mario World The Garden</x:v>
      </x:c>
      <x:c r="C2053" t="str">
        <x:v>jesus angel</x:v>
      </x:c>
      <x:c r="D2053" t="n">
        <x:v>1</x:v>
      </x:c>
      <x:c r="E2053" t="str">
        <x:v>Expert</x:v>
      </x:c>
      <x:c r="F2053" t="str">
        <x:v>Kaizo</x:v>
      </x:c>
      <x:c r="G2053" t="n">
        <x:v>44378</x:v>
      </x:c>
      <x:c r="H2053" t="str">
        <x:v>27237</x:v>
      </x:c>
      <x:c r="I2053" t="str">
        <x:v>https://www.smwcentral.net/?a=details&amp;id=27237&amp;p=section</x:v>
      </x:c>
      <x:c r="J2053" t="str">
        <x:v>https://dl.smwcentral.net/27237/Super%20Mario%20World%20The%20Garden.zip</x:v>
      </x:c>
    </x:row>
    <x:row r="2054">
      <x:c r="A2054" t="str">
        <x:v>Super Mario World The Pit Version</x:v>
      </x:c>
      <x:c r="B2054" t="str">
        <x:v>Super Mario World The Pit Version</x:v>
      </x:c>
      <x:c r="C2054" t="str">
        <x:v>Gabriel12102673</x:v>
      </x:c>
      <x:c r="D2054" t="n">
        <x:v>1</x:v>
      </x:c>
      <x:c r="E2054" t="str">
        <x:v>Expert</x:v>
      </x:c>
      <x:c r="F2054" t="str">
        <x:v>Tool-Assisted, Pit</x:v>
      </x:c>
      <x:c r="G2054" t="n">
        <x:v>43459</x:v>
      </x:c>
      <x:c r="H2054" t="str">
        <x:v>18631</x:v>
      </x:c>
      <x:c r="I2054" t="str">
        <x:v>https://www.smwcentral.net/?a=details&amp;id=18631&amp;p=section</x:v>
      </x:c>
      <x:c r="J2054" t="str">
        <x:v>https://dl.smwcentral.net/18631/SMWTPV.zip</x:v>
      </x:c>
    </x:row>
    <x:row r="2055">
      <x:c r="A2055" t="str">
        <x:v>Super Mario World the Reture</x:v>
      </x:c>
      <x:c r="B2055" t="str">
        <x:v>Super Mario World the Reture</x:v>
      </x:c>
      <x:c r="C2055" t="str">
        <x:v>Hellsingrunner, Redbone112, ShodanWii, TheRealNinjaBoy, Userofdoom, uNkNowN7642</x:v>
      </x:c>
      <x:c r="D2055" t="n">
        <x:v>6</x:v>
      </x:c>
      <x:c r="E2055" t="str">
        <x:v>Casual</x:v>
      </x:c>
      <x:c r="F2055" t="str">
        <x:v>Standard</x:v>
      </x:c>
      <x:c r="G2055" t="n">
        <x:v>42217</x:v>
      </x:c>
      <x:c r="H2055" t="str">
        <x:v>9777</x:v>
      </x:c>
      <x:c r="I2055" t="str">
        <x:v>https://www.smwcentral.net/?a=details&amp;id=9777&amp;p=section</x:v>
      </x:c>
      <x:c r="J2055" t="str">
        <x:v>https://dl.smwcentral.net/9777/SMW%20the%20Reture%201st%20World%20Demo.zip</x:v>
      </x:c>
    </x:row>
    <x:row r="2056">
      <x:c r="A2056" t="str">
        <x:v>Super Mario World Ultra</x:v>
      </x:c>
      <x:c r="B2056" t="str">
        <x:v>Super Mario World Ultra</x:v>
      </x:c>
      <x:c r="C2056" t="str">
        <x:v>LHB</x:v>
      </x:c>
      <x:c r="D2056" t="n">
        <x:v>13</x:v>
      </x:c>
      <x:c r="E2056" t="str">
        <x:v>Casual</x:v>
      </x:c>
      <x:c r="F2056" t="str">
        <x:v>Standard</x:v>
      </x:c>
      <x:c r="G2056" t="n">
        <x:v>42427</x:v>
      </x:c>
      <x:c r="H2056" t="str">
        <x:v>13341</x:v>
      </x:c>
      <x:c r="I2056" t="str">
        <x:v>https://www.smwcentral.net/?a=details&amp;id=13341&amp;p=section</x:v>
      </x:c>
      <x:c r="J2056" t="str">
        <x:v>https://dl.smwcentral.net/13341/Super%20Mario%20World%20Ultra.zip</x:v>
      </x:c>
    </x:row>
    <x:row r="2057">
      <x:c r="A2057" t="str">
        <x:v>Super Mario World-2</x:v>
      </x:c>
      <x:c r="B2057" t="str">
        <x:v>Super Mario World-2</x:v>
      </x:c>
      <x:c r="C2057" t="str">
        <x:v>Easy Difficulty</x:v>
      </x:c>
      <x:c r="D2057" t="n">
        <x:v>90</x:v>
      </x:c>
      <x:c r="E2057" t="str">
        <x:v>Advanced</x:v>
      </x:c>
      <x:c r="F2057" t="str">
        <x:v>Standard</x:v>
      </x:c>
      <x:c r="G2057" t="n">
        <x:v>45491</x:v>
      </x:c>
      <x:c r="H2057" t="str">
        <x:v>37830</x:v>
      </x:c>
      <x:c r="I2057" t="str">
        <x:v>https://www.smwcentral.net/?a=details&amp;id=37830&amp;p=section</x:v>
      </x:c>
      <x:c r="J2057" t="str">
        <x:v>https://dl.smwcentral.net/37830/SMW-2.zip</x:v>
      </x:c>
    </x:row>
    <x:row r="2058">
      <x:c r="A2058" t="str">
        <x:v>Super Mario World-3</x:v>
      </x:c>
      <x:c r="B2058" t="str">
        <x:v>Super Mario World-3</x:v>
      </x:c>
      <x:c r="C2058" t="str">
        <x:v>Easy Difficulty</x:v>
      </x:c>
      <x:c r="D2058" t="n">
        <x:v>111</x:v>
      </x:c>
      <x:c r="E2058" t="str">
        <x:v>Expert</x:v>
      </x:c>
      <x:c r="F2058" t="str">
        <x:v>Standard</x:v>
      </x:c>
      <x:c r="G2058" t="n">
        <x:v>45895</x:v>
      </x:c>
      <x:c r="H2058" t="str">
        <x:v>40129</x:v>
      </x:c>
      <x:c r="I2058" t="str">
        <x:v>https://www.smwcentral.net/?a=details&amp;id=40129&amp;p=section</x:v>
      </x:c>
      <x:c r="J2058" t="str">
        <x:v>https://dl.smwcentral.net/40129/SMW-3%20v1.1.zip</x:v>
      </x:c>
    </x:row>
    <x:row r="2059">
      <x:c r="A2059" t="str">
        <x:v>Super Mario World: "Not Over Yet"</x:v>
      </x:c>
      <x:c r="B2059" t="str">
        <x:v>Super Mario World: "Not Over Yet"</x:v>
      </x:c>
      <x:c r="C2059" t="str">
        <x:v>Mayonnai, Ringo</x:v>
      </x:c>
      <x:c r="D2059" t="n">
        <x:v>8</x:v>
      </x:c>
      <x:c r="E2059" t="str">
        <x:v>Casual</x:v>
      </x:c>
      <x:c r="F2059" t="str">
        <x:v>Standard</x:v>
      </x:c>
      <x:c r="G2059" t="n">
        <x:v>44528</x:v>
      </x:c>
      <x:c r="H2059" t="str">
        <x:v>28886</x:v>
      </x:c>
      <x:c r="I2059" t="str">
        <x:v>https://www.smwcentral.net/?a=details&amp;id=28886&amp;p=section</x:v>
      </x:c>
      <x:c r="J2059" t="str">
        <x:v>https://dl.smwcentral.net/28886/smwnoia.zip</x:v>
      </x:c>
    </x:row>
    <x:row r="2060">
      <x:c r="A2060" t="str">
        <x:v>Super Mario World: A New Adventure 2</x:v>
      </x:c>
      <x:c r="B2060" t="str">
        <x:v>Super Mario World: A New Adventure 2</x:v>
      </x:c>
      <x:c r="C2060" t="str">
        <x:v>drake-68</x:v>
      </x:c>
      <x:c r="D2060" t="n">
        <x:v>5</x:v>
      </x:c>
      <x:c r="E2060" t="str">
        <x:v>Newcomer</x:v>
      </x:c>
      <x:c r="F2060" t="str">
        <x:v>Standard</x:v>
      </x:c>
      <x:c r="G2060" t="n">
        <x:v>42130</x:v>
      </x:c>
      <x:c r="H2060" t="str">
        <x:v>10267</x:v>
      </x:c>
      <x:c r="I2060" t="str">
        <x:v>https://www.smwcentral.net/?a=details&amp;id=10267&amp;p=section</x:v>
      </x:c>
      <x:c r="J2060" t="str">
        <x:v>https://dl.smwcentral.net/10267/SMW%20A%20New%20Adventure%202.zip</x:v>
      </x:c>
    </x:row>
    <x:row r="2061">
      <x:c r="A2061" t="str">
        <x:v>Super Mario World: A Pineapple Kingdom</x:v>
      </x:c>
      <x:c r="B2061" t="str">
        <x:v>Super Mario World: A Pineapple Kingdom</x:v>
      </x:c>
      <x:c r="C2061" t="str">
        <x:v>Chromite</x:v>
      </x:c>
      <x:c r="D2061" t="n">
        <x:v>6</x:v>
      </x:c>
      <x:c r="E2061" t="str">
        <x:v>Newcomer</x:v>
      </x:c>
      <x:c r="F2061" t="str">
        <x:v>Standard</x:v>
      </x:c>
      <x:c r="G2061" t="n">
        <x:v>41542</x:v>
      </x:c>
      <x:c r="H2061" t="str">
        <x:v>5495</x:v>
      </x:c>
      <x:c r="I2061" t="str">
        <x:v>https://www.smwcentral.net/?a=details&amp;id=5495&amp;p=section</x:v>
      </x:c>
      <x:c r="J2061" t="str">
        <x:v>https://dl.smwcentral.net/5495/APK%20C3%20Demo.zip</x:v>
      </x:c>
    </x:row>
    <x:row r="2062">
      <x:c r="A2062" t="str">
        <x:v>Super Mario World: A Super Mario Adventure</x:v>
      </x:c>
      <x:c r="B2062" t="str">
        <x:v>Super Mario World: A Super Mario Adventure</x:v>
      </x:c>
      <x:c r="C2062" t="str">
        <x:v>KaidenThelens</x:v>
      </x:c>
      <x:c r="D2062" t="n">
        <x:v>50</x:v>
      </x:c>
      <x:c r="E2062" t="str">
        <x:v>Casual</x:v>
      </x:c>
      <x:c r="F2062" t="str">
        <x:v>Standard</x:v>
      </x:c>
      <x:c r="G2062" t="n">
        <x:v>44071</x:v>
      </x:c>
      <x:c r="H2062" t="str">
        <x:v>24426</x:v>
      </x:c>
      <x:c r="I2062" t="str">
        <x:v>https://www.smwcentral.net/?a=details&amp;id=24426&amp;p=section</x:v>
      </x:c>
      <x:c r="J2062" t="str">
        <x:v>https://dl.smwcentral.net/24426/A%20ROM%20Hack..zip</x:v>
      </x:c>
    </x:row>
    <x:row r="2063">
      <x:c r="A2063" t="str">
        <x:v>Super Mario World: A Super Mario Adventure 2 (V2.0)</x:v>
      </x:c>
      <x:c r="B2063" t="str">
        <x:v>Super Mario World: A Super Mario Adventure 2 (V2.0)</x:v>
      </x:c>
      <x:c r="C2063" t="str">
        <x:v>KaidenThelens</x:v>
      </x:c>
      <x:c r="D2063" t="n">
        <x:v>69</x:v>
      </x:c>
      <x:c r="E2063" t="str">
        <x:v>Intermediate</x:v>
      </x:c>
      <x:c r="F2063" t="str">
        <x:v>Standard</x:v>
      </x:c>
      <x:c r="G2063" t="n">
        <x:v>44418</x:v>
      </x:c>
      <x:c r="H2063" t="str">
        <x:v>27401</x:v>
      </x:c>
      <x:c r="I2063" t="str">
        <x:v>https://www.smwcentral.net/?a=details&amp;id=27401&amp;p=section</x:v>
      </x:c>
      <x:c r="J2063" t="str">
        <x:v>https://dl.smwcentral.net/27401/A%20Super%20Mario%20Adventure%202%20%28V2.0%29.zip</x:v>
      </x:c>
    </x:row>
    <x:row r="2064">
      <x:c r="A2064" t="str">
        <x:v>Super Mario World: A Super Mario Adventure 3</x:v>
      </x:c>
      <x:c r="B2064" t="str">
        <x:v>Super Mario World: A Super Mario Adventure 3</x:v>
      </x:c>
      <x:c r="C2064" t="str">
        <x:v>KaidenThelens</x:v>
      </x:c>
      <x:c r="D2064" t="n">
        <x:v>94</x:v>
      </x:c>
      <x:c r="E2064" t="str">
        <x:v>Intermediate</x:v>
      </x:c>
      <x:c r="F2064" t="str">
        <x:v>Standard</x:v>
      </x:c>
      <x:c r="G2064" t="n">
        <x:v>44505</x:v>
      </x:c>
      <x:c r="H2064" t="str">
        <x:v>28619</x:v>
      </x:c>
      <x:c r="I2064" t="str">
        <x:v>https://www.smwcentral.net/?a=details&amp;id=28619&amp;p=section</x:v>
      </x:c>
      <x:c r="J2064" t="str">
        <x:v>https://dl.smwcentral.net/28619/SMW%20A%20Super%20Mario%20Adventure%203%20%28V2.0%29.zip</x:v>
      </x:c>
    </x:row>
    <x:row r="2065">
      <x:c r="A2065" t="str">
        <x:v>Super Mario World: Adventure in Forest Land</x:v>
      </x:c>
      <x:c r="B2065" t="str">
        <x:v>Super Mario World: Adventure in Forest Land</x:v>
      </x:c>
      <x:c r="C2065" t="str">
        <x:v>Green Jerry</x:v>
      </x:c>
      <x:c r="D2065" t="n">
        <x:v>34</x:v>
      </x:c>
      <x:c r="E2065" t="str">
        <x:v>Intermediate</x:v>
      </x:c>
      <x:c r="F2065" t="str">
        <x:v>Standard</x:v>
      </x:c>
      <x:c r="G2065" t="n">
        <x:v>45891</x:v>
      </x:c>
      <x:c r="H2065" t="str">
        <x:v>40321</x:v>
      </x:c>
      <x:c r="I2065" t="str">
        <x:v>https://www.smwcentral.net/?a=details&amp;id=40321&amp;p=section</x:v>
      </x:c>
      <x:c r="J2065" t="str">
        <x:v>https://dl.smwcentral.net/40321/Super%20Mario%20World%20-%20Adventure%20in%20Forest%20Land%20v1.0.zip</x:v>
      </x:c>
    </x:row>
    <x:row r="2066">
      <x:c r="A2066" t="str">
        <x:v>Super Mario World: Adventures On Petite Island</x:v>
      </x:c>
      <x:c r="B2066" t="str">
        <x:v>Super Mario World: Adventures On Petite Island</x:v>
      </x:c>
      <x:c r="C2066" t="str">
        <x:v>xAsianjay</x:v>
      </x:c>
      <x:c r="D2066" t="n">
        <x:v>7</x:v>
      </x:c>
      <x:c r="E2066" t="str">
        <x:v>Intermediate</x:v>
      </x:c>
      <x:c r="F2066" t="str">
        <x:v>Standard</x:v>
      </x:c>
      <x:c r="G2066" t="n">
        <x:v>41681</x:v>
      </x:c>
      <x:c r="H2066" t="str">
        <x:v>6286</x:v>
      </x:c>
      <x:c r="I2066" t="str">
        <x:v>https://www.smwcentral.net/?a=details&amp;id=6286&amp;p=section</x:v>
      </x:c>
      <x:c r="J2066" t="str">
        <x:v>https://dl.smwcentral.net/6286/SMWAPI%20v1.1.zip</x:v>
      </x:c>
    </x:row>
    <x:row r="2067">
      <x:c r="A2067" t="str">
        <x:v>Super Mario World: Again in Dinosaur Land</x:v>
      </x:c>
      <x:c r="B2067" t="str">
        <x:v>Super Mario World: Again in Dinosaur Land</x:v>
      </x:c>
      <x:c r="C2067" t="str">
        <x:v>7 up</x:v>
      </x:c>
      <x:c r="D2067" t="n">
        <x:v>10</x:v>
      </x:c>
      <x:c r="E2067" t="str">
        <x:v>Casual</x:v>
      </x:c>
      <x:c r="F2067" t="str">
        <x:v>Standard</x:v>
      </x:c>
      <x:c r="G2067" t="n">
        <x:v>43347</x:v>
      </x:c>
      <x:c r="H2067" t="str">
        <x:v>18091</x:v>
      </x:c>
      <x:c r="I2067" t="str">
        <x:v>https://www.smwcentral.net/?a=details&amp;id=18091&amp;p=section</x:v>
      </x:c>
      <x:c r="J2067" t="str">
        <x:v>https://dl.smwcentral.net/18091/SMWAgaininDinosaurLandDEMO1.zip</x:v>
      </x:c>
    </x:row>
    <x:row r="2068">
      <x:c r="A2068" t="str">
        <x:v>Super Mario World: Another Pointless Adventure</x:v>
      </x:c>
      <x:c r="B2068" t="str">
        <x:v>Super Mario World: Another Pointless Adventure</x:v>
      </x:c>
      <x:c r="C2068" t="str">
        <x:v>Pseudogon</x:v>
      </x:c>
      <x:c r="D2068" t="n">
        <x:v>5</x:v>
      </x:c>
      <x:c r="E2068" t="str">
        <x:v>Casual</x:v>
      </x:c>
      <x:c r="F2068" t="str">
        <x:v>Standard</x:v>
      </x:c>
      <x:c r="G2068" t="n">
        <x:v>42504</x:v>
      </x:c>
      <x:c r="H2068" t="str">
        <x:v>13663</x:v>
      </x:c>
      <x:c r="I2068" t="str">
        <x:v>https://www.smwcentral.net/?a=details&amp;id=13663&amp;p=section</x:v>
      </x:c>
      <x:c r="J2068" t="str">
        <x:v>https://dl.smwcentral.net/13663/Another%20Pointless%20Adventure%20%28World%201%20Demo%29.zip</x:v>
      </x:c>
    </x:row>
    <x:row r="2069">
      <x:c r="A2069" t="str">
        <x:v>Super Mario World: Blue Flamingo</x:v>
      </x:c>
      <x:c r="B2069" t="str">
        <x:v>Super Mario World: Blue Flamingo</x:v>
      </x:c>
      <x:c r="C2069" t="str">
        <x:v>Truxton</x:v>
      </x:c>
      <x:c r="D2069" t="n">
        <x:v>8</x:v>
      </x:c>
      <x:c r="E2069" t="str">
        <x:v>Casual</x:v>
      </x:c>
      <x:c r="F2069" t="str">
        <x:v>Standard</x:v>
      </x:c>
      <x:c r="G2069" t="n">
        <x:v>41724</x:v>
      </x:c>
      <x:c r="H2069" t="str">
        <x:v>6437</x:v>
      </x:c>
      <x:c r="I2069" t="str">
        <x:v>https://www.smwcentral.net/?a=details&amp;id=6437&amp;p=section</x:v>
      </x:c>
      <x:c r="J2069" t="str">
        <x:v>https://dl.smwcentral.net/6437/BF.zip</x:v>
      </x:c>
    </x:row>
    <x:row r="2070">
      <x:c r="A2070" t="str">
        <x:v>Super Mario World: Bowser's Cataclysmic Trap</x:v>
      </x:c>
      <x:c r="B2070" t="str">
        <x:v>Super Mario World: Bowser's Cataclysmic Trap</x:v>
      </x:c>
      <x:c r="C2070" t="str">
        <x:v>Gamma V</x:v>
      </x:c>
      <x:c r="D2070" t="n">
        <x:v>82</x:v>
      </x:c>
      <x:c r="E2070" t="str">
        <x:v>Casual</x:v>
      </x:c>
      <x:c r="F2070" t="str">
        <x:v>Standard</x:v>
      </x:c>
      <x:c r="G2070" t="n">
        <x:v>42195</x:v>
      </x:c>
      <x:c r="H2070" t="str">
        <x:v>11608</x:v>
      </x:c>
      <x:c r="I2070" t="str">
        <x:v>https://www.smwcentral.net/?a=details&amp;id=11608&amp;p=section</x:v>
      </x:c>
      <x:c r="J2070" t="str">
        <x:v>https://dl.smwcentral.net/11608/BCT%201.2.2.zip</x:v>
      </x:c>
    </x:row>
    <x:row r="2071">
      <x:c r="A2071" t="str">
        <x:v>Super Mario World: Bowser's Kaizo Conspiracy</x:v>
      </x:c>
      <x:c r="B2071" t="str">
        <x:v>Super Mario World: Bowser's Kaizo Conspiracy</x:v>
      </x:c>
      <x:c r="C2071" t="str">
        <x:v>Gamma V</x:v>
      </x:c>
      <x:c r="D2071" t="n">
        <x:v>102</x:v>
      </x:c>
      <x:c r="E2071" t="str">
        <x:v>Casual</x:v>
      </x:c>
      <x:c r="F2071" t="str">
        <x:v>Standard</x:v>
      </x:c>
      <x:c r="G2071" t="n">
        <x:v>45069</x:v>
      </x:c>
      <x:c r="H2071" t="str">
        <x:v>33943</x:v>
      </x:c>
      <x:c r="I2071" t="str">
        <x:v>https://www.smwcentral.net/?a=details&amp;id=33943&amp;p=section</x:v>
      </x:c>
      <x:c r="J2071" t="str">
        <x:v>https://dl.smwcentral.net/33943/Bowser%27s%20Kaizo%20Conspiracy%20v1.2.zip</x:v>
      </x:c>
    </x:row>
    <x:row r="2072">
      <x:c r="A2072" t="str">
        <x:v>Super Mario World: Bowser's Trial</x:v>
      </x:c>
      <x:c r="B2072" t="str">
        <x:v>Super Mario World: Bowser's Trial</x:v>
      </x:c>
      <x:c r="C2072" t="str">
        <x:v>Tio broz</x:v>
      </x:c>
      <x:c r="D2072" t="n">
        <x:v>7</x:v>
      </x:c>
      <x:c r="E2072" t="str">
        <x:v>Newcomer</x:v>
      </x:c>
      <x:c r="F2072" t="str">
        <x:v>Standard</x:v>
      </x:c>
      <x:c r="G2072" t="n">
        <x:v>42270</x:v>
      </x:c>
      <x:c r="H2072" t="str">
        <x:v>9991</x:v>
      </x:c>
      <x:c r="I2072" t="str">
        <x:v>https://www.smwcentral.net/?a=details&amp;id=9991&amp;p=section</x:v>
      </x:c>
      <x:c r="J2072" t="str">
        <x:v>https://dl.smwcentral.net/9991/Bowser%27s%20Trial.zip</x:v>
      </x:c>
    </x:row>
    <x:row r="2073">
      <x:c r="A2073" t="str">
        <x:v>Super Mario World: Challenge Worlds</x:v>
      </x:c>
      <x:c r="B2073" t="str">
        <x:v>Super Mario World: Challenge Worlds</x:v>
      </x:c>
      <x:c r="C2073" t="str">
        <x:v>i'mbadwithusernames</x:v>
      </x:c>
      <x:c r="D2073" t="n">
        <x:v>11</x:v>
      </x:c>
      <x:c r="E2073" t="str">
        <x:v>Casual</x:v>
      </x:c>
      <x:c r="F2073" t="str">
        <x:v>Standard</x:v>
      </x:c>
      <x:c r="G2073" t="n">
        <x:v>41548</x:v>
      </x:c>
      <x:c r="H2073" t="str">
        <x:v>5589</x:v>
      </x:c>
      <x:c r="I2073" t="str">
        <x:v>https://www.smwcentral.net/?a=details&amp;id=5589&amp;p=section</x:v>
      </x:c>
      <x:c r="J2073" t="str">
        <x:v>https://dl.smwcentral.net/5589/Challenge%20Worlds%20Demo%202%20fixed.zip</x:v>
      </x:c>
    </x:row>
    <x:row r="2074">
      <x:c r="A2074" t="str">
        <x:v>Super Mario World: Christmas Edition</x:v>
      </x:c>
      <x:c r="B2074" t="str">
        <x:v>Super Mario World: Christmas Edition</x:v>
      </x:c>
      <x:c r="C2074" t="str">
        <x:v>Nowieso</x:v>
      </x:c>
      <x:c r="D2074" t="n">
        <x:v>28</x:v>
      </x:c>
      <x:c r="E2074" t="str">
        <x:v>Casual</x:v>
      </x:c>
      <x:c r="F2074" t="str">
        <x:v>Standard</x:v>
      </x:c>
      <x:c r="G2074" t="n">
        <x:v>43823</x:v>
      </x:c>
      <x:c r="H2074" t="str">
        <x:v>21677</x:v>
      </x:c>
      <x:c r="I2074" t="str">
        <x:v>https://www.smwcentral.net/?a=details&amp;id=21677&amp;p=section</x:v>
      </x:c>
      <x:c r="J2074" t="str">
        <x:v>https://dl.smwcentral.net/21677/SMW%20Christmas%20Edition.zip</x:v>
      </x:c>
    </x:row>
    <x:row r="2075">
      <x:c r="A2075" t="str">
        <x:v>Super Mario World: Dark Sniggerbobblian Mythos #2: Sniggerbobble's Redemption: The Crystal of Disaster</x:v>
      </x:c>
      <x:c r="B2075" t="str">
        <x:v>Super Mario World: Dark Sniggerbobblian Mythos #2: Sniggerbobble's Redemption: The Crystal of Disaster</x:v>
      </x:c>
      <x:c r="C2075" t="str">
        <x:v>Sniggerb0bble</x:v>
      </x:c>
      <x:c r="D2075" t="n">
        <x:v>8</x:v>
      </x:c>
      <x:c r="E2075" t="str">
        <x:v>Newcomer</x:v>
      </x:c>
      <x:c r="F2075" t="str">
        <x:v>Standard</x:v>
      </x:c>
      <x:c r="G2075" t="n">
        <x:v>42257</x:v>
      </x:c>
      <x:c r="H2075" t="str">
        <x:v>9661</x:v>
      </x:c>
      <x:c r="I2075" t="str">
        <x:v>https://www.smwcentral.net/?a=details&amp;id=9661&amp;p=section</x:v>
      </x:c>
      <x:c r="J2075" t="str">
        <x:v>https://dl.smwcentral.net/9661/SR%3BTCoD%20Teaser%20Demo.zip</x:v>
      </x:c>
    </x:row>
    <x:row r="2076">
      <x:c r="A2076" t="str">
        <x:v>Super Mario World: Dungeon Conquest - C3 Demo</x:v>
      </x:c>
      <x:c r="B2076" t="str">
        <x:v>Super Mario World: Dungeon Conquest - C3 Demo</x:v>
      </x:c>
      <x:c r="C2076" t="str">
        <x:v>Dispace</x:v>
      </x:c>
      <x:c r="D2076" t="n">
        <x:v>36</x:v>
      </x:c>
      <x:c r="E2076" t="str">
        <x:v>Casual</x:v>
      </x:c>
      <x:c r="F2076" t="str">
        <x:v>Standard</x:v>
      </x:c>
      <x:c r="G2076" t="n">
        <x:v>44768</x:v>
      </x:c>
      <x:c r="H2076" t="str">
        <x:v>31349</x:v>
      </x:c>
      <x:c r="I2076" t="str">
        <x:v>https://www.smwcentral.net/?a=details&amp;id=31349&amp;p=section</x:v>
      </x:c>
      <x:c r="J2076" t="str">
        <x:v>https://dl.smwcentral.net/31349/SMW%20Dungeons.zip</x:v>
      </x:c>
    </x:row>
    <x:row r="2077">
      <x:c r="A2077" t="str">
        <x:v>Super Mario World: Emberside Island</x:v>
      </x:c>
      <x:c r="B2077" t="str">
        <x:v>Super Mario World: Emberside Island</x:v>
      </x:c>
      <x:c r="C2077" t="str">
        <x:v>CaramelCupcakes</x:v>
      </x:c>
      <x:c r="D2077" t="n">
        <x:v>6</x:v>
      </x:c>
      <x:c r="E2077" t="str">
        <x:v>Casual</x:v>
      </x:c>
      <x:c r="F2077" t="str">
        <x:v>Standard</x:v>
      </x:c>
      <x:c r="G2077" t="n">
        <x:v>44819</x:v>
      </x:c>
      <x:c r="H2077" t="str">
        <x:v>32091</x:v>
      </x:c>
      <x:c r="I2077" t="str">
        <x:v>https://www.smwcentral.net/?a=details&amp;id=32091&amp;p=section</x:v>
      </x:c>
      <x:c r="J2077" t="str">
        <x:v>https://dl.smwcentral.net/32091/SMWEmbersideIslandDemo3Upd.zip</x:v>
      </x:c>
    </x:row>
    <x:row r="2078">
      <x:c r="A2078" t="str">
        <x:v>Super Mario World: Glitch Land</x:v>
      </x:c>
      <x:c r="B2078" t="str">
        <x:v>Super Mario World: Glitch Land</x:v>
      </x:c>
      <x:c r="C2078" t="str">
        <x:v>Smallhacker</x:v>
      </x:c>
      <x:c r="D2078" t="n">
        <x:v>3</x:v>
      </x:c>
      <x:c r="E2078" t="str">
        <x:v>Advanced</x:v>
      </x:c>
      <x:c r="F2078" t="str">
        <x:v>Kaizo, Tool-Assisted</x:v>
      </x:c>
      <x:c r="G2078" t="n">
        <x:v>42298</x:v>
      </x:c>
      <x:c r="H2078" t="str">
        <x:v>9792</x:v>
      </x:c>
      <x:c r="I2078" t="str">
        <x:v>https://www.smwcentral.net/?a=details&amp;id=9792&amp;p=section</x:v>
      </x:c>
      <x:c r="J2078" t="str">
        <x:v>https://dl.smwcentral.net/9792/SMW%20Glitch%20Land%20-%20Demo%201.zip</x:v>
      </x:c>
    </x:row>
    <x:row r="2079">
      <x:c r="A2079" t="str">
        <x:v>Super Mario World: Hehey!</x:v>
      </x:c>
      <x:c r="B2079" t="str">
        <x:v>Super Mario World: Hehey!</x:v>
      </x:c>
      <x:c r="C2079" t="str">
        <x:v>Grugi</x:v>
      </x:c>
      <x:c r="D2079" t="n">
        <x:v>3</x:v>
      </x:c>
      <x:c r="E2079" t="str">
        <x:v>Intermediate</x:v>
      </x:c>
      <x:c r="F2079" t="str">
        <x:v>Standard</x:v>
      </x:c>
      <x:c r="G2079" t="n">
        <x:v>42398</x:v>
      </x:c>
      <x:c r="H2079" t="str">
        <x:v>13168</x:v>
      </x:c>
      <x:c r="I2079" t="str">
        <x:v>https://www.smwcentral.net/?a=details&amp;id=13168&amp;p=section</x:v>
      </x:c>
      <x:c r="J2079" t="str">
        <x:v>https://dl.smwcentral.net/13168/SMW%20Hehey%21.zip</x:v>
      </x:c>
    </x:row>
    <x:row r="2080">
      <x:c r="A2080" t="str">
        <x:v>Super Mario World: Hunt for the Dragon Coins</x:v>
      </x:c>
      <x:c r="B2080" t="str">
        <x:v>Super Mario World: Hunt for the Dragon Coins</x:v>
      </x:c>
      <x:c r="C2080" t="str">
        <x:v>JDC</x:v>
      </x:c>
      <x:c r="D2080" t="n">
        <x:v>7</x:v>
      </x:c>
      <x:c r="E2080" t="str">
        <x:v>Newcomer</x:v>
      </x:c>
      <x:c r="F2080" t="str">
        <x:v>Standard</x:v>
      </x:c>
      <x:c r="G2080" t="n">
        <x:v>42279</x:v>
      </x:c>
      <x:c r="H2080" t="str">
        <x:v>10012</x:v>
      </x:c>
      <x:c r="I2080" t="str">
        <x:v>https://www.smwcentral.net/?a=details&amp;id=10012&amp;p=section</x:v>
      </x:c>
      <x:c r="J2080" t="str">
        <x:v>https://dl.smwcentral.net/10012/Super%20Mario%20HFTDC.zip</x:v>
      </x:c>
    </x:row>
    <x:row r="2081">
      <x:c r="A2081" t="str">
        <x:v>Super Mario World: Iggy's Island</x:v>
      </x:c>
      <x:c r="B2081" t="str">
        <x:v>Super Mario World: Iggy's Island</x:v>
      </x:c>
      <x:c r="C2081" t="str">
        <x:v>Pirate Yoshi</x:v>
      </x:c>
      <x:c r="D2081" t="n">
        <x:v>5</x:v>
      </x:c>
      <x:c r="E2081" t="str">
        <x:v>Newcomer</x:v>
      </x:c>
      <x:c r="F2081" t="str">
        <x:v>Standard</x:v>
      </x:c>
      <x:c r="G2081" t="n">
        <x:v>42223</x:v>
      </x:c>
      <x:c r="H2081" t="str">
        <x:v>9840</x:v>
      </x:c>
      <x:c r="I2081" t="str">
        <x:v>https://www.smwcentral.net/?a=details&amp;id=9840&amp;p=section</x:v>
      </x:c>
      <x:c r="J2081" t="str">
        <x:v>https://dl.smwcentral.net/9840/Iggy%27s%20Island%20Zip.zip</x:v>
      </x:c>
    </x:row>
    <x:row r="2082">
      <x:c r="A2082" t="str">
        <x:v>Super Mario World: Journey To Plover Hill</x:v>
      </x:c>
      <x:c r="B2082" t="str">
        <x:v>Super Mario World: Journey To Plover Hill</x:v>
      </x:c>
      <x:c r="C2082" t="str">
        <x:v>jcv1235</x:v>
      </x:c>
      <x:c r="D2082" t="n">
        <x:v>8</x:v>
      </x:c>
      <x:c r="E2082" t="str">
        <x:v>Newcomer</x:v>
      </x:c>
      <x:c r="F2082" t="str">
        <x:v>Standard</x:v>
      </x:c>
      <x:c r="G2082" t="n">
        <x:v>42066</x:v>
      </x:c>
      <x:c r="H2082" t="str">
        <x:v>9803</x:v>
      </x:c>
      <x:c r="I2082" t="str">
        <x:v>https://www.smwcentral.net/?a=details&amp;id=9803&amp;p=section</x:v>
      </x:c>
      <x:c r="J2082" t="str">
        <x:v>https://dl.smwcentral.net/9803/Journey%20To%20Plover%20Hill.zip</x:v>
      </x:c>
    </x:row>
    <x:row r="2083">
      <x:c r="A2083" t="str">
        <x:v>Super Mario World: Jurassic Path</x:v>
      </x:c>
      <x:c r="B2083" t="str">
        <x:v>Super Mario World: Jurassic Path</x:v>
      </x:c>
      <x:c r="C2083" t="str">
        <x:v>Mario's Dog</x:v>
      </x:c>
      <x:c r="D2083" t="n">
        <x:v>6</x:v>
      </x:c>
      <x:c r="E2083" t="str">
        <x:v>Newcomer</x:v>
      </x:c>
      <x:c r="F2083" t="str">
        <x:v>Standard</x:v>
      </x:c>
      <x:c r="G2083" t="n">
        <x:v>42066</x:v>
      </x:c>
      <x:c r="H2083" t="str">
        <x:v>9801</x:v>
      </x:c>
      <x:c r="I2083" t="str">
        <x:v>https://www.smwcentral.net/?a=details&amp;id=9801&amp;p=section</x:v>
      </x:c>
      <x:c r="J2083" t="str">
        <x:v>https://dl.smwcentral.net/9801/Super%20Mario%20World%20Jurassic%20Path%20%28Demo%201%29.zip</x:v>
      </x:c>
    </x:row>
    <x:row r="2084">
      <x:c r="A2084" t="str">
        <x:v>Super Mario World: La Nouvelle Vague</x:v>
      </x:c>
      <x:c r="B2084" t="str">
        <x:v>Super Mario World: La Nouvelle Vague</x:v>
      </x:c>
      <x:c r="C2084" t="str">
        <x:v>drake-68</x:v>
      </x:c>
      <x:c r="D2084" t="n">
        <x:v>6</x:v>
      </x:c>
      <x:c r="E2084" t="str">
        <x:v>Newcomer</x:v>
      </x:c>
      <x:c r="F2084" t="str">
        <x:v>Standard</x:v>
      </x:c>
      <x:c r="G2084" t="n">
        <x:v>41744</x:v>
      </x:c>
      <x:c r="H2084" t="str">
        <x:v>6467</x:v>
      </x:c>
      <x:c r="I2084" t="str">
        <x:v>https://www.smwcentral.net/?a=details&amp;id=6467&amp;p=section</x:v>
      </x:c>
      <x:c r="J2084" t="str">
        <x:v>https://dl.smwcentral.net/6467/SMW%20La%20Nouvelle%20Vague.zip</x:v>
      </x:c>
    </x:row>
    <x:row r="2085">
      <x:c r="A2085" t="str">
        <x:v>Super Mario World: Legend of the Four Keys</x:v>
      </x:c>
      <x:c r="B2085" t="str">
        <x:v>Super Mario World: Legend of the Four Keys</x:v>
      </x:c>
      <x:c r="C2085" t="str">
        <x:v>Gamma V</x:v>
      </x:c>
      <x:c r="D2085" t="n">
        <x:v>43</x:v>
      </x:c>
      <x:c r="E2085" t="str">
        <x:v>Casual</x:v>
      </x:c>
      <x:c r="F2085" t="str">
        <x:v>Standard</x:v>
      </x:c>
      <x:c r="G2085" t="n">
        <x:v>45848</x:v>
      </x:c>
      <x:c r="H2085" t="str">
        <x:v>39962</x:v>
      </x:c>
      <x:c r="I2085" t="str">
        <x:v>https://www.smwcentral.net/?a=details&amp;id=39962&amp;p=section</x:v>
      </x:c>
      <x:c r="J2085" t="str">
        <x:v>https://dl.smwcentral.net/39962/L4K%201.4.zip</x:v>
      </x:c>
    </x:row>
    <x:row r="2086">
      <x:c r="A2086" t="str">
        <x:v>Super Mario World: Moving Day</x:v>
      </x:c>
      <x:c r="B2086" t="str">
        <x:v>Super Mario World: Moving Day</x:v>
      </x:c>
      <x:c r="C2086" t="str">
        <x:v>Anonymous</x:v>
      </x:c>
      <x:c r="D2086" t="n">
        <x:v>7</x:v>
      </x:c>
      <x:c r="E2086" t="str">
        <x:v>Newcomer</x:v>
      </x:c>
      <x:c r="F2086" t="str">
        <x:v>Standard</x:v>
      </x:c>
      <x:c r="G2086" t="n">
        <x:v>42275</x:v>
      </x:c>
      <x:c r="H2086" t="str">
        <x:v>10074</x:v>
      </x:c>
      <x:c r="I2086" t="str">
        <x:v>https://www.smwcentral.net/?a=details&amp;id=10074&amp;p=section</x:v>
      </x:c>
      <x:c r="J2086" t="str">
        <x:v>https://dl.smwcentral.net/10074/MovingDay-Snowshoe.zip</x:v>
      </x:c>
    </x:row>
    <x:row r="2087">
      <x:c r="A2087" t="str">
        <x:v>Super Mario World: Panic In Eglet Islands</x:v>
      </x:c>
      <x:c r="B2087" t="str">
        <x:v>Super Mario World: Panic In Eglet Islands</x:v>
      </x:c>
      <x:c r="C2087" t="str">
        <x:v>Volt</x:v>
      </x:c>
      <x:c r="D2087" t="n">
        <x:v>6</x:v>
      </x:c>
      <x:c r="E2087" t="str">
        <x:v>Casual</x:v>
      </x:c>
      <x:c r="F2087" t="str">
        <x:v>Standard</x:v>
      </x:c>
      <x:c r="G2087" t="n">
        <x:v>41490</x:v>
      </x:c>
      <x:c r="H2087" t="str">
        <x:v>5266</x:v>
      </x:c>
      <x:c r="I2087" t="str">
        <x:v>https://www.smwcentral.net/?a=details&amp;id=5266&amp;p=section</x:v>
      </x:c>
      <x:c r="J2087" t="str">
        <x:v>https://dl.smwcentral.net/5266/SMWPIEI%20%28fixed%29.zip</x:v>
      </x:c>
    </x:row>
    <x:row r="2088">
      <x:c r="A2088" t="str">
        <x:v>Super Mario World: Quest up Mount Morlock.</x:v>
      </x:c>
      <x:c r="B2088" t="str">
        <x:v>Super Mario World: Quest up Mount Morlock.</x:v>
      </x:c>
      <x:c r="C2088" t="str">
        <x:v>KaidenThelens</x:v>
      </x:c>
      <x:c r="D2088" t="n">
        <x:v>29</x:v>
      </x:c>
      <x:c r="E2088" t="str">
        <x:v>Intermediate</x:v>
      </x:c>
      <x:c r="F2088" t="str">
        <x:v>Standard</x:v>
      </x:c>
      <x:c r="G2088" t="n">
        <x:v>44169</x:v>
      </x:c>
      <x:c r="H2088" t="str">
        <x:v>25129</x:v>
      </x:c>
      <x:c r="I2088" t="str">
        <x:v>https://www.smwcentral.net/?a=details&amp;id=25129&amp;p=section</x:v>
      </x:c>
      <x:c r="J2088" t="str">
        <x:v>https://dl.smwcentral.net/25129/Heres%20the%20Video%20Game%20V2.zip</x:v>
      </x:c>
    </x:row>
    <x:row r="2089">
      <x:c r="A2089" t="str">
        <x:v>Super Mario World: Return To Dinosaur Land</x:v>
      </x:c>
      <x:c r="B2089" t="str">
        <x:v>Super Mario World: Return To Dinosaur Land</x:v>
      </x:c>
      <x:c r="C2089" t="str">
        <x:v>RAGB</x:v>
      </x:c>
      <x:c r="D2089" t="n">
        <x:v>59</x:v>
      </x:c>
      <x:c r="E2089" t="str">
        <x:v>Casual</x:v>
      </x:c>
      <x:c r="F2089" t="str">
        <x:v>Standard</x:v>
      </x:c>
      <x:c r="G2089" t="n">
        <x:v>41449</x:v>
      </x:c>
      <x:c r="H2089" t="str">
        <x:v>4990</x:v>
      </x:c>
      <x:c r="I2089" t="str">
        <x:v>https://www.smwcentral.net/?a=details&amp;id=4990&amp;p=section</x:v>
      </x:c>
      <x:c r="J2089" t="str">
        <x:v>https://dl.smwcentral.net/4990/SMW-%20RDL.zip</x:v>
      </x:c>
    </x:row>
    <x:row r="2090">
      <x:c r="A2090" t="str">
        <x:v>Super Mario World: Season 2</x:v>
      </x:c>
      <x:c r="B2090" t="str">
        <x:v>Super Mario World: Season 2</x:v>
      </x:c>
      <x:c r="C2090" t="str">
        <x:v>DaHitmenGuy</x:v>
      </x:c>
      <x:c r="D2090" t="n">
        <x:v>92</x:v>
      </x:c>
      <x:c r="E2090" t="str">
        <x:v>Casual</x:v>
      </x:c>
      <x:c r="F2090" t="str">
        <x:v>Standard</x:v>
      </x:c>
      <x:c r="G2090" t="n">
        <x:v>44836</x:v>
      </x:c>
      <x:c r="H2090" t="str">
        <x:v>31925</x:v>
      </x:c>
      <x:c r="I2090" t="str">
        <x:v>https://www.smwcentral.net/?a=details&amp;id=31925&amp;p=section</x:v>
      </x:c>
      <x:c r="J2090" t="str">
        <x:v>https://dl.smwcentral.net/31925/Super%20Mario%20World%20-%20Season%202%20%282021%29.zip</x:v>
      </x:c>
    </x:row>
    <x:row r="2091">
      <x:c r="A2091" t="str">
        <x:v>Super Mario World: Season 3</x:v>
      </x:c>
      <x:c r="B2091" t="str">
        <x:v>Super Mario World: Season 3</x:v>
      </x:c>
      <x:c r="C2091" t="str">
        <x:v>DaHitmenGuy</x:v>
      </x:c>
      <x:c r="D2091" t="n">
        <x:v>29</x:v>
      </x:c>
      <x:c r="E2091" t="str">
        <x:v>Casual</x:v>
      </x:c>
      <x:c r="F2091" t="str">
        <x:v>Standard</x:v>
      </x:c>
      <x:c r="G2091" t="n">
        <x:v>44938</x:v>
      </x:c>
      <x:c r="H2091" t="str">
        <x:v>32736</x:v>
      </x:c>
      <x:c r="I2091" t="str">
        <x:v>https://www.smwcentral.net/?a=details&amp;id=32736&amp;p=section</x:v>
      </x:c>
      <x:c r="J2091" t="str">
        <x:v>https://dl.smwcentral.net/32736/Super%20Mario%20World%20-%20Season%203%20%28Demo%20V1%29.zip</x:v>
      </x:c>
    </x:row>
    <x:row r="2092">
      <x:c r="A2092" t="str">
        <x:v>Super Mario World: Seasonal Chaos!</x:v>
      </x:c>
      <x:c r="B2092" t="str">
        <x:v>Super Mario World: Seasonal Chaos!</x:v>
      </x:c>
      <x:c r="C2092" t="str">
        <x:v>Starman97</x:v>
      </x:c>
      <x:c r="D2092" t="n">
        <x:v>5</x:v>
      </x:c>
      <x:c r="E2092" t="str">
        <x:v>Newcomer</x:v>
      </x:c>
      <x:c r="F2092" t="str">
        <x:v>Standard</x:v>
      </x:c>
      <x:c r="G2092" t="n">
        <x:v>44703</x:v>
      </x:c>
      <x:c r="H2092" t="str">
        <x:v>30887</x:v>
      </x:c>
      <x:c r="I2092" t="str">
        <x:v>https://www.smwcentral.net/?a=details&amp;id=30887&amp;p=section</x:v>
      </x:c>
      <x:c r="J2092" t="str">
        <x:v>https://dl.smwcentral.net/30887/SMWSeasonalChaos%21.zip</x:v>
      </x:c>
    </x:row>
    <x:row r="2093">
      <x:c r="A2093" t="str">
        <x:v>Super Mario World: Serbow's Assault</x:v>
      </x:c>
      <x:c r="B2093" t="str">
        <x:v>Super Mario World: Serbow's Assault</x:v>
      </x:c>
      <x:c r="C2093" t="str">
        <x:v>keckcellent</x:v>
      </x:c>
      <x:c r="D2093" t="n">
        <x:v>28</x:v>
      </x:c>
      <x:c r="E2093" t="str">
        <x:v>Casual</x:v>
      </x:c>
      <x:c r="F2093" t="str">
        <x:v>Standard</x:v>
      </x:c>
      <x:c r="G2093" t="n">
        <x:v>41573</x:v>
      </x:c>
      <x:c r="H2093" t="str">
        <x:v>5446</x:v>
      </x:c>
      <x:c r="I2093" t="str">
        <x:v>https://www.smwcentral.net/?a=details&amp;id=5446&amp;p=section</x:v>
      </x:c>
      <x:c r="J2093" t="str">
        <x:v>https://dl.smwcentral.net/5446/Serbow1-3.zip</x:v>
      </x:c>
    </x:row>
    <x:row r="2094">
      <x:c r="A2094" t="str">
        <x:v>Super Mario World: Shy-Shy Island</x:v>
      </x:c>
      <x:c r="B2094" t="str">
        <x:v>Super Mario World: Shy-Shy Island</x:v>
      </x:c>
      <x:c r="C2094" t="str">
        <x:v>yupyup____</x:v>
      </x:c>
      <x:c r="D2094" t="n">
        <x:v>5</x:v>
      </x:c>
      <x:c r="E2094" t="str">
        <x:v>Casual</x:v>
      </x:c>
      <x:c r="F2094" t="str">
        <x:v>Standard</x:v>
      </x:c>
      <x:c r="G2094" t="n">
        <x:v>43971</x:v>
      </x:c>
      <x:c r="H2094" t="str">
        <x:v>23028</x:v>
      </x:c>
      <x:c r="I2094" t="str">
        <x:v>https://www.smwcentral.net/?a=details&amp;id=23028&amp;p=section</x:v>
      </x:c>
      <x:c r="J2094" t="str">
        <x:v>https://dl.smwcentral.net/23028/SMW%20shyshy%20island.zip</x:v>
      </x:c>
    </x:row>
    <x:row r="2095">
      <x:c r="A2095" t="str">
        <x:v>Super Mario World: The 4 Magic Wands</x:v>
      </x:c>
      <x:c r="B2095" t="str">
        <x:v>Super Mario World: The 4 Magic Wands</x:v>
      </x:c>
      <x:c r="C2095" t="str">
        <x:v>Green Jerry</x:v>
      </x:c>
      <x:c r="D2095" t="n">
        <x:v>24</x:v>
      </x:c>
      <x:c r="E2095" t="str">
        <x:v>Casual</x:v>
      </x:c>
      <x:c r="F2095" t="str">
        <x:v>Standard</x:v>
      </x:c>
      <x:c r="G2095" t="n">
        <x:v>45704</x:v>
      </x:c>
      <x:c r="H2095" t="str">
        <x:v>39208</x:v>
      </x:c>
      <x:c r="I2095" t="str">
        <x:v>https://www.smwcentral.net/?a=details&amp;id=39208&amp;p=section</x:v>
      </x:c>
      <x:c r="J2095" t="str">
        <x:v>https://dl.smwcentral.net/39208/Super%20Mario%20World%20-%20The%204%20Magic%20Wands%20V1.0.2.zip</x:v>
      </x:c>
    </x:row>
    <x:row r="2096">
      <x:c r="A2096" t="str">
        <x:v>Super Mario World: The 7 Elemental Yoshies</x:v>
      </x:c>
      <x:c r="B2096" t="str">
        <x:v>Super Mario World: The 7 Elemental Yoshies</x:v>
      </x:c>
      <x:c r="C2096" t="str">
        <x:v>RandomUser46</x:v>
      </x:c>
      <x:c r="D2096" t="n">
        <x:v>7</x:v>
      </x:c>
      <x:c r="E2096" t="str">
        <x:v>Newcomer</x:v>
      </x:c>
      <x:c r="F2096" t="str">
        <x:v>Standard</x:v>
      </x:c>
      <x:c r="G2096" t="n">
        <x:v>42073</x:v>
      </x:c>
      <x:c r="H2096" t="str">
        <x:v>11004</x:v>
      </x:c>
      <x:c r="I2096" t="str">
        <x:v>https://www.smwcentral.net/?a=details&amp;id=11004&amp;p=section</x:v>
      </x:c>
      <x:c r="J2096" t="str">
        <x:v>https://dl.smwcentral.net/11004/SMW%20The%207%20Elemental%20Yoshies%20DEMO.zip</x:v>
      </x:c>
    </x:row>
    <x:row r="2097">
      <x:c r="A2097" t="str">
        <x:v>Super Mario World: The 7 Koopalings Return</x:v>
      </x:c>
      <x:c r="B2097" t="str">
        <x:v>Super Mario World: The 7 Koopalings Return</x:v>
      </x:c>
      <x:c r="C2097" t="str">
        <x:v>mario and luigi</x:v>
      </x:c>
      <x:c r="D2097" t="n">
        <x:v>15</x:v>
      </x:c>
      <x:c r="E2097" t="str">
        <x:v>Casual</x:v>
      </x:c>
      <x:c r="F2097" t="str">
        <x:v>Standard</x:v>
      </x:c>
      <x:c r="G2097" t="n">
        <x:v>41885</x:v>
      </x:c>
      <x:c r="H2097" t="str">
        <x:v>9053</x:v>
      </x:c>
      <x:c r="I2097" t="str">
        <x:v>https://www.smwcentral.net/?a=details&amp;id=9053&amp;p=section</x:v>
      </x:c>
      <x:c r="J2097" t="str">
        <x:v>https://dl.smwcentral.net/9053/koopalings%20-%20demo.zip</x:v>
      </x:c>
    </x:row>
    <x:row r="2098">
      <x:c r="A2098" t="str">
        <x:v>Super Mario World: The After Years (Ultra)</x:v>
      </x:c>
      <x:c r="B2098" t="str">
        <x:v>Super Mario World: The After Years (Ultra)</x:v>
      </x:c>
      <x:c r="C2098" t="str">
        <x:v>EvilGuy0613</x:v>
      </x:c>
      <x:c r="D2098" t="n">
        <x:v>100</x:v>
      </x:c>
      <x:c r="E2098" t="str">
        <x:v>Casual</x:v>
      </x:c>
      <x:c r="F2098" t="str">
        <x:v>Standard</x:v>
      </x:c>
      <x:c r="G2098" t="n">
        <x:v>41603</x:v>
      </x:c>
      <x:c r="H2098" t="str">
        <x:v>5593</x:v>
      </x:c>
      <x:c r="I2098" t="str">
        <x:v>https://www.smwcentral.net/?a=details&amp;id=5593&amp;p=section</x:v>
      </x:c>
      <x:c r="J2098" t="str">
        <x:v>https://dl.smwcentral.net/5593/Super%20Mario%20World%20-%20The%20After%20Years%20%28Ultra%29.zip</x:v>
      </x:c>
    </x:row>
    <x:row r="2099">
      <x:c r="A2099" t="str">
        <x:v>Super Mario World: The Crazy Quest</x:v>
      </x:c>
      <x:c r="B2099" t="str">
        <x:v>Super Mario World: The Crazy Quest</x:v>
      </x:c>
      <x:c r="C2099" t="str">
        <x:v>Ayami</x:v>
      </x:c>
      <x:c r="D2099" t="n">
        <x:v>6</x:v>
      </x:c>
      <x:c r="E2099" t="str">
        <x:v>Casual</x:v>
      </x:c>
      <x:c r="F2099" t="str">
        <x:v>Standard</x:v>
      </x:c>
      <x:c r="G2099" t="n">
        <x:v>42100</x:v>
      </x:c>
      <x:c r="H2099" t="str">
        <x:v>10043</x:v>
      </x:c>
      <x:c r="I2099" t="str">
        <x:v>https://www.smwcentral.net/?a=details&amp;id=10043&amp;p=section</x:v>
      </x:c>
      <x:c r="J2099" t="str">
        <x:v>https://dl.smwcentral.net/10043/SMW%20The%20Crazy%20Quest%20%28DEMO%20v1.0%29.zip</x:v>
      </x:c>
    </x:row>
    <x:row r="2100">
      <x:c r="A2100" t="str">
        <x:v>Super Mario World: The Final Showdown!</x:v>
      </x:c>
      <x:c r="B2100" t="str">
        <x:v>Super Mario World: The Final Showdown!</x:v>
      </x:c>
      <x:c r="C2100" t="str">
        <x:v>Kyanite</x:v>
      </x:c>
      <x:c r="D2100" t="n">
        <x:v>10</x:v>
      </x:c>
      <x:c r="E2100" t="str">
        <x:v>Newcomer</x:v>
      </x:c>
      <x:c r="F2100" t="str">
        <x:v>Standard</x:v>
      </x:c>
      <x:c r="G2100" t="n">
        <x:v>42270</x:v>
      </x:c>
      <x:c r="H2100" t="str">
        <x:v>12113</x:v>
      </x:c>
      <x:c r="I2100" t="str">
        <x:v>https://www.smwcentral.net/?a=details&amp;id=12113&amp;p=section</x:v>
      </x:c>
      <x:c r="J2100" t="str">
        <x:v>https://dl.smwcentral.net/12113/SMWTheFinalShowdown%28Demo%29.zip</x:v>
      </x:c>
    </x:row>
    <x:row r="2101">
      <x:c r="A2101" t="str">
        <x:v>Super Mario World: The Huge Adventure</x:v>
      </x:c>
      <x:c r="B2101" t="str">
        <x:v>Super Mario World: The Huge Adventure</x:v>
      </x:c>
      <x:c r="C2101" t="str">
        <x:v>bandicoot</x:v>
      </x:c>
      <x:c r="D2101" t="n">
        <x:v>31</x:v>
      </x:c>
      <x:c r="E2101" t="str">
        <x:v>Casual</x:v>
      </x:c>
      <x:c r="F2101" t="str">
        <x:v>Standard</x:v>
      </x:c>
      <x:c r="G2101" t="n">
        <x:v>42222</x:v>
      </x:c>
      <x:c r="H2101" t="str">
        <x:v>10221</x:v>
      </x:c>
      <x:c r="I2101" t="str">
        <x:v>https://www.smwcentral.net/?a=details&amp;id=10221&amp;p=section</x:v>
      </x:c>
      <x:c r="J2101" t="str">
        <x:v>https://dl.smwcentral.net/10221/tha.zip</x:v>
      </x:c>
    </x:row>
    <x:row r="2102">
      <x:c r="A2102" t="str">
        <x:v>Super Mario World: The Lost Adventure - Episode I REMASTERED</x:v>
      </x:c>
      <x:c r="B2102" t="str">
        <x:v>Super Mario World: The Lost Adventure - Episode I REMASTERED</x:v>
      </x:c>
      <x:c r="C2102" t="str">
        <x:v>RichardDS90, isaix</x:v>
      </x:c>
      <x:c r="D2102" t="n">
        <x:v>93</x:v>
      </x:c>
      <x:c r="E2102" t="str">
        <x:v>Casual</x:v>
      </x:c>
      <x:c r="F2102" t="str">
        <x:v>Standard</x:v>
      </x:c>
      <x:c r="G2102" t="n">
        <x:v>45005</x:v>
      </x:c>
      <x:c r="H2102" t="str">
        <x:v>33456</x:v>
      </x:c>
      <x:c r="I2102" t="str">
        <x:v>https://www.smwcentral.net/?a=details&amp;id=33456&amp;p=section</x:v>
      </x:c>
      <x:c r="J2102" t="str">
        <x:v>https://dl.smwcentral.net/33456/SMW%20The%20Lost%20Adventure%20Episode%20I%20REMASTERED.zip</x:v>
      </x:c>
    </x:row>
    <x:row r="2103">
      <x:c r="A2103" t="str">
        <x:v>Super Mario World: The Lost Levels</x:v>
      </x:c>
      <x:c r="B2103" t="str">
        <x:v>Super Mario World: The Lost Levels</x:v>
      </x:c>
      <x:c r="C2103" t="str">
        <x:v>CargoOfDarkness, LunaStarshine</x:v>
      </x:c>
      <x:c r="D2103" t="n">
        <x:v>106</x:v>
      </x:c>
      <x:c r="E2103" t="str">
        <x:v>Master</x:v>
      </x:c>
      <x:c r="F2103" t="str">
        <x:v>Standard</x:v>
      </x:c>
      <x:c r="G2103" t="n">
        <x:v>41711</x:v>
      </x:c>
      <x:c r="H2103" t="str">
        <x:v>6410</x:v>
      </x:c>
      <x:c r="I2103" t="str">
        <x:v>https://www.smwcentral.net/?a=details&amp;id=6410&amp;p=section</x:v>
      </x:c>
      <x:c r="J2103" t="str">
        <x:v>https://dl.smwcentral.net/6410/New%20Super%20Mario%20World%20-%20The%20%20Lost%20Levels.zip</x:v>
      </x:c>
    </x:row>
    <x:row r="2104">
      <x:c r="A2104" t="str">
        <x:v>Super Mario World: The Magical Golden Mushroom</x:v>
      </x:c>
      <x:c r="B2104" t="str">
        <x:v>Super Mario World: The Magical Golden Mushroom</x:v>
      </x:c>
      <x:c r="C2104" t="str">
        <x:v>Green Jerry</x:v>
      </x:c>
      <x:c r="D2104" t="n">
        <x:v>70</x:v>
      </x:c>
      <x:c r="E2104" t="str">
        <x:v>Intermediate</x:v>
      </x:c>
      <x:c r="F2104" t="str">
        <x:v>Standard</x:v>
      </x:c>
      <x:c r="G2104" t="n">
        <x:v>46208</x:v>
      </x:c>
      <x:c r="H2104" t="str">
        <x:v>42564</x:v>
      </x:c>
      <x:c r="I2104" t="str">
        <x:v>https://www.smwcentral.net/?a=details&amp;id=42564&amp;p=section</x:v>
      </x:c>
      <x:c r="J2104" t="str">
        <x:v>https://dl.smwcentral.net/42564/Super%20Mario%20World%20-%20The%20Magical%20Golden%20Mushroom%20v1.2.zip</x:v>
      </x:c>
    </x:row>
    <x:row r="2105">
      <x:c r="A2105" t="str">
        <x:v>Super Mario World: The Magical Wand</x:v>
      </x:c>
      <x:c r="B2105" t="str">
        <x:v>Super Mario World: The Magical Wand</x:v>
      </x:c>
      <x:c r="C2105" t="str">
        <x:v>TheEvilFlashAnimator</x:v>
      </x:c>
      <x:c r="D2105" t="n">
        <x:v>6</x:v>
      </x:c>
      <x:c r="E2105" t="str">
        <x:v>Casual</x:v>
      </x:c>
      <x:c r="F2105" t="str">
        <x:v>Standard</x:v>
      </x:c>
      <x:c r="G2105" t="n">
        <x:v>42291</x:v>
      </x:c>
      <x:c r="H2105" t="str">
        <x:v>10062</x:v>
      </x:c>
      <x:c r="I2105" t="str">
        <x:v>https://www.smwcentral.net/?a=details&amp;id=10062&amp;p=section</x:v>
      </x:c>
      <x:c r="J2105" t="str">
        <x:v>https://dl.smwcentral.net/10062/SMWTMW_demo.zip</x:v>
      </x:c>
    </x:row>
    <x:row r="2106">
      <x:c r="A2106" t="str">
        <x:v>Super Mario World: The Megaman 29th anniversary adventure</x:v>
      </x:c>
      <x:c r="B2106" t="str">
        <x:v>Super Mario World: The Megaman 29th anniversary adventure</x:v>
      </x:c>
      <x:c r="C2106" t="str">
        <x:v>Roberto zampari</x:v>
      </x:c>
      <x:c r="D2106" t="n">
        <x:v>90</x:v>
      </x:c>
      <x:c r="E2106" t="str">
        <x:v>Casual</x:v>
      </x:c>
      <x:c r="F2106" t="str">
        <x:v>Standard</x:v>
      </x:c>
      <x:c r="G2106" t="n">
        <x:v>42538</x:v>
      </x:c>
      <x:c r="H2106" t="str">
        <x:v>13720</x:v>
      </x:c>
      <x:c r="I2106" t="str">
        <x:v>https://www.smwcentral.net/?a=details&amp;id=13720&amp;p=section</x:v>
      </x:c>
      <x:c r="J2106" t="str">
        <x:v>https://dl.smwcentral.net/13720/Megaman29thfull2.zip</x:v>
      </x:c>
    </x:row>
    <x:row r="2107">
      <x:c r="A2107" t="str">
        <x:v>Super Mario World: The Meteor...</x:v>
      </x:c>
      <x:c r="B2107" t="str">
        <x:v>Super Mario World: The Meteor...</x:v>
      </x:c>
      <x:c r="C2107" t="str">
        <x:v>Saturn the Donkey</x:v>
      </x:c>
      <x:c r="D2107" t="n">
        <x:v>7</x:v>
      </x:c>
      <x:c r="E2107" t="str">
        <x:v>Casual</x:v>
      </x:c>
      <x:c r="F2107" t="str">
        <x:v>Standard</x:v>
      </x:c>
      <x:c r="G2107" t="n">
        <x:v>42219</x:v>
      </x:c>
      <x:c r="H2107" t="str">
        <x:v>9643</x:v>
      </x:c>
      <x:c r="I2107" t="str">
        <x:v>https://www.smwcentral.net/?a=details&amp;id=9643&amp;p=section</x:v>
      </x:c>
      <x:c r="J2107" t="str">
        <x:v>https://dl.smwcentral.net/9643/Mario%20the%20meteor.zip</x:v>
      </x:c>
    </x:row>
    <x:row r="2108">
      <x:c r="A2108" t="str">
        <x:v>Super Mario World: The Mysterious Armada</x:v>
      </x:c>
      <x:c r="B2108" t="str">
        <x:v>Super Mario World: The Mysterious Armada</x:v>
      </x:c>
      <x:c r="C2108" t="str">
        <x:v>MetallicKreeper</x:v>
      </x:c>
      <x:c r="D2108" t="n">
        <x:v>8</x:v>
      </x:c>
      <x:c r="E2108" t="str">
        <x:v>Casual</x:v>
      </x:c>
      <x:c r="F2108" t="str">
        <x:v>Standard</x:v>
      </x:c>
      <x:c r="G2108" t="n">
        <x:v>43471</x:v>
      </x:c>
      <x:c r="H2108" t="str">
        <x:v>18817</x:v>
      </x:c>
      <x:c r="I2108" t="str">
        <x:v>https://www.smwcentral.net/?a=details&amp;id=18817&amp;p=section</x:v>
      </x:c>
      <x:c r="J2108" t="str">
        <x:v>https://dl.smwcentral.net/18817/TMA.zip</x:v>
      </x:c>
    </x:row>
    <x:row r="2109">
      <x:c r="A2109" t="str">
        <x:v>Super Mario World: The New World</x:v>
      </x:c>
      <x:c r="B2109" t="str">
        <x:v>Super Mario World: The New World</x:v>
      </x:c>
      <x:c r="C2109" t="str">
        <x:v>MrUltimateKirby</x:v>
      </x:c>
      <x:c r="D2109" t="n">
        <x:v>26</x:v>
      </x:c>
      <x:c r="E2109" t="str">
        <x:v>Casual</x:v>
      </x:c>
      <x:c r="F2109" t="str">
        <x:v>Standard</x:v>
      </x:c>
      <x:c r="G2109" t="n">
        <x:v>42750</x:v>
      </x:c>
      <x:c r="H2109" t="str">
        <x:v>14829</x:v>
      </x:c>
      <x:c r="I2109" t="str">
        <x:v>https://www.smwcentral.net/?a=details&amp;id=14829&amp;p=section</x:v>
      </x:c>
      <x:c r="J2109" t="str">
        <x:v>https://dl.smwcentral.net/14829/Super%20Mario%20World%20-%20The%20New%20World.zip</x:v>
      </x:c>
    </x:row>
    <x:row r="2110">
      <x:c r="A2110" t="str">
        <x:v>Super Mario World: The Return of Bowser</x:v>
      </x:c>
      <x:c r="B2110" t="str">
        <x:v>Super Mario World: The Return of Bowser</x:v>
      </x:c>
      <x:c r="C2110" t="str">
        <x:v>Bmann7000</x:v>
      </x:c>
      <x:c r="D2110" t="n">
        <x:v>7</x:v>
      </x:c>
      <x:c r="E2110" t="str">
        <x:v>Intermediate</x:v>
      </x:c>
      <x:c r="F2110" t="str">
        <x:v>Standard</x:v>
      </x:c>
      <x:c r="G2110" t="n">
        <x:v>42104</x:v>
      </x:c>
      <x:c r="H2110" t="str">
        <x:v>9733</x:v>
      </x:c>
      <x:c r="I2110" t="str">
        <x:v>https://www.smwcentral.net/?a=details&amp;id=9733&amp;p=section</x:v>
      </x:c>
      <x:c r="J2110" t="str">
        <x:v>https://dl.smwcentral.net/9733/Mario2008v4.zip</x:v>
      </x:c>
    </x:row>
    <x:row r="2111">
      <x:c r="A2111" t="str">
        <x:v>Super Mario World: The Secret of 4 Colour Switch</x:v>
      </x:c>
      <x:c r="B2111" t="str">
        <x:v>Super Mario World: The Secret of 4 Colour Switch</x:v>
      </x:c>
      <x:c r="C2111" t="str">
        <x:v>Reaper Fan</x:v>
      </x:c>
      <x:c r="D2111" t="n">
        <x:v>9</x:v>
      </x:c>
      <x:c r="E2111" t="str">
        <x:v>Intermediate</x:v>
      </x:c>
      <x:c r="F2111" t="str">
        <x:v>Standard</x:v>
      </x:c>
      <x:c r="G2111" t="n">
        <x:v>42180</x:v>
      </x:c>
      <x:c r="H2111" t="str">
        <x:v>11585</x:v>
      </x:c>
      <x:c r="I2111" t="str">
        <x:v>https://www.smwcentral.net/?a=details&amp;id=11585&amp;p=section</x:v>
      </x:c>
      <x:c r="J2111" t="str">
        <x:v>https://dl.smwcentral.net/11585/SMW-The%20Secret%20Of%204%20Colour%20Switch%20Demo%201.3.zip</x:v>
      </x:c>
    </x:row>
    <x:row r="2112">
      <x:c r="A2112" t="str">
        <x:v>Super Mario World: The Secret of the 7 Golden Statues</x:v>
      </x:c>
      <x:c r="B2112" t="str">
        <x:v>Super Mario World: The Secret of the 7 Golden Statues</x:v>
      </x:c>
      <x:c r="C2112" t="str">
        <x:v>mario90</x:v>
      </x:c>
      <x:c r="D2112" t="n">
        <x:v>86</x:v>
      </x:c>
      <x:c r="E2112" t="str">
        <x:v>Intermediate</x:v>
      </x:c>
      <x:c r="F2112" t="str">
        <x:v>Standard</x:v>
      </x:c>
      <x:c r="G2112" t="n">
        <x:v>44511</x:v>
      </x:c>
      <x:c r="H2112" t="str">
        <x:v>28693</x:v>
      </x:c>
      <x:c r="I2112" t="str">
        <x:v>https://www.smwcentral.net/?a=details&amp;id=28693&amp;p=section</x:v>
      </x:c>
      <x:c r="J2112" t="str">
        <x:v>https://dl.smwcentral.net/28693/Super_Mario_World_The_Secret_of_the_7_Golden_Statues.zip</x:v>
      </x:c>
    </x:row>
    <x:row r="2113">
      <x:c r="A2113" t="str">
        <x:v>Super Mario World: The Secret of the Lands!</x:v>
      </x:c>
      <x:c r="B2113" t="str">
        <x:v>Super Mario World: The Secret of the Lands!</x:v>
      </x:c>
      <x:c r="C2113" t="str">
        <x:v>mario and luigi</x:v>
      </x:c>
      <x:c r="D2113" t="n">
        <x:v>22</x:v>
      </x:c>
      <x:c r="E2113" t="str">
        <x:v>Casual</x:v>
      </x:c>
      <x:c r="F2113" t="str">
        <x:v>Standard</x:v>
      </x:c>
      <x:c r="G2113" t="n">
        <x:v>41649</x:v>
      </x:c>
      <x:c r="H2113" t="str">
        <x:v>6084</x:v>
      </x:c>
      <x:c r="I2113" t="str">
        <x:v>https://www.smwcentral.net/?a=details&amp;id=6084&amp;p=section</x:v>
      </x:c>
      <x:c r="J2113" t="str">
        <x:v>https://dl.smwcentral.net/6084/tsotl%20-%20demo%202%21.zip</x:v>
      </x:c>
    </x:row>
    <x:row r="2114">
      <x:c r="A2114" t="str">
        <x:v>Super Mario World: The Star Field</x:v>
      </x:c>
      <x:c r="B2114" t="str">
        <x:v>Super Mario World: The Star Field</x:v>
      </x:c>
      <x:c r="C2114" t="str">
        <x:v>vysethelegend47</x:v>
      </x:c>
      <x:c r="D2114" t="n">
        <x:v>58</x:v>
      </x:c>
      <x:c r="E2114" t="str">
        <x:v>Intermediate</x:v>
      </x:c>
      <x:c r="F2114" t="str">
        <x:v>Standard</x:v>
      </x:c>
      <x:c r="G2114" t="n">
        <x:v>42279</x:v>
      </x:c>
      <x:c r="H2114" t="str">
        <x:v>9966</x:v>
      </x:c>
      <x:c r="I2114" t="str">
        <x:v>https://www.smwcentral.net/?a=details&amp;id=9966&amp;p=section</x:v>
      </x:c>
      <x:c r="J2114" t="str">
        <x:v>https://dl.smwcentral.net/9966/SMWTheStarFieldDemo2.2.zip</x:v>
      </x:c>
    </x:row>
    <x:row r="2115">
      <x:c r="A2115" t="str">
        <x:v>Super Mario World: Twentieth Anniversary Edition</x:v>
      </x:c>
      <x:c r="B2115" t="str">
        <x:v>Super Mario World: Twentieth Anniversary Edition</x:v>
      </x:c>
      <x:c r="C2115" t="str">
        <x:v>Fyord</x:v>
      </x:c>
      <x:c r="D2115" t="n">
        <x:v>21</x:v>
      </x:c>
      <x:c r="E2115" t="str">
        <x:v>Newcomer</x:v>
      </x:c>
      <x:c r="F2115" t="str">
        <x:v>Standard</x:v>
      </x:c>
      <x:c r="G2115" t="n">
        <x:v>42273</x:v>
      </x:c>
      <x:c r="H2115" t="str">
        <x:v>10041</x:v>
      </x:c>
      <x:c r="I2115" t="str">
        <x:v>https://www.smwcentral.net/?a=details&amp;id=10041&amp;p=section</x:v>
      </x:c>
      <x:c r="J2115" t="str">
        <x:v>https://dl.smwcentral.net/10041/SMW%20Twentieth%20Anniversary.zip</x:v>
      </x:c>
    </x:row>
    <x:row r="2116">
      <x:c r="A2116" t="str">
        <x:v>Super Mario World: Uber Edition</x:v>
      </x:c>
      <x:c r="B2116" t="str">
        <x:v>Super Mario World: Uber Edition</x:v>
      </x:c>
      <x:c r="C2116" t="str">
        <x:v>MarioPwnz</x:v>
      </x:c>
      <x:c r="D2116" t="n">
        <x:v>6</x:v>
      </x:c>
      <x:c r="E2116" t="str">
        <x:v>Newcomer</x:v>
      </x:c>
      <x:c r="F2116" t="str">
        <x:v>Standard</x:v>
      </x:c>
      <x:c r="G2116" t="n">
        <x:v>42131</x:v>
      </x:c>
      <x:c r="H2116" t="str">
        <x:v>9772</x:v>
      </x:c>
      <x:c r="I2116" t="str">
        <x:v>https://www.smwcentral.net/?a=details&amp;id=9772&amp;p=section</x:v>
      </x:c>
      <x:c r="J2116" t="str">
        <x:v>https://dl.smwcentral.net/9772/Uber%20Mario%20World%20DEMO1.zip</x:v>
      </x:c>
    </x:row>
    <x:row r="2117">
      <x:c r="A2117" t="str">
        <x:v>Super Mario World: Winter's Delight</x:v>
      </x:c>
      <x:c r="B2117" t="str">
        <x:v>Super Mario World: Winter's Delight</x:v>
      </x:c>
      <x:c r="C2117" t="str">
        <x:v>BD132</x:v>
      </x:c>
      <x:c r="D2117" t="n">
        <x:v>4</x:v>
      </x:c>
      <x:c r="E2117" t="str">
        <x:v>Newcomer</x:v>
      </x:c>
      <x:c r="F2117" t="str">
        <x:v>Standard</x:v>
      </x:c>
      <x:c r="G2117" t="n">
        <x:v>42153</x:v>
      </x:c>
      <x:c r="H2117" t="str">
        <x:v>9847</x:v>
      </x:c>
      <x:c r="I2117" t="str">
        <x:v>https://www.smwcentral.net/?a=details&amp;id=9847&amp;p=section</x:v>
      </x:c>
      <x:c r="J2117" t="str">
        <x:v>https://dl.smwcentral.net/9847/WintersDelight.zip</x:v>
      </x:c>
    </x:row>
    <x:row r="2118">
      <x:c r="A2118" t="str">
        <x:v>Super Mario Worldwide</x:v>
      </x:c>
      <x:c r="B2118" t="str">
        <x:v>Super Mario Worldwide</x:v>
      </x:c>
      <x:c r="C2118" t="str">
        <x:v>Antroid</x:v>
      </x:c>
      <x:c r="D2118" t="n">
        <x:v>28</x:v>
      </x:c>
      <x:c r="E2118" t="str">
        <x:v>Casual</x:v>
      </x:c>
      <x:c r="F2118" t="str">
        <x:v>Standard</x:v>
      </x:c>
      <x:c r="G2118" t="n">
        <x:v>42223</x:v>
      </x:c>
      <x:c r="H2118" t="str">
        <x:v>9767</x:v>
      </x:c>
      <x:c r="I2118" t="str">
        <x:v>https://www.smwcentral.net/?a=details&amp;id=9767&amp;p=section</x:v>
      </x:c>
      <x:c r="J2118" t="str">
        <x:v>https://dl.smwcentral.net/9767/Super_Mario_Worldwide.zip</x:v>
      </x:c>
    </x:row>
    <x:row r="2119">
      <x:c r="A2119" t="str">
        <x:v>Super Mario Worldwide 2</x:v>
      </x:c>
      <x:c r="B2119" t="str">
        <x:v>Super Mario Worldwide 2</x:v>
      </x:c>
      <x:c r="C2119" t="str">
        <x:v>Antroid</x:v>
      </x:c>
      <x:c r="D2119" t="n">
        <x:v>66</x:v>
      </x:c>
      <x:c r="E2119" t="str">
        <x:v>Casual</x:v>
      </x:c>
      <x:c r="F2119" t="str">
        <x:v>Standard</x:v>
      </x:c>
      <x:c r="G2119" t="n">
        <x:v>41604</x:v>
      </x:c>
      <x:c r="H2119" t="str">
        <x:v>5370</x:v>
      </x:c>
      <x:c r="I2119" t="str">
        <x:v>https://www.smwcentral.net/?a=details&amp;id=5370&amp;p=section</x:v>
      </x:c>
      <x:c r="J2119" t="str">
        <x:v>https://dl.smwcentral.net/5370/Super_Mario_Worldwide_2.zip</x:v>
      </x:c>
    </x:row>
    <x:row r="2120">
      <x:c r="A2120" t="str">
        <x:v>Super Mario World²</x:v>
      </x:c>
      <x:c r="B2120" t="str">
        <x:v>Super Mario World²</x:v>
      </x:c>
      <x:c r="C2120" t="str">
        <x:v>Young Boi</x:v>
      </x:c>
      <x:c r="D2120" t="n">
        <x:v>6</x:v>
      </x:c>
      <x:c r="E2120" t="str">
        <x:v>Newcomer</x:v>
      </x:c>
      <x:c r="F2120" t="str">
        <x:v>Standard</x:v>
      </x:c>
      <x:c r="G2120" t="n">
        <x:v>43548</x:v>
      </x:c>
      <x:c r="H2120" t="str">
        <x:v>19292</x:v>
      </x:c>
      <x:c r="I2120" t="str">
        <x:v>https://www.smwcentral.net/?a=details&amp;id=19292&amp;p=section</x:v>
      </x:c>
      <x:c r="J2120" t="str">
        <x:v>https://dl.smwcentral.net/19292/SMW%5E2%20DEMO.zip</x:v>
      </x:c>
    </x:row>
    <x:row r="2121">
      <x:c r="A2121" t="str">
        <x:v>Super Mario Wornilla</x:v>
      </x:c>
      <x:c r="B2121" t="str">
        <x:v>Super Mario Wornilla</x:v>
      </x:c>
      <x:c r="C2121" t="str">
        <x:v>Drakel</x:v>
      </x:c>
      <x:c r="D2121" t="n">
        <x:v>77</x:v>
      </x:c>
      <x:c r="E2121" t="str">
        <x:v>Intermediate</x:v>
      </x:c>
      <x:c r="F2121" t="str">
        <x:v>Standard</x:v>
      </x:c>
      <x:c r="G2121" t="n">
        <x:v>43646</x:v>
      </x:c>
      <x:c r="H2121" t="str">
        <x:v>20336</x:v>
      </x:c>
      <x:c r="I2121" t="str">
        <x:v>https://www.smwcentral.net/?a=details&amp;id=20336&amp;p=section</x:v>
      </x:c>
      <x:c r="J2121" t="str">
        <x:v>https://dl.smwcentral.net/20336/Super%20Mario%20Wornilla.zip</x:v>
      </x:c>
    </x:row>
    <x:row r="2122">
      <x:c r="A2122" t="str">
        <x:v>Super Mario Wornilla - Lost Levels</x:v>
      </x:c>
      <x:c r="B2122" t="str">
        <x:v>Super Mario Wornilla - Lost Levels</x:v>
      </x:c>
      <x:c r="C2122" t="str">
        <x:v>Drakel</x:v>
      </x:c>
      <x:c r="D2122" t="n">
        <x:v>20</x:v>
      </x:c>
      <x:c r="E2122" t="str">
        <x:v>Master</x:v>
      </x:c>
      <x:c r="F2122" t="str">
        <x:v>Kaizo</x:v>
      </x:c>
      <x:c r="G2122" t="n">
        <x:v>43881</x:v>
      </x:c>
      <x:c r="H2122" t="str">
        <x:v>22082</x:v>
      </x:c>
      <x:c r="I2122" t="str">
        <x:v>https://www.smwcentral.net/?a=details&amp;id=22082&amp;p=section</x:v>
      </x:c>
      <x:c r="J2122" t="str">
        <x:v>https://dl.smwcentral.net/22082/Wornilla%20-%20LostLevels.zip</x:v>
      </x:c>
    </x:row>
    <x:row r="2123">
      <x:c r="A2123" t="str">
        <x:v>Super Mario X</x:v>
      </x:c>
      <x:c r="B2123" t="str">
        <x:v>Super Mario X</x:v>
      </x:c>
      <x:c r="C2123" t="str">
        <x:v>zack30</x:v>
      </x:c>
      <x:c r="D2123" t="n">
        <x:v>7</x:v>
      </x:c>
      <x:c r="E2123" t="str">
        <x:v>Newcomer</x:v>
      </x:c>
      <x:c r="F2123" t="str">
        <x:v>Standard</x:v>
      </x:c>
      <x:c r="G2123" t="n">
        <x:v>41772</x:v>
      </x:c>
      <x:c r="H2123" t="str">
        <x:v>6532</x:v>
      </x:c>
      <x:c r="I2123" t="str">
        <x:v>https://www.smwcentral.net/?a=details&amp;id=6532&amp;p=section</x:v>
      </x:c>
      <x:c r="J2123" t="str">
        <x:v>https://dl.smwcentral.net/6532/Super%20Mario%20X.zip</x:v>
      </x:c>
    </x:row>
    <x:row r="2124">
      <x:c r="A2124" t="str">
        <x:v>Super Mario Yggdrasil</x:v>
      </x:c>
      <x:c r="B2124" t="str">
        <x:v>Super Mario Yggdrasil</x:v>
      </x:c>
      <x:c r="C2124" t="str">
        <x:v>Inventalgames</x:v>
      </x:c>
      <x:c r="D2124" t="n">
        <x:v>30</x:v>
      </x:c>
      <x:c r="E2124" t="str">
        <x:v>Casual</x:v>
      </x:c>
      <x:c r="F2124" t="str">
        <x:v>Standard</x:v>
      </x:c>
      <x:c r="G2124" t="n">
        <x:v>46052</x:v>
      </x:c>
      <x:c r="H2124" t="str">
        <x:v>41496</x:v>
      </x:c>
      <x:c r="I2124" t="str">
        <x:v>https://www.smwcentral.net/?a=details&amp;id=41496&amp;p=section</x:v>
      </x:c>
      <x:c r="J2124" t="str">
        <x:v>https://dl.smwcentral.net/41496/Super%20Mario%20Yggdrasil.zip</x:v>
      </x:c>
    </x:row>
    <x:row r="2125">
      <x:c r="A2125" t="str">
        <x:v>Super Mario's Adventure To Waste Time</x:v>
      </x:c>
      <x:c r="B2125" t="str">
        <x:v>Super Mario's Adventure To Waste Time</x:v>
      </x:c>
      <x:c r="C2125" t="str">
        <x:v>lolyoshi</x:v>
      </x:c>
      <x:c r="D2125" t="n">
        <x:v>6</x:v>
      </x:c>
      <x:c r="E2125" t="str">
        <x:v>Advanced</x:v>
      </x:c>
      <x:c r="F2125" t="str">
        <x:v>Kaizo, Tool-Assisted</x:v>
      </x:c>
      <x:c r="G2125" t="n">
        <x:v>41818</x:v>
      </x:c>
      <x:c r="H2125" t="str">
        <x:v>6094</x:v>
      </x:c>
      <x:c r="I2125" t="str">
        <x:v>https://www.smwcentral.net/?a=details&amp;id=6094&amp;p=section</x:v>
      </x:c>
      <x:c r="J2125" t="str">
        <x:v>https://dl.smwcentral.net/6094/SMATWT%20v1.5.zip</x:v>
      </x:c>
    </x:row>
    <x:row r="2126">
      <x:c r="A2126" t="str">
        <x:v>Super Mario's Island Hopping Adventure</x:v>
      </x:c>
      <x:c r="B2126" t="str">
        <x:v>Super Mario's Island Hopping Adventure</x:v>
      </x:c>
      <x:c r="C2126" t="str">
        <x:v>Techokami</x:v>
      </x:c>
      <x:c r="D2126" t="n">
        <x:v>10</x:v>
      </x:c>
      <x:c r="E2126" t="str">
        <x:v>Newcomer</x:v>
      </x:c>
      <x:c r="F2126" t="str">
        <x:v>Standard</x:v>
      </x:c>
      <x:c r="G2126" t="n">
        <x:v>41447</x:v>
      </x:c>
      <x:c r="H2126" t="str">
        <x:v>5023</x:v>
      </x:c>
      <x:c r="I2126" t="str">
        <x:v>https://www.smwcentral.net/?a=details&amp;id=5023&amp;p=section</x:v>
      </x:c>
      <x:c r="J2126" t="str">
        <x:v>https://dl.smwcentral.net/5023/smiha.zip</x:v>
      </x:c>
    </x:row>
    <x:row r="2127">
      <x:c r="A2127" t="str">
        <x:v>Super Mario's Legend Quest!</x:v>
      </x:c>
      <x:c r="B2127" t="str">
        <x:v>Super Mario's Legend Quest!</x:v>
      </x:c>
      <x:c r="C2127" t="str">
        <x:v>mario56</x:v>
      </x:c>
      <x:c r="D2127" t="n">
        <x:v>11</x:v>
      </x:c>
      <x:c r="E2127" t="str">
        <x:v>Newcomer</x:v>
      </x:c>
      <x:c r="F2127" t="str">
        <x:v>Standard</x:v>
      </x:c>
      <x:c r="G2127" t="n">
        <x:v>44025</x:v>
      </x:c>
      <x:c r="H2127" t="str">
        <x:v>23762</x:v>
      </x:c>
      <x:c r="I2127" t="str">
        <x:v>https://www.smwcentral.net/?a=details&amp;id=23762&amp;p=section</x:v>
      </x:c>
      <x:c r="J2127" t="str">
        <x:v>https://dl.smwcentral.net/23762/Super_Marios_Legend_Quest_FIXED.zip</x:v>
      </x:c>
    </x:row>
    <x:row r="2128">
      <x:c r="A2128" t="str">
        <x:v>Super Mario's Legend: Vacations at the Tropics</x:v>
      </x:c>
      <x:c r="B2128" t="str">
        <x:v>Super Mario's Legend: Vacations at the Tropics</x:v>
      </x:c>
      <x:c r="C2128" t="str">
        <x:v>Blind Devil</x:v>
      </x:c>
      <x:c r="D2128" t="n">
        <x:v>9</x:v>
      </x:c>
      <x:c r="E2128" t="str">
        <x:v>Casual</x:v>
      </x:c>
      <x:c r="F2128" t="str">
        <x:v>Standard</x:v>
      </x:c>
      <x:c r="G2128" t="n">
        <x:v>41529</x:v>
      </x:c>
      <x:c r="H2128" t="str">
        <x:v>5444</x:v>
      </x:c>
      <x:c r="I2128" t="str">
        <x:v>https://www.smwcentral.net/?a=details&amp;id=5444&amp;p=section</x:v>
      </x:c>
      <x:c r="J2128" t="str">
        <x:v>https://dl.smwcentral.net/5444/Super%20Mario%27s%20Legend%20%5BD1F%5D.zip</x:v>
      </x:c>
    </x:row>
    <x:row r="2129">
      <x:c r="A2129" t="str">
        <x:v>Super Mario's New Adventure 2: The Villain's Revenge</x:v>
      </x:c>
      <x:c r="B2129" t="str">
        <x:v>Super Mario's New Adventure 2: The Villain's Revenge</x:v>
      </x:c>
      <x:c r="C2129" t="str">
        <x:v>Icon of Sin</x:v>
      </x:c>
      <x:c r="D2129" t="n">
        <x:v>10</x:v>
      </x:c>
      <x:c r="E2129" t="str">
        <x:v>Newcomer</x:v>
      </x:c>
      <x:c r="F2129" t="str">
        <x:v>Standard</x:v>
      </x:c>
      <x:c r="G2129" t="n">
        <x:v>41501</x:v>
      </x:c>
      <x:c r="H2129" t="str">
        <x:v>5183</x:v>
      </x:c>
      <x:c r="I2129" t="str">
        <x:v>https://www.smwcentral.net/?a=details&amp;id=5183&amp;p=section</x:v>
      </x:c>
      <x:c r="J2129" t="str">
        <x:v>https://dl.smwcentral.net/5183/SMA2%20Demo%201%23%20alpha%20version.zip</x:v>
      </x:c>
    </x:row>
    <x:row r="2130">
      <x:c r="A2130" t="str">
        <x:v>Super Mario's New Adventure: The Plumber's Fury</x:v>
      </x:c>
      <x:c r="B2130" t="str">
        <x:v>Super Mario's New Adventure: The Plumber's Fury</x:v>
      </x:c>
      <x:c r="C2130" t="str">
        <x:v>Icon of Sin</x:v>
      </x:c>
      <x:c r="D2130" t="n">
        <x:v>25</x:v>
      </x:c>
      <x:c r="E2130" t="str">
        <x:v>Casual</x:v>
      </x:c>
      <x:c r="F2130" t="str">
        <x:v>Standard</x:v>
      </x:c>
      <x:c r="G2130" t="n">
        <x:v>42224</x:v>
      </x:c>
      <x:c r="H2130" t="str">
        <x:v>9839</x:v>
      </x:c>
      <x:c r="I2130" t="str">
        <x:v>https://www.smwcentral.net/?a=details&amp;id=9839&amp;p=section</x:v>
      </x:c>
      <x:c r="J2130" t="str">
        <x:v>https://dl.smwcentral.net/9839/SMATPF%20Final%20Version.zip</x:v>
      </x:c>
    </x:row>
    <x:row r="2131">
      <x:c r="A2131" t="str">
        <x:v>Super Mario's Wacky Worlds SD</x:v>
      </x:c>
      <x:c r="B2131" t="str">
        <x:v>Super Mario's Wacky Worlds SD</x:v>
      </x:c>
      <x:c r="C2131" t="str">
        <x:v>figuiDOS</x:v>
      </x:c>
      <x:c r="D2131" t="n">
        <x:v>25</x:v>
      </x:c>
      <x:c r="E2131" t="str">
        <x:v>Intermediate</x:v>
      </x:c>
      <x:c r="F2131" t="str">
        <x:v>Standard</x:v>
      </x:c>
      <x:c r="G2131" t="n">
        <x:v>46059</x:v>
      </x:c>
      <x:c r="H2131" t="str">
        <x:v>41432</x:v>
      </x:c>
      <x:c r="I2131" t="str">
        <x:v>https://www.smwcentral.net/?a=details&amp;id=41432&amp;p=section</x:v>
      </x:c>
      <x:c r="J2131" t="str">
        <x:v>https://dl.smwcentral.net/41432/Super%20Mario%27s%20Wacky%20Worlds%20SD.zip</x:v>
      </x:c>
    </x:row>
    <x:row r="2132">
      <x:c r="A2132" t="str">
        <x:v>Super Mario: A Familiar Land</x:v>
      </x:c>
      <x:c r="B2132" t="str">
        <x:v>Super Mario: A Familiar Land</x:v>
      </x:c>
      <x:c r="C2132" t="str">
        <x:v>Kraken Pals v 2.0</x:v>
      </x:c>
      <x:c r="D2132" t="n">
        <x:v>7</x:v>
      </x:c>
      <x:c r="E2132" t="str">
        <x:v>Casual</x:v>
      </x:c>
      <x:c r="F2132" t="str">
        <x:v>Standard</x:v>
      </x:c>
      <x:c r="G2132" t="n">
        <x:v>42464</x:v>
      </x:c>
      <x:c r="H2132" t="str">
        <x:v>13498</x:v>
      </x:c>
      <x:c r="I2132" t="str">
        <x:v>https://www.smwcentral.net/?a=details&amp;id=13498&amp;p=section</x:v>
      </x:c>
      <x:c r="J2132" t="str">
        <x:v>https://dl.smwcentral.net/13498/Super%20Mario%20A%20Familiar%20Land.zip</x:v>
      </x:c>
    </x:row>
    <x:row r="2133">
      <x:c r="A2133" t="str">
        <x:v>Super Mario: A New Beginning</x:v>
      </x:c>
      <x:c r="B2133" t="str">
        <x:v>Super Mario: A New Beginning</x:v>
      </x:c>
      <x:c r="C2133" t="str">
        <x:v>UltiMario</x:v>
      </x:c>
      <x:c r="D2133" t="n">
        <x:v>30</x:v>
      </x:c>
      <x:c r="E2133" t="str">
        <x:v>Intermediate</x:v>
      </x:c>
      <x:c r="F2133" t="str">
        <x:v>Standard</x:v>
      </x:c>
      <x:c r="G2133" t="n">
        <x:v>42236</x:v>
      </x:c>
      <x:c r="H2133" t="str">
        <x:v>9900</x:v>
      </x:c>
      <x:c r="I2133" t="str">
        <x:v>https://www.smwcentral.net/?a=details&amp;id=9900&amp;p=section</x:v>
      </x:c>
      <x:c r="J2133" t="str">
        <x:v>https://dl.smwcentral.net/9900/SM-NB%20Demo%203.zip</x:v>
      </x:c>
    </x:row>
    <x:row r="2134">
      <x:c r="A2134" t="str">
        <x:v>Super Mario: Bowser's Last Stand</x:v>
      </x:c>
      <x:c r="B2134" t="str">
        <x:v>Super Mario: Bowser's Last Stand</x:v>
      </x:c>
      <x:c r="C2134" t="str">
        <x:v>Icon of Sin</x:v>
      </x:c>
      <x:c r="D2134" t="n">
        <x:v>12</x:v>
      </x:c>
      <x:c r="E2134" t="str">
        <x:v>Casual</x:v>
      </x:c>
      <x:c r="F2134" t="str">
        <x:v>Standard</x:v>
      </x:c>
      <x:c r="G2134" t="n">
        <x:v>42219</x:v>
      </x:c>
      <x:c r="H2134" t="str">
        <x:v>9640</x:v>
      </x:c>
      <x:c r="I2134" t="str">
        <x:v>https://www.smwcentral.net/?a=details&amp;id=9640&amp;p=section</x:v>
      </x:c>
      <x:c r="J2134" t="str">
        <x:v>https://dl.smwcentral.net/9640/SMBLS%20V2.0%20%28Final%20Final%20Fix%29.ips.zip</x:v>
      </x:c>
    </x:row>
    <x:row r="2135">
      <x:c r="A2135" t="str">
        <x:v>Super Mario: Bowser's Shinedown</x:v>
      </x:c>
      <x:c r="B2135" t="str">
        <x:v>Super Mario: Bowser's Shinedown</x:v>
      </x:c>
      <x:c r="C2135" t="str">
        <x:v>DragonFire6780</x:v>
      </x:c>
      <x:c r="D2135" t="n">
        <x:v>6</x:v>
      </x:c>
      <x:c r="E2135" t="str">
        <x:v>Newcomer</x:v>
      </x:c>
      <x:c r="F2135" t="str">
        <x:v>Standard</x:v>
      </x:c>
      <x:c r="G2135" t="n">
        <x:v>42277</x:v>
      </x:c>
      <x:c r="H2135" t="str">
        <x:v>10111</x:v>
      </x:c>
      <x:c r="I2135" t="str">
        <x:v>https://www.smwcentral.net/?a=details&amp;id=10111&amp;p=section</x:v>
      </x:c>
      <x:c r="J2135" t="str">
        <x:v>https://dl.smwcentral.net/10111/SM%20-%20BS%20dehmoh.zip</x:v>
      </x:c>
    </x:row>
    <x:row r="2136">
      <x:c r="A2136" t="str">
        <x:v>Super Mario: Buried Treasure</x:v>
      </x:c>
      <x:c r="B2136" t="str">
        <x:v>Super Mario: Buried Treasure</x:v>
      </x:c>
      <x:c r="C2136" t="str">
        <x:v>CaseP</x:v>
      </x:c>
      <x:c r="D2136" t="n">
        <x:v>23</x:v>
      </x:c>
      <x:c r="E2136" t="str">
        <x:v>Casual</x:v>
      </x:c>
      <x:c r="F2136" t="str">
        <x:v>Standard</x:v>
      </x:c>
      <x:c r="G2136" t="n">
        <x:v>41556</x:v>
      </x:c>
      <x:c r="H2136" t="str">
        <x:v>5269</x:v>
      </x:c>
      <x:c r="I2136" t="str">
        <x:v>https://www.smwcentral.net/?a=details&amp;id=5269&amp;p=section</x:v>
      </x:c>
      <x:c r="J2136" t="str">
        <x:v>https://dl.smwcentral.net/5269/Buried%20Treasure.zip</x:v>
      </x:c>
    </x:row>
    <x:row r="2137">
      <x:c r="A2137" t="str">
        <x:v>Super Mario: Christmas Season</x:v>
      </x:c>
      <x:c r="B2137" t="str">
        <x:v>Super Mario: Christmas Season</x:v>
      </x:c>
      <x:c r="C2137" t="str">
        <x:v>Master S</x:v>
      </x:c>
      <x:c r="D2137" t="n">
        <x:v>1</x:v>
      </x:c>
      <x:c r="E2137" t="str">
        <x:v>Newcomer</x:v>
      </x:c>
      <x:c r="F2137" t="str">
        <x:v>Standard</x:v>
      </x:c>
      <x:c r="G2137" t="n">
        <x:v>42093</x:v>
      </x:c>
      <x:c r="H2137" t="str">
        <x:v>9994</x:v>
      </x:c>
      <x:c r="I2137" t="str">
        <x:v>https://www.smwcentral.net/?a=details&amp;id=9994&amp;p=section</x:v>
      </x:c>
      <x:c r="J2137" t="str">
        <x:v>https://dl.smwcentral.net/9994/Super%20Mario-%20Christmas%20Season.zip</x:v>
      </x:c>
    </x:row>
    <x:row r="2138">
      <x:c r="A2138" t="str">
        <x:v>Super Mario: Daisy's Kidnapping</x:v>
      </x:c>
      <x:c r="B2138" t="str">
        <x:v>Super Mario: Daisy's Kidnapping</x:v>
      </x:c>
      <x:c r="C2138" t="str">
        <x:v>Tahixham</x:v>
      </x:c>
      <x:c r="D2138" t="n">
        <x:v>32</x:v>
      </x:c>
      <x:c r="E2138" t="str">
        <x:v>Casual</x:v>
      </x:c>
      <x:c r="F2138" t="str">
        <x:v>Standard</x:v>
      </x:c>
      <x:c r="G2138" t="n">
        <x:v>43654</x:v>
      </x:c>
      <x:c r="H2138" t="str">
        <x:v>20417</x:v>
      </x:c>
      <x:c r="I2138" t="str">
        <x:v>https://www.smwcentral.net/?a=details&amp;id=20417&amp;p=section</x:v>
      </x:c>
      <x:c r="J2138" t="str">
        <x:v>https://dl.smwcentral.net/20417/Super%20Mario%20-%20Daisy%27s%20Kidnapping%20%28C3%20July%202019%20Demo%29.zip</x:v>
      </x:c>
    </x:row>
    <x:row r="2139">
      <x:c r="A2139" t="str">
        <x:v>Super Mario: Grand Journey</x:v>
      </x:c>
      <x:c r="B2139" t="str">
        <x:v>Super Mario: Grand Journey</x:v>
      </x:c>
      <x:c r="C2139" t="str">
        <x:v>RZ1</x:v>
      </x:c>
      <x:c r="D2139" t="n">
        <x:v>15</x:v>
      </x:c>
      <x:c r="E2139" t="str">
        <x:v>Casual</x:v>
      </x:c>
      <x:c r="F2139" t="str">
        <x:v>Standard</x:v>
      </x:c>
      <x:c r="G2139" t="n">
        <x:v>42742</x:v>
      </x:c>
      <x:c r="H2139" t="str">
        <x:v>14920</x:v>
      </x:c>
      <x:c r="I2139" t="str">
        <x:v>https://www.smwcentral.net/?a=details&amp;id=14920&amp;p=section</x:v>
      </x:c>
      <x:c r="J2139" t="str">
        <x:v>https://dl.smwcentral.net/14920/Super%20Mario%20-%20Grand%20Journey%20C3.zip</x:v>
      </x:c>
    </x:row>
    <x:row r="2140">
      <x:c r="A2140" t="str">
        <x:v>Super Mario: Hunter's Revenge 2</x:v>
      </x:c>
      <x:c r="B2140" t="str">
        <x:v>Super Mario: Hunter's Revenge 2</x:v>
      </x:c>
      <x:c r="C2140" t="str">
        <x:v>amhunter</x:v>
      </x:c>
      <x:c r="D2140" t="n">
        <x:v>40</x:v>
      </x:c>
      <x:c r="E2140" t="str">
        <x:v>Casual</x:v>
      </x:c>
      <x:c r="F2140" t="str">
        <x:v>Standard</x:v>
      </x:c>
      <x:c r="G2140" t="n">
        <x:v>42214</x:v>
      </x:c>
      <x:c r="H2140" t="str">
        <x:v>9747</x:v>
      </x:c>
      <x:c r="I2140" t="str">
        <x:v>https://www.smwcentral.net/?a=details&amp;id=9747&amp;p=section</x:v>
      </x:c>
      <x:c r="J2140" t="str">
        <x:v>https://dl.smwcentral.net/9747/DEMO1.zip</x:v>
      </x:c>
    </x:row>
    <x:row r="2141">
      <x:c r="A2141" t="str">
        <x:v>Super Mario: Hunter's Revenge 3</x:v>
      </x:c>
      <x:c r="B2141" t="str">
        <x:v>Super Mario: Hunter's Revenge 3</x:v>
      </x:c>
      <x:c r="C2141" t="str">
        <x:v>amhunter</x:v>
      </x:c>
      <x:c r="D2141" t="n">
        <x:v>58</x:v>
      </x:c>
      <x:c r="E2141" t="str">
        <x:v>Intermediate</x:v>
      </x:c>
      <x:c r="F2141" t="str">
        <x:v>Standard</x:v>
      </x:c>
      <x:c r="G2141" t="n">
        <x:v>42302</x:v>
      </x:c>
      <x:c r="H2141" t="str">
        <x:v>9820</x:v>
      </x:c>
      <x:c r="I2141" t="str">
        <x:v>https://www.smwcentral.net/?a=details&amp;id=9820&amp;p=section</x:v>
      </x:c>
      <x:c r="J2141" t="str">
        <x:v>https://dl.smwcentral.net/9820/HR3%20Legacy%20Hack%20Update.zip</x:v>
      </x:c>
    </x:row>
    <x:row r="2142">
      <x:c r="A2142" t="str">
        <x:v>Super Mario: Mushroom Legacy</x:v>
      </x:c>
      <x:c r="B2142" t="str">
        <x:v>Super Mario: Mushroom Legacy</x:v>
      </x:c>
      <x:c r="C2142" t="str">
        <x:v>blue leader</x:v>
      </x:c>
      <x:c r="D2142" t="n">
        <x:v>4</x:v>
      </x:c>
      <x:c r="E2142" t="str">
        <x:v>Newcomer</x:v>
      </x:c>
      <x:c r="F2142" t="str">
        <x:v>Standard</x:v>
      </x:c>
      <x:c r="G2142" t="n">
        <x:v>42216</x:v>
      </x:c>
      <x:c r="H2142" t="str">
        <x:v>10149</x:v>
      </x:c>
      <x:c r="I2142" t="str">
        <x:v>https://www.smwcentral.net/?a=details&amp;id=10149&amp;p=section</x:v>
      </x:c>
      <x:c r="J2142" t="str">
        <x:v>https://dl.smwcentral.net/10149/Super%20Mario-Mushroom%20Legacy%28Demo%201%29.zip</x:v>
      </x:c>
    </x:row>
    <x:row r="2143">
      <x:c r="A2143" t="str">
        <x:v>Super Mario: Nozom Quest (Level Sampler)</x:v>
      </x:c>
      <x:c r="B2143" t="str">
        <x:v>Super Mario: Nozom Quest (Level Sampler)</x:v>
      </x:c>
      <x:c r="C2143" t="str">
        <x:v>Stivi</x:v>
      </x:c>
      <x:c r="D2143" t="n">
        <x:v>6</x:v>
      </x:c>
      <x:c r="E2143" t="str">
        <x:v>Intermediate</x:v>
      </x:c>
      <x:c r="F2143" t="str">
        <x:v>Standard</x:v>
      </x:c>
      <x:c r="G2143" t="n">
        <x:v>44208</x:v>
      </x:c>
      <x:c r="H2143" t="str">
        <x:v>25657</x:v>
      </x:c>
      <x:c r="I2143" t="str">
        <x:v>https://www.smwcentral.net/?a=details&amp;id=25657&amp;p=section</x:v>
      </x:c>
      <x:c r="J2143" t="str">
        <x:v>https://dl.smwcentral.net/25657/Super%20Mario%20Nozom%20Quest%20%28Level%20Sampler%29.zip</x:v>
      </x:c>
    </x:row>
    <x:row r="2144">
      <x:c r="A2144" t="str">
        <x:v>Super Mario: Oiram's Invasion</x:v>
      </x:c>
      <x:c r="B2144" t="str">
        <x:v>Super Mario: Oiram's Invasion</x:v>
      </x:c>
      <x:c r="C2144" t="str">
        <x:v>Gamma V</x:v>
      </x:c>
      <x:c r="D2144" t="n">
        <x:v>12</x:v>
      </x:c>
      <x:c r="E2144" t="str">
        <x:v>Casual</x:v>
      </x:c>
      <x:c r="F2144" t="str">
        <x:v>Standard</x:v>
      </x:c>
      <x:c r="G2144" t="n">
        <x:v>41682</x:v>
      </x:c>
      <x:c r="H2144" t="str">
        <x:v>6274</x:v>
      </x:c>
      <x:c r="I2144" t="str">
        <x:v>https://www.smwcentral.net/?a=details&amp;id=6274&amp;p=section</x:v>
      </x:c>
      <x:c r="J2144" t="str">
        <x:v>https://dl.smwcentral.net/6274/Oiram%27s%20Invasion.zip</x:v>
      </x:c>
    </x:row>
    <x:row r="2145">
      <x:c r="A2145" t="str">
        <x:v>Super Mario: Other World</x:v>
      </x:c>
      <x:c r="B2145" t="str">
        <x:v>Super Mario: Other World</x:v>
      </x:c>
      <x:c r="C2145" t="str">
        <x:v>Epic_Manky</x:v>
      </x:c>
      <x:c r="D2145" t="n">
        <x:v>31</x:v>
      </x:c>
      <x:c r="E2145" t="str">
        <x:v>Casual</x:v>
      </x:c>
      <x:c r="F2145" t="str">
        <x:v>Standard</x:v>
      </x:c>
      <x:c r="G2145" t="n">
        <x:v>43672</x:v>
      </x:c>
      <x:c r="H2145" t="str">
        <x:v>20487</x:v>
      </x:c>
      <x:c r="I2145" t="str">
        <x:v>https://www.smwcentral.net/?a=details&amp;id=20487&amp;p=section</x:v>
      </x:c>
      <x:c r="J2145" t="str">
        <x:v>https://dl.smwcentral.net/20487/Super%20Mario%20Other%20World%20%28Updated%20C3%20Summer%202019%20Demo%29.zip</x:v>
      </x:c>
    </x:row>
    <x:row r="2146">
      <x:c r="A2146" t="str">
        <x:v>Super Mario: RamzaProject</x:v>
      </x:c>
      <x:c r="B2146" t="str">
        <x:v>Super Mario: RamzaProject</x:v>
      </x:c>
      <x:c r="C2146" t="str">
        <x:v>YamiRamzaNeko</x:v>
      </x:c>
      <x:c r="D2146" t="n">
        <x:v>6</x:v>
      </x:c>
      <x:c r="E2146" t="str">
        <x:v>Casual</x:v>
      </x:c>
      <x:c r="F2146" t="str">
        <x:v>Standard</x:v>
      </x:c>
      <x:c r="G2146" t="n">
        <x:v>42163</x:v>
      </x:c>
      <x:c r="H2146" t="str">
        <x:v>9728</x:v>
      </x:c>
      <x:c r="I2146" t="str">
        <x:v>https://www.smwcentral.net/?a=details&amp;id=9728&amp;p=section</x:v>
      </x:c>
      <x:c r="J2146" t="str">
        <x:v>https://dl.smwcentral.net/9728/demo001.zip</x:v>
      </x:c>
    </x:row>
    <x:row r="2147">
      <x:c r="A2147" t="str">
        <x:v>Super Mario: Star Seeker</x:v>
      </x:c>
      <x:c r="B2147" t="str">
        <x:v>Super Mario: Star Seeker</x:v>
      </x:c>
      <x:c r="C2147" t="str">
        <x:v>K3fka</x:v>
      </x:c>
      <x:c r="D2147" t="n">
        <x:v>5</x:v>
      </x:c>
      <x:c r="E2147" t="str">
        <x:v>Casual</x:v>
      </x:c>
      <x:c r="F2147" t="str">
        <x:v>Standard</x:v>
      </x:c>
      <x:c r="G2147" t="n">
        <x:v>44212</x:v>
      </x:c>
      <x:c r="H2147" t="str">
        <x:v>25678</x:v>
      </x:c>
      <x:c r="I2147" t="str">
        <x:v>https://www.smwcentral.net/?a=details&amp;id=25678&amp;p=section</x:v>
      </x:c>
      <x:c r="J2147" t="str">
        <x:v>https://dl.smwcentral.net/25678/starseeker_c3.zip</x:v>
      </x:c>
    </x:row>
    <x:row r="2148">
      <x:c r="A2148" t="str">
        <x:v>Super Mario: Summer Gone Wrong</x:v>
      </x:c>
      <x:c r="B2148" t="str">
        <x:v>Super Mario: Summer Gone Wrong</x:v>
      </x:c>
      <x:c r="C2148" t="str">
        <x:v>Koelkast</x:v>
      </x:c>
      <x:c r="D2148" t="n">
        <x:v>5</x:v>
      </x:c>
      <x:c r="E2148" t="str">
        <x:v>Newcomer</x:v>
      </x:c>
      <x:c r="F2148" t="str">
        <x:v>Standard</x:v>
      </x:c>
      <x:c r="G2148" t="n">
        <x:v>42081</x:v>
      </x:c>
      <x:c r="H2148" t="str">
        <x:v>9768</x:v>
      </x:c>
      <x:c r="I2148" t="str">
        <x:v>https://www.smwcentral.net/?a=details&amp;id=9768&amp;p=section</x:v>
      </x:c>
      <x:c r="J2148" t="str">
        <x:v>https://dl.smwcentral.net/9768/Summer%20Goes%20Wrong.zip</x:v>
      </x:c>
    </x:row>
    <x:row r="2149">
      <x:c r="A2149" t="str">
        <x:v>Super Mario: The Cookie Crisis</x:v>
      </x:c>
      <x:c r="B2149" t="str">
        <x:v>Super Mario: The Cookie Crisis</x:v>
      </x:c>
      <x:c r="C2149" t="str">
        <x:v>yoshicookiezeus</x:v>
      </x:c>
      <x:c r="D2149" t="n">
        <x:v>46</x:v>
      </x:c>
      <x:c r="E2149" t="str">
        <x:v>Casual</x:v>
      </x:c>
      <x:c r="F2149" t="str">
        <x:v>Standard</x:v>
      </x:c>
      <x:c r="G2149" t="n">
        <x:v>41531</x:v>
      </x:c>
      <x:c r="H2149" t="str">
        <x:v>5187</x:v>
      </x:c>
      <x:c r="I2149" t="str">
        <x:v>https://www.smwcentral.net/?a=details&amp;id=5187&amp;p=section</x:v>
      </x:c>
      <x:c r="J2149" t="str">
        <x:v>https://dl.smwcentral.net/5187/Super%20Mario%20-The%20Cookie%20Crisis%20v0.53.zip</x:v>
      </x:c>
    </x:row>
    <x:row r="2150">
      <x:c r="A2150" t="str">
        <x:v>Super Mario: The Egg Rescue</x:v>
      </x:c>
      <x:c r="B2150" t="str">
        <x:v>Super Mario: The Egg Rescue</x:v>
      </x:c>
      <x:c r="C2150" t="str">
        <x:v>Samuka97</x:v>
      </x:c>
      <x:c r="D2150" t="n">
        <x:v>1</x:v>
      </x:c>
      <x:c r="E2150" t="str">
        <x:v>Casual</x:v>
      </x:c>
      <x:c r="F2150" t="str">
        <x:v>Standard</x:v>
      </x:c>
      <x:c r="G2150" t="n">
        <x:v>42153</x:v>
      </x:c>
      <x:c r="H2150" t="str">
        <x:v>10017</x:v>
      </x:c>
      <x:c r="I2150" t="str">
        <x:v>https://www.smwcentral.net/?a=details&amp;id=10017&amp;p=section</x:v>
      </x:c>
      <x:c r="J2150" t="str">
        <x:v>https://dl.smwcentral.net/10017/Egg_Rescue_V1.2.zip</x:v>
      </x:c>
    </x:row>
    <x:row r="2151">
      <x:c r="A2151" t="str">
        <x:v>Super Mario: The Evil Coalition</x:v>
      </x:c>
      <x:c r="B2151" t="str">
        <x:v>Super Mario: The Evil Coalition</x:v>
      </x:c>
      <x:c r="C2151" t="str">
        <x:v>Icon of Sin</x:v>
      </x:c>
      <x:c r="D2151" t="n">
        <x:v>16</x:v>
      </x:c>
      <x:c r="E2151" t="str">
        <x:v>Newcomer</x:v>
      </x:c>
      <x:c r="F2151" t="str">
        <x:v>Standard</x:v>
      </x:c>
      <x:c r="G2151" t="n">
        <x:v>42211</x:v>
      </x:c>
      <x:c r="H2151" t="str">
        <x:v>9805</x:v>
      </x:c>
      <x:c r="I2151" t="str">
        <x:v>https://www.smwcentral.net/?a=details&amp;id=9805&amp;p=section</x:v>
      </x:c>
      <x:c r="J2151" t="str">
        <x:v>https://dl.smwcentral.net/9805/SMTEC%20Demo%20One%20Final%20Fix.zip</x:v>
      </x:c>
    </x:row>
    <x:row r="2152">
      <x:c r="A2152" t="str">
        <x:v>Super Mario: The Five Castles Challenge</x:v>
      </x:c>
      <x:c r="B2152" t="str">
        <x:v>Super Mario: The Five Castles Challenge</x:v>
      </x:c>
      <x:c r="C2152" t="str">
        <x:v>RicardoDeMelo</x:v>
      </x:c>
      <x:c r="D2152" t="n">
        <x:v>5</x:v>
      </x:c>
      <x:c r="E2152" t="str">
        <x:v>Expert</x:v>
      </x:c>
      <x:c r="F2152" t="str">
        <x:v>Kaizo</x:v>
      </x:c>
      <x:c r="G2152" t="n">
        <x:v>44307</x:v>
      </x:c>
      <x:c r="H2152" t="str">
        <x:v>26778</x:v>
      </x:c>
      <x:c r="I2152" t="str">
        <x:v>https://www.smwcentral.net/?a=details&amp;id=26778&amp;p=section</x:v>
      </x:c>
      <x:c r="J2152" t="str">
        <x:v>https://dl.smwcentral.net/26778/The%20Five%20Castle%27s%20Challenge.zip</x:v>
      </x:c>
    </x:row>
    <x:row r="2153">
      <x:c r="A2153" t="str">
        <x:v>Super Mario: The Friends' Rescue</x:v>
      </x:c>
      <x:c r="B2153" t="str">
        <x:v>Super Mario: The Friends' Rescue</x:v>
      </x:c>
      <x:c r="C2153" t="str">
        <x:v>edgar</x:v>
      </x:c>
      <x:c r="D2153" t="n">
        <x:v>12</x:v>
      </x:c>
      <x:c r="E2153" t="str">
        <x:v>Casual</x:v>
      </x:c>
      <x:c r="F2153" t="str">
        <x:v>Standard</x:v>
      </x:c>
      <x:c r="G2153" t="n">
        <x:v>44090</x:v>
      </x:c>
      <x:c r="H2153" t="str">
        <x:v>24582</x:v>
      </x:c>
      <x:c r="I2153" t="str">
        <x:v>https://www.smwcentral.net/?a=details&amp;id=24582&amp;p=section</x:v>
      </x:c>
      <x:c r="J2153" t="str">
        <x:v>https://dl.smwcentral.net/24582/Super%20Mario%20The%20Friends%27%20Rescue.zip</x:v>
      </x:c>
    </x:row>
    <x:row r="2154">
      <x:c r="A2154" t="str">
        <x:v>Super Mario: The Infection</x:v>
      </x:c>
      <x:c r="B2154" t="str">
        <x:v>Super Mario: The Infection</x:v>
      </x:c>
      <x:c r="C2154" t="str">
        <x:v>Shadow Duplicate D</x:v>
      </x:c>
      <x:c r="D2154" t="n">
        <x:v>8</x:v>
      </x:c>
      <x:c r="E2154" t="str">
        <x:v>Intermediate</x:v>
      </x:c>
      <x:c r="F2154" t="str">
        <x:v>Standard</x:v>
      </x:c>
      <x:c r="G2154" t="n">
        <x:v>42113</x:v>
      </x:c>
      <x:c r="H2154" t="str">
        <x:v>9760</x:v>
      </x:c>
      <x:c r="I2154" t="str">
        <x:v>https://www.smwcentral.net/?a=details&amp;id=9760&amp;p=section</x:v>
      </x:c>
      <x:c r="J2154" t="str">
        <x:v>https://dl.smwcentral.net/9760/SMTI%200.1E.zip</x:v>
      </x:c>
    </x:row>
    <x:row r="2155">
      <x:c r="A2155" t="str">
        <x:v>Super Mario: The Quest for Breakfast</x:v>
      </x:c>
      <x:c r="B2155" t="str">
        <x:v>Super Mario: The Quest for Breakfast</x:v>
      </x:c>
      <x:c r="C2155" t="str">
        <x:v>MrUg123</x:v>
      </x:c>
      <x:c r="D2155" t="n">
        <x:v>19</x:v>
      </x:c>
      <x:c r="E2155" t="str">
        <x:v>Casual</x:v>
      </x:c>
      <x:c r="F2155" t="str">
        <x:v>Standard</x:v>
      </x:c>
      <x:c r="G2155" t="n">
        <x:v>46218</x:v>
      </x:c>
      <x:c r="H2155" t="str">
        <x:v>42645</x:v>
      </x:c>
      <x:c r="I2155" t="str">
        <x:v>https://www.smwcentral.net/?a=details&amp;id=42645&amp;p=section</x:v>
      </x:c>
      <x:c r="J2155" t="str">
        <x:v>https://dl.smwcentral.net/42645/SMTQFB_v1.3.zip</x:v>
      </x:c>
    </x:row>
    <x:row r="2156">
      <x:c r="A2156" t="str">
        <x:v>Super Mario: Toadworth's Disappearance</x:v>
      </x:c>
      <x:c r="B2156" t="str">
        <x:v>Super Mario: Toadworth's Disappearance</x:v>
      </x:c>
      <x:c r="C2156" t="str">
        <x:v>TheDutchLuigi</x:v>
      </x:c>
      <x:c r="D2156" t="n">
        <x:v>35</x:v>
      </x:c>
      <x:c r="E2156" t="str">
        <x:v>Newcomer</x:v>
      </x:c>
      <x:c r="F2156" t="str">
        <x:v>Standard</x:v>
      </x:c>
      <x:c r="G2156" t="n">
        <x:v>42219</x:v>
      </x:c>
      <x:c r="H2156" t="str">
        <x:v>9797</x:v>
      </x:c>
      <x:c r="I2156" t="str">
        <x:v>https://www.smwcentral.net/?a=details&amp;id=9797&amp;p=section</x:v>
      </x:c>
      <x:c r="J2156" t="str">
        <x:v>https://dl.smwcentral.net/9797/Toadworth%27s%20Disappearance%20V.1.2.zip</x:v>
      </x:c>
    </x:row>
    <x:row r="2157">
      <x:c r="A2157" t="str">
        <x:v>Super Mario: Ucronia</x:v>
      </x:c>
      <x:c r="B2157" t="str">
        <x:v>Super Mario: Ucronia</x:v>
      </x:c>
      <x:c r="C2157" t="str">
        <x:v>Saturn the Donkey</x:v>
      </x:c>
      <x:c r="D2157" t="n">
        <x:v>5</x:v>
      </x:c>
      <x:c r="E2157" t="str">
        <x:v>Newcomer</x:v>
      </x:c>
      <x:c r="F2157" t="str">
        <x:v>Standard</x:v>
      </x:c>
      <x:c r="G2157" t="n">
        <x:v>42252</x:v>
      </x:c>
      <x:c r="H2157" t="str">
        <x:v>9954</x:v>
      </x:c>
      <x:c r="I2157" t="str">
        <x:v>https://www.smwcentral.net/?a=details&amp;id=9954&amp;p=section</x:v>
      </x:c>
      <x:c r="J2157" t="str">
        <x:v>https://dl.smwcentral.net/9954/Uchronia.zip</x:v>
      </x:c>
    </x:row>
    <x:row r="2158">
      <x:c r="A2158" t="str">
        <x:v>Super Mario: Universos Paralelos</x:v>
      </x:c>
      <x:c r="B2158" t="str">
        <x:v>Super Mario: Universos Paralelos</x:v>
      </x:c>
      <x:c r="C2158" t="str">
        <x:v>carlos-182</x:v>
      </x:c>
      <x:c r="D2158" t="n">
        <x:v>14</x:v>
      </x:c>
      <x:c r="E2158" t="str">
        <x:v>Casual</x:v>
      </x:c>
      <x:c r="F2158" t="str">
        <x:v>Standard</x:v>
      </x:c>
      <x:c r="G2158" t="n">
        <x:v>42207</x:v>
      </x:c>
      <x:c r="H2158" t="str">
        <x:v>9756</x:v>
      </x:c>
      <x:c r="I2158" t="str">
        <x:v>https://www.smwcentral.net/?a=details&amp;id=9756&amp;p=section</x:v>
      </x:c>
      <x:c r="J2158" t="str">
        <x:v>https://dl.smwcentral.net/9756/SMUPDemo.zip</x:v>
      </x:c>
    </x:row>
    <x:row r="2159">
      <x:c r="A2159" t="str">
        <x:v>Super Marisa Adventure World</x:v>
      </x:c>
      <x:c r="B2159" t="str">
        <x:v>Super Marisa Adventure World</x:v>
      </x:c>
      <x:c r="C2159" t="str">
        <x:v>Shiki_Makiro</x:v>
      </x:c>
      <x:c r="D2159" t="n">
        <x:v>101</x:v>
      </x:c>
      <x:c r="E2159" t="str">
        <x:v>Master</x:v>
      </x:c>
      <x:c r="F2159" t="str">
        <x:v>Standard, Kaizo</x:v>
      </x:c>
      <x:c r="G2159" t="n">
        <x:v>44934</x:v>
      </x:c>
      <x:c r="H2159" t="str">
        <x:v>31968</x:v>
      </x:c>
      <x:c r="I2159" t="str">
        <x:v>https://www.smwcentral.net/?a=details&amp;id=31968&amp;p=section</x:v>
      </x:c>
      <x:c r="J2159" t="str">
        <x:v>https://dl.smwcentral.net/31968/SMAW%20non%20SA-1%20v1.10a%20For%20SMWC%201%20Player.zip</x:v>
      </x:c>
    </x:row>
    <x:row r="2160">
      <x:c r="A2160" t="str">
        <x:v>Super Marisa Adventure World 2 - Mari Mari Back Forward Around</x:v>
      </x:c>
      <x:c r="B2160" t="str">
        <x:v>Super Marisa Adventure World 2 - Mari Mari Back Forward Around</x:v>
      </x:c>
      <x:c r="C2160" t="str">
        <x:v>Shiki_Makiro</x:v>
      </x:c>
      <x:c r="D2160" t="n">
        <x:v>96</x:v>
      </x:c>
      <x:c r="E2160" t="str">
        <x:v>Master</x:v>
      </x:c>
      <x:c r="F2160" t="str">
        <x:v>Standard, Kaizo</x:v>
      </x:c>
      <x:c r="G2160" t="n">
        <x:v>45627</x:v>
      </x:c>
      <x:c r="H2160" t="str">
        <x:v>38329</x:v>
      </x:c>
      <x:c r="I2160" t="str">
        <x:v>https://www.smwcentral.net/?a=details&amp;id=38329&amp;p=section</x:v>
      </x:c>
      <x:c r="J2160" t="str">
        <x:v>https://dl.smwcentral.net/38329/SMAW2%20-%20Mari%20Mari%20Back%20Forward%20Around%20%28ver.%201.04d%29.zip</x:v>
      </x:c>
    </x:row>
    <x:row r="2161">
      <x:c r="A2161" t="str">
        <x:v>Super Mawaru World</x:v>
      </x:c>
      <x:c r="B2161" t="str">
        <x:v>Super Mawaru World</x:v>
      </x:c>
      <x:c r="C2161" t="str">
        <x:v>FerpyMcFrosting</x:v>
      </x:c>
      <x:c r="D2161" t="n">
        <x:v>15</x:v>
      </x:c>
      <x:c r="E2161" t="str">
        <x:v>Master</x:v>
      </x:c>
      <x:c r="F2161" t="str">
        <x:v>Kaizo</x:v>
      </x:c>
      <x:c r="G2161" t="n">
        <x:v>45559</x:v>
      </x:c>
      <x:c r="H2161" t="str">
        <x:v>38515</x:v>
      </x:c>
      <x:c r="I2161" t="str">
        <x:v>https://www.smwcentral.net/?a=details&amp;id=38515&amp;p=section</x:v>
      </x:c>
      <x:c r="J2161" t="str">
        <x:v>https://dl.smwcentral.net/38515/SuperMawaruWorld.zip</x:v>
      </x:c>
    </x:row>
    <x:row r="2162">
      <x:c r="A2162" t="str">
        <x:v>Super Melas World</x:v>
      </x:c>
      <x:c r="B2162" t="str">
        <x:v>Super Melas World</x:v>
      </x:c>
      <x:c r="C2162" t="str">
        <x:v>SmoothySmooth</x:v>
      </x:c>
      <x:c r="D2162" t="n">
        <x:v>11</x:v>
      </x:c>
      <x:c r="E2162" t="str">
        <x:v>Advanced</x:v>
      </x:c>
      <x:c r="F2162" t="str">
        <x:v>Kaizo</x:v>
      </x:c>
      <x:c r="G2162" t="n">
        <x:v>44033</x:v>
      </x:c>
      <x:c r="H2162" t="str">
        <x:v>23467</x:v>
      </x:c>
      <x:c r="I2162" t="str">
        <x:v>https://www.smwcentral.net/?a=details&amp;id=23467&amp;p=section</x:v>
      </x:c>
      <x:c r="J2162" t="str">
        <x:v>https://dl.smwcentral.net/23467/Super%20Melas%20World%20v2.4.zip</x:v>
      </x:c>
    </x:row>
    <x:row r="2163">
      <x:c r="A2163" t="str">
        <x:v>Super Mez World</x:v>
      </x:c>
      <x:c r="B2163" t="str">
        <x:v>Super Mez World</x:v>
      </x:c>
      <x:c r="C2163" t="str">
        <x:v>ImCos</x:v>
      </x:c>
      <x:c r="D2163" t="n">
        <x:v>20</x:v>
      </x:c>
      <x:c r="E2163" t="str">
        <x:v>Advanced</x:v>
      </x:c>
      <x:c r="F2163" t="str">
        <x:v>Kaizo</x:v>
      </x:c>
      <x:c r="G2163" t="n">
        <x:v>44108</x:v>
      </x:c>
      <x:c r="H2163" t="str">
        <x:v>24654</x:v>
      </x:c>
      <x:c r="I2163" t="str">
        <x:v>https://www.smwcentral.net/?a=details&amp;id=24654&amp;p=section</x:v>
      </x:c>
      <x:c r="J2163" t="str">
        <x:v>https://dl.smwcentral.net/24654/Super%20Mez%20World.zip</x:v>
      </x:c>
    </x:row>
    <x:row r="2164">
      <x:c r="A2164" t="str">
        <x:v>Super Mio World</x:v>
      </x:c>
      <x:c r="B2164" t="str">
        <x:v>Super Mio World</x:v>
      </x:c>
      <x:c r="C2164" t="str">
        <x:v>mio</x:v>
      </x:c>
      <x:c r="D2164" t="n">
        <x:v>13</x:v>
      </x:c>
      <x:c r="E2164" t="str">
        <x:v>Expert</x:v>
      </x:c>
      <x:c r="F2164" t="str">
        <x:v>Kaizo</x:v>
      </x:c>
      <x:c r="G2164" t="n">
        <x:v>44168</x:v>
      </x:c>
      <x:c r="H2164" t="str">
        <x:v>25332</x:v>
      </x:c>
      <x:c r="I2164" t="str">
        <x:v>https://www.smwcentral.net/?a=details&amp;id=25332&amp;p=section</x:v>
      </x:c>
      <x:c r="J2164" t="str">
        <x:v>https://dl.smwcentral.net/25332/super_mio_world.zip</x:v>
      </x:c>
    </x:row>
    <x:row r="2165">
      <x:c r="A2165" t="str">
        <x:v>Super Mirror Dimension</x:v>
      </x:c>
      <x:c r="B2165" t="str">
        <x:v>Super Mirror Dimension</x:v>
      </x:c>
      <x:c r="C2165" t="str">
        <x:v>AIM-pine</x:v>
      </x:c>
      <x:c r="D2165" t="n">
        <x:v>17</x:v>
      </x:c>
      <x:c r="E2165" t="str">
        <x:v>Expert</x:v>
      </x:c>
      <x:c r="F2165" t="str">
        <x:v>Kaizo</x:v>
      </x:c>
      <x:c r="G2165" t="n">
        <x:v>45854</x:v>
      </x:c>
      <x:c r="H2165" t="str">
        <x:v>40080</x:v>
      </x:c>
      <x:c r="I2165" t="str">
        <x:v>https://www.smwcentral.net/?a=details&amp;id=40080&amp;p=section</x:v>
      </x:c>
      <x:c r="J2165" t="str">
        <x:v>https://dl.smwcentral.net/40080/Super%20Mirror%20Dimension%201.2.zip</x:v>
      </x:c>
    </x:row>
    <x:row r="2166">
      <x:c r="A2166" t="str">
        <x:v>Super Mish World</x:v>
      </x:c>
      <x:c r="B2166" t="str">
        <x:v>Super Mish World</x:v>
      </x:c>
      <x:c r="C2166" t="str">
        <x:v>mish1</x:v>
      </x:c>
      <x:c r="D2166" t="n">
        <x:v>6</x:v>
      </x:c>
      <x:c r="E2166" t="str">
        <x:v>Advanced</x:v>
      </x:c>
      <x:c r="F2166" t="str">
        <x:v>Standard</x:v>
      </x:c>
      <x:c r="G2166" t="n">
        <x:v>44203</x:v>
      </x:c>
      <x:c r="H2166" t="str">
        <x:v>25596</x:v>
      </x:c>
      <x:c r="I2166" t="str">
        <x:v>https://www.smwcentral.net/?a=details&amp;id=25596&amp;p=section</x:v>
      </x:c>
      <x:c r="J2166" t="str">
        <x:v>https://dl.smwcentral.net/25596/MishDemo.zip</x:v>
      </x:c>
    </x:row>
    <x:row r="2167">
      <x:c r="A2167" t="str">
        <x:v>Super Mona World</x:v>
      </x:c>
      <x:c r="B2167" t="str">
        <x:v>Super Mona World</x:v>
      </x:c>
      <x:c r="C2167" t="str">
        <x:v>Wolfguy423</x:v>
      </x:c>
      <x:c r="D2167" t="n">
        <x:v>4</x:v>
      </x:c>
      <x:c r="E2167" t="str">
        <x:v>Intermediate</x:v>
      </x:c>
      <x:c r="F2167" t="str">
        <x:v>Kaizo</x:v>
      </x:c>
      <x:c r="G2167" t="n">
        <x:v>44358</x:v>
      </x:c>
      <x:c r="H2167" t="str">
        <x:v>27220</x:v>
      </x:c>
      <x:c r="I2167" t="str">
        <x:v>https://www.smwcentral.net/?a=details&amp;id=27220&amp;p=section</x:v>
      </x:c>
      <x:c r="J2167" t="str">
        <x:v>https://dl.smwcentral.net/27220/Super%20Mona%20World%201.5.zip</x:v>
      </x:c>
    </x:row>
    <x:row r="2168">
      <x:c r="A2168" t="str">
        <x:v>Super Monty World</x:v>
      </x:c>
      <x:c r="B2168" t="str">
        <x:v>Super Monty World</x:v>
      </x:c>
      <x:c r="C2168" t="str">
        <x:v>00frank</x:v>
      </x:c>
      <x:c r="D2168" t="n">
        <x:v>31</x:v>
      </x:c>
      <x:c r="E2168" t="str">
        <x:v>Expert</x:v>
      </x:c>
      <x:c r="F2168" t="str">
        <x:v>Kaizo</x:v>
      </x:c>
      <x:c r="G2168" t="n">
        <x:v>45362</x:v>
      </x:c>
      <x:c r="H2168" t="str">
        <x:v>36887</x:v>
      </x:c>
      <x:c r="I2168" t="str">
        <x:v>https://www.smwcentral.net/?a=details&amp;id=36887&amp;p=section</x:v>
      </x:c>
      <x:c r="J2168" t="str">
        <x:v>https://dl.smwcentral.net/36887/Super%20Monty%20World%20v1.2.zip</x:v>
      </x:c>
    </x:row>
    <x:row r="2169">
      <x:c r="A2169" t="str">
        <x:v>Super Moo World</x:v>
      </x:c>
      <x:c r="B2169" t="str">
        <x:v>Super Moo World</x:v>
      </x:c>
      <x:c r="C2169" t="str">
        <x:v>Jenboo</x:v>
      </x:c>
      <x:c r="D2169" t="n">
        <x:v>16</x:v>
      </x:c>
      <x:c r="E2169" t="str">
        <x:v>Intermediate</x:v>
      </x:c>
      <x:c r="F2169" t="str">
        <x:v>Kaizo</x:v>
      </x:c>
      <x:c r="G2169" t="n">
        <x:v>43977</x:v>
      </x:c>
      <x:c r="H2169" t="str">
        <x:v>23075</x:v>
      </x:c>
      <x:c r="I2169" t="str">
        <x:v>https://www.smwcentral.net/?a=details&amp;id=23075&amp;p=section</x:v>
      </x:c>
      <x:c r="J2169" t="str">
        <x:v>https://dl.smwcentral.net/23075/SuperMooWorld.zip</x:v>
      </x:c>
    </x:row>
    <x:row r="2170">
      <x:c r="A2170" t="str">
        <x:v>Super Muncher Slopes</x:v>
      </x:c>
      <x:c r="B2170" t="str">
        <x:v>Super Muncher Slopes</x:v>
      </x:c>
      <x:c r="C2170" t="str">
        <x:v>tOaO</x:v>
      </x:c>
      <x:c r="D2170" t="n">
        <x:v>12</x:v>
      </x:c>
      <x:c r="E2170" t="str">
        <x:v>Master</x:v>
      </x:c>
      <x:c r="F2170" t="str">
        <x:v>Kaizo</x:v>
      </x:c>
      <x:c r="G2170" t="n">
        <x:v>45396</x:v>
      </x:c>
      <x:c r="H2170" t="str">
        <x:v>37625</x:v>
      </x:c>
      <x:c r="I2170" t="str">
        <x:v>https://www.smwcentral.net/?a=details&amp;id=37625&amp;p=section</x:v>
      </x:c>
      <x:c r="J2170" t="str">
        <x:v>https://dl.smwcentral.net/37625/super-muncher-slopes.zip</x:v>
      </x:c>
    </x:row>
    <x:row r="2171">
      <x:c r="A2171" t="str">
        <x:v>Super Mushroom Planet</x:v>
      </x:c>
      <x:c r="B2171" t="str">
        <x:v>Super Mushroom Planet</x:v>
      </x:c>
      <x:c r="C2171" t="str">
        <x:v>wrathofblade</x:v>
      </x:c>
      <x:c r="D2171" t="n">
        <x:v>11</x:v>
      </x:c>
      <x:c r="E2171" t="str">
        <x:v>Newcomer</x:v>
      </x:c>
      <x:c r="F2171" t="str">
        <x:v>Standard</x:v>
      </x:c>
      <x:c r="G2171" t="n">
        <x:v>42242</x:v>
      </x:c>
      <x:c r="H2171" t="str">
        <x:v>9905</x:v>
      </x:c>
      <x:c r="I2171" t="str">
        <x:v>https://www.smwcentral.net/?a=details&amp;id=9905&amp;p=section</x:v>
      </x:c>
      <x:c r="J2171" t="str">
        <x:v>https://dl.smwcentral.net/9905/SuperMushPlanet_demo1.zip</x:v>
      </x:c>
    </x:row>
    <x:row r="2172">
      <x:c r="A2172" t="str">
        <x:v>Super N3TS Kaizo World 1</x:v>
      </x:c>
      <x:c r="B2172" t="str">
        <x:v>Super N3TS Kaizo World 1</x:v>
      </x:c>
      <x:c r="C2172" t="str">
        <x:v>nets</x:v>
      </x:c>
      <x:c r="D2172" t="n">
        <x:v>6</x:v>
      </x:c>
      <x:c r="E2172" t="str">
        <x:v>Advanced</x:v>
      </x:c>
      <x:c r="F2172" t="str">
        <x:v>Kaizo</x:v>
      </x:c>
      <x:c r="G2172" t="n">
        <x:v>46010</x:v>
      </x:c>
      <x:c r="H2172" t="str">
        <x:v>41290</x:v>
      </x:c>
      <x:c r="I2172" t="str">
        <x:v>https://www.smwcentral.net/?a=details&amp;id=41290&amp;p=section</x:v>
      </x:c>
      <x:c r="J2172" t="str">
        <x:v>https://dl.smwcentral.net/41290/NETS%20WORLD%201%20%28%20REMAKE%20%29.zip</x:v>
      </x:c>
    </x:row>
    <x:row r="2173">
      <x:c r="A2173" t="str">
        <x:v>Super N3TS Kaizo World 2</x:v>
      </x:c>
      <x:c r="B2173" t="str">
        <x:v>Super N3TS Kaizo World 2</x:v>
      </x:c>
      <x:c r="C2173" t="str">
        <x:v>nets</x:v>
      </x:c>
      <x:c r="D2173" t="n">
        <x:v>22</x:v>
      </x:c>
      <x:c r="E2173" t="str">
        <x:v>Expert</x:v>
      </x:c>
      <x:c r="F2173" t="str">
        <x:v>Kaizo</x:v>
      </x:c>
      <x:c r="G2173" t="n">
        <x:v>45951</x:v>
      </x:c>
      <x:c r="H2173" t="str">
        <x:v>40837</x:v>
      </x:c>
      <x:c r="I2173" t="str">
        <x:v>https://www.smwcentral.net/?a=details&amp;id=40837&amp;p=section</x:v>
      </x:c>
      <x:c r="J2173" t="str">
        <x:v>https://dl.smwcentral.net/40837/SUPER%20NETS%20KAIZO%20WORLD%202.zip</x:v>
      </x:c>
    </x:row>
    <x:row r="2174">
      <x:c r="A2174" t="str">
        <x:v>Super N3TS Kaizo World 3 ( Revenge Of The Lost Shells )</x:v>
      </x:c>
      <x:c r="B2174" t="str">
        <x:v>Super N3TS Kaizo World 3 ( Revenge Of The Lost Shells )</x:v>
      </x:c>
      <x:c r="C2174" t="str">
        <x:v>nets</x:v>
      </x:c>
      <x:c r="D2174" t="n">
        <x:v>30</x:v>
      </x:c>
      <x:c r="E2174" t="str">
        <x:v>Master</x:v>
      </x:c>
      <x:c r="F2174" t="str">
        <x:v>Kaizo</x:v>
      </x:c>
      <x:c r="G2174" t="n">
        <x:v>46000</x:v>
      </x:c>
      <x:c r="H2174" t="str">
        <x:v>41228</x:v>
      </x:c>
      <x:c r="I2174" t="str">
        <x:v>https://www.smwcentral.net/?a=details&amp;id=41228&amp;p=section</x:v>
      </x:c>
      <x:c r="J2174" t="str">
        <x:v>https://dl.smwcentral.net/41228/NETS%203.zip</x:v>
      </x:c>
    </x:row>
    <x:row r="2175">
      <x:c r="A2175" t="str">
        <x:v>Super N450 World</x:v>
      </x:c>
      <x:c r="B2175" t="str">
        <x:v>Super N450 World</x:v>
      </x:c>
      <x:c r="C2175" t="str">
        <x:v>N450</x:v>
      </x:c>
      <x:c r="D2175" t="n">
        <x:v>10</x:v>
      </x:c>
      <x:c r="E2175" t="str">
        <x:v>Casual</x:v>
      </x:c>
      <x:c r="F2175" t="str">
        <x:v>Standard</x:v>
      </x:c>
      <x:c r="G2175" t="n">
        <x:v>44205</x:v>
      </x:c>
      <x:c r="H2175" t="str">
        <x:v>25559</x:v>
      </x:c>
      <x:c r="I2175" t="str">
        <x:v>https://www.smwcentral.net/?a=details&amp;id=25559&amp;p=section</x:v>
      </x:c>
      <x:c r="J2175" t="str">
        <x:v>https://dl.smwcentral.net/25559/Super%20N450%20World%20Demo%201.1.zip</x:v>
      </x:c>
    </x:row>
    <x:row r="2176">
      <x:c r="A2176" t="str">
        <x:v>Super Nambona World</x:v>
      </x:c>
      <x:c r="B2176" t="str">
        <x:v>Super Nambona World</x:v>
      </x:c>
      <x:c r="C2176" t="str">
        <x:v>nambona890</x:v>
      </x:c>
      <x:c r="D2176" t="n">
        <x:v>1</x:v>
      </x:c>
      <x:c r="E2176" t="str">
        <x:v>Expert</x:v>
      </x:c>
      <x:c r="F2176" t="str">
        <x:v>Kaizo, Tool-Assisted</x:v>
      </x:c>
      <x:c r="G2176" t="n">
        <x:v>42599</x:v>
      </x:c>
      <x:c r="H2176" t="str">
        <x:v>14096</x:v>
      </x:c>
      <x:c r="I2176" t="str">
        <x:v>https://www.smwcentral.net/?a=details&amp;id=14096&amp;p=section</x:v>
      </x:c>
      <x:c r="J2176" t="str">
        <x:v>https://dl.smwcentral.net/14096/Super%20Nambona%20World%201%20Level%20Demo.zip</x:v>
      </x:c>
    </x:row>
    <x:row r="2177">
      <x:c r="A2177" t="str">
        <x:v>Super Nana World</x:v>
      </x:c>
      <x:c r="B2177" t="str">
        <x:v>Super Nana World</x:v>
      </x:c>
      <x:c r="C2177" t="str">
        <x:v>Firstnamebutt</x:v>
      </x:c>
      <x:c r="D2177" t="n">
        <x:v>14</x:v>
      </x:c>
      <x:c r="E2177" t="str">
        <x:v>Expert</x:v>
      </x:c>
      <x:c r="F2177" t="str">
        <x:v>Kaizo</x:v>
      </x:c>
      <x:c r="G2177" t="n">
        <x:v>45762</x:v>
      </x:c>
      <x:c r="H2177" t="str">
        <x:v>39725</x:v>
      </x:c>
      <x:c r="I2177" t="str">
        <x:v>https://www.smwcentral.net/?a=details&amp;id=39725&amp;p=section</x:v>
      </x:c>
      <x:c r="J2177" t="str">
        <x:v>https://dl.smwcentral.net/39725/SuperNanaWorld.zip</x:v>
      </x:c>
    </x:row>
    <x:row r="2178">
      <x:c r="A2178" t="str">
        <x:v>Super Nantucket World</x:v>
      </x:c>
      <x:c r="B2178" t="str">
        <x:v>Super Nantucket World</x:v>
      </x:c>
      <x:c r="C2178" t="str">
        <x:v>fome82</x:v>
      </x:c>
      <x:c r="D2178" t="n">
        <x:v>8</x:v>
      </x:c>
      <x:c r="E2178" t="str">
        <x:v>Intermediate</x:v>
      </x:c>
      <x:c r="F2178" t="str">
        <x:v>Kaizo</x:v>
      </x:c>
      <x:c r="G2178" t="n">
        <x:v>44748</x:v>
      </x:c>
      <x:c r="H2178" t="str">
        <x:v>29058</x:v>
      </x:c>
      <x:c r="I2178" t="str">
        <x:v>https://www.smwcentral.net/?a=details&amp;id=29058&amp;p=section</x:v>
      </x:c>
      <x:c r="J2178" t="str">
        <x:v>https://dl.smwcentral.net/29058/SuperNantucketWorld_011.zip</x:v>
      </x:c>
    </x:row>
    <x:row r="2179">
      <x:c r="A2179" t="str">
        <x:v>Super Napu World</x:v>
      </x:c>
      <x:c r="B2179" t="str">
        <x:v>Super Napu World</x:v>
      </x:c>
      <x:c r="C2179" t="str">
        <x:v>MrNapkino</x:v>
      </x:c>
      <x:c r="D2179" t="n">
        <x:v>22</x:v>
      </x:c>
      <x:c r="E2179" t="str">
        <x:v>Advanced</x:v>
      </x:c>
      <x:c r="F2179" t="str">
        <x:v>Kaizo</x:v>
      </x:c>
      <x:c r="G2179" t="n">
        <x:v>45752</x:v>
      </x:c>
      <x:c r="H2179" t="str">
        <x:v>39689</x:v>
      </x:c>
      <x:c r="I2179" t="str">
        <x:v>https://www.smwcentral.net/?a=details&amp;id=39689&amp;p=section</x:v>
      </x:c>
      <x:c r="J2179" t="str">
        <x:v>https://dl.smwcentral.net/39689/NapuWorldV1.1.zip</x:v>
      </x:c>
    </x:row>
    <x:row r="2180">
      <x:c r="A2180" t="str">
        <x:v>Super Nario World</x:v>
      </x:c>
      <x:c r="B2180" t="str">
        <x:v>Super Nario World</x:v>
      </x:c>
      <x:c r="C2180" t="str">
        <x:v>Nario31415</x:v>
      </x:c>
      <x:c r="D2180" t="n">
        <x:v>10</x:v>
      </x:c>
      <x:c r="E2180" t="str">
        <x:v>Intermediate</x:v>
      </x:c>
      <x:c r="F2180" t="str">
        <x:v>Standard</x:v>
      </x:c>
      <x:c r="G2180" t="n">
        <x:v>45532</x:v>
      </x:c>
      <x:c r="H2180" t="str">
        <x:v>38086</x:v>
      </x:c>
      <x:c r="I2180" t="str">
        <x:v>https://www.smwcentral.net/?a=details&amp;id=38086&amp;p=section</x:v>
      </x:c>
      <x:c r="J2180" t="str">
        <x:v>https://dl.smwcentral.net/38086/Super%20Nario%20World%28v1.1%29.zip</x:v>
      </x:c>
    </x:row>
    <x:row r="2181">
      <x:c r="A2181" t="str">
        <x:v>Super NemMeViu World</x:v>
      </x:c>
      <x:c r="B2181" t="str">
        <x:v>Super NemMeViu World</x:v>
      </x:c>
      <x:c r="C2181" t="str">
        <x:v>P1JDS, TheMURAmatsu</x:v>
      </x:c>
      <x:c r="D2181" t="n">
        <x:v>23</x:v>
      </x:c>
      <x:c r="E2181" t="str">
        <x:v>Intermediate</x:v>
      </x:c>
      <x:c r="F2181" t="str">
        <x:v>Standard</x:v>
      </x:c>
      <x:c r="G2181" t="n">
        <x:v>44545</x:v>
      </x:c>
      <x:c r="H2181" t="str">
        <x:v>28977</x:v>
      </x:c>
      <x:c r="I2181" t="str">
        <x:v>https://www.smwcentral.net/?a=details&amp;id=28977&amp;p=section</x:v>
      </x:c>
      <x:c r="J2181" t="str">
        <x:v>https://dl.smwcentral.net/28977/Super%20NemMeViu%20World%201.1.zip</x:v>
      </x:c>
    </x:row>
    <x:row r="2182">
      <x:c r="A2182" t="str">
        <x:v>Super NemMeViu World 2</x:v>
      </x:c>
      <x:c r="B2182" t="str">
        <x:v>Super NemMeViu World 2</x:v>
      </x:c>
      <x:c r="C2182" t="str">
        <x:v>P1JDS, TheMURAmatsu</x:v>
      </x:c>
      <x:c r="D2182" t="n">
        <x:v>21</x:v>
      </x:c>
      <x:c r="E2182" t="str">
        <x:v>Intermediate</x:v>
      </x:c>
      <x:c r="F2182" t="str">
        <x:v>Standard, Kaizo</x:v>
      </x:c>
      <x:c r="G2182" t="n">
        <x:v>44739</x:v>
      </x:c>
      <x:c r="H2182" t="str">
        <x:v>31128</x:v>
      </x:c>
      <x:c r="I2182" t="str">
        <x:v>https://www.smwcentral.net/?a=details&amp;id=31128&amp;p=section</x:v>
      </x:c>
      <x:c r="J2182" t="str">
        <x:v>https://dl.smwcentral.net/31128/_Super%20NemMeViu%20World%202%20%28V.1.2%29.zip</x:v>
      </x:c>
    </x:row>
    <x:row r="2183">
      <x:c r="A2183" t="str">
        <x:v>Super Nessy World</x:v>
      </x:c>
      <x:c r="B2183" t="str">
        <x:v>Super Nessy World</x:v>
      </x:c>
      <x:c r="C2183" t="str">
        <x:v>paper ness</x:v>
      </x:c>
      <x:c r="D2183" t="n">
        <x:v>4</x:v>
      </x:c>
      <x:c r="E2183" t="str">
        <x:v>Master</x:v>
      </x:c>
      <x:c r="F2183" t="str">
        <x:v>Kaizo</x:v>
      </x:c>
      <x:c r="G2183" t="n">
        <x:v>44768</x:v>
      </x:c>
      <x:c r="H2183" t="str">
        <x:v>31577</x:v>
      </x:c>
      <x:c r="I2183" t="str">
        <x:v>https://www.smwcentral.net/?a=details&amp;id=31577&amp;p=section</x:v>
      </x:c>
      <x:c r="J2183" t="str">
        <x:v>https://dl.smwcentral.net/31577/Super%20Nessy%20World.zip</x:v>
      </x:c>
    </x:row>
    <x:row r="2184">
      <x:c r="A2184" t="str">
        <x:v>Super Nessy World 2</x:v>
      </x:c>
      <x:c r="B2184" t="str">
        <x:v>Super Nessy World 2</x:v>
      </x:c>
      <x:c r="C2184" t="str">
        <x:v>paper ness</x:v>
      </x:c>
      <x:c r="D2184" t="n">
        <x:v>10</x:v>
      </x:c>
      <x:c r="E2184" t="str">
        <x:v>Expert</x:v>
      </x:c>
      <x:c r="F2184" t="str">
        <x:v>Standard, Kaizo</x:v>
      </x:c>
      <x:c r="G2184" t="n">
        <x:v>45142</x:v>
      </x:c>
      <x:c r="H2184" t="str">
        <x:v>34369</x:v>
      </x:c>
      <x:c r="I2184" t="str">
        <x:v>https://www.smwcentral.net/?a=details&amp;id=34369&amp;p=section</x:v>
      </x:c>
      <x:c r="J2184" t="str">
        <x:v>https://dl.smwcentral.net/34369/Super%20Nessy%20World%202.zip</x:v>
      </x:c>
    </x:row>
    <x:row r="2185">
      <x:c r="A2185" t="str">
        <x:v>Super Ninji Land</x:v>
      </x:c>
      <x:c r="B2185" t="str">
        <x:v>Super Ninji Land</x:v>
      </x:c>
      <x:c r="C2185" t="str">
        <x:v>Idunno</x:v>
      </x:c>
      <x:c r="D2185" t="n">
        <x:v>30</x:v>
      </x:c>
      <x:c r="E2185" t="str">
        <x:v>Casual</x:v>
      </x:c>
      <x:c r="F2185" t="str">
        <x:v>Standard</x:v>
      </x:c>
      <x:c r="G2185" t="n">
        <x:v>44007</x:v>
      </x:c>
      <x:c r="H2185" t="str">
        <x:v>23434</x:v>
      </x:c>
      <x:c r="I2185" t="str">
        <x:v>https://www.smwcentral.net/?a=details&amp;id=23434&amp;p=section</x:v>
      </x:c>
      <x:c r="J2185" t="str">
        <x:v>https://dl.smwcentral.net/23434/SuperNinjiLand1.1.zip</x:v>
      </x:c>
    </x:row>
    <x:row r="2186">
      <x:c r="A2186" t="str">
        <x:v>Super Ninji Land 2: A Ninji's Journey</x:v>
      </x:c>
      <x:c r="B2186" t="str">
        <x:v>Super Ninji Land 2: A Ninji's Journey</x:v>
      </x:c>
      <x:c r="C2186" t="str">
        <x:v>Idunno</x:v>
      </x:c>
      <x:c r="D2186" t="n">
        <x:v>42</x:v>
      </x:c>
      <x:c r="E2186" t="str">
        <x:v>Intermediate</x:v>
      </x:c>
      <x:c r="F2186" t="str">
        <x:v>Standard</x:v>
      </x:c>
      <x:c r="G2186" t="n">
        <x:v>44375</x:v>
      </x:c>
      <x:c r="H2186" t="str">
        <x:v>27137</x:v>
      </x:c>
      <x:c r="I2186" t="str">
        <x:v>https://www.smwcentral.net/?a=details&amp;id=27137&amp;p=section</x:v>
      </x:c>
      <x:c r="J2186" t="str">
        <x:v>https://dl.smwcentral.net/27137/SuperNinjiLand%20-%20V%201.2%20.zip</x:v>
      </x:c>
    </x:row>
    <x:row r="2187">
      <x:c r="A2187" t="str">
        <x:v>Super Ninji Land Reawakened</x:v>
      </x:c>
      <x:c r="B2187" t="str">
        <x:v>Super Ninji Land Reawakened</x:v>
      </x:c>
      <x:c r="C2187" t="str">
        <x:v>Idunno</x:v>
      </x:c>
      <x:c r="D2187" t="n">
        <x:v>50</x:v>
      </x:c>
      <x:c r="E2187" t="str">
        <x:v>Casual</x:v>
      </x:c>
      <x:c r="F2187" t="str">
        <x:v>Standard</x:v>
      </x:c>
      <x:c r="G2187" t="n">
        <x:v>45876</x:v>
      </x:c>
      <x:c r="H2187" t="str">
        <x:v>40217</x:v>
      </x:c>
      <x:c r="I2187" t="str">
        <x:v>https://www.smwcentral.net/?a=details&amp;id=40217&amp;p=section</x:v>
      </x:c>
      <x:c r="J2187" t="str">
        <x:v>https://dl.smwcentral.net/40217/SuperNinjiLandReawakened%20V1.1.zip</x:v>
      </x:c>
    </x:row>
    <x:row r="2188">
      <x:c r="A2188" t="str">
        <x:v>Super Normal World</x:v>
      </x:c>
      <x:c r="B2188" t="str">
        <x:v>Super Normal World</x:v>
      </x:c>
      <x:c r="C2188" t="str">
        <x:v>IceFreaki</x:v>
      </x:c>
      <x:c r="D2188" t="n">
        <x:v>14</x:v>
      </x:c>
      <x:c r="E2188" t="str">
        <x:v>Intermediate</x:v>
      </x:c>
      <x:c r="F2188" t="str">
        <x:v>Standard</x:v>
      </x:c>
      <x:c r="G2188" t="n">
        <x:v>42219</x:v>
      </x:c>
      <x:c r="H2188" t="str">
        <x:v>9882</x:v>
      </x:c>
      <x:c r="I2188" t="str">
        <x:v>https://www.smwcentral.net/?a=details&amp;id=9882&amp;p=section</x:v>
      </x:c>
      <x:c r="J2188" t="str">
        <x:v>https://dl.smwcentral.net/9882/super%20normal%20world.zip</x:v>
      </x:c>
    </x:row>
    <x:row r="2189">
      <x:c r="A2189" t="str">
        <x:v>Super Nostalgia World</x:v>
      </x:c>
      <x:c r="B2189" t="str">
        <x:v>Super Nostalgia World</x:v>
      </x:c>
      <x:c r="C2189" t="str">
        <x:v>bandicoot</x:v>
      </x:c>
      <x:c r="D2189" t="n">
        <x:v>7</x:v>
      </x:c>
      <x:c r="E2189" t="str">
        <x:v>Newcomer</x:v>
      </x:c>
      <x:c r="F2189" t="str">
        <x:v>Standard</x:v>
      </x:c>
      <x:c r="G2189" t="n">
        <x:v>41856</x:v>
      </x:c>
      <x:c r="H2189" t="str">
        <x:v>6965</x:v>
      </x:c>
      <x:c r="I2189" t="str">
        <x:v>https://www.smwcentral.net/?a=details&amp;id=6965&amp;p=section</x:v>
      </x:c>
      <x:c r="J2189" t="str">
        <x:v>https://dl.smwcentral.net/6965/SNW%20c3%20DEMO%201.zip</x:v>
      </x:c>
    </x:row>
    <x:row r="2190">
      <x:c r="A2190" t="str">
        <x:v>Super Nothing World</x:v>
      </x:c>
      <x:c r="B2190" t="str">
        <x:v>Super Nothing World</x:v>
      </x:c>
      <x:c r="C2190" t="str">
        <x:v>NewPointless</x:v>
      </x:c>
      <x:c r="D2190" t="n">
        <x:v>25</x:v>
      </x:c>
      <x:c r="E2190" t="str">
        <x:v>Advanced</x:v>
      </x:c>
      <x:c r="F2190" t="str">
        <x:v>Standard, Kaizo</x:v>
      </x:c>
      <x:c r="G2190" t="n">
        <x:v>44595</x:v>
      </x:c>
      <x:c r="H2190" t="str">
        <x:v>29680</x:v>
      </x:c>
      <x:c r="I2190" t="str">
        <x:v>https://www.smwcentral.net/?a=details&amp;id=29680&amp;p=section</x:v>
      </x:c>
      <x:c r="J2190" t="str">
        <x:v>https://dl.smwcentral.net/29680/SuperNothingWorld1_2.zip</x:v>
      </x:c>
    </x:row>
    <x:row r="2191">
      <x:c r="A2191" t="str">
        <x:v>Super Nova</x:v>
      </x:c>
      <x:c r="B2191" t="str">
        <x:v>Super Nova</x:v>
      </x:c>
      <x:c r="C2191" t="str">
        <x:v>Yagami</x:v>
      </x:c>
      <x:c r="D2191" t="n">
        <x:v>18</x:v>
      </x:c>
      <x:c r="E2191" t="str">
        <x:v>Expert</x:v>
      </x:c>
      <x:c r="F2191" t="str">
        <x:v>Kaizo</x:v>
      </x:c>
      <x:c r="G2191" t="n">
        <x:v>44095</x:v>
      </x:c>
      <x:c r="H2191" t="str">
        <x:v>24397</x:v>
      </x:c>
      <x:c r="I2191" t="str">
        <x:v>https://www.smwcentral.net/?a=details&amp;id=24397&amp;p=section</x:v>
      </x:c>
      <x:c r="J2191" t="str">
        <x:v>https://dl.smwcentral.net/24397/Super%20Nova%201.21.zip</x:v>
      </x:c>
    </x:row>
    <x:row r="2192">
      <x:c r="A2192" t="str">
        <x:v>Super Nova Deluxe</x:v>
      </x:c>
      <x:c r="B2192" t="str">
        <x:v>Super Nova Deluxe</x:v>
      </x:c>
      <x:c r="C2192" t="str">
        <x:v>Yagami</x:v>
      </x:c>
      <x:c r="D2192" t="n">
        <x:v>18</x:v>
      </x:c>
      <x:c r="E2192" t="str">
        <x:v>Advanced</x:v>
      </x:c>
      <x:c r="F2192" t="str">
        <x:v>Kaizo</x:v>
      </x:c>
      <x:c r="G2192" t="n">
        <x:v>44113</x:v>
      </x:c>
      <x:c r="H2192" t="str">
        <x:v>24704</x:v>
      </x:c>
      <x:c r="I2192" t="str">
        <x:v>https://www.smwcentral.net/?a=details&amp;id=24704&amp;p=section</x:v>
      </x:c>
      <x:c r="J2192" t="str">
        <x:v>https://dl.smwcentral.net/24704/Super%20Nova%20Deluxe.zip</x:v>
      </x:c>
    </x:row>
    <x:row r="2193">
      <x:c r="A2193" t="str">
        <x:v>Super Nova World</x:v>
      </x:c>
      <x:c r="B2193" t="str">
        <x:v>Super Nova World</x:v>
      </x:c>
      <x:c r="C2193" t="str">
        <x:v>Domokun007</x:v>
      </x:c>
      <x:c r="D2193" t="n">
        <x:v>19</x:v>
      </x:c>
      <x:c r="E2193" t="str">
        <x:v>Intermediate</x:v>
      </x:c>
      <x:c r="F2193" t="str">
        <x:v>Standard</x:v>
      </x:c>
      <x:c r="G2193" t="n">
        <x:v>44514</x:v>
      </x:c>
      <x:c r="H2193" t="str">
        <x:v>28782</x:v>
      </x:c>
      <x:c r="I2193" t="str">
        <x:v>https://www.smwcentral.net/?a=details&amp;id=28782&amp;p=section</x:v>
      </x:c>
      <x:c r="J2193" t="str">
        <x:v>https://dl.smwcentral.net/28782/Super%20Nova%20World%201.1.zip</x:v>
      </x:c>
    </x:row>
    <x:row r="2194">
      <x:c r="A2194" t="str">
        <x:v>Super Odd World</x:v>
      </x:c>
      <x:c r="B2194" t="str">
        <x:v>Super Odd World</x:v>
      </x:c>
      <x:c r="C2194" t="str">
        <x:v>Arobam</x:v>
      </x:c>
      <x:c r="D2194" t="n">
        <x:v>21</x:v>
      </x:c>
      <x:c r="E2194" t="str">
        <x:v>Expert</x:v>
      </x:c>
      <x:c r="F2194" t="str">
        <x:v>Kaizo</x:v>
      </x:c>
      <x:c r="G2194" t="n">
        <x:v>44650</x:v>
      </x:c>
      <x:c r="H2194" t="str">
        <x:v>30237</x:v>
      </x:c>
      <x:c r="I2194" t="str">
        <x:v>https://www.smwcentral.net/?a=details&amp;id=30237&amp;p=section</x:v>
      </x:c>
      <x:c r="J2194" t="str">
        <x:v>https://dl.smwcentral.net/30237/Super%20Odd%20World.zip</x:v>
      </x:c>
    </x:row>
    <x:row r="2195">
      <x:c r="A2195" t="str">
        <x:v>Super Odd World 2</x:v>
      </x:c>
      <x:c r="B2195" t="str">
        <x:v>Super Odd World 2</x:v>
      </x:c>
      <x:c r="C2195" t="str">
        <x:v>Pirate Yoshi</x:v>
      </x:c>
      <x:c r="D2195" t="n">
        <x:v>5</x:v>
      </x:c>
      <x:c r="E2195" t="str">
        <x:v>Newcomer</x:v>
      </x:c>
      <x:c r="F2195" t="str">
        <x:v>Standard</x:v>
      </x:c>
      <x:c r="G2195" t="n">
        <x:v>42221</x:v>
      </x:c>
      <x:c r="H2195" t="str">
        <x:v>9879</x:v>
      </x:c>
      <x:c r="I2195" t="str">
        <x:v>https://www.smwcentral.net/?a=details&amp;id=9879&amp;p=section</x:v>
      </x:c>
      <x:c r="J2195" t="str">
        <x:v>https://dl.smwcentral.net/9879/Super%20Odd%20World%202.zip</x:v>
      </x:c>
    </x:row>
    <x:row r="2196">
      <x:c r="A2196" t="str">
        <x:v>Super Omelette World</x:v>
      </x:c>
      <x:c r="B2196" t="str">
        <x:v>Super Omelette World</x:v>
      </x:c>
      <x:c r="C2196" t="str">
        <x:v>Whoamme</x:v>
      </x:c>
      <x:c r="D2196" t="n">
        <x:v>29</x:v>
      </x:c>
      <x:c r="E2196" t="str">
        <x:v>Newcomer</x:v>
      </x:c>
      <x:c r="F2196" t="str">
        <x:v>Standard</x:v>
      </x:c>
      <x:c r="G2196" t="n">
        <x:v>42277</x:v>
      </x:c>
      <x:c r="H2196" t="str">
        <x:v>10045</x:v>
      </x:c>
      <x:c r="I2196" t="str">
        <x:v>https://www.smwcentral.net/?a=details&amp;id=10045&amp;p=section</x:v>
      </x:c>
      <x:c r="J2196" t="str">
        <x:v>https://dl.smwcentral.net/10045/Super%20Omelette%20World.zip</x:v>
      </x:c>
    </x:row>
    <x:row r="2197">
      <x:c r="A2197" t="str">
        <x:v>Super One Point Oh</x:v>
      </x:c>
      <x:c r="B2197" t="str">
        <x:v>Super One Point Oh</x:v>
      </x:c>
      <x:c r="C2197" t="str">
        <x:v>MDBattleFrog</x:v>
      </x:c>
      <x:c r="D2197" t="n">
        <x:v>6</x:v>
      </x:c>
      <x:c r="E2197" t="str">
        <x:v>Expert</x:v>
      </x:c>
      <x:c r="F2197" t="str">
        <x:v>Kaizo</x:v>
      </x:c>
      <x:c r="G2197" t="n">
        <x:v>43928</x:v>
      </x:c>
      <x:c r="H2197" t="str">
        <x:v>22591</x:v>
      </x:c>
      <x:c r="I2197" t="str">
        <x:v>https://www.smwcentral.net/?a=details&amp;id=22591&amp;p=section</x:v>
      </x:c>
      <x:c r="J2197" t="str">
        <x:v>https://dl.smwcentral.net/22591/SuperOnePointOh.zip</x:v>
      </x:c>
    </x:row>
    <x:row r="2198">
      <x:c r="A2198" t="str">
        <x:v>Super Only Up with Fennet Boddy's Jump Prince</x:v>
      </x:c>
      <x:c r="B2198" t="str">
        <x:v>Super Only Up with Fennet Boddy's Jump Prince</x:v>
      </x:c>
      <x:c r="C2198" t="str">
        <x:v>The_Uber_Camper</x:v>
      </x:c>
      <x:c r="D2198" t="n">
        <x:v>0</x:v>
      </x:c>
      <x:c r="E2198" t="str">
        <x:v>Master</x:v>
      </x:c>
      <x:c r="F2198" t="str">
        <x:v>Kaizo</x:v>
      </x:c>
      <x:c r="G2198" t="n">
        <x:v>45146</x:v>
      </x:c>
      <x:c r="H2198" t="str">
        <x:v>34768</x:v>
      </x:c>
      <x:c r="I2198" t="str">
        <x:v>https://www.smwcentral.net/?a=details&amp;id=34768&amp;p=section</x:v>
      </x:c>
      <x:c r="J2198" t="str">
        <x:v>https://dl.smwcentral.net/34768/Super%20Maybe%20Upwards.zip</x:v>
      </x:c>
    </x:row>
    <x:row r="2199">
      <x:c r="A2199" t="str">
        <x:v>Super Ordinary World</x:v>
      </x:c>
      <x:c r="B2199" t="str">
        <x:v>Super Ordinary World</x:v>
      </x:c>
      <x:c r="C2199" t="str">
        <x:v>Pottsie</x:v>
      </x:c>
      <x:c r="D2199" t="n">
        <x:v>14</x:v>
      </x:c>
      <x:c r="E2199" t="str">
        <x:v>Expert</x:v>
      </x:c>
      <x:c r="F2199" t="str">
        <x:v>Kaizo</x:v>
      </x:c>
      <x:c r="G2199" t="n">
        <x:v>46088</x:v>
      </x:c>
      <x:c r="H2199" t="str">
        <x:v>41828</x:v>
      </x:c>
      <x:c r="I2199" t="str">
        <x:v>https://www.smwcentral.net/?a=details&amp;id=41828&amp;p=section</x:v>
      </x:c>
      <x:c r="J2199" t="str">
        <x:v>https://dl.smwcentral.net/41828/Super%20Ordinary%20World.zip</x:v>
      </x:c>
    </x:row>
    <x:row r="2200">
      <x:c r="A2200" t="str">
        <x:v>Super Oreetv World</x:v>
      </x:c>
      <x:c r="B2200" t="str">
        <x:v>Super Oreetv World</x:v>
      </x:c>
      <x:c r="C2200" t="str">
        <x:v>MarioFan1337</x:v>
      </x:c>
      <x:c r="D2200" t="n">
        <x:v>23</x:v>
      </x:c>
      <x:c r="E2200" t="str">
        <x:v>Expert</x:v>
      </x:c>
      <x:c r="F2200" t="str">
        <x:v>Kaizo</x:v>
      </x:c>
      <x:c r="G2200" t="n">
        <x:v>45953</x:v>
      </x:c>
      <x:c r="H2200" t="str">
        <x:v>40758</x:v>
      </x:c>
      <x:c r="I2200" t="str">
        <x:v>https://www.smwcentral.net/?a=details&amp;id=40758&amp;p=section</x:v>
      </x:c>
      <x:c r="J2200" t="str">
        <x:v>https://dl.smwcentral.net/40758/Super%20Oreetv%20World.zip</x:v>
      </x:c>
    </x:row>
    <x:row r="2201">
      <x:c r="A2201" t="str">
        <x:v>Super Panga World</x:v>
      </x:c>
      <x:c r="B2201" t="str">
        <x:v>Super Panga World</x:v>
      </x:c>
      <x:c r="C2201" t="str">
        <x:v>Linkdeadx2</x:v>
      </x:c>
      <x:c r="D2201" t="n">
        <x:v>12</x:v>
      </x:c>
      <x:c r="E2201" t="str">
        <x:v>Master</x:v>
      </x:c>
      <x:c r="F2201" t="str">
        <x:v>Kaizo</x:v>
      </x:c>
      <x:c r="G2201" t="n">
        <x:v>42875</x:v>
      </x:c>
      <x:c r="H2201" t="str">
        <x:v>15561</x:v>
      </x:c>
      <x:c r="I2201" t="str">
        <x:v>https://www.smwcentral.net/?a=details&amp;id=15561&amp;p=section</x:v>
      </x:c>
      <x:c r="J2201" t="str">
        <x:v>https://dl.smwcentral.net/15561/Super%20Panga%20World%20v1.2.zip</x:v>
      </x:c>
    </x:row>
    <x:row r="2202">
      <x:c r="A2202" t="str">
        <x:v>Super Paper Luigi</x:v>
      </x:c>
      <x:c r="B2202" t="str">
        <x:v>Super Paper Luigi</x:v>
      </x:c>
      <x:c r="C2202" t="str">
        <x:v>General Ike</x:v>
      </x:c>
      <x:c r="D2202" t="n">
        <x:v>4</x:v>
      </x:c>
      <x:c r="E2202" t="str">
        <x:v>Newcomer</x:v>
      </x:c>
      <x:c r="F2202" t="str">
        <x:v>Standard</x:v>
      </x:c>
      <x:c r="G2202" t="n">
        <x:v>42044</x:v>
      </x:c>
      <x:c r="H2202" t="str">
        <x:v>9771</x:v>
      </x:c>
      <x:c r="I2202" t="str">
        <x:v>https://www.smwcentral.net/?a=details&amp;id=9771&amp;p=section</x:v>
      </x:c>
      <x:c r="J2202" t="str">
        <x:v>https://dl.smwcentral.net/9771/Paper%20Luigi.zip</x:v>
      </x:c>
    </x:row>
    <x:row r="2203">
      <x:c r="A2203" t="str">
        <x:v>Super pcclub88 World</x:v>
      </x:c>
      <x:c r="B2203" t="str">
        <x:v>Super pcclub88 World</x:v>
      </x:c>
      <x:c r="C2203" t="str">
        <x:v>PopCorn181</x:v>
      </x:c>
      <x:c r="D2203" t="n">
        <x:v>9</x:v>
      </x:c>
      <x:c r="E2203" t="str">
        <x:v>Expert</x:v>
      </x:c>
      <x:c r="F2203" t="str">
        <x:v>Kaizo</x:v>
      </x:c>
      <x:c r="G2203" t="n">
        <x:v>45730</x:v>
      </x:c>
      <x:c r="H2203" t="str">
        <x:v>39546</x:v>
      </x:c>
      <x:c r="I2203" t="str">
        <x:v>https://www.smwcentral.net/?a=details&amp;id=39546&amp;p=section</x:v>
      </x:c>
      <x:c r="J2203" t="str">
        <x:v>https://dl.smwcentral.net/39546/Super%20pcclub88%20World.zip</x:v>
      </x:c>
    </x:row>
    <x:row r="2204">
      <x:c r="A2204" t="str">
        <x:v>Super pcclub88 World II: The Return of the Fog</x:v>
      </x:c>
      <x:c r="B2204" t="str">
        <x:v>Super pcclub88 World II: The Return of the Fog</x:v>
      </x:c>
      <x:c r="C2204" t="str">
        <x:v>PopCorn181</x:v>
      </x:c>
      <x:c r="D2204" t="n">
        <x:v>7</x:v>
      </x:c>
      <x:c r="E2204" t="str">
        <x:v>Master</x:v>
      </x:c>
      <x:c r="F2204" t="str">
        <x:v>Kaizo</x:v>
      </x:c>
      <x:c r="G2204" t="n">
        <x:v>45868</x:v>
      </x:c>
      <x:c r="H2204" t="str">
        <x:v>40175</x:v>
      </x:c>
      <x:c r="I2204" t="str">
        <x:v>https://www.smwcentral.net/?a=details&amp;id=40175&amp;p=section</x:v>
      </x:c>
      <x:c r="J2204" t="str">
        <x:v>https://dl.smwcentral.net/40175/Super_pcclub88_World_II_.zip</x:v>
      </x:c>
    </x:row>
    <x:row r="2205">
      <x:c r="A2205" t="str">
        <x:v>Super Peach World</x:v>
      </x:c>
      <x:c r="B2205" t="str">
        <x:v>Super Peach World</x:v>
      </x:c>
      <x:c r="C2205" t="str">
        <x:v>TheGremlin</x:v>
      </x:c>
      <x:c r="D2205" t="n">
        <x:v>35</x:v>
      </x:c>
      <x:c r="E2205" t="str">
        <x:v>Advanced</x:v>
      </x:c>
      <x:c r="F2205" t="str">
        <x:v>Standard</x:v>
      </x:c>
      <x:c r="G2205" t="n">
        <x:v>44212</x:v>
      </x:c>
      <x:c r="H2205" t="str">
        <x:v>25501</x:v>
      </x:c>
      <x:c r="I2205" t="str">
        <x:v>https://www.smwcentral.net/?a=details&amp;id=25501&amp;p=section</x:v>
      </x:c>
      <x:c r="J2205" t="str">
        <x:v>https://dl.smwcentral.net/25501/Super%20Peach%20World.zip</x:v>
      </x:c>
    </x:row>
    <x:row r="2206">
      <x:c r="A2206" t="str">
        <x:v>Super Peggy World</x:v>
      </x:c>
      <x:c r="B2206" t="str">
        <x:v>Super Peggy World</x:v>
      </x:c>
      <x:c r="C2206" t="str">
        <x:v>smasken</x:v>
      </x:c>
      <x:c r="D2206" t="n">
        <x:v>13</x:v>
      </x:c>
      <x:c r="E2206" t="str">
        <x:v>Intermediate</x:v>
      </x:c>
      <x:c r="F2206" t="str">
        <x:v>Kaizo</x:v>
      </x:c>
      <x:c r="G2206" t="n">
        <x:v>43559</x:v>
      </x:c>
      <x:c r="H2206" t="str">
        <x:v>19565</x:v>
      </x:c>
      <x:c r="I2206" t="str">
        <x:v>https://www.smwcentral.net/?a=details&amp;id=19565&amp;p=section</x:v>
      </x:c>
      <x:c r="J2206" t="str">
        <x:v>https://dl.smwcentral.net/19565/SuperPeggyWorld1.4.zip</x:v>
      </x:c>
    </x:row>
    <x:row r="2207">
      <x:c r="A2207" t="str">
        <x:v>Super Penny World</x:v>
      </x:c>
      <x:c r="B2207" t="str">
        <x:v>Super Penny World</x:v>
      </x:c>
      <x:c r="C2207" t="str">
        <x:v>Blaagon</x:v>
      </x:c>
      <x:c r="D2207" t="n">
        <x:v>16</x:v>
      </x:c>
      <x:c r="E2207" t="str">
        <x:v>Expert</x:v>
      </x:c>
      <x:c r="F2207" t="str">
        <x:v>Kaizo</x:v>
      </x:c>
      <x:c r="G2207" t="n">
        <x:v>44396</x:v>
      </x:c>
      <x:c r="H2207" t="str">
        <x:v>27712</x:v>
      </x:c>
      <x:c r="I2207" t="str">
        <x:v>https://www.smwcentral.net/?a=details&amp;id=27712&amp;p=section</x:v>
      </x:c>
      <x:c r="J2207" t="str">
        <x:v>https://dl.smwcentral.net/27712/Super%20Penny%20World%20v1.0.zip</x:v>
      </x:c>
    </x:row>
    <x:row r="2208">
      <x:c r="A2208" t="str">
        <x:v>Super Pika Land Ultra: Chocolate Version</x:v>
      </x:c>
      <x:c r="B2208" t="str">
        <x:v>Super Pika Land Ultra: Chocolate Version</x:v>
      </x:c>
      <x:c r="C2208" t="str">
        <x:v>Doownayr89</x:v>
      </x:c>
      <x:c r="D2208" t="n">
        <x:v>60</x:v>
      </x:c>
      <x:c r="E2208" t="str">
        <x:v>Advanced</x:v>
      </x:c>
      <x:c r="F2208" t="str">
        <x:v>Standard</x:v>
      </x:c>
      <x:c r="G2208" t="n">
        <x:v>41705</x:v>
      </x:c>
      <x:c r="H2208" t="str">
        <x:v>6351</x:v>
      </x:c>
      <x:c r="I2208" t="str">
        <x:v>https://www.smwcentral.net/?a=details&amp;id=6351&amp;p=section</x:v>
      </x:c>
      <x:c r="J2208" t="str">
        <x:v>https://dl.smwcentral.net/6351/SpluC_FINAL4.3.zip</x:v>
      </x:c>
    </x:row>
    <x:row r="2209">
      <x:c r="A2209" t="str">
        <x:v>Super Pika Land Ultra: Vanilla Version</x:v>
      </x:c>
      <x:c r="B2209" t="str">
        <x:v>Super Pika Land Ultra: Vanilla Version</x:v>
      </x:c>
      <x:c r="C2209" t="str">
        <x:v>Doownayr89</x:v>
      </x:c>
      <x:c r="D2209" t="n">
        <x:v>78</x:v>
      </x:c>
      <x:c r="E2209" t="str">
        <x:v>Intermediate</x:v>
      </x:c>
      <x:c r="F2209" t="str">
        <x:v>Standard</x:v>
      </x:c>
      <x:c r="G2209" t="n">
        <x:v>41600</x:v>
      </x:c>
      <x:c r="H2209" t="str">
        <x:v>5494</x:v>
      </x:c>
      <x:c r="I2209" t="str">
        <x:v>https://www.smwcentral.net/?a=details&amp;id=5494&amp;p=section</x:v>
      </x:c>
      <x:c r="J2209" t="str">
        <x:v>https://dl.smwcentral.net/5494/SPLU%20patch.zip</x:v>
      </x:c>
    </x:row>
    <x:row r="2210">
      <x:c r="A2210" t="str">
        <x:v>Super PKlepek World</x:v>
      </x:c>
      <x:c r="B2210" t="str">
        <x:v>Super PKlepek World</x:v>
      </x:c>
      <x:c r="C2210" t="str">
        <x:v>akkanben</x:v>
      </x:c>
      <x:c r="D2210" t="n">
        <x:v>9</x:v>
      </x:c>
      <x:c r="E2210" t="str">
        <x:v>Advanced</x:v>
      </x:c>
      <x:c r="F2210" t="str">
        <x:v>Kaizo</x:v>
      </x:c>
      <x:c r="G2210" t="n">
        <x:v>43962</x:v>
      </x:c>
      <x:c r="H2210" t="str">
        <x:v>22794</x:v>
      </x:c>
      <x:c r="I2210" t="str">
        <x:v>https://www.smwcentral.net/?a=details&amp;id=22794&amp;p=section</x:v>
      </x:c>
      <x:c r="J2210" t="str">
        <x:v>https://dl.smwcentral.net/22794/Super%20PKlepek%20World.zip</x:v>
      </x:c>
    </x:row>
    <x:row r="2211">
      <x:c r="A2211" t="str">
        <x:v>super place land!</x:v>
      </x:c>
      <x:c r="B2211" t="str">
        <x:v>super place land!</x:v>
      </x:c>
      <x:c r="C2211" t="str">
        <x:v>mufbin</x:v>
      </x:c>
      <x:c r="D2211" t="n">
        <x:v>5</x:v>
      </x:c>
      <x:c r="E2211" t="str">
        <x:v>Newcomer</x:v>
      </x:c>
      <x:c r="F2211" t="str">
        <x:v>Standard</x:v>
      </x:c>
      <x:c r="G2211" t="n">
        <x:v>43185</x:v>
      </x:c>
      <x:c r="H2211" t="str">
        <x:v>17292</x:v>
      </x:c>
      <x:c r="I2211" t="str">
        <x:v>https://www.smwcentral.net/?a=details&amp;id=17292&amp;p=section</x:v>
      </x:c>
      <x:c r="J2211" t="str">
        <x:v>https://dl.smwcentral.net/17292/super%20place%20land%21.zip</x:v>
      </x:c>
    </x:row>
    <x:row r="2212">
      <x:c r="A2212" t="str">
        <x:v>Super Plinko World</x:v>
      </x:c>
      <x:c r="B2212" t="str">
        <x:v>Super Plinko World</x:v>
      </x:c>
      <x:c r="C2212" t="str">
        <x:v>AmperSam, Various Authors</x:v>
      </x:c>
      <x:c r="D2212" t="n">
        <x:v>75</x:v>
      </x:c>
      <x:c r="E2212" t="str">
        <x:v>Casual</x:v>
      </x:c>
      <x:c r="F2212" t="str">
        <x:v>Standard</x:v>
      </x:c>
      <x:c r="G2212" t="n">
        <x:v>45932</x:v>
      </x:c>
      <x:c r="H2212" t="str">
        <x:v>40658</x:v>
      </x:c>
      <x:c r="I2212" t="str">
        <x:v>https://www.smwcentral.net/?a=details&amp;id=40658&amp;p=section</x:v>
      </x:c>
      <x:c r="J2212" t="str">
        <x:v>https://dl.smwcentral.net/40658/fish_plinko-1.5.zip</x:v>
      </x:c>
    </x:row>
    <x:row r="2213">
      <x:c r="A2213" t="str">
        <x:v>Super Plumber Mario World</x:v>
      </x:c>
      <x:c r="B2213" t="str">
        <x:v>Super Plumber Mario World</x:v>
      </x:c>
      <x:c r="C2213" t="str">
        <x:v>Major Flare</x:v>
      </x:c>
      <x:c r="D2213" t="n">
        <x:v>18</x:v>
      </x:c>
      <x:c r="E2213" t="str">
        <x:v>Casual</x:v>
      </x:c>
      <x:c r="F2213" t="str">
        <x:v>Standard</x:v>
      </x:c>
      <x:c r="G2213" t="n">
        <x:v>42087</x:v>
      </x:c>
      <x:c r="H2213" t="str">
        <x:v>9780</x:v>
      </x:c>
      <x:c r="I2213" t="str">
        <x:v>https://www.smwcentral.net/?a=details&amp;id=9780&amp;p=section</x:v>
      </x:c>
      <x:c r="J2213" t="str">
        <x:v>https://dl.smwcentral.net/9780/Super%20Plumber%20Mario%20World%201%20%28Demo%201%29.zip</x:v>
      </x:c>
    </x:row>
    <x:row r="2214">
      <x:c r="A2214" t="str">
        <x:v>Super Practice World</x:v>
      </x:c>
      <x:c r="B2214" t="str">
        <x:v>Super Practice World</x:v>
      </x:c>
      <x:c r="C2214" t="str">
        <x:v>djEnby</x:v>
      </x:c>
      <x:c r="D2214" t="n">
        <x:v>4</x:v>
      </x:c>
      <x:c r="E2214" t="str">
        <x:v>Intermediate</x:v>
      </x:c>
      <x:c r="F2214" t="str">
        <x:v>Kaizo</x:v>
      </x:c>
      <x:c r="G2214" t="n">
        <x:v>45100</x:v>
      </x:c>
      <x:c r="H2214" t="str">
        <x:v>34158</x:v>
      </x:c>
      <x:c r="I2214" t="str">
        <x:v>https://www.smwcentral.net/?a=details&amp;id=34158&amp;p=section</x:v>
      </x:c>
      <x:c r="J2214" t="str">
        <x:v>https://dl.smwcentral.net/34158/Super%20Practice%20World.zip</x:v>
      </x:c>
    </x:row>
    <x:row r="2215">
      <x:c r="A2215" t="str">
        <x:v>Super Puzzle Land 2 - Remastered</x:v>
      </x:c>
      <x:c r="B2215" t="str">
        <x:v>Super Puzzle Land 2 - Remastered</x:v>
      </x:c>
      <x:c r="C2215" t="str">
        <x:v>natnew</x:v>
      </x:c>
      <x:c r="D2215" t="n">
        <x:v>28</x:v>
      </x:c>
      <x:c r="E2215" t="str">
        <x:v>Expert</x:v>
      </x:c>
      <x:c r="F2215" t="str">
        <x:v>Kaizo, Puzzle</x:v>
      </x:c>
      <x:c r="G2215" t="n">
        <x:v>42738</x:v>
      </x:c>
      <x:c r="H2215" t="str">
        <x:v>14874</x:v>
      </x:c>
      <x:c r="I2215" t="str">
        <x:v>https://www.smwcentral.net/?a=details&amp;id=14874&amp;p=section</x:v>
      </x:c>
      <x:c r="J2215" t="str">
        <x:v>https://dl.smwcentral.net/14874/SPL2RN1.zip</x:v>
      </x:c>
    </x:row>
    <x:row r="2216">
      <x:c r="A2216" t="str">
        <x:v>Super Race World</x:v>
      </x:c>
      <x:c r="B2216" t="str">
        <x:v>Super Race World</x:v>
      </x:c>
      <x:c r="C2216" t="str">
        <x:v>The insane little elf</x:v>
      </x:c>
      <x:c r="D2216" t="n">
        <x:v>5</x:v>
      </x:c>
      <x:c r="E2216" t="str">
        <x:v>Intermediate</x:v>
      </x:c>
      <x:c r="F2216" t="str">
        <x:v>Standard</x:v>
      </x:c>
      <x:c r="G2216" t="n">
        <x:v>42081</x:v>
      </x:c>
      <x:c r="H2216" t="str">
        <x:v>9781</x:v>
      </x:c>
      <x:c r="I2216" t="str">
        <x:v>https://www.smwcentral.net/?a=details&amp;id=9781&amp;p=section</x:v>
      </x:c>
      <x:c r="J2216" t="str">
        <x:v>https://dl.smwcentral.net/9781/Super%20race%20world.zip</x:v>
      </x:c>
    </x:row>
    <x:row r="2217">
      <x:c r="A2217" t="str">
        <x:v>Super RDK</x:v>
      </x:c>
      <x:c r="B2217" t="str">
        <x:v>Super RDK</x:v>
      </x:c>
      <x:c r="C2217" t="str">
        <x:v>redkiller</x:v>
      </x:c>
      <x:c r="D2217" t="n">
        <x:v>15</x:v>
      </x:c>
      <x:c r="E2217" t="str">
        <x:v>Advanced</x:v>
      </x:c>
      <x:c r="F2217" t="str">
        <x:v>Kaizo</x:v>
      </x:c>
      <x:c r="G2217" t="n">
        <x:v>44441</x:v>
      </x:c>
      <x:c r="H2217" t="str">
        <x:v>28166</x:v>
      </x:c>
      <x:c r="I2217" t="str">
        <x:v>https://www.smwcentral.net/?a=details&amp;id=28166&amp;p=section</x:v>
      </x:c>
      <x:c r="J2217" t="str">
        <x:v>https://dl.smwcentral.net/28166/RDK.zip</x:v>
      </x:c>
    </x:row>
    <x:row r="2218">
      <x:c r="A2218" t="str">
        <x:v>Super Reasonable World</x:v>
      </x:c>
      <x:c r="B2218" t="str">
        <x:v>Super Reasonable World</x:v>
      </x:c>
      <x:c r="C2218" t="str">
        <x:v>ThirdWall</x:v>
      </x:c>
      <x:c r="D2218" t="n">
        <x:v>16</x:v>
      </x:c>
      <x:c r="E2218" t="str">
        <x:v>Master</x:v>
      </x:c>
      <x:c r="F2218" t="str">
        <x:v>Kaizo</x:v>
      </x:c>
      <x:c r="G2218" t="n">
        <x:v>45802</x:v>
      </x:c>
      <x:c r="H2218" t="str">
        <x:v>39863</x:v>
      </x:c>
      <x:c r="I2218" t="str">
        <x:v>https://www.smwcentral.net/?a=details&amp;id=39863&amp;p=section</x:v>
      </x:c>
      <x:c r="J2218" t="str">
        <x:v>https://dl.smwcentral.net/39863/SuperReasonableWorld.zip</x:v>
      </x:c>
    </x:row>
    <x:row r="2219">
      <x:c r="A2219" t="str">
        <x:v>Super Refund World</x:v>
      </x:c>
      <x:c r="B2219" t="str">
        <x:v>Super Refund World</x:v>
      </x:c>
      <x:c r="C2219" t="str">
        <x:v>Arobam</x:v>
      </x:c>
      <x:c r="D2219" t="n">
        <x:v>22</x:v>
      </x:c>
      <x:c r="E2219" t="str">
        <x:v>Grandmaster</x:v>
      </x:c>
      <x:c r="F2219" t="str">
        <x:v>Kaizo</x:v>
      </x:c>
      <x:c r="G2219" t="n">
        <x:v>46095</x:v>
      </x:c>
      <x:c r="H2219" t="str">
        <x:v>41864</x:v>
      </x:c>
      <x:c r="I2219" t="str">
        <x:v>https://www.smwcentral.net/?a=details&amp;id=41864&amp;p=section</x:v>
      </x:c>
      <x:c r="J2219" t="str">
        <x:v>https://dl.smwcentral.net/41864/Super%20Refund%20World%201.02.zip</x:v>
      </x:c>
    </x:row>
    <x:row r="2220">
      <x:c r="A2220" t="str">
        <x:v>Super Regiane-se</x:v>
      </x:c>
      <x:c r="B2220" t="str">
        <x:v>Super Regiane-se</x:v>
      </x:c>
      <x:c r="C2220" t="str">
        <x:v>Deivid Borba</x:v>
      </x:c>
      <x:c r="D2220" t="n">
        <x:v>19</x:v>
      </x:c>
      <x:c r="E2220" t="str">
        <x:v>Advanced</x:v>
      </x:c>
      <x:c r="F2220" t="str">
        <x:v>Kaizo</x:v>
      </x:c>
      <x:c r="G2220" t="n">
        <x:v>46163</x:v>
      </x:c>
      <x:c r="H2220" t="str">
        <x:v>42386</x:v>
      </x:c>
      <x:c r="I2220" t="str">
        <x:v>https://www.smwcentral.net/?a=details&amp;id=42386&amp;p=section</x:v>
      </x:c>
      <x:c r="J2220" t="str">
        <x:v>https://dl.smwcentral.net/42386/Super%20Regiane-se.zip</x:v>
      </x:c>
    </x:row>
    <x:row r="2221">
      <x:c r="A2221" t="str">
        <x:v>Super Reimu World Return To Hack</x:v>
      </x:c>
      <x:c r="B2221" t="str">
        <x:v>Super Reimu World Return To Hack</x:v>
      </x:c>
      <x:c r="C2221" t="str">
        <x:v>tfpivman</x:v>
      </x:c>
      <x:c r="D2221" t="n">
        <x:v>77</x:v>
      </x:c>
      <x:c r="E2221" t="str">
        <x:v>Intermediate</x:v>
      </x:c>
      <x:c r="F2221" t="str">
        <x:v>Standard</x:v>
      </x:c>
      <x:c r="G2221" t="n">
        <x:v>44764</x:v>
      </x:c>
      <x:c r="H2221" t="str">
        <x:v>31608</x:v>
      </x:c>
      <x:c r="I2221" t="str">
        <x:v>https://www.smwcentral.net/?a=details&amp;id=31608&amp;p=section</x:v>
      </x:c>
      <x:c r="J2221" t="str">
        <x:v>https://dl.smwcentral.net/31608/SRW%20return%20to%20hack%20%28final%29.zip</x:v>
      </x:c>
    </x:row>
    <x:row r="2222">
      <x:c r="A2222" t="str">
        <x:v>Super Responsible World</x:v>
      </x:c>
      <x:c r="B2222" t="str">
        <x:v>Super Responsible World</x:v>
      </x:c>
      <x:c r="C2222" t="str">
        <x:v>ft029</x:v>
      </x:c>
      <x:c r="D2222" t="n">
        <x:v>20</x:v>
      </x:c>
      <x:c r="E2222" t="str">
        <x:v>Grandmaster</x:v>
      </x:c>
      <x:c r="F2222" t="str">
        <x:v>Kaizo</x:v>
      </x:c>
      <x:c r="G2222" t="n">
        <x:v>42458</x:v>
      </x:c>
      <x:c r="H2222" t="str">
        <x:v>12979</x:v>
      </x:c>
      <x:c r="I2222" t="str">
        <x:v>https://www.smwcentral.net/?a=details&amp;id=12979&amp;p=section</x:v>
      </x:c>
      <x:c r="J2222" t="str">
        <x:v>https://dl.smwcentral.net/12979/Super%20Responsible%20World.zip</x:v>
      </x:c>
    </x:row>
    <x:row r="2223">
      <x:c r="A2223" t="str">
        <x:v>Super Riff World</x:v>
      </x:c>
      <x:c r="B2223" t="str">
        <x:v>Super Riff World</x:v>
      </x:c>
      <x:c r="C2223" t="str">
        <x:v>Freakin_HA</x:v>
      </x:c>
      <x:c r="D2223" t="n">
        <x:v>26</x:v>
      </x:c>
      <x:c r="E2223" t="str">
        <x:v>Master</x:v>
      </x:c>
      <x:c r="F2223" t="str">
        <x:v>Kaizo</x:v>
      </x:c>
      <x:c r="G2223" t="n">
        <x:v>43830</x:v>
      </x:c>
      <x:c r="H2223" t="str">
        <x:v>21703</x:v>
      </x:c>
      <x:c r="I2223" t="str">
        <x:v>https://www.smwcentral.net/?a=details&amp;id=21703&amp;p=section</x:v>
      </x:c>
      <x:c r="J2223" t="str">
        <x:v>https://dl.smwcentral.net/21703/Super%20Riff%20World.zip</x:v>
      </x:c>
    </x:row>
    <x:row r="2224">
      <x:c r="A2224" t="str">
        <x:v>Super Rtyuio World: Part 1</x:v>
      </x:c>
      <x:c r="B2224" t="str">
        <x:v>Super Rtyuio World: Part 1</x:v>
      </x:c>
      <x:c r="C2224" t="str">
        <x:v>rtyuio54321</x:v>
      </x:c>
      <x:c r="D2224" t="n">
        <x:v>34</x:v>
      </x:c>
      <x:c r="E2224" t="str">
        <x:v>Casual</x:v>
      </x:c>
      <x:c r="F2224" t="str">
        <x:v>Standard</x:v>
      </x:c>
      <x:c r="G2224" t="n">
        <x:v>42278</x:v>
      </x:c>
      <x:c r="H2224" t="str">
        <x:v>9972</x:v>
      </x:c>
      <x:c r="I2224" t="str">
        <x:v>https://www.smwcentral.net/?a=details&amp;id=9972&amp;p=section</x:v>
      </x:c>
      <x:c r="J2224" t="str">
        <x:v>https://dl.smwcentral.net/9972/Rtyuio.zip</x:v>
      </x:c>
    </x:row>
    <x:row r="2225">
      <x:c r="A2225" t="str">
        <x:v>Super Run World</x:v>
      </x:c>
      <x:c r="B2225" t="str">
        <x:v>Super Run World</x:v>
      </x:c>
      <x:c r="C2225" t="str">
        <x:v>00frank</x:v>
      </x:c>
      <x:c r="D2225" t="n">
        <x:v>25</x:v>
      </x:c>
      <x:c r="E2225" t="str">
        <x:v>Advanced</x:v>
      </x:c>
      <x:c r="F2225" t="str">
        <x:v>Kaizo</x:v>
      </x:c>
      <x:c r="G2225" t="n">
        <x:v>43447</x:v>
      </x:c>
      <x:c r="H2225" t="str">
        <x:v>18529</x:v>
      </x:c>
      <x:c r="I2225" t="str">
        <x:v>https://www.smwcentral.net/?a=details&amp;id=18529&amp;p=section</x:v>
      </x:c>
      <x:c r="J2225" t="str">
        <x:v>https://dl.smwcentral.net/18529/Super%20Run%20World%20v1.2.zip</x:v>
      </x:c>
    </x:row>
    <x:row r="2226">
      <x:c r="A2226" t="str">
        <x:v>Super Russian World</x:v>
      </x:c>
      <x:c r="B2226" t="str">
        <x:v>Super Russian World</x:v>
      </x:c>
      <x:c r="C2226" t="str">
        <x:v>RussianMan</x:v>
      </x:c>
      <x:c r="D2226" t="n">
        <x:v>23</x:v>
      </x:c>
      <x:c r="E2226" t="str">
        <x:v>Advanced</x:v>
      </x:c>
      <x:c r="F2226" t="str">
        <x:v>Standard</x:v>
      </x:c>
      <x:c r="G2226" t="n">
        <x:v>43899</x:v>
      </x:c>
      <x:c r="H2226" t="str">
        <x:v>22278</x:v>
      </x:c>
      <x:c r="I2226" t="str">
        <x:v>https://www.smwcentral.net/?a=details&amp;id=22278&amp;p=section</x:v>
      </x:c>
      <x:c r="J2226" t="str">
        <x:v>https://dl.smwcentral.net/22278/SRW%20Demo%201.3.zip</x:v>
      </x:c>
    </x:row>
    <x:row r="2227">
      <x:c r="A2227" t="str">
        <x:v>Super Russian World Prequel</x:v>
      </x:c>
      <x:c r="B2227" t="str">
        <x:v>Super Russian World Prequel</x:v>
      </x:c>
      <x:c r="C2227" t="str">
        <x:v>RussianMan</x:v>
      </x:c>
      <x:c r="D2227" t="n">
        <x:v>10</x:v>
      </x:c>
      <x:c r="E2227" t="str">
        <x:v>Advanced</x:v>
      </x:c>
      <x:c r="F2227" t="str">
        <x:v>Standard</x:v>
      </x:c>
      <x:c r="G2227" t="n">
        <x:v>44037</x:v>
      </x:c>
      <x:c r="H2227" t="str">
        <x:v>23981</x:v>
      </x:c>
      <x:c r="I2227" t="str">
        <x:v>https://www.smwcentral.net/?a=details&amp;id=23981&amp;p=section</x:v>
      </x:c>
      <x:c r="J2227" t="str">
        <x:v>https://dl.smwcentral.net/23981/SRW%20Prequel.zip</x:v>
      </x:c>
    </x:row>
    <x:row r="2228">
      <x:c r="A2228" t="str">
        <x:v>Super Ryu World</x:v>
      </x:c>
      <x:c r="B2228" t="str">
        <x:v>Super Ryu World</x:v>
      </x:c>
      <x:c r="C2228" t="str">
        <x:v>Aguni_</x:v>
      </x:c>
      <x:c r="D2228" t="n">
        <x:v>14</x:v>
      </x:c>
      <x:c r="E2228" t="str">
        <x:v>Advanced</x:v>
      </x:c>
      <x:c r="F2228" t="str">
        <x:v>Kaizo</x:v>
      </x:c>
      <x:c r="G2228" t="n">
        <x:v>43383</x:v>
      </x:c>
      <x:c r="H2228" t="str">
        <x:v>18268</x:v>
      </x:c>
      <x:c r="I2228" t="str">
        <x:v>https://www.smwcentral.net/?a=details&amp;id=18268&amp;p=section</x:v>
      </x:c>
      <x:c r="J2228" t="str">
        <x:v>https://dl.smwcentral.net/18268/Super%20Ryu%20World%201.zip</x:v>
      </x:c>
    </x:row>
    <x:row r="2229">
      <x:c r="A2229" t="str">
        <x:v>Super Ryu World 2</x:v>
      </x:c>
      <x:c r="B2229" t="str">
        <x:v>Super Ryu World 2</x:v>
      </x:c>
      <x:c r="C2229" t="str">
        <x:v>Aguni_</x:v>
      </x:c>
      <x:c r="D2229" t="n">
        <x:v>17</x:v>
      </x:c>
      <x:c r="E2229" t="str">
        <x:v>Expert</x:v>
      </x:c>
      <x:c r="F2229" t="str">
        <x:v>Kaizo</x:v>
      </x:c>
      <x:c r="G2229" t="n">
        <x:v>43679</x:v>
      </x:c>
      <x:c r="H2229" t="str">
        <x:v>20717</x:v>
      </x:c>
      <x:c r="I2229" t="str">
        <x:v>https://www.smwcentral.net/?a=details&amp;id=20717&amp;p=section</x:v>
      </x:c>
      <x:c r="J2229" t="str">
        <x:v>https://dl.smwcentral.net/20717/SRW2.zip</x:v>
      </x:c>
    </x:row>
    <x:row r="2230">
      <x:c r="A2230" t="str">
        <x:v>Super Sabor World Deluxe</x:v>
      </x:c>
      <x:c r="B2230" t="str">
        <x:v>Super Sabor World Deluxe</x:v>
      </x:c>
      <x:c r="C2230" t="str">
        <x:v>Valdio</x:v>
      </x:c>
      <x:c r="D2230" t="n">
        <x:v>22</x:v>
      </x:c>
      <x:c r="E2230" t="str">
        <x:v>Expert</x:v>
      </x:c>
      <x:c r="F2230" t="str">
        <x:v>Kaizo</x:v>
      </x:c>
      <x:c r="G2230" t="n">
        <x:v>43409</x:v>
      </x:c>
      <x:c r="H2230" t="str">
        <x:v>18369</x:v>
      </x:c>
      <x:c r="I2230" t="str">
        <x:v>https://www.smwcentral.net/?a=details&amp;id=18369&amp;p=section</x:v>
      </x:c>
      <x:c r="J2230" t="str">
        <x:v>https://dl.smwcentral.net/18369/Super%20Sabor%20World%20Deluxe.zip</x:v>
      </x:c>
    </x:row>
    <x:row r="2231">
      <x:c r="A2231" t="str">
        <x:v>Super Salary World</x:v>
      </x:c>
      <x:c r="B2231" t="str">
        <x:v>Super Salary World</x:v>
      </x:c>
      <x:c r="C2231" t="str">
        <x:v>PopCorn181</x:v>
      </x:c>
      <x:c r="D2231" t="n">
        <x:v>4</x:v>
      </x:c>
      <x:c r="E2231" t="str">
        <x:v>Expert</x:v>
      </x:c>
      <x:c r="F2231" t="str">
        <x:v>Kaizo</x:v>
      </x:c>
      <x:c r="G2231" t="n">
        <x:v>45820</x:v>
      </x:c>
      <x:c r="H2231" t="str">
        <x:v>39968</x:v>
      </x:c>
      <x:c r="I2231" t="str">
        <x:v>https://www.smwcentral.net/?a=details&amp;id=39968&amp;p=section</x:v>
      </x:c>
      <x:c r="J2231" t="str">
        <x:v>https://dl.smwcentral.net/39968/supersalaryworld.zip</x:v>
      </x:c>
    </x:row>
    <x:row r="2232">
      <x:c r="A2232" t="str">
        <x:v>Super Samuroy Adventures</x:v>
      </x:c>
      <x:c r="B2232" t="str">
        <x:v>Super Samuroy Adventures</x:v>
      </x:c>
      <x:c r="C2232" t="str">
        <x:v>Stivi</x:v>
      </x:c>
      <x:c r="D2232" t="n">
        <x:v>11</x:v>
      </x:c>
      <x:c r="E2232" t="str">
        <x:v>Intermediate</x:v>
      </x:c>
      <x:c r="F2232" t="str">
        <x:v>Kaizo, Tool-Assisted</x:v>
      </x:c>
      <x:c r="G2232" t="n">
        <x:v>43102</x:v>
      </x:c>
      <x:c r="H2232" t="str">
        <x:v>16863</x:v>
      </x:c>
      <x:c r="I2232" t="str">
        <x:v>https://www.smwcentral.net/?a=details&amp;id=16863&amp;p=section</x:v>
      </x:c>
      <x:c r="J2232" t="str">
        <x:v>https://dl.smwcentral.net/16863/Super%20Samuroy%20Adventures.zip</x:v>
      </x:c>
    </x:row>
    <x:row r="2233">
      <x:c r="A2233" t="str">
        <x:v>Super Sauce Search</x:v>
      </x:c>
      <x:c r="B2233" t="str">
        <x:v>Super Sauce Search</x:v>
      </x:c>
      <x:c r="C2233" t="str">
        <x:v>Falconpunch, Giga, Impetus, LucasRCD</x:v>
      </x:c>
      <x:c r="D2233" t="n">
        <x:v>10</x:v>
      </x:c>
      <x:c r="E2233" t="str">
        <x:v>Casual</x:v>
      </x:c>
      <x:c r="F2233" t="str">
        <x:v>Standard</x:v>
      </x:c>
      <x:c r="G2233" t="n">
        <x:v>44580</x:v>
      </x:c>
      <x:c r="H2233" t="str">
        <x:v>29464</x:v>
      </x:c>
      <x:c r="I2233" t="str">
        <x:v>https://www.smwcentral.net/?a=details&amp;id=29464&amp;p=section</x:v>
      </x:c>
      <x:c r="J2233" t="str">
        <x:v>https://dl.smwcentral.net/29464/Super%20Sauce%20Search%20-As%20Intended%21-.zip</x:v>
      </x:c>
    </x:row>
    <x:row r="2234">
      <x:c r="A2234" t="str">
        <x:v>Super Schrausch World</x:v>
      </x:c>
      <x:c r="B2234" t="str">
        <x:v>Super Schrausch World</x:v>
      </x:c>
      <x:c r="C2234" t="str">
        <x:v>Rudi_Schrausch</x:v>
      </x:c>
      <x:c r="D2234" t="n">
        <x:v>23</x:v>
      </x:c>
      <x:c r="E2234" t="str">
        <x:v>Expert</x:v>
      </x:c>
      <x:c r="F2234" t="str">
        <x:v>Kaizo</x:v>
      </x:c>
      <x:c r="G2234" t="n">
        <x:v>44677</x:v>
      </x:c>
      <x:c r="H2234" t="str">
        <x:v>30548</x:v>
      </x:c>
      <x:c r="I2234" t="str">
        <x:v>https://www.smwcentral.net/?a=details&amp;id=30548&amp;p=section</x:v>
      </x:c>
      <x:c r="J2234" t="str">
        <x:v>https://dl.smwcentral.net/30548/Super%20Schrausch%20WORLD.zip</x:v>
      </x:c>
    </x:row>
    <x:row r="2235">
      <x:c r="A2235" t="str">
        <x:v>Super Schrausch World 2</x:v>
      </x:c>
      <x:c r="B2235" t="str">
        <x:v>Super Schrausch World 2</x:v>
      </x:c>
      <x:c r="C2235" t="str">
        <x:v>Rudi_Schrausch</x:v>
      </x:c>
      <x:c r="D2235" t="n">
        <x:v>18</x:v>
      </x:c>
      <x:c r="E2235" t="str">
        <x:v>Expert</x:v>
      </x:c>
      <x:c r="F2235" t="str">
        <x:v>Kaizo</x:v>
      </x:c>
      <x:c r="G2235" t="n">
        <x:v>44858</x:v>
      </x:c>
      <x:c r="H2235" t="str">
        <x:v>32345</x:v>
      </x:c>
      <x:c r="I2235" t="str">
        <x:v>https://www.smwcentral.net/?a=details&amp;id=32345&amp;p=section</x:v>
      </x:c>
      <x:c r="J2235" t="str">
        <x:v>https://dl.smwcentral.net/32345/SSW2%20RoS.zip</x:v>
      </x:c>
    </x:row>
    <x:row r="2236">
      <x:c r="A2236" t="str">
        <x:v>Super Sekai World</x:v>
      </x:c>
      <x:c r="B2236" t="str">
        <x:v>Super Sekai World</x:v>
      </x:c>
      <x:c r="C2236" t="str">
        <x:v>ShadoWingx</x:v>
      </x:c>
      <x:c r="D2236" t="n">
        <x:v>25</x:v>
      </x:c>
      <x:c r="E2236" t="str">
        <x:v>Expert</x:v>
      </x:c>
      <x:c r="F2236" t="str">
        <x:v>Kaizo</x:v>
      </x:c>
      <x:c r="G2236" t="n">
        <x:v>43232</x:v>
      </x:c>
      <x:c r="H2236" t="str">
        <x:v>17489</x:v>
      </x:c>
      <x:c r="I2236" t="str">
        <x:v>https://www.smwcentral.net/?a=details&amp;id=17489&amp;p=section</x:v>
      </x:c>
      <x:c r="J2236" t="str">
        <x:v>https://dl.smwcentral.net/17489/Super%20Sekai%20World%201.5.zip</x:v>
      </x:c>
    </x:row>
    <x:row r="2237">
      <x:c r="A2237" t="str">
        <x:v>Super SGES Races season 1+2</x:v>
      </x:c>
      <x:c r="B2237" t="str">
        <x:v>Super SGES Races season 1+2</x:v>
      </x:c>
      <x:c r="C2237" t="str">
        <x:v>RedKitsune</x:v>
      </x:c>
      <x:c r="D2237" t="n">
        <x:v>10</x:v>
      </x:c>
      <x:c r="E2237" t="str">
        <x:v>Intermediate</x:v>
      </x:c>
      <x:c r="F2237" t="str">
        <x:v>Kaizo</x:v>
      </x:c>
      <x:c r="G2237" t="n">
        <x:v>44300</x:v>
      </x:c>
      <x:c r="H2237" t="str">
        <x:v>26747</x:v>
      </x:c>
      <x:c r="I2237" t="str">
        <x:v>https://www.smwcentral.net/?a=details&amp;id=26747&amp;p=section</x:v>
      </x:c>
      <x:c r="J2237" t="str">
        <x:v>https://dl.smwcentral.net/26747/SSGESRs2.zip</x:v>
      </x:c>
    </x:row>
    <x:row r="2238">
      <x:c r="A2238" t="str">
        <x:v>Super Sheffy World 2: The Quest for 5 Shells</x:v>
      </x:c>
      <x:c r="B2238" t="str">
        <x:v>Super Sheffy World 2: The Quest for 5 Shells</x:v>
      </x:c>
      <x:c r="C2238" t="str">
        <x:v>westslasher2</x:v>
      </x:c>
      <x:c r="D2238" t="n">
        <x:v>13</x:v>
      </x:c>
      <x:c r="E2238" t="str">
        <x:v>Master</x:v>
      </x:c>
      <x:c r="F2238" t="str">
        <x:v>Kaizo</x:v>
      </x:c>
      <x:c r="G2238" t="n">
        <x:v>43527</x:v>
      </x:c>
      <x:c r="H2238" t="str">
        <x:v>18698</x:v>
      </x:c>
      <x:c r="I2238" t="str">
        <x:v>https://www.smwcentral.net/?a=details&amp;id=18698&amp;p=section</x:v>
      </x:c>
      <x:c r="J2238" t="str">
        <x:v>https://dl.smwcentral.net/18698/Super%20Sheffy%20World%202%20The%20Quest%20for%20the%205%20Shells%201.04.zip</x:v>
      </x:c>
    </x:row>
    <x:row r="2239">
      <x:c r="A2239" t="str">
        <x:v>Super Sheffy World Deluxe</x:v>
      </x:c>
      <x:c r="B2239" t="str">
        <x:v>Super Sheffy World Deluxe</x:v>
      </x:c>
      <x:c r="C2239" t="str">
        <x:v>westslasher2</x:v>
      </x:c>
      <x:c r="D2239" t="n">
        <x:v>15</x:v>
      </x:c>
      <x:c r="E2239" t="str">
        <x:v>Expert</x:v>
      </x:c>
      <x:c r="F2239" t="str">
        <x:v>Kaizo</x:v>
      </x:c>
      <x:c r="G2239" t="n">
        <x:v>43446</x:v>
      </x:c>
      <x:c r="H2239" t="str">
        <x:v>18422</x:v>
      </x:c>
      <x:c r="I2239" t="str">
        <x:v>https://www.smwcentral.net/?a=details&amp;id=18422&amp;p=section</x:v>
      </x:c>
      <x:c r="J2239" t="str">
        <x:v>https://dl.smwcentral.net/18422/SuperSheffyWorldDeluxe.zip</x:v>
      </x:c>
    </x:row>
    <x:row r="2240">
      <x:c r="A2240" t="str">
        <x:v>Super shell world</x:v>
      </x:c>
      <x:c r="B2240" t="str">
        <x:v>Super shell world</x:v>
      </x:c>
      <x:c r="C2240" t="str">
        <x:v>Pizzagamer9791</x:v>
      </x:c>
      <x:c r="D2240" t="n">
        <x:v>11</x:v>
      </x:c>
      <x:c r="E2240" t="str">
        <x:v>Advanced</x:v>
      </x:c>
      <x:c r="F2240" t="str">
        <x:v>Kaizo</x:v>
      </x:c>
      <x:c r="G2240" t="n">
        <x:v>45377</x:v>
      </x:c>
      <x:c r="H2240" t="str">
        <x:v>37427</x:v>
      </x:c>
      <x:c r="I2240" t="str">
        <x:v>https://www.smwcentral.net/?a=details&amp;id=37427&amp;p=section</x:v>
      </x:c>
      <x:c r="J2240" t="str">
        <x:v>https://dl.smwcentral.net/37427/super%20shell%20world%20v1.2.zip</x:v>
      </x:c>
    </x:row>
    <x:row r="2241">
      <x:c r="A2241" t="str">
        <x:v>Super ShyGuy's Epic Journey</x:v>
      </x:c>
      <x:c r="B2241" t="str">
        <x:v>Super ShyGuy's Epic Journey</x:v>
      </x:c>
      <x:c r="C2241" t="str">
        <x:v>Captain Domas</x:v>
      </x:c>
      <x:c r="D2241" t="n">
        <x:v>9</x:v>
      </x:c>
      <x:c r="E2241" t="str">
        <x:v>Advanced</x:v>
      </x:c>
      <x:c r="F2241" t="str">
        <x:v>Kaizo</x:v>
      </x:c>
      <x:c r="G2241" t="n">
        <x:v>44291</x:v>
      </x:c>
      <x:c r="H2241" t="str">
        <x:v>26670</x:v>
      </x:c>
      <x:c r="I2241" t="str">
        <x:v>https://www.smwcentral.net/?a=details&amp;id=26670&amp;p=section</x:v>
      </x:c>
      <x:c r="J2241" t="str">
        <x:v>https://dl.smwcentral.net/26670/Super%20ShyGuys%20Journey.zip</x:v>
      </x:c>
    </x:row>
    <x:row r="2242">
      <x:c r="A2242" t="str">
        <x:v>Super Sickos World</x:v>
      </x:c>
      <x:c r="B2242" t="str">
        <x:v>Super Sickos World</x:v>
      </x:c>
      <x:c r="C2242" t="str">
        <x:v>Heraga, Nanako, Nitrogen, RussianMan, margot</x:v>
      </x:c>
      <x:c r="D2242" t="n">
        <x:v>11</x:v>
      </x:c>
      <x:c r="E2242" t="str">
        <x:v>Advanced</x:v>
      </x:c>
      <x:c r="F2242" t="str">
        <x:v>Standard</x:v>
      </x:c>
      <x:c r="G2242" t="n">
        <x:v>44554</x:v>
      </x:c>
      <x:c r="H2242" t="str">
        <x:v>29004</x:v>
      </x:c>
      <x:c r="I2242" t="str">
        <x:v>https://www.smwcentral.net/?a=details&amp;id=29004&amp;p=section</x:v>
      </x:c>
      <x:c r="J2242" t="str">
        <x:v>https://dl.smwcentral.net/29004/Sickos1.2.zip</x:v>
      </x:c>
    </x:row>
    <x:row r="2243">
      <x:c r="A2243" t="str">
        <x:v>Super Sigma World</x:v>
      </x:c>
      <x:c r="B2243" t="str">
        <x:v>Super Sigma World</x:v>
      </x:c>
      <x:c r="C2243" t="str">
        <x:v>Firstnamebutt</x:v>
      </x:c>
      <x:c r="D2243" t="n">
        <x:v>14</x:v>
      </x:c>
      <x:c r="E2243" t="str">
        <x:v>Intermediate</x:v>
      </x:c>
      <x:c r="F2243" t="str">
        <x:v>Kaizo</x:v>
      </x:c>
      <x:c r="G2243" t="n">
        <x:v>45509</x:v>
      </x:c>
      <x:c r="H2243" t="str">
        <x:v>38184</x:v>
      </x:c>
      <x:c r="I2243" t="str">
        <x:v>https://www.smwcentral.net/?a=details&amp;id=38184&amp;p=section</x:v>
      </x:c>
      <x:c r="J2243" t="str">
        <x:v>https://dl.smwcentral.net/38184/SuperSigmaWorld.zip</x:v>
      </x:c>
    </x:row>
    <x:row r="2244">
      <x:c r="A2244" t="str">
        <x:v>Super Skyler World</x:v>
      </x:c>
      <x:c r="B2244" t="str">
        <x:v>Super Skyler World</x:v>
      </x:c>
      <x:c r="C2244" t="str">
        <x:v>Uncle_Bones</x:v>
      </x:c>
      <x:c r="D2244" t="n">
        <x:v>3</x:v>
      </x:c>
      <x:c r="E2244" t="str">
        <x:v>Casual</x:v>
      </x:c>
      <x:c r="F2244" t="str">
        <x:v>Standard</x:v>
      </x:c>
      <x:c r="G2244" t="n">
        <x:v>42044</x:v>
      </x:c>
      <x:c r="H2244" t="str">
        <x:v>9794</x:v>
      </x:c>
      <x:c r="I2244" t="str">
        <x:v>https://www.smwcentral.net/?a=details&amp;id=9794&amp;p=section</x:v>
      </x:c>
      <x:c r="J2244" t="str">
        <x:v>https://dl.smwcentral.net/9794/Super%20Skyler%20World.zip</x:v>
      </x:c>
    </x:row>
    <x:row r="2245">
      <x:c r="A2245" t="str">
        <x:v>Super Slider World</x:v>
      </x:c>
      <x:c r="B2245" t="str">
        <x:v>Super Slider World</x:v>
      </x:c>
      <x:c r="C2245" t="str">
        <x:v>ItIzEcks</x:v>
      </x:c>
      <x:c r="D2245" t="n">
        <x:v>7</x:v>
      </x:c>
      <x:c r="E2245" t="str">
        <x:v>Intermediate</x:v>
      </x:c>
      <x:c r="F2245" t="str">
        <x:v>Kaizo</x:v>
      </x:c>
      <x:c r="G2245" t="n">
        <x:v>44683</x:v>
      </x:c>
      <x:c r="H2245" t="str">
        <x:v>30661</x:v>
      </x:c>
      <x:c r="I2245" t="str">
        <x:v>https://www.smwcentral.net/?a=details&amp;id=30661&amp;p=section</x:v>
      </x:c>
      <x:c r="J2245" t="str">
        <x:v>https://dl.smwcentral.net/30661/SliderWorld.zip</x:v>
      </x:c>
    </x:row>
    <x:row r="2246">
      <x:c r="A2246" t="str">
        <x:v>Super Slim World</x:v>
      </x:c>
      <x:c r="B2246" t="str">
        <x:v>Super Slim World</x:v>
      </x:c>
      <x:c r="C2246" t="str">
        <x:v>duders</x:v>
      </x:c>
      <x:c r="D2246" t="n">
        <x:v>18</x:v>
      </x:c>
      <x:c r="E2246" t="str">
        <x:v>Intermediate</x:v>
      </x:c>
      <x:c r="F2246" t="str">
        <x:v>Kaizo</x:v>
      </x:c>
      <x:c r="G2246" t="n">
        <x:v>43646</x:v>
      </x:c>
      <x:c r="H2246" t="str">
        <x:v>20223</x:v>
      </x:c>
      <x:c r="I2246" t="str">
        <x:v>https://www.smwcentral.net/?a=details&amp;id=20223&amp;p=section</x:v>
      </x:c>
      <x:c r="J2246" t="str">
        <x:v>https://dl.smwcentral.net/20223/Super%20Slim%20World%20v1.5.zip</x:v>
      </x:c>
    </x:row>
    <x:row r="2247">
      <x:c r="A2247" t="str">
        <x:v>Super Smile Face World</x:v>
      </x:c>
      <x:c r="B2247" t="str">
        <x:v>Super Smile Face World</x:v>
      </x:c>
      <x:c r="C2247" t="str">
        <x:v>Captain_Hacko</x:v>
      </x:c>
      <x:c r="D2247" t="n">
        <x:v>20</x:v>
      </x:c>
      <x:c r="E2247" t="str">
        <x:v>Newcomer</x:v>
      </x:c>
      <x:c r="F2247" t="str">
        <x:v>Standard</x:v>
      </x:c>
      <x:c r="G2247" t="n">
        <x:v>44065</x:v>
      </x:c>
      <x:c r="H2247" t="str">
        <x:v>24342</x:v>
      </x:c>
      <x:c r="I2247" t="str">
        <x:v>https://www.smwcentral.net/?a=details&amp;id=24342&amp;p=section</x:v>
      </x:c>
      <x:c r="J2247" t="str">
        <x:v>https://dl.smwcentral.net/24342/Super_Smile_Face_World.zip</x:v>
      </x:c>
    </x:row>
    <x:row r="2248">
      <x:c r="A2248" t="str">
        <x:v>Super Special World</x:v>
      </x:c>
      <x:c r="B2248" t="str">
        <x:v>Super Special World</x:v>
      </x:c>
      <x:c r="C2248" t="str">
        <x:v>SMWizard</x:v>
      </x:c>
      <x:c r="D2248" t="n">
        <x:v>105</x:v>
      </x:c>
      <x:c r="E2248" t="str">
        <x:v>Intermediate</x:v>
      </x:c>
      <x:c r="F2248" t="str">
        <x:v>Standard</x:v>
      </x:c>
      <x:c r="G2248" t="n">
        <x:v>44541</x:v>
      </x:c>
      <x:c r="H2248" t="str">
        <x:v>28669</x:v>
      </x:c>
      <x:c r="I2248" t="str">
        <x:v>https://www.smwcentral.net/?a=details&amp;id=28669&amp;p=section</x:v>
      </x:c>
      <x:c r="J2248" t="str">
        <x:v>https://dl.smwcentral.net/28669/SSW_v01.zip</x:v>
      </x:c>
    </x:row>
    <x:row r="2249">
      <x:c r="A2249" t="str">
        <x:v>Super Speed World</x:v>
      </x:c>
      <x:c r="B2249" t="str">
        <x:v>Super Speed World</x:v>
      </x:c>
      <x:c r="C2249" t="str">
        <x:v>Revenge319</x:v>
      </x:c>
      <x:c r="D2249" t="n">
        <x:v>4</x:v>
      </x:c>
      <x:c r="E2249" t="str">
        <x:v>Intermediate</x:v>
      </x:c>
      <x:c r="F2249" t="str">
        <x:v>Standard, Kaizo</x:v>
      </x:c>
      <x:c r="G2249" t="n">
        <x:v>45021</x:v>
      </x:c>
      <x:c r="H2249" t="str">
        <x:v>33637</x:v>
      </x:c>
      <x:c r="I2249" t="str">
        <x:v>https://www.smwcentral.net/?a=details&amp;id=33637&amp;p=section</x:v>
      </x:c>
      <x:c r="J2249" t="str">
        <x:v>https://dl.smwcentral.net/33637/Super%20Speed%20World%20DEMO.zip</x:v>
      </x:c>
    </x:row>
    <x:row r="2250">
      <x:c r="A2250" t="str">
        <x:v>Super Spice World</x:v>
      </x:c>
      <x:c r="B2250" t="str">
        <x:v>Super Spice World</x:v>
      </x:c>
      <x:c r="C2250" t="str">
        <x:v>Randomiser</x:v>
      </x:c>
      <x:c r="D2250" t="n">
        <x:v>6</x:v>
      </x:c>
      <x:c r="E2250" t="str">
        <x:v>Casual</x:v>
      </x:c>
      <x:c r="F2250" t="str">
        <x:v>Standard</x:v>
      </x:c>
      <x:c r="G2250" t="n">
        <x:v>43021</x:v>
      </x:c>
      <x:c r="H2250" t="str">
        <x:v>16432</x:v>
      </x:c>
      <x:c r="I2250" t="str">
        <x:v>https://www.smwcentral.net/?a=details&amp;id=16432&amp;p=section</x:v>
      </x:c>
      <x:c r="J2250" t="str">
        <x:v>https://dl.smwcentral.net/16432/Super%20Spice%20World.zip</x:v>
      </x:c>
    </x:row>
    <x:row r="2251">
      <x:c r="A2251" t="str">
        <x:v>Super Sponge World</x:v>
      </x:c>
      <x:c r="B2251" t="str">
        <x:v>Super Sponge World</x:v>
      </x:c>
      <x:c r="C2251" t="str">
        <x:v>TheGremlin</x:v>
      </x:c>
      <x:c r="D2251" t="n">
        <x:v>5</x:v>
      </x:c>
      <x:c r="E2251" t="str">
        <x:v>Intermediate</x:v>
      </x:c>
      <x:c r="F2251" t="str">
        <x:v>Standard</x:v>
      </x:c>
      <x:c r="G2251" t="n">
        <x:v>43604</x:v>
      </x:c>
      <x:c r="H2251" t="str">
        <x:v>19988</x:v>
      </x:c>
      <x:c r="I2251" t="str">
        <x:v>https://www.smwcentral.net/?a=details&amp;id=19988&amp;p=section</x:v>
      </x:c>
      <x:c r="J2251" t="str">
        <x:v>https://dl.smwcentral.net/19988/SuperSpongeWorld.zip</x:v>
      </x:c>
    </x:row>
    <x:row r="2252">
      <x:c r="A2252" t="str">
        <x:v>Super Stacey World</x:v>
      </x:c>
      <x:c r="B2252" t="str">
        <x:v>Super Stacey World</x:v>
      </x:c>
      <x:c r="C2252" t="str">
        <x:v>dylanofinsanity</x:v>
      </x:c>
      <x:c r="D2252" t="n">
        <x:v>15</x:v>
      </x:c>
      <x:c r="E2252" t="str">
        <x:v>Advanced</x:v>
      </x:c>
      <x:c r="F2252" t="str">
        <x:v>Kaizo</x:v>
      </x:c>
      <x:c r="G2252" t="n">
        <x:v>43409</x:v>
      </x:c>
      <x:c r="H2252" t="str">
        <x:v>18426</x:v>
      </x:c>
      <x:c r="I2252" t="str">
        <x:v>https://www.smwcentral.net/?a=details&amp;id=18426&amp;p=section</x:v>
      </x:c>
      <x:c r="J2252" t="str">
        <x:v>https://dl.smwcentral.net/18426/Super_Stacey_World_1.2.zip</x:v>
      </x:c>
    </x:row>
    <x:row r="2253">
      <x:c r="A2253" t="str">
        <x:v>Super Struggler World</x:v>
      </x:c>
      <x:c r="B2253" t="str">
        <x:v>Super Struggler World</x:v>
      </x:c>
      <x:c r="C2253" t="str">
        <x:v>RecToR_24</x:v>
      </x:c>
      <x:c r="D2253" t="n">
        <x:v>13</x:v>
      </x:c>
      <x:c r="E2253" t="str">
        <x:v>Intermediate</x:v>
      </x:c>
      <x:c r="F2253" t="str">
        <x:v>Kaizo</x:v>
      </x:c>
      <x:c r="G2253" t="n">
        <x:v>45072</x:v>
      </x:c>
      <x:c r="H2253" t="str">
        <x:v>34008</x:v>
      </x:c>
      <x:c r="I2253" t="str">
        <x:v>https://www.smwcentral.net/?a=details&amp;id=34008&amp;p=section</x:v>
      </x:c>
      <x:c r="J2253" t="str">
        <x:v>https://dl.smwcentral.net/34008/Super%20Struggler%20World.zip</x:v>
      </x:c>
    </x:row>
    <x:row r="2254">
      <x:c r="A2254" t="str">
        <x:v>super super com</x:v>
      </x:c>
      <x:c r="B2254" t="str">
        <x:v>super super com</x:v>
      </x:c>
      <x:c r="C2254" t="str">
        <x:v>HeroBr, Togmyoa</x:v>
      </x:c>
      <x:c r="D2254" t="n">
        <x:v>18</x:v>
      </x:c>
      <x:c r="E2254" t="str">
        <x:v>Casual</x:v>
      </x:c>
      <x:c r="F2254" t="str">
        <x:v>Standard</x:v>
      </x:c>
      <x:c r="G2254" t="n">
        <x:v>46099</x:v>
      </x:c>
      <x:c r="H2254" t="str">
        <x:v>41925</x:v>
      </x:c>
      <x:c r="I2254" t="str">
        <x:v>https://www.smwcentral.net/?a=details&amp;id=41925&amp;p=section</x:v>
      </x:c>
      <x:c r="J2254" t="str">
        <x:v>https://dl.smwcentral.net/41925/fire.zip</x:v>
      </x:c>
    </x:row>
    <x:row r="2255">
      <x:c r="A2255" t="str">
        <x:v>Super Super Duper World</x:v>
      </x:c>
      <x:c r="B2255" t="str">
        <x:v>Super Super Duper World</x:v>
      </x:c>
      <x:c r="C2255" t="str">
        <x:v>ihaveonebigeye</x:v>
      </x:c>
      <x:c r="D2255" t="n">
        <x:v>8</x:v>
      </x:c>
      <x:c r="E2255" t="str">
        <x:v>Expert</x:v>
      </x:c>
      <x:c r="F2255" t="str">
        <x:v>Kaizo</x:v>
      </x:c>
      <x:c r="G2255" t="n">
        <x:v>45931</x:v>
      </x:c>
      <x:c r="H2255" t="str">
        <x:v>40699</x:v>
      </x:c>
      <x:c r="I2255" t="str">
        <x:v>https://www.smwcentral.net/?a=details&amp;id=40699&amp;p=section</x:v>
      </x:c>
      <x:c r="J2255" t="str">
        <x:v>https://dl.smwcentral.net/40699/ssdw%201.1.zip</x:v>
      </x:c>
    </x:row>
    <x:row r="2256">
      <x:c r="A2256" t="str">
        <x:v>Super Sweg World</x:v>
      </x:c>
      <x:c r="B2256" t="str">
        <x:v>Super Sweg World</x:v>
      </x:c>
      <x:c r="C2256" t="str">
        <x:v>ElSturge</x:v>
      </x:c>
      <x:c r="D2256" t="n">
        <x:v>8</x:v>
      </x:c>
      <x:c r="E2256" t="str">
        <x:v>Casual</x:v>
      </x:c>
      <x:c r="F2256" t="str">
        <x:v>Standard</x:v>
      </x:c>
      <x:c r="G2256" t="n">
        <x:v>43886</x:v>
      </x:c>
      <x:c r="H2256" t="str">
        <x:v>22141</x:v>
      </x:c>
      <x:c r="I2256" t="str">
        <x:v>https://www.smwcentral.net/?a=details&amp;id=22141&amp;p=section</x:v>
      </x:c>
      <x:c r="J2256" t="str">
        <x:v>https://dl.smwcentral.net/22141/Super%20Sweg%20World.zip</x:v>
      </x:c>
    </x:row>
    <x:row r="2257">
      <x:c r="A2257" t="str">
        <x:v>Super Swordi World</x:v>
      </x:c>
      <x:c r="B2257" t="str">
        <x:v>Super Swordi World</x:v>
      </x:c>
      <x:c r="C2257" t="str">
        <x:v>Sir_Danny_TM</x:v>
      </x:c>
      <x:c r="D2257" t="n">
        <x:v>33</x:v>
      </x:c>
      <x:c r="E2257" t="str">
        <x:v>Expert</x:v>
      </x:c>
      <x:c r="F2257" t="str">
        <x:v>Kaizo</x:v>
      </x:c>
      <x:c r="G2257" t="n">
        <x:v>44159</x:v>
      </x:c>
      <x:c r="H2257" t="str">
        <x:v>25145</x:v>
      </x:c>
      <x:c r="I2257" t="str">
        <x:v>https://www.smwcentral.net/?a=details&amp;id=25145&amp;p=section</x:v>
      </x:c>
      <x:c r="J2257" t="str">
        <x:v>https://dl.smwcentral.net/25145/SuperSwordiWorld%20Vers.%201.0.zip</x:v>
      </x:c>
    </x:row>
    <x:row r="2258">
      <x:c r="A2258" t="str">
        <x:v>Super Swordi World 2</x:v>
      </x:c>
      <x:c r="B2258" t="str">
        <x:v>Super Swordi World 2</x:v>
      </x:c>
      <x:c r="C2258" t="str">
        <x:v>Sir_Danny_TM</x:v>
      </x:c>
      <x:c r="D2258" t="n">
        <x:v>14</x:v>
      </x:c>
      <x:c r="E2258" t="str">
        <x:v>Expert</x:v>
      </x:c>
      <x:c r="F2258" t="str">
        <x:v>Kaizo</x:v>
      </x:c>
      <x:c r="G2258" t="n">
        <x:v>44652</x:v>
      </x:c>
      <x:c r="H2258" t="str">
        <x:v>29988</x:v>
      </x:c>
      <x:c r="I2258" t="str">
        <x:v>https://www.smwcentral.net/?a=details&amp;id=29988&amp;p=section</x:v>
      </x:c>
      <x:c r="J2258" t="str">
        <x:v>https://dl.smwcentral.net/29988/Swordi%20World%202%201.1.zip</x:v>
      </x:c>
    </x:row>
    <x:row r="2259">
      <x:c r="A2259" t="str">
        <x:v>Super Swunsh World</x:v>
      </x:c>
      <x:c r="B2259" t="str">
        <x:v>Super Swunsh World</x:v>
      </x:c>
      <x:c r="C2259" t="str">
        <x:v>ChrizStylez</x:v>
      </x:c>
      <x:c r="D2259" t="n">
        <x:v>11</x:v>
      </x:c>
      <x:c r="E2259" t="str">
        <x:v>Expert</x:v>
      </x:c>
      <x:c r="F2259" t="str">
        <x:v>Kaizo</x:v>
      </x:c>
      <x:c r="G2259" t="n">
        <x:v>43928</x:v>
      </x:c>
      <x:c r="H2259" t="str">
        <x:v>22253</x:v>
      </x:c>
      <x:c r="I2259" t="str">
        <x:v>https://www.smwcentral.net/?a=details&amp;id=22253&amp;p=section</x:v>
      </x:c>
      <x:c r="J2259" t="str">
        <x:v>https://dl.smwcentral.net/22253/Super_Swunsh_World1.1.zip</x:v>
      </x:c>
    </x:row>
    <x:row r="2260">
      <x:c r="A2260" t="str">
        <x:v>Super Swunsh World 2</x:v>
      </x:c>
      <x:c r="B2260" t="str">
        <x:v>Super Swunsh World 2</x:v>
      </x:c>
      <x:c r="C2260" t="str">
        <x:v>ChrizStylez</x:v>
      </x:c>
      <x:c r="D2260" t="n">
        <x:v>17</x:v>
      </x:c>
      <x:c r="E2260" t="str">
        <x:v>Expert</x:v>
      </x:c>
      <x:c r="F2260" t="str">
        <x:v>Kaizo</x:v>
      </x:c>
      <x:c r="G2260" t="n">
        <x:v>44235</x:v>
      </x:c>
      <x:c r="H2260" t="str">
        <x:v>26113</x:v>
      </x:c>
      <x:c r="I2260" t="str">
        <x:v>https://www.smwcentral.net/?a=details&amp;id=26113&amp;p=section</x:v>
      </x:c>
      <x:c r="J2260" t="str">
        <x:v>https://dl.smwcentral.net/26113/Super%20Swunsh%20World%202.zip</x:v>
      </x:c>
    </x:row>
    <x:row r="2261">
      <x:c r="A2261" t="str">
        <x:v>Super Tanoshii World</x:v>
      </x:c>
      <x:c r="B2261" t="str">
        <x:v>Super Tanoshii World</x:v>
      </x:c>
      <x:c r="C2261" t="str">
        <x:v>Firstnamebutt</x:v>
      </x:c>
      <x:c r="D2261" t="n">
        <x:v>9</x:v>
      </x:c>
      <x:c r="E2261" t="str">
        <x:v>Intermediate</x:v>
      </x:c>
      <x:c r="F2261" t="str">
        <x:v>Kaizo</x:v>
      </x:c>
      <x:c r="G2261" t="n">
        <x:v>45632</x:v>
      </x:c>
      <x:c r="H2261" t="str">
        <x:v>38881</x:v>
      </x:c>
      <x:c r="I2261" t="str">
        <x:v>https://www.smwcentral.net/?a=details&amp;id=38881&amp;p=section</x:v>
      </x:c>
      <x:c r="J2261" t="str">
        <x:v>https://dl.smwcentral.net/38881/SuperTanoshiiWorldV2.zip</x:v>
      </x:c>
    </x:row>
    <x:row r="2262">
      <x:c r="A2262" t="str">
        <x:v>Super Tapes World</x:v>
      </x:c>
      <x:c r="B2262" t="str">
        <x:v>Super Tapes World</x:v>
      </x:c>
      <x:c r="C2262" t="str">
        <x:v>Anonymous</x:v>
      </x:c>
      <x:c r="D2262" t="n">
        <x:v>9</x:v>
      </x:c>
      <x:c r="E2262" t="str">
        <x:v>Advanced</x:v>
      </x:c>
      <x:c r="F2262" t="str">
        <x:v>Kaizo</x:v>
      </x:c>
      <x:c r="G2262" t="n">
        <x:v>45819</x:v>
      </x:c>
      <x:c r="H2262" t="str">
        <x:v>39927</x:v>
      </x:c>
      <x:c r="I2262" t="str">
        <x:v>https://www.smwcentral.net/?a=details&amp;id=39927&amp;p=section</x:v>
      </x:c>
      <x:c r="J2262" t="str">
        <x:v>https://dl.smwcentral.net/39927/Super%20Tapes%20World.zip</x:v>
      </x:c>
    </x:row>
    <x:row r="2263">
      <x:c r="A2263" t="str">
        <x:v>Super Tesla World</x:v>
      </x:c>
      <x:c r="B2263" t="str">
        <x:v>Super Tesla World</x:v>
      </x:c>
      <x:c r="C2263" t="str">
        <x:v>MarkAlarm</x:v>
      </x:c>
      <x:c r="D2263" t="n">
        <x:v>20</x:v>
      </x:c>
      <x:c r="E2263" t="str">
        <x:v>Expert</x:v>
      </x:c>
      <x:c r="F2263" t="str">
        <x:v>Kaizo</x:v>
      </x:c>
      <x:c r="G2263" t="n">
        <x:v>43124</x:v>
      </x:c>
      <x:c r="H2263" t="str">
        <x:v>16894</x:v>
      </x:c>
      <x:c r="I2263" t="str">
        <x:v>https://www.smwcentral.net/?a=details&amp;id=16894&amp;p=section</x:v>
      </x:c>
      <x:c r="J2263" t="str">
        <x:v>https://dl.smwcentral.net/16894/Super%20Tesla%20World%20v1.3.zip</x:v>
      </x:c>
    </x:row>
    <x:row r="2264">
      <x:c r="A2264" t="str">
        <x:v>Super Thesis World</x:v>
      </x:c>
      <x:c r="B2264" t="str">
        <x:v>Super Thesis World</x:v>
      </x:c>
      <x:c r="C2264" t="str">
        <x:v>Nikono</x:v>
      </x:c>
      <x:c r="D2264" t="n">
        <x:v>11</x:v>
      </x:c>
      <x:c r="E2264" t="str">
        <x:v>Expert</x:v>
      </x:c>
      <x:c r="F2264" t="str">
        <x:v>Kaizo</x:v>
      </x:c>
      <x:c r="G2264" t="n">
        <x:v>45509</x:v>
      </x:c>
      <x:c r="H2264" t="str">
        <x:v>38166</x:v>
      </x:c>
      <x:c r="I2264" t="str">
        <x:v>https://www.smwcentral.net/?a=details&amp;id=38166&amp;p=section</x:v>
      </x:c>
      <x:c r="J2264" t="str">
        <x:v>https://dl.smwcentral.net/38166/Super_Thesis_World_v1_22.zip</x:v>
      </x:c>
    </x:row>
    <x:row r="2265">
      <x:c r="A2265" t="str">
        <x:v>Super This Hack Is Registered As Leathal Weapon World</x:v>
      </x:c>
      <x:c r="B2265" t="str">
        <x:v>Super This Hack Is Registered As Leathal Weapon World</x:v>
      </x:c>
      <x:c r="C2265" t="str">
        <x:v>51690</x:v>
      </x:c>
      <x:c r="D2265" t="n">
        <x:v>9</x:v>
      </x:c>
      <x:c r="E2265" t="str">
        <x:v>Master</x:v>
      </x:c>
      <x:c r="F2265" t="str">
        <x:v>Kaizo</x:v>
      </x:c>
      <x:c r="G2265" t="n">
        <x:v>44662</x:v>
      </x:c>
      <x:c r="H2265" t="str">
        <x:v>30270</x:v>
      </x:c>
      <x:c r="I2265" t="str">
        <x:v>https://www.smwcentral.net/?a=details&amp;id=30270&amp;p=section</x:v>
      </x:c>
      <x:c r="J2265" t="str">
        <x:v>https://dl.smwcentral.net/30270/Leathal%20W.zip</x:v>
      </x:c>
    </x:row>
    <x:row r="2266">
      <x:c r="A2266" t="str">
        <x:v>Super Toest World</x:v>
      </x:c>
      <x:c r="B2266" t="str">
        <x:v>Super Toest World</x:v>
      </x:c>
      <x:c r="C2266" t="str">
        <x:v>Anonymous</x:v>
      </x:c>
      <x:c r="D2266" t="n">
        <x:v>12</x:v>
      </x:c>
      <x:c r="E2266" t="str">
        <x:v>Expert</x:v>
      </x:c>
      <x:c r="F2266" t="str">
        <x:v>Kaizo</x:v>
      </x:c>
      <x:c r="G2266" t="n">
        <x:v>45668</x:v>
      </x:c>
      <x:c r="H2266" t="str">
        <x:v>39025</x:v>
      </x:c>
      <x:c r="I2266" t="str">
        <x:v>https://www.smwcentral.net/?a=details&amp;id=39025&amp;p=section</x:v>
      </x:c>
      <x:c r="J2266" t="str">
        <x:v>https://dl.smwcentral.net/39025/Super_Toest_World.zip</x:v>
      </x:c>
    </x:row>
    <x:row r="2267">
      <x:c r="A2267" t="str">
        <x:v>Super Toshio World</x:v>
      </x:c>
      <x:c r="B2267" t="str">
        <x:v>Super Toshio World</x:v>
      </x:c>
      <x:c r="C2267" t="str">
        <x:v>megaBC333</x:v>
      </x:c>
      <x:c r="D2267" t="n">
        <x:v>14</x:v>
      </x:c>
      <x:c r="E2267" t="str">
        <x:v>Expert</x:v>
      </x:c>
      <x:c r="F2267" t="str">
        <x:v>Kaizo</x:v>
      </x:c>
      <x:c r="G2267" t="n">
        <x:v>44690</x:v>
      </x:c>
      <x:c r="H2267" t="str">
        <x:v>30836</x:v>
      </x:c>
      <x:c r="I2267" t="str">
        <x:v>https://www.smwcentral.net/?a=details&amp;id=30836&amp;p=section</x:v>
      </x:c>
      <x:c r="J2267" t="str">
        <x:v>https://dl.smwcentral.net/30836/Super_Toshio_World_v1_1.zip</x:v>
      </x:c>
    </x:row>
    <x:row r="2268">
      <x:c r="A2268" t="str">
        <x:v>Super Tr-lol World</x:v>
      </x:c>
      <x:c r="B2268" t="str">
        <x:v>Super Tr-lol World</x:v>
      </x:c>
      <x:c r="C2268" t="str">
        <x:v>Gato_co</x:v>
      </x:c>
      <x:c r="D2268" t="n">
        <x:v>7</x:v>
      </x:c>
      <x:c r="E2268" t="str">
        <x:v>Casual</x:v>
      </x:c>
      <x:c r="F2268" t="str">
        <x:v>Standard</x:v>
      </x:c>
      <x:c r="G2268" t="n">
        <x:v>45877</x:v>
      </x:c>
      <x:c r="H2268" t="str">
        <x:v>40212</x:v>
      </x:c>
      <x:c r="I2268" t="str">
        <x:v>https://www.smwcentral.net/?a=details&amp;id=40212&amp;p=section</x:v>
      </x:c>
      <x:c r="J2268" t="str">
        <x:v>https://dl.smwcentral.net/40212/Super_Trlol_World.zip</x:v>
      </x:c>
    </x:row>
    <x:row r="2269">
      <x:c r="A2269" t="str">
        <x:v>Super UltiMario World</x:v>
      </x:c>
      <x:c r="B2269" t="str">
        <x:v>Super UltiMario World</x:v>
      </x:c>
      <x:c r="C2269" t="str">
        <x:v>UltiMario</x:v>
      </x:c>
      <x:c r="D2269" t="n">
        <x:v>19</x:v>
      </x:c>
      <x:c r="E2269" t="str">
        <x:v>Casual</x:v>
      </x:c>
      <x:c r="F2269" t="str">
        <x:v>Standard</x:v>
      </x:c>
      <x:c r="G2269" t="n">
        <x:v>42003</x:v>
      </x:c>
      <x:c r="H2269" t="str">
        <x:v>9806</x:v>
      </x:c>
      <x:c r="I2269" t="str">
        <x:v>https://www.smwcentral.net/?a=details&amp;id=9806&amp;p=section</x:v>
      </x:c>
      <x:c r="J2269" t="str">
        <x:v>https://dl.smwcentral.net/9806/UltiMario.zip</x:v>
      </x:c>
    </x:row>
    <x:row r="2270">
      <x:c r="A2270" t="str">
        <x:v>Super Unethical Stuff I Built for GlitchCat7 Because He Told Me To World</x:v>
      </x:c>
      <x:c r="B2270" t="str">
        <x:v>Super Unethical Stuff I Built for GlitchCat7 Because He Told Me To World</x:v>
      </x:c>
      <x:c r="C2270" t="str">
        <x:v>shovda</x:v>
      </x:c>
      <x:c r="D2270" t="n">
        <x:v>11</x:v>
      </x:c>
      <x:c r="E2270" t="str">
        <x:v>Master</x:v>
      </x:c>
      <x:c r="F2270" t="str">
        <x:v>Kaizo</x:v>
      </x:c>
      <x:c r="G2270" t="n">
        <x:v>44107</x:v>
      </x:c>
      <x:c r="H2270" t="str">
        <x:v>24457</x:v>
      </x:c>
      <x:c r="I2270" t="str">
        <x:v>https://www.smwcentral.net/?a=details&amp;id=24457&amp;p=section</x:v>
      </x:c>
      <x:c r="J2270" t="str">
        <x:v>https://dl.smwcentral.net/24457/Unethical%201.1.zip</x:v>
      </x:c>
    </x:row>
    <x:row r="2271">
      <x:c r="A2271" t="str">
        <x:v>Super Unethical Stuff I Built for Thabeast721 Because He Told Me To World</x:v>
      </x:c>
      <x:c r="B2271" t="str">
        <x:v>Super Unethical Stuff I Built for Thabeast721 Because He Told Me To World</x:v>
      </x:c>
      <x:c r="C2271" t="str">
        <x:v>shovda</x:v>
      </x:c>
      <x:c r="D2271" t="n">
        <x:v>11</x:v>
      </x:c>
      <x:c r="E2271" t="str">
        <x:v>Master</x:v>
      </x:c>
      <x:c r="F2271" t="str">
        <x:v>Kaizo</x:v>
      </x:c>
      <x:c r="G2271" t="n">
        <x:v>45300</x:v>
      </x:c>
      <x:c r="H2271" t="str">
        <x:v>35795</x:v>
      </x:c>
      <x:c r="I2271" t="str">
        <x:v>https://www.smwcentral.net/?a=details&amp;id=35795&amp;p=section</x:v>
      </x:c>
      <x:c r="J2271" t="str">
        <x:v>https://dl.smwcentral.net/35795/Unethical2.zip</x:v>
      </x:c>
    </x:row>
    <x:row r="2272">
      <x:c r="A2272" t="str">
        <x:v>Super Vanilla World</x:v>
      </x:c>
      <x:c r="B2272" t="str">
        <x:v>Super Vanilla World</x:v>
      </x:c>
      <x:c r="C2272" t="str">
        <x:v>Nanashi</x:v>
      </x:c>
      <x:c r="D2272" t="n">
        <x:v>23</x:v>
      </x:c>
      <x:c r="E2272" t="str">
        <x:v>Casual</x:v>
      </x:c>
      <x:c r="F2272" t="str">
        <x:v>Standard</x:v>
      </x:c>
      <x:c r="G2272" t="n">
        <x:v>43473</x:v>
      </x:c>
      <x:c r="H2272" t="str">
        <x:v>18860</x:v>
      </x:c>
      <x:c r="I2272" t="str">
        <x:v>https://www.smwcentral.net/?a=details&amp;id=18860&amp;p=section</x:v>
      </x:c>
      <x:c r="J2272" t="str">
        <x:v>https://dl.smwcentral.net/18860/Super%20Vanilla%20World%20%28v1.1%29.zip</x:v>
      </x:c>
    </x:row>
    <x:row r="2273">
      <x:c r="A2273" t="str">
        <x:v>Super Video World</x:v>
      </x:c>
      <x:c r="B2273" t="str">
        <x:v>Super Video World</x:v>
      </x:c>
      <x:c r="C2273" t="str">
        <x:v>FantasticFox</x:v>
      </x:c>
      <x:c r="D2273" t="n">
        <x:v>17</x:v>
      </x:c>
      <x:c r="E2273" t="str">
        <x:v>Intermediate</x:v>
      </x:c>
      <x:c r="F2273" t="str">
        <x:v>Kaizo</x:v>
      </x:c>
      <x:c r="G2273" t="n">
        <x:v>45146</x:v>
      </x:c>
      <x:c r="H2273" t="str">
        <x:v>34766</x:v>
      </x:c>
      <x:c r="I2273" t="str">
        <x:v>https://www.smwcentral.net/?a=details&amp;id=34766&amp;p=section</x:v>
      </x:c>
      <x:c r="J2273" t="str">
        <x:v>https://dl.smwcentral.net/34766/svw%201.5.zip</x:v>
      </x:c>
    </x:row>
    <x:row r="2274">
      <x:c r="A2274" t="str">
        <x:v>Super Video World 2</x:v>
      </x:c>
      <x:c r="B2274" t="str">
        <x:v>Super Video World 2</x:v>
      </x:c>
      <x:c r="C2274" t="str">
        <x:v>FantasticFox</x:v>
      </x:c>
      <x:c r="D2274" t="n">
        <x:v>11</x:v>
      </x:c>
      <x:c r="E2274" t="str">
        <x:v>Advanced</x:v>
      </x:c>
      <x:c r="F2274" t="str">
        <x:v>Kaizo</x:v>
      </x:c>
      <x:c r="G2274" t="n">
        <x:v>45301</x:v>
      </x:c>
      <x:c r="H2274" t="str">
        <x:v>36587</x:v>
      </x:c>
      <x:c r="I2274" t="str">
        <x:v>https://www.smwcentral.net/?a=details&amp;id=36587&amp;p=section</x:v>
      </x:c>
      <x:c r="J2274" t="str">
        <x:v>https://dl.smwcentral.net/36587/Super%20Video%20World%202.zip</x:v>
      </x:c>
    </x:row>
    <x:row r="2275">
      <x:c r="A2275" t="str">
        <x:v>Super Wahnthac World</x:v>
      </x:c>
      <x:c r="B2275" t="str">
        <x:v>Super Wahnthac World</x:v>
      </x:c>
      <x:c r="C2275" t="str">
        <x:v>westslasher2</x:v>
      </x:c>
      <x:c r="D2275" t="n">
        <x:v>11</x:v>
      </x:c>
      <x:c r="E2275" t="str">
        <x:v>Expert</x:v>
      </x:c>
      <x:c r="F2275" t="str">
        <x:v>Kaizo</x:v>
      </x:c>
      <x:c r="G2275" t="n">
        <x:v>43409</x:v>
      </x:c>
      <x:c r="H2275" t="str">
        <x:v>18368</x:v>
      </x:c>
      <x:c r="I2275" t="str">
        <x:v>https://www.smwcentral.net/?a=details&amp;id=18368&amp;p=section</x:v>
      </x:c>
      <x:c r="J2275" t="str">
        <x:v>https://dl.smwcentral.net/18368/SuperWahnthacWorld1.4.zip</x:v>
      </x:c>
    </x:row>
    <x:row r="2276">
      <x:c r="A2276" t="str">
        <x:v>Super Wahnthac World 2</x:v>
      </x:c>
      <x:c r="B2276" t="str">
        <x:v>Super Wahnthac World 2</x:v>
      </x:c>
      <x:c r="C2276" t="str">
        <x:v>westslasher2</x:v>
      </x:c>
      <x:c r="D2276" t="n">
        <x:v>12</x:v>
      </x:c>
      <x:c r="E2276" t="str">
        <x:v>Expert</x:v>
      </x:c>
      <x:c r="F2276" t="str">
        <x:v>Kaizo</x:v>
      </x:c>
      <x:c r="G2276" t="n">
        <x:v>43405</x:v>
      </x:c>
      <x:c r="H2276" t="str">
        <x:v>18297</x:v>
      </x:c>
      <x:c r="I2276" t="str">
        <x:v>https://www.smwcentral.net/?a=details&amp;id=18297&amp;p=section</x:v>
      </x:c>
      <x:c r="J2276" t="str">
        <x:v>https://dl.smwcentral.net/18297/Super%20Wahnthac%20World%202%20Demo.zip</x:v>
      </x:c>
    </x:row>
    <x:row r="2277">
      <x:c r="A2277" t="str">
        <x:v>Super Wakana Land</x:v>
      </x:c>
      <x:c r="B2277" t="str">
        <x:v>Super Wakana Land</x:v>
      </x:c>
      <x:c r="C2277" t="str">
        <x:v>Wakana</x:v>
      </x:c>
      <x:c r="D2277" t="n">
        <x:v>69</x:v>
      </x:c>
      <x:c r="E2277" t="str">
        <x:v>Advanced</x:v>
      </x:c>
      <x:c r="F2277" t="str">
        <x:v>Standard</x:v>
      </x:c>
      <x:c r="G2277" t="n">
        <x:v>43314</x:v>
      </x:c>
      <x:c r="H2277" t="str">
        <x:v>17982</x:v>
      </x:c>
      <x:c r="I2277" t="str">
        <x:v>https://www.smwcentral.net/?a=details&amp;id=17982&amp;p=section</x:v>
      </x:c>
      <x:c r="J2277" t="str">
        <x:v>https://dl.smwcentral.net/17982/SWL2.1.1.zip</x:v>
      </x:c>
    </x:row>
    <x:row r="2278">
      <x:c r="A2278" t="str">
        <x:v>Super Waluigi World Thwompz Fortress</x:v>
      </x:c>
      <x:c r="B2278" t="str">
        <x:v>Super Waluigi World Thwompz Fortress</x:v>
      </x:c>
      <x:c r="C2278" t="str">
        <x:v>Cartridge King</x:v>
      </x:c>
      <x:c r="D2278" t="n">
        <x:v>11</x:v>
      </x:c>
      <x:c r="E2278" t="str">
        <x:v>Intermediate</x:v>
      </x:c>
      <x:c r="F2278" t="str">
        <x:v>Kaizo</x:v>
      </x:c>
      <x:c r="G2278" t="n">
        <x:v>44452</x:v>
      </x:c>
      <x:c r="H2278" t="str">
        <x:v>28294</x:v>
      </x:c>
      <x:c r="I2278" t="str">
        <x:v>https://www.smwcentral.net/?a=details&amp;id=28294&amp;p=section</x:v>
      </x:c>
      <x:c r="J2278" t="str">
        <x:v>https://dl.smwcentral.net/28294/Super_Waluigi_World.zip</x:v>
      </x:c>
    </x:row>
    <x:row r="2279">
      <x:c r="A2279" t="str">
        <x:v>Super Waluigi: Rescue Wario</x:v>
      </x:c>
      <x:c r="B2279" t="str">
        <x:v>Super Waluigi: Rescue Wario</x:v>
      </x:c>
      <x:c r="C2279" t="str">
        <x:v>Green Jerry</x:v>
      </x:c>
      <x:c r="D2279" t="n">
        <x:v>11</x:v>
      </x:c>
      <x:c r="E2279" t="str">
        <x:v>Casual</x:v>
      </x:c>
      <x:c r="F2279" t="str">
        <x:v>Standard</x:v>
      </x:c>
      <x:c r="G2279" t="n">
        <x:v>46215</x:v>
      </x:c>
      <x:c r="H2279" t="str">
        <x:v>42614</x:v>
      </x:c>
      <x:c r="I2279" t="str">
        <x:v>https://www.smwcentral.net/?a=details&amp;id=42614&amp;p=section</x:v>
      </x:c>
      <x:c r="J2279" t="str">
        <x:v>https://dl.smwcentral.net/42614/Super%20Waluigi%20-%20Rescue%20Wario%20v1.4.zip</x:v>
      </x:c>
    </x:row>
    <x:row r="2280">
      <x:c r="A2280" t="str">
        <x:v>Super Wario World</x:v>
      </x:c>
      <x:c r="B2280" t="str">
        <x:v>Super Wario World</x:v>
      </x:c>
      <x:c r="C2280" t="str">
        <x:v>Magmatic</x:v>
      </x:c>
      <x:c r="D2280" t="n">
        <x:v>31</x:v>
      </x:c>
      <x:c r="E2280" t="str">
        <x:v>Advanced</x:v>
      </x:c>
      <x:c r="F2280" t="str">
        <x:v>Kaizo</x:v>
      </x:c>
      <x:c r="G2280" t="n">
        <x:v>43735</x:v>
      </x:c>
      <x:c r="H2280" t="str">
        <x:v>21088</x:v>
      </x:c>
      <x:c r="I2280" t="str">
        <x:v>https://www.smwcentral.net/?a=details&amp;id=21088&amp;p=section</x:v>
      </x:c>
      <x:c r="J2280" t="str">
        <x:v>https://dl.smwcentral.net/21088/Super%20Wario%20World.zip</x:v>
      </x:c>
    </x:row>
    <x:row r="2281">
      <x:c r="A2281" t="str">
        <x:v>Super Wario World 2: The Four Castles</x:v>
      </x:c>
      <x:c r="B2281" t="str">
        <x:v>Super Wario World 2: The Four Castles</x:v>
      </x:c>
      <x:c r="C2281" t="str">
        <x:v>Magmatic</x:v>
      </x:c>
      <x:c r="D2281" t="n">
        <x:v>22</x:v>
      </x:c>
      <x:c r="E2281" t="str">
        <x:v>Expert</x:v>
      </x:c>
      <x:c r="F2281" t="str">
        <x:v>Kaizo</x:v>
      </x:c>
      <x:c r="G2281" t="n">
        <x:v>43977</x:v>
      </x:c>
      <x:c r="H2281" t="str">
        <x:v>23049</x:v>
      </x:c>
      <x:c r="I2281" t="str">
        <x:v>https://www.smwcentral.net/?a=details&amp;id=23049&amp;p=section</x:v>
      </x:c>
      <x:c r="J2281" t="str">
        <x:v>https://dl.smwcentral.net/23049/Super%20Wario%20World%202%20-%20The%20Four%20Castles.zip</x:v>
      </x:c>
    </x:row>
    <x:row r="2282">
      <x:c r="A2282" t="str">
        <x:v>Super Wario World Mini Quest Update 2 + Bonus Pack</x:v>
      </x:c>
      <x:c r="B2282" t="str">
        <x:v>Super Wario World Mini Quest Update 2 + Bonus Pack</x:v>
      </x:c>
      <x:c r="C2282" t="str">
        <x:v>Alex No</x:v>
      </x:c>
      <x:c r="D2282" t="n">
        <x:v>23</x:v>
      </x:c>
      <x:c r="E2282" t="str">
        <x:v>Casual</x:v>
      </x:c>
      <x:c r="F2282" t="str">
        <x:v>Standard</x:v>
      </x:c>
      <x:c r="G2282" t="n">
        <x:v>41563</x:v>
      </x:c>
      <x:c r="H2282" t="str">
        <x:v>5003</x:v>
      </x:c>
      <x:c r="I2282" t="str">
        <x:v>https://www.smwcentral.net/?a=details&amp;id=5003&amp;p=section</x:v>
      </x:c>
      <x:c r="J2282" t="str">
        <x:v>https://dl.smwcentral.net/5003/Super%20Wario%20World%20Mini%20Quest%20Update%202%20%2B%202%20Bonus%20Games%20%28You%20need%20SMB%201%20and%20SMB%202%20roms%20and%20emulator%20for%20play%29%20%281%29.zip</x:v>
      </x:c>
    </x:row>
    <x:row r="2283">
      <x:c r="A2283" t="str">
        <x:v>Super Weekend World</x:v>
      </x:c>
      <x:c r="B2283" t="str">
        <x:v>Super Weekend World</x:v>
      </x:c>
      <x:c r="C2283" t="str">
        <x:v>AmazingChest</x:v>
      </x:c>
      <x:c r="D2283" t="n">
        <x:v>3</x:v>
      </x:c>
      <x:c r="E2283" t="str">
        <x:v>Intermediate</x:v>
      </x:c>
      <x:c r="F2283" t="str">
        <x:v>Kaizo</x:v>
      </x:c>
      <x:c r="G2283" t="n">
        <x:v>43866</x:v>
      </x:c>
      <x:c r="H2283" t="str">
        <x:v>22088</x:v>
      </x:c>
      <x:c r="I2283" t="str">
        <x:v>https://www.smwcentral.net/?a=details&amp;id=22088&amp;p=section</x:v>
      </x:c>
      <x:c r="J2283" t="str">
        <x:v>https://dl.smwcentral.net/22088/super-weekend-world_v10.zip</x:v>
      </x:c>
    </x:row>
    <x:row r="2284">
      <x:c r="A2284" t="str">
        <x:v>Super What World</x:v>
      </x:c>
      <x:c r="B2284" t="str">
        <x:v>Super What World</x:v>
      </x:c>
      <x:c r="C2284" t="str">
        <x:v>SolveForX</x:v>
      </x:c>
      <x:c r="D2284" t="n">
        <x:v>3</x:v>
      </x:c>
      <x:c r="E2284" t="str">
        <x:v>Master</x:v>
      </x:c>
      <x:c r="F2284" t="str">
        <x:v>Kaizo, Puzzle</x:v>
      </x:c>
      <x:c r="G2284" t="n">
        <x:v>45424</x:v>
      </x:c>
      <x:c r="H2284" t="str">
        <x:v>37763</x:v>
      </x:c>
      <x:c r="I2284" t="str">
        <x:v>https://www.smwcentral.net/?a=details&amp;id=37763&amp;p=section</x:v>
      </x:c>
      <x:c r="J2284" t="str">
        <x:v>https://dl.smwcentral.net/37763/SuperWhatWorld.zip</x:v>
      </x:c>
    </x:row>
    <x:row r="2285">
      <x:c r="A2285" t="str">
        <x:v>Super Whatever Quest!!!</x:v>
      </x:c>
      <x:c r="B2285" t="str">
        <x:v>Super Whatever Quest!!!</x:v>
      </x:c>
      <x:c r="C2285" t="str">
        <x:v>NewPointless</x:v>
      </x:c>
      <x:c r="D2285" t="n">
        <x:v>36</x:v>
      </x:c>
      <x:c r="E2285" t="str">
        <x:v>Advanced</x:v>
      </x:c>
      <x:c r="F2285" t="str">
        <x:v>Standard, Kaizo</x:v>
      </x:c>
      <x:c r="G2285" t="n">
        <x:v>45732</x:v>
      </x:c>
      <x:c r="H2285" t="str">
        <x:v>39555</x:v>
      </x:c>
      <x:c r="I2285" t="str">
        <x:v>https://www.smwcentral.net/?a=details&amp;id=39555&amp;p=section</x:v>
      </x:c>
      <x:c r="J2285" t="str">
        <x:v>https://dl.smwcentral.net/39555/SuperWhateverQuest1_1.zip</x:v>
      </x:c>
    </x:row>
    <x:row r="2286">
      <x:c r="A2286" t="str">
        <x:v>Super Wisdom Quest</x:v>
      </x:c>
      <x:c r="B2286" t="str">
        <x:v>Super Wisdom Quest</x:v>
      </x:c>
      <x:c r="C2286" t="str">
        <x:v>Tracchete</x:v>
      </x:c>
      <x:c r="D2286" t="n">
        <x:v>25</x:v>
      </x:c>
      <x:c r="E2286" t="str">
        <x:v>Intermediate</x:v>
      </x:c>
      <x:c r="F2286" t="str">
        <x:v>Standard</x:v>
      </x:c>
      <x:c r="G2286" t="n">
        <x:v>44372</x:v>
      </x:c>
      <x:c r="H2286" t="str">
        <x:v>26783</x:v>
      </x:c>
      <x:c r="I2286" t="str">
        <x:v>https://www.smwcentral.net/?a=details&amp;id=26783&amp;p=section</x:v>
      </x:c>
      <x:c r="J2286" t="str">
        <x:v>https://dl.smwcentral.net/26783/Super%20Wisdom%20Quest.zip</x:v>
      </x:c>
    </x:row>
    <x:row r="2287">
      <x:c r="A2287" t="str">
        <x:v>Super World</x:v>
      </x:c>
      <x:c r="B2287" t="str">
        <x:v>Super World</x:v>
      </x:c>
      <x:c r="C2287" t="str">
        <x:v>MMXWL</x:v>
      </x:c>
      <x:c r="D2287" t="n">
        <x:v>14</x:v>
      </x:c>
      <x:c r="E2287" t="str">
        <x:v>Advanced</x:v>
      </x:c>
      <x:c r="F2287" t="str">
        <x:v>Kaizo</x:v>
      </x:c>
      <x:c r="G2287" t="n">
        <x:v>44364</x:v>
      </x:c>
      <x:c r="H2287" t="str">
        <x:v>27303</x:v>
      </x:c>
      <x:c r="I2287" t="str">
        <x:v>https://www.smwcentral.net/?a=details&amp;id=27303&amp;p=section</x:v>
      </x:c>
      <x:c r="J2287" t="str">
        <x:v>https://dl.smwcentral.net/27303/Super_World.zip</x:v>
      </x:c>
    </x:row>
    <x:row r="2288">
      <x:c r="A2288" t="str">
        <x:v>Super Wow</x:v>
      </x:c>
      <x:c r="B2288" t="str">
        <x:v>Super Wow</x:v>
      </x:c>
      <x:c r="C2288" t="str">
        <x:v>Firstnamebutt</x:v>
      </x:c>
      <x:c r="D2288" t="n">
        <x:v>13</x:v>
      </x:c>
      <x:c r="E2288" t="str">
        <x:v>Intermediate</x:v>
      </x:c>
      <x:c r="F2288" t="str">
        <x:v>Kaizo</x:v>
      </x:c>
      <x:c r="G2288" t="n">
        <x:v>45819</x:v>
      </x:c>
      <x:c r="H2288" t="str">
        <x:v>39972</x:v>
      </x:c>
      <x:c r="I2288" t="str">
        <x:v>https://www.smwcentral.net/?a=details&amp;id=39972&amp;p=section</x:v>
      </x:c>
      <x:c r="J2288" t="str">
        <x:v>https://dl.smwcentral.net/39972/SuperWow1.1.zip</x:v>
      </x:c>
    </x:row>
    <x:row r="2289">
      <x:c r="A2289" t="str">
        <x:v>Super Xtreme World</x:v>
      </x:c>
      <x:c r="B2289" t="str">
        <x:v>Super Xtreme World</x:v>
      </x:c>
      <x:c r="C2289" t="str">
        <x:v>Infrared</x:v>
      </x:c>
      <x:c r="D2289" t="n">
        <x:v>11</x:v>
      </x:c>
      <x:c r="E2289" t="str">
        <x:v>Casual</x:v>
      </x:c>
      <x:c r="F2289" t="str">
        <x:v>Standard</x:v>
      </x:c>
      <x:c r="G2289" t="n">
        <x:v>42266</x:v>
      </x:c>
      <x:c r="H2289" t="str">
        <x:v>9995</x:v>
      </x:c>
      <x:c r="I2289" t="str">
        <x:v>https://www.smwcentral.net/?a=details&amp;id=9995&amp;p=section</x:v>
      </x:c>
      <x:c r="J2289" t="str">
        <x:v>https://dl.smwcentral.net/9995/Super%20Xtreme%20World.zip</x:v>
      </x:c>
    </x:row>
    <x:row r="2290">
      <x:c r="A2290" t="str">
        <x:v>Super Yeet World</x:v>
      </x:c>
      <x:c r="B2290" t="str">
        <x:v>Super Yeet World</x:v>
      </x:c>
      <x:c r="C2290" t="str">
        <x:v>KennyJ</x:v>
      </x:c>
      <x:c r="D2290" t="n">
        <x:v>7</x:v>
      </x:c>
      <x:c r="E2290" t="str">
        <x:v>Expert</x:v>
      </x:c>
      <x:c r="F2290" t="str">
        <x:v>Kaizo</x:v>
      </x:c>
      <x:c r="G2290" t="n">
        <x:v>44518</x:v>
      </x:c>
      <x:c r="H2290" t="str">
        <x:v>28837</x:v>
      </x:c>
      <x:c r="I2290" t="str">
        <x:v>https://www.smwcentral.net/?a=details&amp;id=28837&amp;p=section</x:v>
      </x:c>
      <x:c r="J2290" t="str">
        <x:v>https://dl.smwcentral.net/28837/Super%20Yeet%20World.zip</x:v>
      </x:c>
    </x:row>
    <x:row r="2291">
      <x:c r="A2291" t="str">
        <x:v>Super Yoshi's Land 1 – An Adventure to Rescue Mario!</x:v>
      </x:c>
      <x:c r="B2291" t="str">
        <x:v>Super Yoshi's Land 1 – An Adventure to Rescue Mario!</x:v>
      </x:c>
      <x:c r="C2291" t="str">
        <x:v>Major Flare</x:v>
      </x:c>
      <x:c r="D2291" t="n">
        <x:v>25</x:v>
      </x:c>
      <x:c r="E2291" t="str">
        <x:v>Casual</x:v>
      </x:c>
      <x:c r="F2291" t="str">
        <x:v>Standard</x:v>
      </x:c>
      <x:c r="G2291" t="n">
        <x:v>42266</x:v>
      </x:c>
      <x:c r="H2291" t="str">
        <x:v>10009</x:v>
      </x:c>
      <x:c r="I2291" t="str">
        <x:v>https://www.smwcentral.net/?a=details&amp;id=10009&amp;p=section</x:v>
      </x:c>
      <x:c r="J2291" t="str">
        <x:v>https://dl.smwcentral.net/10009/Yoshi%27s%20Land%201.zip</x:v>
      </x:c>
    </x:row>
    <x:row r="2292">
      <x:c r="A2292" t="str">
        <x:v>super you are the best</x:v>
      </x:c>
      <x:c r="B2292" t="str">
        <x:v>super you are the best</x:v>
      </x:c>
      <x:c r="C2292" t="str">
        <x:v>thejhonny-ador</x:v>
      </x:c>
      <x:c r="D2292" t="n">
        <x:v>16</x:v>
      </x:c>
      <x:c r="E2292" t="str">
        <x:v>Expert</x:v>
      </x:c>
      <x:c r="F2292" t="str">
        <x:v>Kaizo</x:v>
      </x:c>
      <x:c r="G2292" t="n">
        <x:v>43750</x:v>
      </x:c>
      <x:c r="H2292" t="str">
        <x:v>21303</x:v>
      </x:c>
      <x:c r="I2292" t="str">
        <x:v>https://www.smwcentral.net/?a=details&amp;id=21303&amp;p=section</x:v>
      </x:c>
      <x:c r="J2292" t="str">
        <x:v>https://dl.smwcentral.net/21303/SYATB.zip</x:v>
      </x:c>
    </x:row>
    <x:row r="2293">
      <x:c r="A2293" t="str">
        <x:v>Super Zoulzi World</x:v>
      </x:c>
      <x:c r="B2293" t="str">
        <x:v>Super Zoulzi World</x:v>
      </x:c>
      <x:c r="C2293" t="str">
        <x:v>Dreekius</x:v>
      </x:c>
      <x:c r="D2293" t="n">
        <x:v>3</x:v>
      </x:c>
      <x:c r="E2293" t="str">
        <x:v>Advanced</x:v>
      </x:c>
      <x:c r="F2293" t="str">
        <x:v>Kaizo</x:v>
      </x:c>
      <x:c r="G2293" t="n">
        <x:v>43917</x:v>
      </x:c>
      <x:c r="H2293" t="str">
        <x:v>22479</x:v>
      </x:c>
      <x:c r="I2293" t="str">
        <x:v>https://www.smwcentral.net/?a=details&amp;id=22479&amp;p=section</x:v>
      </x:c>
      <x:c r="J2293" t="str">
        <x:v>https://dl.smwcentral.net/22479/SuperZoulziWorld.zip</x:v>
      </x:c>
    </x:row>
    <x:row r="2294">
      <x:c r="A2294" t="str">
        <x:v>Super “Dark” World</x:v>
      </x:c>
      <x:c r="B2294" t="str">
        <x:v>Super “Dark” World</x:v>
      </x:c>
      <x:c r="C2294" t="str">
        <x:v>Deoxys594</x:v>
      </x:c>
      <x:c r="D2294" t="n">
        <x:v>6</x:v>
      </x:c>
      <x:c r="E2294" t="str">
        <x:v>Casual</x:v>
      </x:c>
      <x:c r="F2294" t="str">
        <x:v>Standard</x:v>
      </x:c>
      <x:c r="G2294" t="n">
        <x:v>42265</x:v>
      </x:c>
      <x:c r="H2294" t="str">
        <x:v>10020</x:v>
      </x:c>
      <x:c r="I2294" t="str">
        <x:v>https://www.smwcentral.net/?a=details&amp;id=10020&amp;p=section</x:v>
      </x:c>
      <x:c r="J2294" t="str">
        <x:v>https://dl.smwcentral.net/10020/super%20dark%20world%20%281st%20demo%29.zip</x:v>
      </x:c>
    </x:row>
    <x:row r="2295">
      <x:c r="A2295" t="str">
        <x:v>Supercontinent World</x:v>
      </x:c>
      <x:c r="B2295" t="str">
        <x:v>Supercontinent World</x:v>
      </x:c>
      <x:c r="C2295" t="str">
        <x:v>Morsel</x:v>
      </x:c>
      <x:c r="D2295" t="n">
        <x:v>12</x:v>
      </x:c>
      <x:c r="E2295" t="str">
        <x:v>Master</x:v>
      </x:c>
      <x:c r="F2295" t="str">
        <x:v>Kaizo</x:v>
      </x:c>
      <x:c r="G2295" t="n">
        <x:v>43843</x:v>
      </x:c>
      <x:c r="H2295" t="str">
        <x:v>21910</x:v>
      </x:c>
      <x:c r="I2295" t="str">
        <x:v>https://www.smwcentral.net/?a=details&amp;id=21910&amp;p=section</x:v>
      </x:c>
      <x:c r="J2295" t="str">
        <x:v>https://dl.smwcentral.net/21910/supercontinent1.1.zip</x:v>
      </x:c>
    </x:row>
    <x:row r="2296">
      <x:c r="A2296" t="str">
        <x:v>SuperKazuWorld</x:v>
      </x:c>
      <x:c r="B2296" t="str">
        <x:v>SuperKazuWorld</x:v>
      </x:c>
      <x:c r="C2296" t="str">
        <x:v>Wieus96</x:v>
      </x:c>
      <x:c r="D2296" t="n">
        <x:v>9</x:v>
      </x:c>
      <x:c r="E2296" t="str">
        <x:v>Expert</x:v>
      </x:c>
      <x:c r="F2296" t="str">
        <x:v>Kaizo</x:v>
      </x:c>
      <x:c r="G2296" t="n">
        <x:v>42959</x:v>
      </x:c>
      <x:c r="H2296" t="str">
        <x:v>16029</x:v>
      </x:c>
      <x:c r="I2296" t="str">
        <x:v>https://www.smwcentral.net/?a=details&amp;id=16029&amp;p=section</x:v>
      </x:c>
      <x:c r="J2296" t="str">
        <x:v>https://dl.smwcentral.net/16029/SuperKazuWorld%20V1.3.zip</x:v>
      </x:c>
    </x:row>
    <x:row r="2297">
      <x:c r="A2297" t="str">
        <x:v>supernaydropzsmm2</x:v>
      </x:c>
      <x:c r="B2297" t="str">
        <x:v>supernaydropzsmm2</x:v>
      </x:c>
      <x:c r="C2297" t="str">
        <x:v>MiamidropzSMM2</x:v>
      </x:c>
      <x:c r="D2297" t="n">
        <x:v>15</x:v>
      </x:c>
      <x:c r="E2297" t="str">
        <x:v>Intermediate</x:v>
      </x:c>
      <x:c r="F2297" t="str">
        <x:v>Kaizo</x:v>
      </x:c>
      <x:c r="G2297" t="n">
        <x:v>45815</x:v>
      </x:c>
      <x:c r="H2297" t="str">
        <x:v>39957</x:v>
      </x:c>
      <x:c r="I2297" t="str">
        <x:v>https://www.smwcentral.net/?a=details&amp;id=39957&amp;p=section</x:v>
      </x:c>
      <x:c r="J2297" t="str">
        <x:v>https://dl.smwcentral.net/39957/supernaydropzsmm2.zip</x:v>
      </x:c>
    </x:row>
    <x:row r="2298">
      <x:c r="A2298" t="str">
        <x:v>Superstar Mario World</x:v>
      </x:c>
      <x:c r="B2298" t="str">
        <x:v>Superstar Mario World</x:v>
      </x:c>
      <x:c r="C2298" t="str">
        <x:v>Stivi</x:v>
      </x:c>
      <x:c r="D2298" t="n">
        <x:v>63</x:v>
      </x:c>
      <x:c r="E2298" t="str">
        <x:v>Intermediate</x:v>
      </x:c>
      <x:c r="F2298" t="str">
        <x:v>Standard</x:v>
      </x:c>
      <x:c r="G2298" t="n">
        <x:v>43576</x:v>
      </x:c>
      <x:c r="H2298" t="str">
        <x:v>19369</x:v>
      </x:c>
      <x:c r="I2298" t="str">
        <x:v>https://www.smwcentral.net/?a=details&amp;id=19369&amp;p=section</x:v>
      </x:c>
      <x:c r="J2298" t="str">
        <x:v>https://dl.smwcentral.net/19369/Superstar%20Mario%20World%201.5.zip</x:v>
      </x:c>
    </x:row>
    <x:row r="2299">
      <x:c r="A2299" t="str">
        <x:v>Survivor</x:v>
      </x:c>
      <x:c r="B2299" t="str">
        <x:v>Survivor</x:v>
      </x:c>
      <x:c r="C2299" t="str">
        <x:v>Dan2point5</x:v>
      </x:c>
      <x:c r="D2299" t="n">
        <x:v>1</x:v>
      </x:c>
      <x:c r="E2299" t="str">
        <x:v>Advanced</x:v>
      </x:c>
      <x:c r="F2299" t="str">
        <x:v>Kaizo</x:v>
      </x:c>
      <x:c r="G2299" t="n">
        <x:v>44832</x:v>
      </x:c>
      <x:c r="H2299" t="str">
        <x:v>32222</x:v>
      </x:c>
      <x:c r="I2299" t="str">
        <x:v>https://www.smwcentral.net/?a=details&amp;id=32222&amp;p=section</x:v>
      </x:c>
      <x:c r="J2299" t="str">
        <x:v>https://dl.smwcentral.net/32222/Survivor.zip</x:v>
      </x:c>
    </x:row>
    <x:row r="2300">
      <x:c r="A2300" t="str">
        <x:v>Suupaa Mario-sama Seken</x:v>
      </x:c>
      <x:c r="B2300" t="str">
        <x:v>Suupaa Mario-sama Seken</x:v>
      </x:c>
      <x:c r="C2300" t="str">
        <x:v>Ashura</x:v>
      </x:c>
      <x:c r="D2300" t="n">
        <x:v>6</x:v>
      </x:c>
      <x:c r="E2300" t="str">
        <x:v>Casual</x:v>
      </x:c>
      <x:c r="F2300" t="str">
        <x:v>Standard</x:v>
      </x:c>
      <x:c r="G2300" t="n">
        <x:v>42220</x:v>
      </x:c>
      <x:c r="H2300" t="str">
        <x:v>9829</x:v>
      </x:c>
      <x:c r="I2300" t="str">
        <x:v>https://www.smwcentral.net/?a=details&amp;id=9829&amp;p=section</x:v>
      </x:c>
      <x:c r="J2300" t="str">
        <x:v>https://dl.smwcentral.net/9829/SMWJ%28H%29.zip</x:v>
      </x:c>
    </x:row>
    <x:row r="2301">
      <x:c r="A2301" t="str">
        <x:v>SV Bounce World</x:v>
      </x:c>
      <x:c r="B2301" t="str">
        <x:v>SV Bounce World</x:v>
      </x:c>
      <x:c r="C2301" t="str">
        <x:v>RenanSV, arantes</x:v>
      </x:c>
      <x:c r="D2301" t="n">
        <x:v>15</x:v>
      </x:c>
      <x:c r="E2301" t="str">
        <x:v>Master</x:v>
      </x:c>
      <x:c r="F2301" t="str">
        <x:v>Kaizo</x:v>
      </x:c>
      <x:c r="G2301" t="n">
        <x:v>44607</x:v>
      </x:c>
      <x:c r="H2301" t="str">
        <x:v>29722</x:v>
      </x:c>
      <x:c r="I2301" t="str">
        <x:v>https://www.smwcentral.net/?a=details&amp;id=29722&amp;p=section</x:v>
      </x:c>
      <x:c r="J2301" t="str">
        <x:v>https://dl.smwcentral.net/29722/Renan%20SV%20Games%20atual.zip</x:v>
      </x:c>
    </x:row>
    <x:row r="2302">
      <x:c r="A2302" t="str">
        <x:v>SV Bounce World 2</x:v>
      </x:c>
      <x:c r="B2302" t="str">
        <x:v>SV Bounce World 2</x:v>
      </x:c>
      <x:c r="C2302" t="str">
        <x:v>RenanSV</x:v>
      </x:c>
      <x:c r="D2302" t="n">
        <x:v>10</x:v>
      </x:c>
      <x:c r="E2302" t="str">
        <x:v>Master</x:v>
      </x:c>
      <x:c r="F2302" t="str">
        <x:v>Kaizo</x:v>
      </x:c>
      <x:c r="G2302" t="n">
        <x:v>44772</x:v>
      </x:c>
      <x:c r="H2302" t="str">
        <x:v>31469</x:v>
      </x:c>
      <x:c r="I2302" t="str">
        <x:v>https://www.smwcentral.net/?a=details&amp;id=31469&amp;p=section</x:v>
      </x:c>
      <x:c r="J2302" t="str">
        <x:v>https://dl.smwcentral.net/31469/SV%20Bounce%20World%202.zip</x:v>
      </x:c>
    </x:row>
    <x:row r="2303">
      <x:c r="A2303" t="str">
        <x:v>SV Practice World</x:v>
      </x:c>
      <x:c r="B2303" t="str">
        <x:v>SV Practice World</x:v>
      </x:c>
      <x:c r="C2303" t="str">
        <x:v>RenanSV</x:v>
      </x:c>
      <x:c r="D2303" t="n">
        <x:v>13</x:v>
      </x:c>
      <x:c r="E2303" t="str">
        <x:v>Intermediate</x:v>
      </x:c>
      <x:c r="F2303" t="str">
        <x:v>Kaizo</x:v>
      </x:c>
      <x:c r="G2303" t="n">
        <x:v>44644</x:v>
      </x:c>
      <x:c r="H2303" t="str">
        <x:v>30221</x:v>
      </x:c>
      <x:c r="I2303" t="str">
        <x:v>https://www.smwcentral.net/?a=details&amp;id=30221&amp;p=section</x:v>
      </x:c>
      <x:c r="J2303" t="str">
        <x:v>https://dl.smwcentral.net/30221/SV%20Practice%20World.zip</x:v>
      </x:c>
    </x:row>
    <x:row r="2304">
      <x:c r="A2304" t="str">
        <x:v>SV State World</x:v>
      </x:c>
      <x:c r="B2304" t="str">
        <x:v>SV State World</x:v>
      </x:c>
      <x:c r="C2304" t="str">
        <x:v>RenanSV</x:v>
      </x:c>
      <x:c r="D2304" t="n">
        <x:v>13</x:v>
      </x:c>
      <x:c r="E2304" t="str">
        <x:v>Expert</x:v>
      </x:c>
      <x:c r="F2304" t="str">
        <x:v>Kaizo</x:v>
      </x:c>
      <x:c r="G2304" t="n">
        <x:v>44707</x:v>
      </x:c>
      <x:c r="H2304" t="str">
        <x:v>30971</x:v>
      </x:c>
      <x:c r="I2304" t="str">
        <x:v>https://www.smwcentral.net/?a=details&amp;id=30971&amp;p=section</x:v>
      </x:c>
      <x:c r="J2304" t="str">
        <x:v>https://dl.smwcentral.net/30971/SV%20State%20World.zip</x:v>
      </x:c>
    </x:row>
    <x:row r="2305">
      <x:c r="A2305" t="str">
        <x:v>Sweet Dream Agnes</x:v>
      </x:c>
      <x:c r="B2305" t="str">
        <x:v>Sweet Dream Agnes</x:v>
      </x:c>
      <x:c r="C2305" t="str">
        <x:v>elsaiz117</x:v>
      </x:c>
      <x:c r="D2305" t="n">
        <x:v>14</x:v>
      </x:c>
      <x:c r="E2305" t="str">
        <x:v>Expert</x:v>
      </x:c>
      <x:c r="F2305" t="str">
        <x:v>Kaizo</x:v>
      </x:c>
      <x:c r="G2305" t="n">
        <x:v>45071</x:v>
      </x:c>
      <x:c r="H2305" t="str">
        <x:v>33999</x:v>
      </x:c>
      <x:c r="I2305" t="str">
        <x:v>https://www.smwcentral.net/?a=details&amp;id=33999&amp;p=section</x:v>
      </x:c>
      <x:c r="J2305" t="str">
        <x:v>https://dl.smwcentral.net/33999/Sweet%20Dream%20Agnes%20v1.0.zip</x:v>
      </x:c>
    </x:row>
    <x:row r="2306">
      <x:c r="A2306" t="str">
        <x:v>Sweet n' Sour</x:v>
      </x:c>
      <x:c r="B2306" t="str">
        <x:v>Sweet n' Sour</x:v>
      </x:c>
      <x:c r="C2306" t="str">
        <x:v>Lush_50, bsolt</x:v>
      </x:c>
      <x:c r="D2306" t="n">
        <x:v>27</x:v>
      </x:c>
      <x:c r="E2306" t="str">
        <x:v>Expert</x:v>
      </x:c>
      <x:c r="F2306" t="str">
        <x:v>Kaizo</x:v>
      </x:c>
      <x:c r="G2306" t="n">
        <x:v>44085</x:v>
      </x:c>
      <x:c r="H2306" t="str">
        <x:v>24498</x:v>
      </x:c>
      <x:c r="I2306" t="str">
        <x:v>https://www.smwcentral.net/?a=details&amp;id=24498&amp;p=section</x:v>
      </x:c>
      <x:c r="J2306" t="str">
        <x:v>https://dl.smwcentral.net/24498/Sweet%20n%27%20Sour%20v1.1.zip</x:v>
      </x:c>
    </x:row>
    <x:row r="2307">
      <x:c r="A2307" t="str">
        <x:v>Sweet Shell</x:v>
      </x:c>
      <x:c r="B2307" t="str">
        <x:v>Sweet Shell</x:v>
      </x:c>
      <x:c r="C2307" t="str">
        <x:v>Firstnamebutt</x:v>
      </x:c>
      <x:c r="D2307" t="n">
        <x:v>13</x:v>
      </x:c>
      <x:c r="E2307" t="str">
        <x:v>Intermediate</x:v>
      </x:c>
      <x:c r="F2307" t="str">
        <x:v>Kaizo</x:v>
      </x:c>
      <x:c r="G2307" t="n">
        <x:v>45405</x:v>
      </x:c>
      <x:c r="H2307" t="str">
        <x:v>37677</x:v>
      </x:c>
      <x:c r="I2307" t="str">
        <x:v>https://www.smwcentral.net/?a=details&amp;id=37677&amp;p=section</x:v>
      </x:c>
      <x:c r="J2307" t="str">
        <x:v>https://dl.smwcentral.net/37677/SweetShell.zip</x:v>
      </x:c>
    </x:row>
    <x:row r="2308">
      <x:c r="A2308" t="str">
        <x:v>Sweet World</x:v>
      </x:c>
      <x:c r="B2308" t="str">
        <x:v>Sweet World</x:v>
      </x:c>
      <x:c r="C2308" t="str">
        <x:v>Firstnamebutt</x:v>
      </x:c>
      <x:c r="D2308" t="n">
        <x:v>12</x:v>
      </x:c>
      <x:c r="E2308" t="str">
        <x:v>Intermediate</x:v>
      </x:c>
      <x:c r="F2308" t="str">
        <x:v>Kaizo</x:v>
      </x:c>
      <x:c r="G2308" t="n">
        <x:v>45211</x:v>
      </x:c>
      <x:c r="H2308" t="str">
        <x:v>35215</x:v>
      </x:c>
      <x:c r="I2308" t="str">
        <x:v>https://www.smwcentral.net/?a=details&amp;id=35215&amp;p=section</x:v>
      </x:c>
      <x:c r="J2308" t="str">
        <x:v>https://dl.smwcentral.net/35215/SweetWorld.zip</x:v>
      </x:c>
    </x:row>
    <x:row r="2309">
      <x:c r="A2309" t="str">
        <x:v>Swiftly 17</x:v>
      </x:c>
      <x:c r="B2309" t="str">
        <x:v>Swiftly 17</x:v>
      </x:c>
      <x:c r="C2309" t="str">
        <x:v>Lee12UK</x:v>
      </x:c>
      <x:c r="D2309" t="n">
        <x:v>17</x:v>
      </x:c>
      <x:c r="E2309" t="str">
        <x:v>Advanced</x:v>
      </x:c>
      <x:c r="F2309" t="str">
        <x:v>Kaizo</x:v>
      </x:c>
      <x:c r="G2309" t="n">
        <x:v>45014</x:v>
      </x:c>
      <x:c r="H2309" t="str">
        <x:v>33640</x:v>
      </x:c>
      <x:c r="I2309" t="str">
        <x:v>https://www.smwcentral.net/?a=details&amp;id=33640&amp;p=section</x:v>
      </x:c>
      <x:c r="J2309" t="str">
        <x:v>https://dl.smwcentral.net/33640/Swiftly17.zip</x:v>
      </x:c>
    </x:row>
    <x:row r="2310">
      <x:c r="A2310" t="str">
        <x:v>T3rminus: Journey´s End</x:v>
      </x:c>
      <x:c r="B2310" t="str">
        <x:v>T3rminus: Journey´s End</x:v>
      </x:c>
      <x:c r="C2310" t="str">
        <x:v>Kr00mmi</x:v>
      </x:c>
      <x:c r="D2310" t="n">
        <x:v>9</x:v>
      </x:c>
      <x:c r="E2310" t="str">
        <x:v>Expert</x:v>
      </x:c>
      <x:c r="F2310" t="str">
        <x:v>Kaizo</x:v>
      </x:c>
      <x:c r="G2310" t="n">
        <x:v>43818</x:v>
      </x:c>
      <x:c r="H2310" t="str">
        <x:v>21634</x:v>
      </x:c>
      <x:c r="I2310" t="str">
        <x:v>https://www.smwcentral.net/?a=details&amp;id=21634&amp;p=section</x:v>
      </x:c>
      <x:c r="J2310" t="str">
        <x:v>https://dl.smwcentral.net/21634/T3rminus%20Journey%C2%B4s%20End.zip</x:v>
      </x:c>
    </x:row>
    <x:row r="2311">
      <x:c r="A2311" t="str">
        <x:v>Tajna and the Mana Seeds</x:v>
      </x:c>
      <x:c r="B2311" t="str">
        <x:v>Tajna and the Mana Seeds</x:v>
      </x:c>
      <x:c r="C2311" t="str">
        <x:v>Tob</x:v>
      </x:c>
      <x:c r="D2311" t="n">
        <x:v>6</x:v>
      </x:c>
      <x:c r="E2311" t="str">
        <x:v>Casual</x:v>
      </x:c>
      <x:c r="F2311" t="str">
        <x:v>Standard</x:v>
      </x:c>
      <x:c r="G2311" t="n">
        <x:v>45931</x:v>
      </x:c>
      <x:c r="H2311" t="str">
        <x:v>40708</x:v>
      </x:c>
      <x:c r="I2311" t="str">
        <x:v>https://www.smwcentral.net/?a=details&amp;id=40708&amp;p=section</x:v>
      </x:c>
      <x:c r="J2311" t="str">
        <x:v>https://dl.smwcentral.net/40708/tajna1.31.zip</x:v>
      </x:c>
    </x:row>
    <x:row r="2312">
      <x:c r="A2312" t="str">
        <x:v>Take It Easy World</x:v>
      </x:c>
      <x:c r="B2312" t="str">
        <x:v>Take It Easy World</x:v>
      </x:c>
      <x:c r="C2312" t="str">
        <x:v>frx</x:v>
      </x:c>
      <x:c r="D2312" t="n">
        <x:v>17</x:v>
      </x:c>
      <x:c r="E2312" t="str">
        <x:v>Advanced</x:v>
      </x:c>
      <x:c r="F2312" t="str">
        <x:v>Kaizo</x:v>
      </x:c>
      <x:c r="G2312" t="n">
        <x:v>44001</x:v>
      </x:c>
      <x:c r="H2312" t="str">
        <x:v>23272</x:v>
      </x:c>
      <x:c r="I2312" t="str">
        <x:v>https://www.smwcentral.net/?a=details&amp;id=23272&amp;p=section</x:v>
      </x:c>
      <x:c r="J2312" t="str">
        <x:v>https://dl.smwcentral.net/23272/take_it_easy_1.2.zip</x:v>
      </x:c>
    </x:row>
    <x:row r="2313">
      <x:c r="A2313" t="str">
        <x:v>Takemoto Inspired</x:v>
      </x:c>
      <x:c r="B2313" t="str">
        <x:v>Takemoto Inspired</x:v>
      </x:c>
      <x:c r="C2313" t="str">
        <x:v>Desert</x:v>
      </x:c>
      <x:c r="D2313" t="n">
        <x:v>2</x:v>
      </x:c>
      <x:c r="E2313" t="str">
        <x:v>Advanced</x:v>
      </x:c>
      <x:c r="F2313" t="str">
        <x:v>Kaizo</x:v>
      </x:c>
      <x:c r="G2313" t="n">
        <x:v>45279</x:v>
      </x:c>
      <x:c r="H2313" t="str">
        <x:v>35716</x:v>
      </x:c>
      <x:c r="I2313" t="str">
        <x:v>https://www.smwcentral.net/?a=details&amp;id=35716&amp;p=section</x:v>
      </x:c>
      <x:c r="J2313" t="str">
        <x:v>https://dl.smwcentral.net/35716/Takemoto_Inspired.zip</x:v>
      </x:c>
    </x:row>
    <x:row r="2314">
      <x:c r="A2314" t="str">
        <x:v>Takeshi Yumping Simulator</x:v>
      </x:c>
      <x:c r="B2314" t="str">
        <x:v>Takeshi Yumping Simulator</x:v>
      </x:c>
      <x:c r="C2314" t="str">
        <x:v>Hwailaluta</x:v>
      </x:c>
      <x:c r="D2314" t="n">
        <x:v>1</x:v>
      </x:c>
      <x:c r="E2314" t="str">
        <x:v>Master</x:v>
      </x:c>
      <x:c r="F2314" t="str">
        <x:v>Kaizo</x:v>
      </x:c>
      <x:c r="G2314" t="n">
        <x:v>44447</x:v>
      </x:c>
      <x:c r="H2314" t="str">
        <x:v>28222</x:v>
      </x:c>
      <x:c r="I2314" t="str">
        <x:v>https://www.smwcentral.net/?a=details&amp;id=28222&amp;p=section</x:v>
      </x:c>
      <x:c r="J2314" t="str">
        <x:v>https://dl.smwcentral.net/28222/TakeshiYumpingSimulator.zip</x:v>
      </x:c>
    </x:row>
    <x:row r="2315">
      <x:c r="A2315" t="str">
        <x:v>Tales of Nean</x:v>
      </x:c>
      <x:c r="B2315" t="str">
        <x:v>Tales of Nean</x:v>
      </x:c>
      <x:c r="C2315" t="str">
        <x:v>Senjan</x:v>
      </x:c>
      <x:c r="D2315" t="n">
        <x:v>24</x:v>
      </x:c>
      <x:c r="E2315" t="str">
        <x:v>Casual</x:v>
      </x:c>
      <x:c r="F2315" t="str">
        <x:v>Standard</x:v>
      </x:c>
      <x:c r="G2315" t="n">
        <x:v>42310</x:v>
      </x:c>
      <x:c r="H2315" t="str">
        <x:v>10163</x:v>
      </x:c>
      <x:c r="I2315" t="str">
        <x:v>https://www.smwcentral.net/?a=details&amp;id=10163&amp;p=section</x:v>
      </x:c>
      <x:c r="J2315" t="str">
        <x:v>https://dl.smwcentral.net/10163/Tales%20of%20Nean.zip</x:v>
      </x:c>
    </x:row>
    <x:row r="2316">
      <x:c r="A2316" t="str">
        <x:v>TaleSpin</x:v>
      </x:c>
      <x:c r="B2316" t="str">
        <x:v>TaleSpin</x:v>
      </x:c>
      <x:c r="C2316" t="str">
        <x:v>uriel2k3</x:v>
      </x:c>
      <x:c r="D2316" t="n">
        <x:v>11</x:v>
      </x:c>
      <x:c r="E2316" t="str">
        <x:v>Grandmaster</x:v>
      </x:c>
      <x:c r="F2316" t="str">
        <x:v>Kaizo</x:v>
      </x:c>
      <x:c r="G2316" t="n">
        <x:v>46086</x:v>
      </x:c>
      <x:c r="H2316" t="str">
        <x:v>41830</x:v>
      </x:c>
      <x:c r="I2316" t="str">
        <x:v>https://www.smwcentral.net/?a=details&amp;id=41830&amp;p=section</x:v>
      </x:c>
      <x:c r="J2316" t="str">
        <x:v>https://dl.smwcentral.net/41830/TaleSpin.zip</x:v>
      </x:c>
    </x:row>
    <x:row r="2317">
      <x:c r="A2317" t="str">
        <x:v>Talikuu Quest</x:v>
      </x:c>
      <x:c r="B2317" t="str">
        <x:v>Talikuu Quest</x:v>
      </x:c>
      <x:c r="C2317" t="str">
        <x:v>Zerio</x:v>
      </x:c>
      <x:c r="D2317" t="n">
        <x:v>14</x:v>
      </x:c>
      <x:c r="E2317" t="str">
        <x:v>Newcomer</x:v>
      </x:c>
      <x:c r="F2317" t="str">
        <x:v>Standard</x:v>
      </x:c>
      <x:c r="G2317" t="n">
        <x:v>42294</x:v>
      </x:c>
      <x:c r="H2317" t="str">
        <x:v>10090</x:v>
      </x:c>
      <x:c r="I2317" t="str">
        <x:v>https://www.smwcentral.net/?a=details&amp;id=10090&amp;p=section</x:v>
      </x:c>
      <x:c r="J2317" t="str">
        <x:v>https://dl.smwcentral.net/10090/Talikuu%20Quest%20C3%20Demo.zip</x:v>
      </x:c>
    </x:row>
    <x:row r="2318">
      <x:c r="A2318" t="str">
        <x:v>Tangle's Trip</x:v>
      </x:c>
      <x:c r="B2318" t="str">
        <x:v>Tangle's Trip</x:v>
      </x:c>
      <x:c r="C2318" t="str">
        <x:v>sholmes</x:v>
      </x:c>
      <x:c r="D2318" t="n">
        <x:v>11</x:v>
      </x:c>
      <x:c r="E2318" t="str">
        <x:v>Advanced</x:v>
      </x:c>
      <x:c r="F2318" t="str">
        <x:v>Standard</x:v>
      </x:c>
      <x:c r="G2318" t="n">
        <x:v>46112</x:v>
      </x:c>
      <x:c r="H2318" t="str">
        <x:v>41987</x:v>
      </x:c>
      <x:c r="I2318" t="str">
        <x:v>https://www.smwcentral.net/?a=details&amp;id=41987&amp;p=section</x:v>
      </x:c>
      <x:c r="J2318" t="str">
        <x:v>https://dl.smwcentral.net/41987/Tangle%27s%20Trip%20Update.zip</x:v>
      </x:c>
    </x:row>
    <x:row r="2319">
      <x:c r="A2319" t="str">
        <x:v>Tartastrophe: a very sticky hack</x:v>
      </x:c>
      <x:c r="B2319" t="str">
        <x:v>Tartastrophe: a very sticky hack</x:v>
      </x:c>
      <x:c r="C2319" t="str">
        <x:v>GRIMMKIN</x:v>
      </x:c>
      <x:c r="D2319" t="n">
        <x:v>1</x:v>
      </x:c>
      <x:c r="E2319" t="str">
        <x:v>Grandmaster</x:v>
      </x:c>
      <x:c r="F2319" t="str">
        <x:v>Kaizo</x:v>
      </x:c>
      <x:c r="G2319" t="n">
        <x:v>44376</x:v>
      </x:c>
      <x:c r="H2319" t="str">
        <x:v>27304</x:v>
      </x:c>
      <x:c r="I2319" t="str">
        <x:v>https://www.smwcentral.net/?a=details&amp;id=27304&amp;p=section</x:v>
      </x:c>
      <x:c r="J2319" t="str">
        <x:v>https://dl.smwcentral.net/27304/Tartastrophe.zip</x:v>
      </x:c>
    </x:row>
    <x:row r="2320">
      <x:c r="A2320" t="str">
        <x:v>Tatsujin Mario part 1</x:v>
      </x:c>
      <x:c r="B2320" t="str">
        <x:v>Tatsujin Mario part 1</x:v>
      </x:c>
      <x:c r="C2320" t="str">
        <x:v>abc_ore</x:v>
      </x:c>
      <x:c r="D2320" t="n">
        <x:v>89</x:v>
      </x:c>
      <x:c r="E2320" t="str">
        <x:v>Grandmaster</x:v>
      </x:c>
      <x:c r="F2320" t="str">
        <x:v>Kaizo</x:v>
      </x:c>
      <x:c r="G2320" t="n">
        <x:v>42788</x:v>
      </x:c>
      <x:c r="H2320" t="str">
        <x:v>15147</x:v>
      </x:c>
      <x:c r="I2320" t="str">
        <x:v>https://www.smwcentral.net/?a=details&amp;id=15147&amp;p=section</x:v>
      </x:c>
      <x:c r="J2320" t="str">
        <x:v>https://dl.smwcentral.net/15147/Tatsujin%20Mario%20part%201.zip</x:v>
      </x:c>
    </x:row>
    <x:row r="2321">
      <x:c r="A2321" t="str">
        <x:v>Tatsujin Mario part 2</x:v>
      </x:c>
      <x:c r="B2321" t="str">
        <x:v>Tatsujin Mario part 2</x:v>
      </x:c>
      <x:c r="C2321" t="str">
        <x:v>abc_ore</x:v>
      </x:c>
      <x:c r="D2321" t="n">
        <x:v>89</x:v>
      </x:c>
      <x:c r="E2321" t="str">
        <x:v>Grandmaster</x:v>
      </x:c>
      <x:c r="F2321" t="str">
        <x:v>Kaizo</x:v>
      </x:c>
      <x:c r="G2321" t="n">
        <x:v>44946</x:v>
      </x:c>
      <x:c r="H2321" t="str">
        <x:v>32910</x:v>
      </x:c>
      <x:c r="I2321" t="str">
        <x:v>https://www.smwcentral.net/?a=details&amp;id=32910&amp;p=section</x:v>
      </x:c>
      <x:c r="J2321" t="str">
        <x:v>https://dl.smwcentral.net/32910/Tatsujin%20Mario%20part%202%20v13.zip</x:v>
      </x:c>
    </x:row>
    <x:row r="2322">
      <x:c r="A2322" t="str">
        <x:v>TDC Shells Edition</x:v>
      </x:c>
      <x:c r="B2322" t="str">
        <x:v>TDC Shells Edition</x:v>
      </x:c>
      <x:c r="C2322" t="str">
        <x:v>Deivid Borba</x:v>
      </x:c>
      <x:c r="D2322" t="n">
        <x:v>0</x:v>
      </x:c>
      <x:c r="E2322" t="str">
        <x:v>Advanced</x:v>
      </x:c>
      <x:c r="F2322" t="str">
        <x:v>Kaizo</x:v>
      </x:c>
      <x:c r="G2322" t="n">
        <x:v>44309</x:v>
      </x:c>
      <x:c r="H2322" t="str">
        <x:v>26826</x:v>
      </x:c>
      <x:c r="I2322" t="str">
        <x:v>https://www.smwcentral.net/?a=details&amp;id=26826&amp;p=section</x:v>
      </x:c>
      <x:c r="J2322" t="str">
        <x:v>https://dl.smwcentral.net/26826/TDCShellsEdition.zip</x:v>
      </x:c>
    </x:row>
    <x:row r="2323">
      <x:c r="A2323" t="str">
        <x:v>te's Exo</x:v>
      </x:c>
      <x:c r="B2323" t="str">
        <x:v>te's Exo</x:v>
      </x:c>
      <x:c r="C2323" t="str">
        <x:v>Daizo Dee Von, EvilGuy0613</x:v>
      </x:c>
      <x:c r="D2323" t="n">
        <x:v>0</x:v>
      </x:c>
      <x:c r="E2323" t="str">
        <x:v>Intermediate</x:v>
      </x:c>
      <x:c r="F2323" t="str">
        <x:v>Standard</x:v>
      </x:c>
      <x:c r="G2323" t="n">
        <x:v>45762</x:v>
      </x:c>
      <x:c r="H2323" t="str">
        <x:v>39548</x:v>
      </x:c>
      <x:c r="I2323" t="str">
        <x:v>https://www.smwcentral.net/?a=details&amp;id=39548&amp;p=section</x:v>
      </x:c>
      <x:c r="J2323" t="str">
        <x:v>https://dl.smwcentral.net/39548/%5BHack%5D%20TE%27S%20EXO%20%28v1.01%29.zip</x:v>
      </x:c>
    </x:row>
    <x:row r="2324">
      <x:c r="A2324" t="str">
        <x:v>Teamwork Mario</x:v>
      </x:c>
      <x:c r="B2324" t="str">
        <x:v>Teamwork Mario</x:v>
      </x:c>
      <x:c r="C2324" t="str">
        <x:v>Sammmoo</x:v>
      </x:c>
      <x:c r="D2324" t="n">
        <x:v>8</x:v>
      </x:c>
      <x:c r="E2324" t="str">
        <x:v>Expert</x:v>
      </x:c>
      <x:c r="F2324" t="str">
        <x:v>Kaizo</x:v>
      </x:c>
      <x:c r="G2324" t="n">
        <x:v>45244</x:v>
      </x:c>
      <x:c r="H2324" t="str">
        <x:v>35502</x:v>
      </x:c>
      <x:c r="I2324" t="str">
        <x:v>https://www.smwcentral.net/?a=details&amp;id=35502&amp;p=section</x:v>
      </x:c>
      <x:c r="J2324" t="str">
        <x:v>https://dl.smwcentral.net/35502/Teamwork%20Mario.zip</x:v>
      </x:c>
    </x:row>
    <x:row r="2325">
      <x:c r="A2325" t="str">
        <x:v>Tears Joy and Happiness v1.1</x:v>
      </x:c>
      <x:c r="B2325" t="str">
        <x:v>Tears Joy and Happiness v1.1</x:v>
      </x:c>
      <x:c r="C2325" t="str">
        <x:v>Jukeboxi_</x:v>
      </x:c>
      <x:c r="D2325" t="n">
        <x:v>21</x:v>
      </x:c>
      <x:c r="E2325" t="str">
        <x:v>Master</x:v>
      </x:c>
      <x:c r="F2325" t="str">
        <x:v>Kaizo</x:v>
      </x:c>
      <x:c r="G2325" t="n">
        <x:v>46215</x:v>
      </x:c>
      <x:c r="H2325" t="str">
        <x:v>42509</x:v>
      </x:c>
      <x:c r="I2325" t="str">
        <x:v>https://www.smwcentral.net/?a=details&amp;id=42509&amp;p=section</x:v>
      </x:c>
      <x:c r="J2325" t="str">
        <x:v>https://dl.smwcentral.net/42509/tearsjoyandhappiness.zip</x:v>
      </x:c>
    </x:row>
    <x:row r="2326">
      <x:c r="A2326" t="str">
        <x:v>Tebeo</x:v>
      </x:c>
      <x:c r="B2326" t="str">
        <x:v>Tebeo</x:v>
      </x:c>
      <x:c r="C2326" t="str">
        <x:v>Nirv</x:v>
      </x:c>
      <x:c r="D2326" t="n">
        <x:v>24</x:v>
      </x:c>
      <x:c r="E2326" t="str">
        <x:v>Expert</x:v>
      </x:c>
      <x:c r="F2326" t="str">
        <x:v>Kaizo</x:v>
      </x:c>
      <x:c r="G2326" t="n">
        <x:v>44163</x:v>
      </x:c>
      <x:c r="H2326" t="str">
        <x:v>25215</x:v>
      </x:c>
      <x:c r="I2326" t="str">
        <x:v>https://www.smwcentral.net/?a=details&amp;id=25215&amp;p=section</x:v>
      </x:c>
      <x:c r="J2326" t="str">
        <x:v>https://dl.smwcentral.net/25215/Tebeo.bps.zip</x:v>
      </x:c>
    </x:row>
    <x:row r="2327">
      <x:c r="A2327" t="str">
        <x:v>Tebeo 2</x:v>
      </x:c>
      <x:c r="B2327" t="str">
        <x:v>Tebeo 2</x:v>
      </x:c>
      <x:c r="C2327" t="str">
        <x:v>Nirv</x:v>
      </x:c>
      <x:c r="D2327" t="n">
        <x:v>20</x:v>
      </x:c>
      <x:c r="E2327" t="str">
        <x:v>Expert</x:v>
      </x:c>
      <x:c r="F2327" t="str">
        <x:v>Kaizo</x:v>
      </x:c>
      <x:c r="G2327" t="n">
        <x:v>44366</x:v>
      </x:c>
      <x:c r="H2327" t="str">
        <x:v>27311</x:v>
      </x:c>
      <x:c r="I2327" t="str">
        <x:v>https://www.smwcentral.net/?a=details&amp;id=27311&amp;p=section</x:v>
      </x:c>
      <x:c r="J2327" t="str">
        <x:v>https://dl.smwcentral.net/27311/Tebeo%202.zip</x:v>
      </x:c>
    </x:row>
    <x:row r="2328">
      <x:c r="A2328" t="str">
        <x:v>Technicolor Mario World</x:v>
      </x:c>
      <x:c r="B2328" t="str">
        <x:v>Technicolor Mario World</x:v>
      </x:c>
      <x:c r="C2328" t="str">
        <x:v>Green Jerry</x:v>
      </x:c>
      <x:c r="D2328" t="n">
        <x:v>16</x:v>
      </x:c>
      <x:c r="E2328" t="str">
        <x:v>Casual</x:v>
      </x:c>
      <x:c r="F2328" t="str">
        <x:v>Standard</x:v>
      </x:c>
      <x:c r="G2328" t="n">
        <x:v>43859</x:v>
      </x:c>
      <x:c r="H2328" t="str">
        <x:v>21873</x:v>
      </x:c>
      <x:c r="I2328" t="str">
        <x:v>https://www.smwcentral.net/?a=details&amp;id=21873&amp;p=section</x:v>
      </x:c>
      <x:c r="J2328" t="str">
        <x:v>https://dl.smwcentral.net/21873/Technicolor%20Mario%20World%20-%20Demo%202%20%28Bug%20Fix%203%29.zip</x:v>
      </x:c>
    </x:row>
    <x:row r="2329">
      <x:c r="A2329" t="str">
        <x:v>Teh Hack</x:v>
      </x:c>
      <x:c r="B2329" t="str">
        <x:v>Teh Hack</x:v>
      </x:c>
      <x:c r="C2329" t="str">
        <x:v>sugar</x:v>
      </x:c>
      <x:c r="D2329" t="n">
        <x:v>5</x:v>
      </x:c>
      <x:c r="E2329" t="str">
        <x:v>Casual</x:v>
      </x:c>
      <x:c r="F2329" t="str">
        <x:v>Standard</x:v>
      </x:c>
      <x:c r="G2329" t="n">
        <x:v>42248</x:v>
      </x:c>
      <x:c r="H2329" t="str">
        <x:v>10071</x:v>
      </x:c>
      <x:c r="I2329" t="str">
        <x:v>https://www.smwcentral.net/?a=details&amp;id=10071&amp;p=section</x:v>
      </x:c>
      <x:c r="J2329" t="str">
        <x:v>https://dl.smwcentral.net/10071/Teh%20Hack.zip</x:v>
      </x:c>
    </x:row>
    <x:row r="2330">
      <x:c r="A2330" t="str">
        <x:v>Teh Hack 2</x:v>
      </x:c>
      <x:c r="B2330" t="str">
        <x:v>Teh Hack 2</x:v>
      </x:c>
      <x:c r="C2330" t="str">
        <x:v>sugar</x:v>
      </x:c>
      <x:c r="D2330" t="n">
        <x:v>26</x:v>
      </x:c>
      <x:c r="E2330" t="str">
        <x:v>Casual</x:v>
      </x:c>
      <x:c r="F2330" t="str">
        <x:v>Standard</x:v>
      </x:c>
      <x:c r="G2330" t="n">
        <x:v>42223</x:v>
      </x:c>
      <x:c r="H2330" t="str">
        <x:v>10169</x:v>
      </x:c>
      <x:c r="I2330" t="str">
        <x:v>https://www.smwcentral.net/?a=details&amp;id=10169&amp;p=section</x:v>
      </x:c>
      <x:c r="J2330" t="str">
        <x:v>https://dl.smwcentral.net/10169/tehhack.zip</x:v>
      </x:c>
    </x:row>
    <x:row r="2331">
      <x:c r="A2331" t="str">
        <x:v>Ten</x:v>
      </x:c>
      <x:c r="B2331" t="str">
        <x:v>Ten</x:v>
      </x:c>
      <x:c r="C2331" t="str">
        <x:v>Gamma V</x:v>
      </x:c>
      <x:c r="D2331" t="n">
        <x:v>10</x:v>
      </x:c>
      <x:c r="E2331" t="str">
        <x:v>Casual</x:v>
      </x:c>
      <x:c r="F2331" t="str">
        <x:v>Standard</x:v>
      </x:c>
      <x:c r="G2331" t="n">
        <x:v>43904</x:v>
      </x:c>
      <x:c r="H2331" t="str">
        <x:v>22304</x:v>
      </x:c>
      <x:c r="I2331" t="str">
        <x:v>https://www.smwcentral.net/?a=details&amp;id=22304&amp;p=section</x:v>
      </x:c>
      <x:c r="J2331" t="str">
        <x:v>https://dl.smwcentral.net/22304/TEN.zip</x:v>
      </x:c>
    </x:row>
    <x:row r="2332">
      <x:c r="A2332" t="str">
        <x:v>TEN A-Side</x:v>
      </x:c>
      <x:c r="B2332" t="str">
        <x:v>TEN A-Side</x:v>
      </x:c>
      <x:c r="C2332" t="str">
        <x:v>Big Brawler</x:v>
      </x:c>
      <x:c r="D2332" t="n">
        <x:v>10</x:v>
      </x:c>
      <x:c r="E2332" t="str">
        <x:v>Advanced</x:v>
      </x:c>
      <x:c r="F2332" t="str">
        <x:v>Standard</x:v>
      </x:c>
      <x:c r="G2332" t="n">
        <x:v>44927</x:v>
      </x:c>
      <x:c r="H2332" t="str">
        <x:v>32788</x:v>
      </x:c>
      <x:c r="I2332" t="str">
        <x:v>https://www.smwcentral.net/?a=details&amp;id=32788&amp;p=section</x:v>
      </x:c>
      <x:c r="J2332" t="str">
        <x:v>https://dl.smwcentral.net/32788/TEN%20v1.2b.zip</x:v>
      </x:c>
    </x:row>
    <x:row r="2333">
      <x:c r="A2333" t="str">
        <x:v>TEN B-Side</x:v>
      </x:c>
      <x:c r="B2333" t="str">
        <x:v>TEN B-Side</x:v>
      </x:c>
      <x:c r="C2333" t="str">
        <x:v>Big Brawler</x:v>
      </x:c>
      <x:c r="D2333" t="n">
        <x:v>10</x:v>
      </x:c>
      <x:c r="E2333" t="str">
        <x:v>Advanced</x:v>
      </x:c>
      <x:c r="F2333" t="str">
        <x:v>Standard</x:v>
      </x:c>
      <x:c r="G2333" t="n">
        <x:v>44980</x:v>
      </x:c>
      <x:c r="H2333" t="str">
        <x:v>33142</x:v>
      </x:c>
      <x:c r="I2333" t="str">
        <x:v>https://www.smwcentral.net/?a=details&amp;id=33142&amp;p=section</x:v>
      </x:c>
      <x:c r="J2333" t="str">
        <x:v>https://dl.smwcentral.net/33142/Ten%20B-Side.zip</x:v>
      </x:c>
    </x:row>
    <x:row r="2334">
      <x:c r="A2334" t="str">
        <x:v>Terminus</x:v>
      </x:c>
      <x:c r="B2334" t="str">
        <x:v>Terminus</x:v>
      </x:c>
      <x:c r="C2334" t="str">
        <x:v>Kr00mmi</x:v>
      </x:c>
      <x:c r="D2334" t="n">
        <x:v>11</x:v>
      </x:c>
      <x:c r="E2334" t="str">
        <x:v>Advanced</x:v>
      </x:c>
      <x:c r="F2334" t="str">
        <x:v>Kaizo</x:v>
      </x:c>
      <x:c r="G2334" t="n">
        <x:v>43532</x:v>
      </x:c>
      <x:c r="H2334" t="str">
        <x:v>19261</x:v>
      </x:c>
      <x:c r="I2334" t="str">
        <x:v>https://www.smwcentral.net/?a=details&amp;id=19261&amp;p=section</x:v>
      </x:c>
      <x:c r="J2334" t="str">
        <x:v>https://dl.smwcentral.net/19261/Terminus1.1.zip</x:v>
      </x:c>
    </x:row>
    <x:row r="2335">
      <x:c r="A2335" t="str">
        <x:v>Terminus 2</x:v>
      </x:c>
      <x:c r="B2335" t="str">
        <x:v>Terminus 2</x:v>
      </x:c>
      <x:c r="C2335" t="str">
        <x:v>Kr00mmi</x:v>
      </x:c>
      <x:c r="D2335" t="n">
        <x:v>15</x:v>
      </x:c>
      <x:c r="E2335" t="str">
        <x:v>Expert</x:v>
      </x:c>
      <x:c r="F2335" t="str">
        <x:v>Kaizo</x:v>
      </x:c>
      <x:c r="G2335" t="n">
        <x:v>43637</x:v>
      </x:c>
      <x:c r="H2335" t="str">
        <x:v>20208</x:v>
      </x:c>
      <x:c r="I2335" t="str">
        <x:v>https://www.smwcentral.net/?a=details&amp;id=20208&amp;p=section</x:v>
      </x:c>
      <x:c r="J2335" t="str">
        <x:v>https://dl.smwcentral.net/20208/Terminus2RealWithOW.zip</x:v>
      </x:c>
    </x:row>
    <x:row r="2336">
      <x:c r="A2336" t="str">
        <x:v>Terra</x:v>
      </x:c>
      <x:c r="B2336" t="str">
        <x:v>Terra</x:v>
      </x:c>
      <x:c r="C2336" t="str">
        <x:v>Dobosco</x:v>
      </x:c>
      <x:c r="D2336" t="n">
        <x:v>21</x:v>
      </x:c>
      <x:c r="E2336" t="str">
        <x:v>Expert</x:v>
      </x:c>
      <x:c r="F2336" t="str">
        <x:v>Kaizo</x:v>
      </x:c>
      <x:c r="G2336" t="n">
        <x:v>44183</x:v>
      </x:c>
      <x:c r="H2336" t="str">
        <x:v>25475</x:v>
      </x:c>
      <x:c r="I2336" t="str">
        <x:v>https://www.smwcentral.net/?a=details&amp;id=25475&amp;p=section</x:v>
      </x:c>
      <x:c r="J2336" t="str">
        <x:v>https://dl.smwcentral.net/25475/Terra1.0.zip</x:v>
      </x:c>
    </x:row>
    <x:row r="2337">
      <x:c r="A2337" t="str">
        <x:v>Terraria</x:v>
      </x:c>
      <x:c r="B2337" t="str">
        <x:v>Terraria</x:v>
      </x:c>
      <x:c r="C2337" t="str">
        <x:v>Windveil</x:v>
      </x:c>
      <x:c r="D2337" t="n">
        <x:v>4</x:v>
      </x:c>
      <x:c r="E2337" t="str">
        <x:v>Casual</x:v>
      </x:c>
      <x:c r="F2337" t="str">
        <x:v>Standard</x:v>
      </x:c>
      <x:c r="G2337" t="n">
        <x:v>42207</x:v>
      </x:c>
      <x:c r="H2337" t="str">
        <x:v>10031</x:v>
      </x:c>
      <x:c r="I2337" t="str">
        <x:v>https://www.smwcentral.net/?a=details&amp;id=10031&amp;p=section</x:v>
      </x:c>
      <x:c r="J2337" t="str">
        <x:v>https://dl.smwcentral.net/10031/Terraria.zip</x:v>
      </x:c>
    </x:row>
    <x:row r="2338">
      <x:c r="A2338" t="str">
        <x:v>TERRIBLE</x:v>
      </x:c>
      <x:c r="B2338" t="str">
        <x:v>TERRIBLE</x:v>
      </x:c>
      <x:c r="C2338" t="str">
        <x:v>Lmao</x:v>
      </x:c>
      <x:c r="D2338" t="n">
        <x:v>12</x:v>
      </x:c>
      <x:c r="E2338" t="str">
        <x:v>Casual</x:v>
      </x:c>
      <x:c r="F2338" t="str">
        <x:v>Standard</x:v>
      </x:c>
      <x:c r="G2338" t="n">
        <x:v>45461</x:v>
      </x:c>
      <x:c r="H2338" t="str">
        <x:v>37971</x:v>
      </x:c>
      <x:c r="I2338" t="str">
        <x:v>https://www.smwcentral.net/?a=details&amp;id=37971&amp;p=section</x:v>
      </x:c>
      <x:c r="J2338" t="str">
        <x:v>https://dl.smwcentral.net/37971/Tbuild11.zip</x:v>
      </x:c>
    </x:row>
    <x:row r="2339">
      <x:c r="A2339" t="str">
        <x:v>test.smc | The old and new Mario World</x:v>
      </x:c>
      <x:c r="B2339" t="str">
        <x:v>test.smc | The old and new Mario World</x:v>
      </x:c>
      <x:c r="C2339" t="str">
        <x:v>yogui</x:v>
      </x:c>
      <x:c r="D2339" t="n">
        <x:v>41</x:v>
      </x:c>
      <x:c r="E2339" t="str">
        <x:v>Intermediate</x:v>
      </x:c>
      <x:c r="F2339" t="str">
        <x:v>Standard</x:v>
      </x:c>
      <x:c r="G2339" t="n">
        <x:v>42348</x:v>
      </x:c>
      <x:c r="H2339" t="str">
        <x:v>12810</x:v>
      </x:c>
      <x:c r="I2339" t="str">
        <x:v>https://www.smwcentral.net/?a=details&amp;id=12810&amp;p=section</x:v>
      </x:c>
      <x:c r="J2339" t="str">
        <x:v>https://dl.smwcentral.net/12810/test.zip</x:v>
      </x:c>
    </x:row>
    <x:row r="2340">
      <x:c r="A2340" t="str">
        <x:v>Thanks, I hate it</x:v>
      </x:c>
      <x:c r="B2340" t="str">
        <x:v>Thanks, I hate it</x:v>
      </x:c>
      <x:c r="C2340" t="str">
        <x:v>Captain_Hacko</x:v>
      </x:c>
      <x:c r="D2340" t="n">
        <x:v>5</x:v>
      </x:c>
      <x:c r="E2340" t="str">
        <x:v>Advanced</x:v>
      </x:c>
      <x:c r="F2340" t="str">
        <x:v>Kaizo</x:v>
      </x:c>
      <x:c r="G2340" t="n">
        <x:v>44760</x:v>
      </x:c>
      <x:c r="H2340" t="str">
        <x:v>31520</x:v>
      </x:c>
      <x:c r="I2340" t="str">
        <x:v>https://www.smwcentral.net/?a=details&amp;id=31520&amp;p=section</x:v>
      </x:c>
      <x:c r="J2340" t="str">
        <x:v>https://dl.smwcentral.net/31520/TIHI.zip</x:v>
      </x:c>
    </x:row>
    <x:row r="2341">
      <x:c r="A2341" t="str">
        <x:v>Thanksgiving Hack</x:v>
      </x:c>
      <x:c r="B2341" t="str">
        <x:v>Thanksgiving Hack</x:v>
      </x:c>
      <x:c r="C2341" t="str">
        <x:v>Golden Yoshi</x:v>
      </x:c>
      <x:c r="D2341" t="n">
        <x:v>6</x:v>
      </x:c>
      <x:c r="E2341" t="str">
        <x:v>Intermediate</x:v>
      </x:c>
      <x:c r="F2341" t="str">
        <x:v>Standard</x:v>
      </x:c>
      <x:c r="G2341" t="n">
        <x:v>45960</x:v>
      </x:c>
      <x:c r="H2341" t="str">
        <x:v>40909</x:v>
      </x:c>
      <x:c r="I2341" t="str">
        <x:v>https://www.smwcentral.net/?a=details&amp;id=40909&amp;p=section</x:v>
      </x:c>
      <x:c r="J2341" t="str">
        <x:v>https://dl.smwcentral.net/40909/Thanksgiving%20Hack.zip</x:v>
      </x:c>
    </x:row>
    <x:row r="2342">
      <x:c r="A2342" t="str">
        <x:v>The 11th Annual Vanilla Level Design Contest: Compilation Hack</x:v>
      </x:c>
      <x:c r="B2342" t="str">
        <x:v>The 11th Annual Vanilla Level Design Contest: Compilation Hack</x:v>
      </x:c>
      <x:c r="C2342" t="str">
        <x:v>AnEvilGhost, SMW Central, Stivi</x:v>
      </x:c>
      <x:c r="D2342" t="n">
        <x:v>116</x:v>
      </x:c>
      <x:c r="E2342" t="str">
        <x:v>Intermediate</x:v>
      </x:c>
      <x:c r="F2342" t="str">
        <x:v>Standard</x:v>
      </x:c>
      <x:c r="G2342" t="n">
        <x:v>44706</x:v>
      </x:c>
      <x:c r="H2342" t="str">
        <x:v>30173</x:v>
      </x:c>
      <x:c r="I2342" t="str">
        <x:v>https://www.smwcentral.net/?a=details&amp;id=30173&amp;p=section</x:v>
      </x:c>
      <x:c r="J2342" t="str">
        <x:v>https://dl.smwcentral.net/30173/VLDC11_1.4.zip</x:v>
      </x:c>
    </x:row>
    <x:row r="2343">
      <x:c r="A2343" t="str">
        <x:v>The 12th Annual Vanilla Level Design Contest: Compilation Hack</x:v>
      </x:c>
      <x:c r="B2343" t="str">
        <x:v>The 12th Annual Vanilla Level Design Contest: Compilation Hack</x:v>
      </x:c>
      <x:c r="C2343" t="str">
        <x:v>AnEvilGhost, SMW Central, Stivi</x:v>
      </x:c>
      <x:c r="D2343" t="n">
        <x:v>131</x:v>
      </x:c>
      <x:c r="E2343" t="str">
        <x:v>Intermediate</x:v>
      </x:c>
      <x:c r="F2343" t="str">
        <x:v>Standard</x:v>
      </x:c>
      <x:c r="G2343" t="n">
        <x:v>44879</x:v>
      </x:c>
      <x:c r="H2343" t="str">
        <x:v>32572</x:v>
      </x:c>
      <x:c r="I2343" t="str">
        <x:v>https://www.smwcentral.net/?a=details&amp;id=32572&amp;p=section</x:v>
      </x:c>
      <x:c r="J2343" t="str">
        <x:v>https://dl.smwcentral.net/32572/VLDC12_1.07.zip</x:v>
      </x:c>
    </x:row>
    <x:row r="2344">
      <x:c r="A2344" t="str">
        <x:v>The 1st Annual Vanilla Level Design Contest: Compilation Hack</x:v>
      </x:c>
      <x:c r="B2344" t="str">
        <x:v>The 1st Annual Vanilla Level Design Contest: Compilation Hack</x:v>
      </x:c>
      <x:c r="C2344" t="str">
        <x:v>SMW Central</x:v>
      </x:c>
      <x:c r="D2344" t="n">
        <x:v>76</x:v>
      </x:c>
      <x:c r="E2344" t="str">
        <x:v>Intermediate</x:v>
      </x:c>
      <x:c r="F2344" t="str">
        <x:v>Standard</x:v>
      </x:c>
      <x:c r="G2344" t="n">
        <x:v>42583</x:v>
      </x:c>
      <x:c r="H2344" t="str">
        <x:v>13947</x:v>
      </x:c>
      <x:c r="I2344" t="str">
        <x:v>https://www.smwcentral.net/?a=details&amp;id=13947&amp;p=section</x:v>
      </x:c>
      <x:c r="J2344" t="str">
        <x:v>https://dl.smwcentral.net/13947/VLDC1.zip</x:v>
      </x:c>
    </x:row>
    <x:row r="2345">
      <x:c r="A2345" t="str">
        <x:v>The 1st Old-School Level Design Contest: Compilation Hack</x:v>
      </x:c>
      <x:c r="B2345" t="str">
        <x:v>The 1st Old-School Level Design Contest: Compilation Hack</x:v>
      </x:c>
      <x:c r="C2345" t="str">
        <x:v>SMW Central</x:v>
      </x:c>
      <x:c r="D2345" t="n">
        <x:v>113</x:v>
      </x:c>
      <x:c r="E2345" t="str">
        <x:v>Intermediate</x:v>
      </x:c>
      <x:c r="F2345" t="str">
        <x:v>Standard</x:v>
      </x:c>
      <x:c r="G2345" t="n">
        <x:v>43280</x:v>
      </x:c>
      <x:c r="H2345" t="str">
        <x:v>17706</x:v>
      </x:c>
      <x:c r="I2345" t="str">
        <x:v>https://www.smwcentral.net/?a=details&amp;id=17706&amp;p=section</x:v>
      </x:c>
      <x:c r="J2345" t="str">
        <x:v>https://dl.smwcentral.net/17706/2017%20OLDC%20v1.1.zip</x:v>
      </x:c>
    </x:row>
    <x:row r="2346">
      <x:c r="A2346" t="str">
        <x:v>The 2nd Old-School Level Design Contest: Compilation Hack</x:v>
      </x:c>
      <x:c r="B2346" t="str">
        <x:v>The 2nd Old-School Level Design Contest: Compilation Hack</x:v>
      </x:c>
      <x:c r="C2346" t="str">
        <x:v>SMW Central</x:v>
      </x:c>
      <x:c r="D2346" t="n">
        <x:v>150</x:v>
      </x:c>
      <x:c r="E2346" t="str">
        <x:v>Intermediate</x:v>
      </x:c>
      <x:c r="F2346" t="str">
        <x:v>Standard</x:v>
      </x:c>
      <x:c r="G2346" t="n">
        <x:v>44868</x:v>
      </x:c>
      <x:c r="H2346" t="str">
        <x:v>32409</x:v>
      </x:c>
      <x:c r="I2346" t="str">
        <x:v>https://www.smwcentral.net/?a=details&amp;id=32409&amp;p=section</x:v>
      </x:c>
      <x:c r="J2346" t="str">
        <x:v>https://dl.smwcentral.net/32409/OLDC2_1.02.zip</x:v>
      </x:c>
    </x:row>
    <x:row r="2347">
      <x:c r="A2347" t="str">
        <x:v>The 3 Little Princesses</x:v>
      </x:c>
      <x:c r="B2347" t="str">
        <x:v>The 3 Little Princesses</x:v>
      </x:c>
      <x:c r="C2347" t="str">
        <x:v>Batata Douce, OrangeBronzeDaisy</x:v>
      </x:c>
      <x:c r="D2347" t="n">
        <x:v>27</x:v>
      </x:c>
      <x:c r="E2347" t="str">
        <x:v>Intermediate</x:v>
      </x:c>
      <x:c r="F2347" t="str">
        <x:v>Standard</x:v>
      </x:c>
      <x:c r="G2347" t="n">
        <x:v>44581</x:v>
      </x:c>
      <x:c r="H2347" t="str">
        <x:v>29409</x:v>
      </x:c>
      <x:c r="I2347" t="str">
        <x:v>https://www.smwcentral.net/?a=details&amp;id=29409&amp;p=section</x:v>
      </x:c>
      <x:c r="J2347" t="str">
        <x:v>https://dl.smwcentral.net/29409/The_3_Little_Princesses.zip</x:v>
      </x:c>
    </x:row>
    <x:row r="2348">
      <x:c r="A2348" t="str">
        <x:v>The 4 Heroes Of The Great Land</x:v>
      </x:c>
      <x:c r="B2348" t="str">
        <x:v>The 4 Heroes Of The Great Land</x:v>
      </x:c>
      <x:c r="C2348" t="str">
        <x:v>Gamet2004</x:v>
      </x:c>
      <x:c r="D2348" t="n">
        <x:v>37</x:v>
      </x:c>
      <x:c r="E2348" t="str">
        <x:v>Advanced</x:v>
      </x:c>
      <x:c r="F2348" t="str">
        <x:v>Standard</x:v>
      </x:c>
      <x:c r="G2348" t="n">
        <x:v>45900</x:v>
      </x:c>
      <x:c r="H2348" t="str">
        <x:v>40281</x:v>
      </x:c>
      <x:c r="I2348" t="str">
        <x:v>https://www.smwcentral.net/?a=details&amp;id=40281&amp;p=section</x:v>
      </x:c>
      <x:c r="J2348" t="str">
        <x:v>https://dl.smwcentral.net/40281/4heroesforever.zip</x:v>
      </x:c>
    </x:row>
    <x:row r="2349">
      <x:c r="A2349" t="str">
        <x:v>The 4 Keys of Safety</x:v>
      </x:c>
      <x:c r="B2349" t="str">
        <x:v>The 4 Keys of Safety</x:v>
      </x:c>
      <x:c r="C2349" t="str">
        <x:v>Koelkast</x:v>
      </x:c>
      <x:c r="D2349" t="n">
        <x:v>6</x:v>
      </x:c>
      <x:c r="E2349" t="str">
        <x:v>Newcomer</x:v>
      </x:c>
      <x:c r="F2349" t="str">
        <x:v>Standard</x:v>
      </x:c>
      <x:c r="G2349" t="n">
        <x:v>42235</x:v>
      </x:c>
      <x:c r="H2349" t="str">
        <x:v>9907</x:v>
      </x:c>
      <x:c r="I2349" t="str">
        <x:v>https://www.smwcentral.net/?a=details&amp;id=9907&amp;p=section</x:v>
      </x:c>
      <x:c r="J2349" t="str">
        <x:v>https://dl.smwcentral.net/9907/The%204%20Keys%20of%20Safety%20Demo%20FIX.zip</x:v>
      </x:c>
    </x:row>
    <x:row r="2350">
      <x:c r="A2350" t="str">
        <x:v>The 5 Dragon Gems</x:v>
      </x:c>
      <x:c r="B2350" t="str">
        <x:v>The 5 Dragon Gems</x:v>
      </x:c>
      <x:c r="C2350" t="str">
        <x:v>Robju</x:v>
      </x:c>
      <x:c r="D2350" t="n">
        <x:v>10</x:v>
      </x:c>
      <x:c r="E2350" t="str">
        <x:v>Casual</x:v>
      </x:c>
      <x:c r="F2350" t="str">
        <x:v>Standard</x:v>
      </x:c>
      <x:c r="G2350" t="n">
        <x:v>42102</x:v>
      </x:c>
      <x:c r="H2350" t="str">
        <x:v>9779</x:v>
      </x:c>
      <x:c r="I2350" t="str">
        <x:v>https://www.smwcentral.net/?a=details&amp;id=9779&amp;p=section</x:v>
      </x:c>
      <x:c r="J2350" t="str">
        <x:v>https://dl.smwcentral.net/9779/5%20Dragon%20Gems.zip</x:v>
      </x:c>
    </x:row>
    <x:row r="2351">
      <x:c r="A2351" t="str">
        <x:v>The 5 Keys</x:v>
      </x:c>
      <x:c r="B2351" t="str">
        <x:v>The 5 Keys</x:v>
      </x:c>
      <x:c r="C2351" t="str">
        <x:v>iyanzakai10</x:v>
      </x:c>
      <x:c r="D2351" t="n">
        <x:v>5</x:v>
      </x:c>
      <x:c r="E2351" t="str">
        <x:v>Newcomer</x:v>
      </x:c>
      <x:c r="F2351" t="str">
        <x:v>Standard</x:v>
      </x:c>
      <x:c r="G2351" t="n">
        <x:v>42311</x:v>
      </x:c>
      <x:c r="H2351" t="str">
        <x:v>10158</x:v>
      </x:c>
      <x:c r="I2351" t="str">
        <x:v>https://www.smwcentral.net/?a=details&amp;id=10158&amp;p=section</x:v>
      </x:c>
      <x:c r="J2351" t="str">
        <x:v>https://dl.smwcentral.net/10158/The%205%20Keys%20-%28DEMO%29-.zip</x:v>
      </x:c>
    </x:row>
    <x:row r="2352">
      <x:c r="A2352" t="str">
        <x:v>The 6th Annual Vanilla Level Design Contest: Compilation Hack</x:v>
      </x:c>
      <x:c r="B2352" t="str">
        <x:v>The 6th Annual Vanilla Level Design Contest: Compilation Hack</x:v>
      </x:c>
      <x:c r="C2352" t="str">
        <x:v>SMW Central</x:v>
      </x:c>
      <x:c r="D2352" t="n">
        <x:v>114</x:v>
      </x:c>
      <x:c r="E2352" t="str">
        <x:v>Intermediate</x:v>
      </x:c>
      <x:c r="F2352" t="str">
        <x:v>Standard</x:v>
      </x:c>
      <x:c r="G2352" t="n">
        <x:v>45498</x:v>
      </x:c>
      <x:c r="H2352" t="str">
        <x:v>38000</x:v>
      </x:c>
      <x:c r="I2352" t="str">
        <x:v>https://www.smwcentral.net/?a=details&amp;id=38000&amp;p=section</x:v>
      </x:c>
      <x:c r="J2352" t="str">
        <x:v>https://dl.smwcentral.net/38000/vldc6%20v1.1.zip</x:v>
      </x:c>
    </x:row>
    <x:row r="2353">
      <x:c r="A2353" t="str">
        <x:v>The 7th Annual Vanilla Level Design Contest: Compilation Hack</x:v>
      </x:c>
      <x:c r="B2353" t="str">
        <x:v>The 7th Annual Vanilla Level Design Contest: Compilation Hack</x:v>
      </x:c>
      <x:c r="C2353" t="str">
        <x:v>SMW Central</x:v>
      </x:c>
      <x:c r="D2353" t="n">
        <x:v>86</x:v>
      </x:c>
      <x:c r="E2353" t="str">
        <x:v>Intermediate</x:v>
      </x:c>
      <x:c r="F2353" t="str">
        <x:v>Standard</x:v>
      </x:c>
      <x:c r="G2353" t="n">
        <x:v>41831</x:v>
      </x:c>
      <x:c r="H2353" t="str">
        <x:v>6872</x:v>
      </x:c>
      <x:c r="I2353" t="str">
        <x:v>https://www.smwcentral.net/?a=details&amp;id=6872&amp;p=section</x:v>
      </x:c>
      <x:c r="J2353" t="str">
        <x:v>https://dl.smwcentral.net/6872/VLDC_2014.zip</x:v>
      </x:c>
    </x:row>
    <x:row r="2354">
      <x:c r="A2354" t="str">
        <x:v>The 8th Annual Vanilla Level Design Contest: Compilation Hack</x:v>
      </x:c>
      <x:c r="B2354" t="str">
        <x:v>The 8th Annual Vanilla Level Design Contest: Compilation Hack</x:v>
      </x:c>
      <x:c r="C2354" t="str">
        <x:v>SMW Central</x:v>
      </x:c>
      <x:c r="D2354" t="n">
        <x:v>121</x:v>
      </x:c>
      <x:c r="E2354" t="str">
        <x:v>Advanced</x:v>
      </x:c>
      <x:c r="F2354" t="str">
        <x:v>Standard</x:v>
      </x:c>
      <x:c r="G2354" t="n">
        <x:v>42121</x:v>
      </x:c>
      <x:c r="H2354" t="str">
        <x:v>11254</x:v>
      </x:c>
      <x:c r="I2354" t="str">
        <x:v>https://www.smwcentral.net/?a=details&amp;id=11254&amp;p=section</x:v>
      </x:c>
      <x:c r="J2354" t="str">
        <x:v>https://dl.smwcentral.net/11254/vldc8_1.2.zip</x:v>
      </x:c>
    </x:row>
    <x:row r="2355">
      <x:c r="A2355" t="str">
        <x:v>The 9th Annual Vanilla Level Design Contest: Compilation Hack</x:v>
      </x:c>
      <x:c r="B2355" t="str">
        <x:v>The 9th Annual Vanilla Level Design Contest: Compilation Hack</x:v>
      </x:c>
      <x:c r="C2355" t="str">
        <x:v>SMW Central</x:v>
      </x:c>
      <x:c r="D2355" t="n">
        <x:v>152</x:v>
      </x:c>
      <x:c r="E2355" t="str">
        <x:v>Advanced</x:v>
      </x:c>
      <x:c r="F2355" t="str">
        <x:v>Standard</x:v>
      </x:c>
      <x:c r="G2355" t="n">
        <x:v>42725</x:v>
      </x:c>
      <x:c r="H2355" t="str">
        <x:v>14812</x:v>
      </x:c>
      <x:c r="I2355" t="str">
        <x:v>https://www.smwcentral.net/?a=details&amp;id=14812&amp;p=section</x:v>
      </x:c>
      <x:c r="J2355" t="str">
        <x:v>https://dl.smwcentral.net/14812/VLDC9%20v1.11.zip</x:v>
      </x:c>
    </x:row>
    <x:row r="2356">
      <x:c r="A2356" t="str">
        <x:v>The Adventures of Bucken Berry and Ala-Gold</x:v>
      </x:c>
      <x:c r="B2356" t="str">
        <x:v>The Adventures of Bucken Berry and Ala-Gold</x:v>
      </x:c>
      <x:c r="C2356" t="str">
        <x:v>bandicoot</x:v>
      </x:c>
      <x:c r="D2356" t="n">
        <x:v>93</x:v>
      </x:c>
      <x:c r="E2356" t="str">
        <x:v>Intermediate</x:v>
      </x:c>
      <x:c r="F2356" t="str">
        <x:v>Standard</x:v>
      </x:c>
      <x:c r="G2356" t="n">
        <x:v>45800</x:v>
      </x:c>
      <x:c r="H2356" t="str">
        <x:v>39808</x:v>
      </x:c>
      <x:c r="I2356" t="str">
        <x:v>https://www.smwcentral.net/?a=details&amp;id=39808&amp;p=section</x:v>
      </x:c>
      <x:c r="J2356" t="str">
        <x:v>https://dl.smwcentral.net/39808/The%20Adventures%20of%20Bucken%20Berry%20and%20ala-Gold%201.3.zip</x:v>
      </x:c>
    </x:row>
    <x:row r="2357">
      <x:c r="A2357" t="str">
        <x:v>The Adventures Of Super Mario</x:v>
      </x:c>
      <x:c r="B2357" t="str">
        <x:v>The Adventures Of Super Mario</x:v>
      </x:c>
      <x:c r="C2357" t="str">
        <x:v>1xsonic</x:v>
      </x:c>
      <x:c r="D2357" t="n">
        <x:v>6</x:v>
      </x:c>
      <x:c r="E2357" t="str">
        <x:v>Newcomer</x:v>
      </x:c>
      <x:c r="F2357" t="str">
        <x:v>Standard</x:v>
      </x:c>
      <x:c r="G2357" t="n">
        <x:v>42339</x:v>
      </x:c>
      <x:c r="H2357" t="str">
        <x:v>10195</x:v>
      </x:c>
      <x:c r="I2357" t="str">
        <x:v>https://www.smwcentral.net/?a=details&amp;id=10195&amp;p=section</x:v>
      </x:c>
      <x:c r="J2357" t="str">
        <x:v>https://dl.smwcentral.net/10195/The%20Adventures%20Of%20Super%20Mario.zip</x:v>
      </x:c>
    </x:row>
    <x:row r="2358">
      <x:c r="A2358" t="str">
        <x:v>The Amazing Autowalk Adventure</x:v>
      </x:c>
      <x:c r="B2358" t="str">
        <x:v>The Amazing Autowalk Adventure</x:v>
      </x:c>
      <x:c r="C2358" t="str">
        <x:v>xHF01x</x:v>
      </x:c>
      <x:c r="D2358" t="n">
        <x:v>14</x:v>
      </x:c>
      <x:c r="E2358" t="str">
        <x:v>Master</x:v>
      </x:c>
      <x:c r="F2358" t="str">
        <x:v>Kaizo</x:v>
      </x:c>
      <x:c r="G2358" t="n">
        <x:v>45447</x:v>
      </x:c>
      <x:c r="H2358" t="str">
        <x:v>37781</x:v>
      </x:c>
      <x:c r="I2358" t="str">
        <x:v>https://www.smwcentral.net/?a=details&amp;id=37781&amp;p=section</x:v>
      </x:c>
      <x:c r="J2358" t="str">
        <x:v>https://dl.smwcentral.net/37781/Autowalk_1.1.zip</x:v>
      </x:c>
    </x:row>
    <x:row r="2359">
      <x:c r="A2359" t="str">
        <x:v>The Art of Shells</x:v>
      </x:c>
      <x:c r="B2359" t="str">
        <x:v>The Art of Shells</x:v>
      </x:c>
      <x:c r="C2359" t="str">
        <x:v>Riu_69</x:v>
      </x:c>
      <x:c r="D2359" t="n">
        <x:v>10</x:v>
      </x:c>
      <x:c r="E2359" t="str">
        <x:v>Expert</x:v>
      </x:c>
      <x:c r="F2359" t="str">
        <x:v>Kaizo</x:v>
      </x:c>
      <x:c r="G2359" t="n">
        <x:v>45941</x:v>
      </x:c>
      <x:c r="H2359" t="str">
        <x:v>40765</x:v>
      </x:c>
      <x:c r="I2359" t="str">
        <x:v>https://www.smwcentral.net/?a=details&amp;id=40765&amp;p=section</x:v>
      </x:c>
      <x:c r="J2359" t="str">
        <x:v>https://dl.smwcentral.net/40765/The%20Art%20of%20Shells.zip</x:v>
      </x:c>
    </x:row>
    <x:row r="2360">
      <x:c r="A2360" t="str">
        <x:v>The artifacts of marvelous birds</x:v>
      </x:c>
      <x:c r="B2360" t="str">
        <x:v>The artifacts of marvelous birds</x:v>
      </x:c>
      <x:c r="C2360" t="str">
        <x:v>exit1337</x:v>
      </x:c>
      <x:c r="D2360" t="n">
        <x:v>45</x:v>
      </x:c>
      <x:c r="E2360" t="str">
        <x:v>Casual</x:v>
      </x:c>
      <x:c r="F2360" t="str">
        <x:v>Standard</x:v>
      </x:c>
      <x:c r="G2360" t="n">
        <x:v>43218</x:v>
      </x:c>
      <x:c r="H2360" t="str">
        <x:v>17437</x:v>
      </x:c>
      <x:c r="I2360" t="str">
        <x:v>https://www.smwcentral.net/?a=details&amp;id=17437&amp;p=section</x:v>
      </x:c>
      <x:c r="J2360" t="str">
        <x:v>https://dl.smwcentral.net/17437/The%20artifacts%20of%20marvelous%20birds%20-%20Demo%203.zip</x:v>
      </x:c>
    </x:row>
    <x:row r="2361">
      <x:c r="A2361" t="str">
        <x:v>The Baby Rescue - Starring Yoshi &amp; Friends!</x:v>
      </x:c>
      <x:c r="B2361" t="str">
        <x:v>The Baby Rescue - Starring Yoshi &amp; Friends!</x:v>
      </x:c>
      <x:c r="C2361" t="str">
        <x:v>P1JDS</x:v>
      </x:c>
      <x:c r="D2361" t="n">
        <x:v>10</x:v>
      </x:c>
      <x:c r="E2361" t="str">
        <x:v>Advanced</x:v>
      </x:c>
      <x:c r="F2361" t="str">
        <x:v>Kaizo</x:v>
      </x:c>
      <x:c r="G2361" t="n">
        <x:v>45078</x:v>
      </x:c>
      <x:c r="H2361" t="str">
        <x:v>34022</x:v>
      </x:c>
      <x:c r="I2361" t="str">
        <x:v>https://www.smwcentral.net/?a=details&amp;id=34022&amp;p=section</x:v>
      </x:c>
      <x:c r="J2361" t="str">
        <x:v>https://dl.smwcentral.net/34022/The%20Baby%20Rescue%20-%20Starring%20Yoshi%20%26%20Friends%21.zip</x:v>
      </x:c>
    </x:row>
    <x:row r="2362">
      <x:c r="A2362" t="str">
        <x:v>The Big Boo's Legion</x:v>
      </x:c>
      <x:c r="B2362" t="str">
        <x:v>The Big Boo's Legion</x:v>
      </x:c>
      <x:c r="C2362" t="str">
        <x:v>Hadron</x:v>
      </x:c>
      <x:c r="D2362" t="n">
        <x:v>10</x:v>
      </x:c>
      <x:c r="E2362" t="str">
        <x:v>Newcomer</x:v>
      </x:c>
      <x:c r="F2362" t="str">
        <x:v>Standard</x:v>
      </x:c>
      <x:c r="G2362" t="n">
        <x:v>41545</x:v>
      </x:c>
      <x:c r="H2362" t="str">
        <x:v>5260</x:v>
      </x:c>
      <x:c r="I2362" t="str">
        <x:v>https://www.smwcentral.net/?a=details&amp;id=5260&amp;p=section</x:v>
      </x:c>
      <x:c r="J2362" t="str">
        <x:v>https://dl.smwcentral.net/5260/The%20Big%20Boo%27s%20Legion.zip</x:v>
      </x:c>
    </x:row>
    <x:row r="2363">
      <x:c r="A2363" t="str">
        <x:v>The Big Boo's Legion 2: The Curse of the Magic Wand</x:v>
      </x:c>
      <x:c r="B2363" t="str">
        <x:v>The Big Boo's Legion 2: The Curse of the Magic Wand</x:v>
      </x:c>
      <x:c r="C2363" t="str">
        <x:v>Hadron</x:v>
      </x:c>
      <x:c r="D2363" t="n">
        <x:v>8</x:v>
      </x:c>
      <x:c r="E2363" t="str">
        <x:v>Casual</x:v>
      </x:c>
      <x:c r="F2363" t="str">
        <x:v>Standard</x:v>
      </x:c>
      <x:c r="G2363" t="n">
        <x:v>41573</x:v>
      </x:c>
      <x:c r="H2363" t="str">
        <x:v>5106</x:v>
      </x:c>
      <x:c r="I2363" t="str">
        <x:v>https://www.smwcentral.net/?a=details&amp;id=5106&amp;p=section</x:v>
      </x:c>
      <x:c r="J2363" t="str">
        <x:v>https://dl.smwcentral.net/5106/The%20Big%20Boo%27s%20Legion%202%20demo.zip</x:v>
      </x:c>
    </x:row>
    <x:row r="2364">
      <x:c r="A2364" t="str">
        <x:v>The Big Fish Chrisis</x:v>
      </x:c>
      <x:c r="B2364" t="str">
        <x:v>The Big Fish Chrisis</x:v>
      </x:c>
      <x:c r="C2364" t="str">
        <x:v>Klopenator</x:v>
      </x:c>
      <x:c r="D2364" t="n">
        <x:v>3</x:v>
      </x:c>
      <x:c r="E2364" t="str">
        <x:v>Casual</x:v>
      </x:c>
      <x:c r="F2364" t="str">
        <x:v>Standard</x:v>
      </x:c>
      <x:c r="G2364" t="n">
        <x:v>42040</x:v>
      </x:c>
      <x:c r="H2364" t="str">
        <x:v>9788</x:v>
      </x:c>
      <x:c r="I2364" t="str">
        <x:v>https://www.smwcentral.net/?a=details&amp;id=9788&amp;p=section</x:v>
      </x:c>
      <x:c r="J2364" t="str">
        <x:v>https://dl.smwcentral.net/9788/The%20Big%20Fish%20Chrisis.zip</x:v>
      </x:c>
    </x:row>
    <x:row r="2365">
      <x:c r="A2365" t="str">
        <x:v>The Big Five</x:v>
      </x:c>
      <x:c r="B2365" t="str">
        <x:v>The Big Five</x:v>
      </x:c>
      <x:c r="C2365" t="str">
        <x:v>Atomic-Citrus</x:v>
      </x:c>
      <x:c r="D2365" t="n">
        <x:v>5</x:v>
      </x:c>
      <x:c r="E2365" t="str">
        <x:v>Intermediate</x:v>
      </x:c>
      <x:c r="F2365" t="str">
        <x:v>Kaizo, Tool-Assisted</x:v>
      </x:c>
      <x:c r="G2365" t="n">
        <x:v>43520</x:v>
      </x:c>
      <x:c r="H2365" t="str">
        <x:v>18962</x:v>
      </x:c>
      <x:c r="I2365" t="str">
        <x:v>https://www.smwcentral.net/?a=details&amp;id=18962&amp;p=section</x:v>
      </x:c>
      <x:c r="J2365" t="str">
        <x:v>https://dl.smwcentral.net/18962/The%20Big%20Five.zip</x:v>
      </x:c>
    </x:row>
    <x:row r="2366">
      <x:c r="A2366" t="str">
        <x:v>The Bonus Rooms</x:v>
      </x:c>
      <x:c r="B2366" t="str">
        <x:v>The Bonus Rooms</x:v>
      </x:c>
      <x:c r="C2366" t="str">
        <x:v>Daizo Dee Von</x:v>
      </x:c>
      <x:c r="D2366" t="n">
        <x:v>0</x:v>
      </x:c>
      <x:c r="E2366" t="str">
        <x:v>Newcomer</x:v>
      </x:c>
      <x:c r="F2366" t="str">
        <x:v>Standard</x:v>
      </x:c>
      <x:c r="G2366" t="n">
        <x:v>45604</x:v>
      </x:c>
      <x:c r="H2366" t="str">
        <x:v>38710</x:v>
      </x:c>
      <x:c r="I2366" t="str">
        <x:v>https://www.smwcentral.net/?a=details&amp;id=38710&amp;p=section</x:v>
      </x:c>
      <x:c r="J2366" t="str">
        <x:v>https://dl.smwcentral.net/38710/%5BHack%5D%20The%20Bonus%20Rooms%20%28Official%29.zip</x:v>
      </x:c>
    </x:row>
    <x:row r="2367">
      <x:c r="A2367" t="str">
        <x:v>The Cave of Loathing</x:v>
      </x:c>
      <x:c r="B2367" t="str">
        <x:v>The Cave of Loathing</x:v>
      </x:c>
      <x:c r="C2367" t="str">
        <x:v>NixKillsMyths</x:v>
      </x:c>
      <x:c r="D2367" t="n">
        <x:v>1</x:v>
      </x:c>
      <x:c r="E2367" t="str">
        <x:v>Master</x:v>
      </x:c>
      <x:c r="F2367" t="str">
        <x:v>Kaizo</x:v>
      </x:c>
      <x:c r="G2367" t="n">
        <x:v>45074</x:v>
      </x:c>
      <x:c r="H2367" t="str">
        <x:v>33977</x:v>
      </x:c>
      <x:c r="I2367" t="str">
        <x:v>https://www.smwcentral.net/?a=details&amp;id=33977&amp;p=section</x:v>
      </x:c>
      <x:c r="J2367" t="str">
        <x:v>https://dl.smwcentral.net/33977/The%20Cave%20of%20Loathing%20%281.0%29.zip</x:v>
      </x:c>
    </x:row>
    <x:row r="2368">
      <x:c r="A2368" t="str">
        <x:v>The Cave of Loathing 2</x:v>
      </x:c>
      <x:c r="B2368" t="str">
        <x:v>The Cave of Loathing 2</x:v>
      </x:c>
      <x:c r="C2368" t="str">
        <x:v>NixKillsMyths</x:v>
      </x:c>
      <x:c r="D2368" t="n">
        <x:v>1</x:v>
      </x:c>
      <x:c r="E2368" t="str">
        <x:v>Grandmaster</x:v>
      </x:c>
      <x:c r="F2368" t="str">
        <x:v>Kaizo</x:v>
      </x:c>
      <x:c r="G2368" t="n">
        <x:v>46000</x:v>
      </x:c>
      <x:c r="H2368" t="str">
        <x:v>40774</x:v>
      </x:c>
      <x:c r="I2368" t="str">
        <x:v>https://www.smwcentral.net/?a=details&amp;id=40774&amp;p=section</x:v>
      </x:c>
      <x:c r="J2368" t="str">
        <x:v>https://dl.smwcentral.net/40774/The%20Cave%20of%20Loathing%202%20%281.0%29.zip</x:v>
      </x:c>
    </x:row>
    <x:row r="2369">
      <x:c r="A2369" t="str">
        <x:v>The Chamber of 32 Doors</x:v>
      </x:c>
      <x:c r="B2369" t="str">
        <x:v>The Chamber of 32 Doors</x:v>
      </x:c>
      <x:c r="C2369" t="str">
        <x:v>oyok</x:v>
      </x:c>
      <x:c r="D2369" t="n">
        <x:v>0</x:v>
      </x:c>
      <x:c r="E2369" t="str">
        <x:v>Expert</x:v>
      </x:c>
      <x:c r="F2369" t="str">
        <x:v>Kaizo</x:v>
      </x:c>
      <x:c r="G2369" t="n">
        <x:v>46090</x:v>
      </x:c>
      <x:c r="H2369" t="str">
        <x:v>41814</x:v>
      </x:c>
      <x:c r="I2369" t="str">
        <x:v>https://www.smwcentral.net/?a=details&amp;id=41814&amp;p=section</x:v>
      </x:c>
      <x:c r="J2369" t="str">
        <x:v>https://dl.smwcentral.net/41814/32.zip</x:v>
      </x:c>
    </x:row>
    <x:row r="2370">
      <x:c r="A2370" t="str">
        <x:v>The Clockwork Chronicles</x:v>
      </x:c>
      <x:c r="B2370" t="str">
        <x:v>The Clockwork Chronicles</x:v>
      </x:c>
      <x:c r="C2370" t="str">
        <x:v>Atomic-Citrus</x:v>
      </x:c>
      <x:c r="D2370" t="n">
        <x:v>12</x:v>
      </x:c>
      <x:c r="E2370" t="str">
        <x:v>Expert</x:v>
      </x:c>
      <x:c r="F2370" t="str">
        <x:v>Kaizo</x:v>
      </x:c>
      <x:c r="G2370" t="n">
        <x:v>43696</x:v>
      </x:c>
      <x:c r="H2370" t="str">
        <x:v>20855</x:v>
      </x:c>
      <x:c r="I2370" t="str">
        <x:v>https://www.smwcentral.net/?a=details&amp;id=20855&amp;p=section</x:v>
      </x:c>
      <x:c r="J2370" t="str">
        <x:v>https://dl.smwcentral.net/20855/The%20Clockwork%20Chronicles.zip</x:v>
      </x:c>
    </x:row>
    <x:row r="2371">
      <x:c r="A2371" t="str">
        <x:v>The Coin Hunt</x:v>
      </x:c>
      <x:c r="B2371" t="str">
        <x:v>The Coin Hunt</x:v>
      </x:c>
      <x:c r="C2371" t="str">
        <x:v>wye</x:v>
      </x:c>
      <x:c r="D2371" t="n">
        <x:v>6</x:v>
      </x:c>
      <x:c r="E2371" t="str">
        <x:v>Newcomer</x:v>
      </x:c>
      <x:c r="F2371" t="str">
        <x:v>Standard</x:v>
      </x:c>
      <x:c r="G2371" t="n">
        <x:v>42027</x:v>
      </x:c>
      <x:c r="H2371" t="str">
        <x:v>10557</x:v>
      </x:c>
      <x:c r="I2371" t="str">
        <x:v>https://www.smwcentral.net/?a=details&amp;id=10557&amp;p=section</x:v>
      </x:c>
      <x:c r="J2371" t="str">
        <x:v>https://dl.smwcentral.net/10557/TheCoinHunt_v1.zip</x:v>
      </x:c>
    </x:row>
    <x:row r="2372">
      <x:c r="A2372" t="str">
        <x:v>The Coin Hunt 2</x:v>
      </x:c>
      <x:c r="B2372" t="str">
        <x:v>The Coin Hunt 2</x:v>
      </x:c>
      <x:c r="C2372" t="str">
        <x:v>wye</x:v>
      </x:c>
      <x:c r="D2372" t="n">
        <x:v>9</x:v>
      </x:c>
      <x:c r="E2372" t="str">
        <x:v>Casual</x:v>
      </x:c>
      <x:c r="F2372" t="str">
        <x:v>Standard</x:v>
      </x:c>
      <x:c r="G2372" t="n">
        <x:v>41701</x:v>
      </x:c>
      <x:c r="H2372" t="str">
        <x:v>6331</x:v>
      </x:c>
      <x:c r="I2372" t="str">
        <x:v>https://www.smwcentral.net/?a=details&amp;id=6331&amp;p=section</x:v>
      </x:c>
      <x:c r="J2372" t="str">
        <x:v>https://dl.smwcentral.net/6331/TheCoinHunt2.zip</x:v>
      </x:c>
    </x:row>
    <x:row r="2373">
      <x:c r="A2373" t="str">
        <x:v>The Conventional Isle</x:v>
      </x:c>
      <x:c r="B2373" t="str">
        <x:v>The Conventional Isle</x:v>
      </x:c>
      <x:c r="C2373" t="str">
        <x:v>JeepySol</x:v>
      </x:c>
      <x:c r="D2373" t="n">
        <x:v>12</x:v>
      </x:c>
      <x:c r="E2373" t="str">
        <x:v>Expert</x:v>
      </x:c>
      <x:c r="F2373" t="str">
        <x:v>Kaizo</x:v>
      </x:c>
      <x:c r="G2373" t="n">
        <x:v>45603</x:v>
      </x:c>
      <x:c r="H2373" t="str">
        <x:v>38682</x:v>
      </x:c>
      <x:c r="I2373" t="str">
        <x:v>https://www.smwcentral.net/?a=details&amp;id=38682&amp;p=section</x:v>
      </x:c>
      <x:c r="J2373" t="str">
        <x:v>https://dl.smwcentral.net/38682/The%20Conventional%20Isle%20v1_1.zip</x:v>
      </x:c>
    </x:row>
    <x:row r="2374">
      <x:c r="A2374" t="str">
        <x:v>The Crimson Castle</x:v>
      </x:c>
      <x:c r="B2374" t="str">
        <x:v>The Crimson Castle</x:v>
      </x:c>
      <x:c r="C2374" t="str">
        <x:v>Redspyda9</x:v>
      </x:c>
      <x:c r="D2374" t="n">
        <x:v>14</x:v>
      </x:c>
      <x:c r="E2374" t="str">
        <x:v>Master</x:v>
      </x:c>
      <x:c r="F2374" t="str">
        <x:v>Kaizo</x:v>
      </x:c>
      <x:c r="G2374" t="n">
        <x:v>46101</x:v>
      </x:c>
      <x:c r="H2374" t="str">
        <x:v>41949</x:v>
      </x:c>
      <x:c r="I2374" t="str">
        <x:v>https://www.smwcentral.net/?a=details&amp;id=41949&amp;p=section</x:v>
      </x:c>
      <x:c r="J2374" t="str">
        <x:v>https://dl.smwcentral.net/41949/The%20Crimson%20Castle.zip</x:v>
      </x:c>
    </x:row>
    <x:row r="2375">
      <x:c r="A2375" t="str">
        <x:v>The Darkside REMASTERED</x:v>
      </x:c>
      <x:c r="B2375" t="str">
        <x:v>The Darkside REMASTERED</x:v>
      </x:c>
      <x:c r="C2375" t="str">
        <x:v>Insanit</x:v>
      </x:c>
      <x:c r="D2375" t="n">
        <x:v>12</x:v>
      </x:c>
      <x:c r="E2375" t="str">
        <x:v>Expert</x:v>
      </x:c>
      <x:c r="F2375" t="str">
        <x:v>Kaizo</x:v>
      </x:c>
      <x:c r="G2375" t="n">
        <x:v>45389</x:v>
      </x:c>
      <x:c r="H2375" t="str">
        <x:v>37477</x:v>
      </x:c>
      <x:c r="I2375" t="str">
        <x:v>https://www.smwcentral.net/?a=details&amp;id=37477&amp;p=section</x:v>
      </x:c>
      <x:c r="J2375" t="str">
        <x:v>https://dl.smwcentral.net/37477/The%20Darkside%20REMASTERED%5B1.3%5D.zip</x:v>
      </x:c>
    </x:row>
    <x:row r="2376">
      <x:c r="A2376" t="str">
        <x:v>The Devious Four Chronicles 3: The Crater</x:v>
      </x:c>
      <x:c r="B2376" t="str">
        <x:v>The Devious Four Chronicles 3: The Crater</x:v>
      </x:c>
      <x:c r="C2376" t="str">
        <x:v>Skewer, amhunter</x:v>
      </x:c>
      <x:c r="D2376" t="n">
        <x:v>100</x:v>
      </x:c>
      <x:c r="E2376" t="str">
        <x:v>Intermediate</x:v>
      </x:c>
      <x:c r="F2376" t="str">
        <x:v>Standard</x:v>
      </x:c>
      <x:c r="G2376" t="n">
        <x:v>42167</x:v>
      </x:c>
      <x:c r="H2376" t="str">
        <x:v>11441</x:v>
      </x:c>
      <x:c r="I2376" t="str">
        <x:v>https://www.smwcentral.net/?a=details&amp;id=11441&amp;p=section</x:v>
      </x:c>
      <x:c r="J2376" t="str">
        <x:v>https://dl.smwcentral.net/11441/Crater%201_32.zip</x:v>
      </x:c>
    </x:row>
    <x:row r="2377">
      <x:c r="A2377" t="str">
        <x:v>The Devious Four Chronicles 4: Hunter's Revenge ReVised</x:v>
      </x:c>
      <x:c r="B2377" t="str">
        <x:v>The Devious Four Chronicles 4: Hunter's Revenge ReVised</x:v>
      </x:c>
      <x:c r="C2377" t="str">
        <x:v>Skewer, amhunter</x:v>
      </x:c>
      <x:c r="D2377" t="n">
        <x:v>107</x:v>
      </x:c>
      <x:c r="E2377" t="str">
        <x:v>Intermediate</x:v>
      </x:c>
      <x:c r="F2377" t="str">
        <x:v>Standard</x:v>
      </x:c>
      <x:c r="G2377" t="n">
        <x:v>42594</x:v>
      </x:c>
      <x:c r="H2377" t="str">
        <x:v>13915</x:v>
      </x:c>
      <x:c r="I2377" t="str">
        <x:v>https://www.smwcentral.net/?a=details&amp;id=13915&amp;p=section</x:v>
      </x:c>
      <x:c r="J2377" t="str">
        <x:v>https://dl.smwcentral.net/13915/%234-Hunter%27sRevenge%201_1.zip</x:v>
      </x:c>
    </x:row>
    <x:row r="2378">
      <x:c r="A2378" t="str">
        <x:v>The Devious Four Chronicles 6 : The Fourth Sector</x:v>
      </x:c>
      <x:c r="B2378" t="str">
        <x:v>The Devious Four Chronicles 6 : The Fourth Sector</x:v>
      </x:c>
      <x:c r="C2378" t="str">
        <x:v>Skewer</x:v>
      </x:c>
      <x:c r="D2378" t="n">
        <x:v>102</x:v>
      </x:c>
      <x:c r="E2378" t="str">
        <x:v>Intermediate</x:v>
      </x:c>
      <x:c r="F2378" t="str">
        <x:v>Standard</x:v>
      </x:c>
      <x:c r="G2378" t="n">
        <x:v>41916</x:v>
      </x:c>
      <x:c r="H2378" t="str">
        <x:v>9170</x:v>
      </x:c>
      <x:c r="I2378" t="str">
        <x:v>https://www.smwcentral.net/?a=details&amp;id=9170&amp;p=section</x:v>
      </x:c>
      <x:c r="J2378" t="str">
        <x:v>https://dl.smwcentral.net/9170/%236-FourthSector1_7.zip</x:v>
      </x:c>
    </x:row>
    <x:row r="2379">
      <x:c r="A2379" t="str">
        <x:v>The Devious Four Chronicles 8 : Goddess Robes</x:v>
      </x:c>
      <x:c r="B2379" t="str">
        <x:v>The Devious Four Chronicles 8 : Goddess Robes</x:v>
      </x:c>
      <x:c r="C2379" t="str">
        <x:v>Skewer</x:v>
      </x:c>
      <x:c r="D2379" t="n">
        <x:v>23</x:v>
      </x:c>
      <x:c r="E2379" t="str">
        <x:v>Casual</x:v>
      </x:c>
      <x:c r="F2379" t="str">
        <x:v>Standard</x:v>
      </x:c>
      <x:c r="G2379" t="n">
        <x:v>41808</x:v>
      </x:c>
      <x:c r="H2379" t="str">
        <x:v>6693</x:v>
      </x:c>
      <x:c r="I2379" t="str">
        <x:v>https://www.smwcentral.net/?a=details&amp;id=6693&amp;p=section</x:v>
      </x:c>
      <x:c r="J2379" t="str">
        <x:v>https://dl.smwcentral.net/6693/TD4C%238-GoddessRobesDemo1_5.zip</x:v>
      </x:c>
    </x:row>
    <x:row r="2380">
      <x:c r="A2380" t="str">
        <x:v>The Dimensional Castle Starring Aeron</x:v>
      </x:c>
      <x:c r="B2380" t="str">
        <x:v>The Dimensional Castle Starring Aeron</x:v>
      </x:c>
      <x:c r="C2380" t="str">
        <x:v>Anorakun</x:v>
      </x:c>
      <x:c r="D2380" t="n">
        <x:v>4</x:v>
      </x:c>
      <x:c r="E2380" t="str">
        <x:v>Advanced</x:v>
      </x:c>
      <x:c r="F2380" t="str">
        <x:v>Standard, Kaizo</x:v>
      </x:c>
      <x:c r="G2380" t="n">
        <x:v>46113</x:v>
      </x:c>
      <x:c r="H2380" t="str">
        <x:v>41893</x:v>
      </x:c>
      <x:c r="I2380" t="str">
        <x:v>https://www.smwcentral.net/?a=details&amp;id=41893&amp;p=section</x:v>
      </x:c>
      <x:c r="J2380" t="str">
        <x:v>https://dl.smwcentral.net/41893/The%20Dimensional%20Castle%20Starring%20Aeron%20%28version%201.3.8.2%29.zip</x:v>
      </x:c>
    </x:row>
    <x:row r="2381">
      <x:c r="A2381" t="str">
        <x:v>The Duality of Mario</x:v>
      </x:c>
      <x:c r="B2381" t="str">
        <x:v>The Duality of Mario</x:v>
      </x:c>
      <x:c r="C2381" t="str">
        <x:v>AmazingChest</x:v>
      </x:c>
      <x:c r="D2381" t="n">
        <x:v>4</x:v>
      </x:c>
      <x:c r="E2381" t="str">
        <x:v>Expert</x:v>
      </x:c>
      <x:c r="F2381" t="str">
        <x:v>Kaizo</x:v>
      </x:c>
      <x:c r="G2381" t="n">
        <x:v>44592</x:v>
      </x:c>
      <x:c r="H2381" t="str">
        <x:v>29661</x:v>
      </x:c>
      <x:c r="I2381" t="str">
        <x:v>https://www.smwcentral.net/?a=details&amp;id=29661&amp;p=section</x:v>
      </x:c>
      <x:c r="J2381" t="str">
        <x:v>https://dl.smwcentral.net/29661/the-duality-of-mario.zip</x:v>
      </x:c>
    </x:row>
    <x:row r="2382">
      <x:c r="A2382" t="str">
        <x:v>The Eggs Of Saear</x:v>
      </x:c>
      <x:c r="B2382" t="str">
        <x:v>The Eggs Of Saear</x:v>
      </x:c>
      <x:c r="C2382" t="str">
        <x:v>Spade</x:v>
      </x:c>
      <x:c r="D2382" t="n">
        <x:v>32</x:v>
      </x:c>
      <x:c r="E2382" t="str">
        <x:v>Newcomer</x:v>
      </x:c>
      <x:c r="F2382" t="str">
        <x:v>Standard</x:v>
      </x:c>
      <x:c r="G2382" t="n">
        <x:v>41570</x:v>
      </x:c>
      <x:c r="H2382" t="str">
        <x:v>5161</x:v>
      </x:c>
      <x:c r="I2382" t="str">
        <x:v>https://www.smwcentral.net/?a=details&amp;id=5161&amp;p=section</x:v>
      </x:c>
      <x:c r="J2382" t="str">
        <x:v>https://dl.smwcentral.net/5161/TEOS%20Demo%204.zip</x:v>
      </x:c>
    </x:row>
    <x:row r="2383">
      <x:c r="A2383" t="str">
        <x:v>The Epic Quest Of Birdo The Pink Dinosaur</x:v>
      </x:c>
      <x:c r="B2383" t="str">
        <x:v>The Epic Quest Of Birdo The Pink Dinosaur</x:v>
      </x:c>
      <x:c r="C2383" t="str">
        <x:v>AjaTheVampire</x:v>
      </x:c>
      <x:c r="D2383" t="n">
        <x:v>34</x:v>
      </x:c>
      <x:c r="E2383" t="str">
        <x:v>Intermediate</x:v>
      </x:c>
      <x:c r="F2383" t="str">
        <x:v>Standard</x:v>
      </x:c>
      <x:c r="G2383" t="n">
        <x:v>44655</x:v>
      </x:c>
      <x:c r="H2383" t="str">
        <x:v>30186</x:v>
      </x:c>
      <x:c r="I2383" t="str">
        <x:v>https://www.smwcentral.net/?a=details&amp;id=30186&amp;p=section</x:v>
      </x:c>
      <x:c r="J2383" t="str">
        <x:v>https://dl.smwcentral.net/30186/TEQOBirdoThePinkDinsosaur%20v1.1.zip</x:v>
      </x:c>
    </x:row>
    <x:row r="2384">
      <x:c r="A2384" t="str">
        <x:v>The Epic Quest Of Birdo The Pink Dinosaur Dark Behaviours</x:v>
      </x:c>
      <x:c r="B2384" t="str">
        <x:v>The Epic Quest Of Birdo The Pink Dinosaur Dark Behaviours</x:v>
      </x:c>
      <x:c r="C2384" t="str">
        <x:v>AjaTheVampire</x:v>
      </x:c>
      <x:c r="D2384" t="n">
        <x:v>41</x:v>
      </x:c>
      <x:c r="E2384" t="str">
        <x:v>Intermediate</x:v>
      </x:c>
      <x:c r="F2384" t="str">
        <x:v>Standard</x:v>
      </x:c>
      <x:c r="G2384" t="n">
        <x:v>44736</x:v>
      </x:c>
      <x:c r="H2384" t="str">
        <x:v>31168</x:v>
      </x:c>
      <x:c r="I2384" t="str">
        <x:v>https://www.smwcentral.net/?a=details&amp;id=31168&amp;p=section</x:v>
      </x:c>
      <x:c r="J2384" t="str">
        <x:v>https://dl.smwcentral.net/31168/TEQOBirdoThePinkDinosaurDarkBehaviours%201.1.zip</x:v>
      </x:c>
    </x:row>
    <x:row r="2385">
      <x:c r="A2385" t="str">
        <x:v>The Epic Quest Of Birdo The Vampire Subcon Journey</x:v>
      </x:c>
      <x:c r="B2385" t="str">
        <x:v>The Epic Quest Of Birdo The Vampire Subcon Journey</x:v>
      </x:c>
      <x:c r="C2385" t="str">
        <x:v>AjaTheVampire</x:v>
      </x:c>
      <x:c r="D2385" t="n">
        <x:v>44</x:v>
      </x:c>
      <x:c r="E2385" t="str">
        <x:v>Intermediate</x:v>
      </x:c>
      <x:c r="F2385" t="str">
        <x:v>Standard</x:v>
      </x:c>
      <x:c r="G2385" t="n">
        <x:v>44914</x:v>
      </x:c>
      <x:c r="H2385" t="str">
        <x:v>32750</x:v>
      </x:c>
      <x:c r="I2385" t="str">
        <x:v>https://www.smwcentral.net/?a=details&amp;id=32750&amp;p=section</x:v>
      </x:c>
      <x:c r="J2385" t="str">
        <x:v>https://dl.smwcentral.net/32750/TEQOBirdoTheVampire%201.1.zip</x:v>
      </x:c>
    </x:row>
    <x:row r="2386">
      <x:c r="A2386" t="str">
        <x:v>The Evil Maze</x:v>
      </x:c>
      <x:c r="B2386" t="str">
        <x:v>The Evil Maze</x:v>
      </x:c>
      <x:c r="C2386" t="str">
        <x:v>limepie20</x:v>
      </x:c>
      <x:c r="D2386" t="n">
        <x:v>4</x:v>
      </x:c>
      <x:c r="E2386" t="str">
        <x:v>Intermediate</x:v>
      </x:c>
      <x:c r="F2386" t="str">
        <x:v>Standard</x:v>
      </x:c>
      <x:c r="G2386" t="n">
        <x:v>42345</x:v>
      </x:c>
      <x:c r="H2386" t="str">
        <x:v>10064</x:v>
      </x:c>
      <x:c r="I2386" t="str">
        <x:v>https://www.smwcentral.net/?a=details&amp;id=10064&amp;p=section</x:v>
      </x:c>
      <x:c r="J2386" t="str">
        <x:v>https://dl.smwcentral.net/10064/EvilMaze2.4.zip</x:v>
      </x:c>
    </x:row>
    <x:row r="2387">
      <x:c r="A2387" t="str">
        <x:v>The Expansion of the Combat Zone</x:v>
      </x:c>
      <x:c r="B2387" t="str">
        <x:v>The Expansion of the Combat Zone</x:v>
      </x:c>
      <x:c r="C2387" t="str">
        <x:v>Eden_</x:v>
      </x:c>
      <x:c r="D2387" t="n">
        <x:v>8</x:v>
      </x:c>
      <x:c r="E2387" t="str">
        <x:v>Grandmaster</x:v>
      </x:c>
      <x:c r="F2387" t="str">
        <x:v>Kaizo</x:v>
      </x:c>
      <x:c r="G2387" t="n">
        <x:v>45883</x:v>
      </x:c>
      <x:c r="H2387" t="str">
        <x:v>39986</x:v>
      </x:c>
      <x:c r="I2387" t="str">
        <x:v>https://www.smwcentral.net/?a=details&amp;id=39986&amp;p=section</x:v>
      </x:c>
      <x:c r="J2387" t="str">
        <x:v>https://dl.smwcentral.net/39986/CombatZone.zip</x:v>
      </x:c>
    </x:row>
    <x:row r="2388">
      <x:c r="A2388" t="str">
        <x:v>The Fallen Star</x:v>
      </x:c>
      <x:c r="B2388" t="str">
        <x:v>The Fallen Star</x:v>
      </x:c>
      <x:c r="C2388" t="str">
        <x:v>Ringo</x:v>
      </x:c>
      <x:c r="D2388" t="n">
        <x:v>8</x:v>
      </x:c>
      <x:c r="E2388" t="str">
        <x:v>Casual</x:v>
      </x:c>
      <x:c r="F2388" t="str">
        <x:v>Standard</x:v>
      </x:c>
      <x:c r="G2388" t="n">
        <x:v>45391</x:v>
      </x:c>
      <x:c r="H2388" t="str">
        <x:v>37607</x:v>
      </x:c>
      <x:c r="I2388" t="str">
        <x:v>https://www.smwcentral.net/?a=details&amp;id=37607&amp;p=section</x:v>
      </x:c>
      <x:c r="J2388" t="str">
        <x:v>https://dl.smwcentral.net/37607/TFSDemo1v1.3.zip</x:v>
      </x:c>
    </x:row>
    <x:row r="2389">
      <x:c r="A2389" t="str">
        <x:v>The Fellership</x:v>
      </x:c>
      <x:c r="B2389" t="str">
        <x:v>The Fellership</x:v>
      </x:c>
      <x:c r="C2389" t="str">
        <x:v>SolveForX, Team Slop</x:v>
      </x:c>
      <x:c r="D2389" t="n">
        <x:v>12</x:v>
      </x:c>
      <x:c r="E2389" t="str">
        <x:v>Expert</x:v>
      </x:c>
      <x:c r="F2389" t="str">
        <x:v>Kaizo</x:v>
      </x:c>
      <x:c r="G2389" t="n">
        <x:v>44972</x:v>
      </x:c>
      <x:c r="H2389" t="str">
        <x:v>33105</x:v>
      </x:c>
      <x:c r="I2389" t="str">
        <x:v>https://www.smwcentral.net/?a=details&amp;id=33105&amp;p=section</x:v>
      </x:c>
      <x:c r="J2389" t="str">
        <x:v>https://dl.smwcentral.net/33105/TheFellership.zip</x:v>
      </x:c>
    </x:row>
    <x:row r="2390">
      <x:c r="A2390" t="str">
        <x:v>The First Round</x:v>
      </x:c>
      <x:c r="B2390" t="str">
        <x:v>The First Round</x:v>
      </x:c>
      <x:c r="C2390" t="str">
        <x:v>GamesInTweed</x:v>
      </x:c>
      <x:c r="D2390" t="n">
        <x:v>0</x:v>
      </x:c>
      <x:c r="E2390" t="str">
        <x:v>Intermediate</x:v>
      </x:c>
      <x:c r="F2390" t="str">
        <x:v>Kaizo</x:v>
      </x:c>
      <x:c r="G2390" t="n">
        <x:v>45307</x:v>
      </x:c>
      <x:c r="H2390" t="str">
        <x:v>35612</x:v>
      </x:c>
      <x:c r="I2390" t="str">
        <x:v>https://www.smwcentral.net/?a=details&amp;id=35612&amp;p=section</x:v>
      </x:c>
      <x:c r="J2390" t="str">
        <x:v>https://dl.smwcentral.net/35612/The%20First%20Round%20v1.11.zip</x:v>
      </x:c>
    </x:row>
    <x:row r="2391">
      <x:c r="A2391" t="str">
        <x:v>the first smw hack that will ever be so lucky as to gain the luxury of leaving my pc</x:v>
      </x:c>
      <x:c r="B2391" t="str">
        <x:v>the first smw hack that will ever be so lucky as to gain the luxury of leaving my pc</x:v>
      </x:c>
      <x:c r="C2391" t="str">
        <x:v>DynastyLobster</x:v>
      </x:c>
      <x:c r="D2391" t="n">
        <x:v>13</x:v>
      </x:c>
      <x:c r="E2391" t="str">
        <x:v>Casual</x:v>
      </x:c>
      <x:c r="F2391" t="str">
        <x:v>Standard</x:v>
      </x:c>
      <x:c r="G2391" t="n">
        <x:v>42976</x:v>
      </x:c>
      <x:c r="H2391" t="str">
        <x:v>16046</x:v>
      </x:c>
      <x:c r="I2391" t="str">
        <x:v>https://www.smwcentral.net/?a=details&amp;id=16046&amp;p=section</x:v>
      </x:c>
      <x:c r="J2391" t="str">
        <x:v>https://dl.smwcentral.net/16046/TFSMWHTWEBSLATGTLOLMPC.zip</x:v>
      </x:c>
    </x:row>
    <x:row r="2392">
      <x:c r="A2392" t="str">
        <x:v>The Five "Five Room" Room Castle</x:v>
      </x:c>
      <x:c r="B2392" t="str">
        <x:v>The Five "Five Room" Room Castle</x:v>
      </x:c>
      <x:c r="C2392" t="str">
        <x:v>StayAtHomeStegosaurus</x:v>
      </x:c>
      <x:c r="D2392" t="n">
        <x:v>5</x:v>
      </x:c>
      <x:c r="E2392" t="str">
        <x:v>Master</x:v>
      </x:c>
      <x:c r="F2392" t="str">
        <x:v>Kaizo</x:v>
      </x:c>
      <x:c r="G2392" t="n">
        <x:v>45054</x:v>
      </x:c>
      <x:c r="H2392" t="str">
        <x:v>33734</x:v>
      </x:c>
      <x:c r="I2392" t="str">
        <x:v>https://www.smwcentral.net/?a=details&amp;id=33734&amp;p=section</x:v>
      </x:c>
      <x:c r="J2392" t="str">
        <x:v>https://dl.smwcentral.net/33734/TheFiveFiveRoomRoomCastle_V1.0.zip</x:v>
      </x:c>
    </x:row>
    <x:row r="2393">
      <x:c r="A2393" t="str">
        <x:v>The Forest of Rovaki</x:v>
      </x:c>
      <x:c r="B2393" t="str">
        <x:v>The Forest of Rovaki</x:v>
      </x:c>
      <x:c r="C2393" t="str">
        <x:v>Windveil</x:v>
      </x:c>
      <x:c r="D2393" t="n">
        <x:v>8</x:v>
      </x:c>
      <x:c r="E2393" t="str">
        <x:v>Newcomer</x:v>
      </x:c>
      <x:c r="F2393" t="str">
        <x:v>Standard</x:v>
      </x:c>
      <x:c r="G2393" t="n">
        <x:v>42259</x:v>
      </x:c>
      <x:c r="H2393" t="str">
        <x:v>9986</x:v>
      </x:c>
      <x:c r="I2393" t="str">
        <x:v>https://www.smwcentral.net/?a=details&amp;id=9986&amp;p=section</x:v>
      </x:c>
      <x:c r="J2393" t="str">
        <x:v>https://dl.smwcentral.net/9986/The%20Forest%20of%20Rovaki.zip</x:v>
      </x:c>
    </x:row>
    <x:row r="2394">
      <x:c r="A2394" t="str">
        <x:v>The Forever Mystery, Part One: Rescue!</x:v>
      </x:c>
      <x:c r="B2394" t="str">
        <x:v>The Forever Mystery, Part One: Rescue!</x:v>
      </x:c>
      <x:c r="C2394" t="str">
        <x:v>FPzero</x:v>
      </x:c>
      <x:c r="D2394" t="n">
        <x:v>49</x:v>
      </x:c>
      <x:c r="E2394" t="str">
        <x:v>Casual</x:v>
      </x:c>
      <x:c r="F2394" t="str">
        <x:v>Standard</x:v>
      </x:c>
      <x:c r="G2394" t="n">
        <x:v>42218</x:v>
      </x:c>
      <x:c r="H2394" t="str">
        <x:v>9824</x:v>
      </x:c>
      <x:c r="I2394" t="str">
        <x:v>https://www.smwcentral.net/?a=details&amp;id=9824&amp;p=section</x:v>
      </x:c>
      <x:c r="J2394" t="str">
        <x:v>https://dl.smwcentral.net/9824/Super%20Mario%20Eternity%200.7.1.zip</x:v>
      </x:c>
    </x:row>
    <x:row r="2395">
      <x:c r="A2395" t="str">
        <x:v>The Forever Mystery, Part Zero: Prologue</x:v>
      </x:c>
      <x:c r="B2395" t="str">
        <x:v>The Forever Mystery, Part Zero: Prologue</x:v>
      </x:c>
      <x:c r="C2395" t="str">
        <x:v>FPzero</x:v>
      </x:c>
      <x:c r="D2395" t="n">
        <x:v>7</x:v>
      </x:c>
      <x:c r="E2395" t="str">
        <x:v>Newcomer</x:v>
      </x:c>
      <x:c r="F2395" t="str">
        <x:v>Standard</x:v>
      </x:c>
      <x:c r="G2395" t="n">
        <x:v>41445</x:v>
      </x:c>
      <x:c r="H2395" t="str">
        <x:v>4972</x:v>
      </x:c>
      <x:c r="I2395" t="str">
        <x:v>https://www.smwcentral.net/?a=details&amp;id=4972&amp;p=section</x:v>
      </x:c>
      <x:c r="J2395" t="str">
        <x:v>https://dl.smwcentral.net/4972/Forever%20Mystery%20Prologue.zip</x:v>
      </x:c>
    </x:row>
    <x:row r="2396">
      <x:c r="A2396" t="str">
        <x:v>The Forgotten Island</x:v>
      </x:c>
      <x:c r="B2396" t="str">
        <x:v>The Forgotten Island</x:v>
      </x:c>
      <x:c r="C2396" t="str">
        <x:v>I8Strudel</x:v>
      </x:c>
      <x:c r="D2396" t="n">
        <x:v>22</x:v>
      </x:c>
      <x:c r="E2396" t="str">
        <x:v>Casual</x:v>
      </x:c>
      <x:c r="F2396" t="str">
        <x:v>Standard</x:v>
      </x:c>
      <x:c r="G2396" t="n">
        <x:v>42243</x:v>
      </x:c>
      <x:c r="H2396" t="str">
        <x:v>9935</x:v>
      </x:c>
      <x:c r="I2396" t="str">
        <x:v>https://www.smwcentral.net/?a=details&amp;id=9935&amp;p=section</x:v>
      </x:c>
      <x:c r="J2396" t="str">
        <x:v>https://dl.smwcentral.net/9935/The_Forgotten_Island.zip</x:v>
      </x:c>
    </x:row>
    <x:row r="2397">
      <x:c r="A2397" t="str">
        <x:v>The Fort</x:v>
      </x:c>
      <x:c r="B2397" t="str">
        <x:v>The Fort</x:v>
      </x:c>
      <x:c r="C2397" t="str">
        <x:v>Ostix, Silverfox, Trollope</x:v>
      </x:c>
      <x:c r="D2397" t="n">
        <x:v>1</x:v>
      </x:c>
      <x:c r="E2397" t="str">
        <x:v>Intermediate</x:v>
      </x:c>
      <x:c r="F2397" t="str">
        <x:v>Kaizo, Tool-Assisted</x:v>
      </x:c>
      <x:c r="G2397" t="n">
        <x:v>41808</x:v>
      </x:c>
      <x:c r="H2397" t="str">
        <x:v>6130</x:v>
      </x:c>
      <x:c r="I2397" t="str">
        <x:v>https://www.smwcentral.net/?a=details&amp;id=6130&amp;p=section</x:v>
      </x:c>
      <x:c r="J2397" t="str">
        <x:v>https://dl.smwcentral.net/6130/The_Fort.zip</x:v>
      </x:c>
    </x:row>
    <x:row r="2398">
      <x:c r="A2398" t="str">
        <x:v>The Found Levels featuring Aeron</x:v>
      </x:c>
      <x:c r="B2398" t="str">
        <x:v>The Found Levels featuring Aeron</x:v>
      </x:c>
      <x:c r="C2398" t="str">
        <x:v>Anorakun</x:v>
      </x:c>
      <x:c r="D2398" t="n">
        <x:v>9</x:v>
      </x:c>
      <x:c r="E2398" t="str">
        <x:v>Advanced</x:v>
      </x:c>
      <x:c r="F2398" t="str">
        <x:v>Standard, Kaizo</x:v>
      </x:c>
      <x:c r="G2398" t="n">
        <x:v>46132</x:v>
      </x:c>
      <x:c r="H2398" t="str">
        <x:v>42166</x:v>
      </x:c>
      <x:c r="I2398" t="str">
        <x:v>https://www.smwcentral.net/?a=details&amp;id=42166&amp;p=section</x:v>
      </x:c>
      <x:c r="J2398" t="str">
        <x:v>https://dl.smwcentral.net/42166/The%20Found%20Levels%20featuring%20Aeron%20%28version%201.4.5%29.zip</x:v>
      </x:c>
    </x:row>
    <x:row r="2399">
      <x:c r="A2399" t="str">
        <x:v>The Four Boos of the Apocalypse</x:v>
      </x:c>
      <x:c r="B2399" t="str">
        <x:v>The Four Boos of the Apocalypse</x:v>
      </x:c>
      <x:c r="C2399" t="str">
        <x:v>Redspyda9</x:v>
      </x:c>
      <x:c r="D2399" t="n">
        <x:v>16</x:v>
      </x:c>
      <x:c r="E2399" t="str">
        <x:v>Grandmaster</x:v>
      </x:c>
      <x:c r="F2399" t="str">
        <x:v>Kaizo</x:v>
      </x:c>
      <x:c r="G2399" t="n">
        <x:v>46116</x:v>
      </x:c>
      <x:c r="H2399" t="str">
        <x:v>42107</x:v>
      </x:c>
      <x:c r="I2399" t="str">
        <x:v>https://www.smwcentral.net/?a=details&amp;id=42107&amp;p=section</x:v>
      </x:c>
      <x:c r="J2399" t="str">
        <x:v>https://dl.smwcentral.net/42107/4BoosOfTheApocalypse.zip</x:v>
      </x:c>
    </x:row>
    <x:row r="2400">
      <x:c r="A2400" t="str">
        <x:v>The Fragmented Realm</x:v>
      </x:c>
      <x:c r="B2400" t="str">
        <x:v>The Fragmented Realm</x:v>
      </x:c>
      <x:c r="C2400" t="str">
        <x:v>Dan</x:v>
      </x:c>
      <x:c r="D2400" t="n">
        <x:v>12</x:v>
      </x:c>
      <x:c r="E2400" t="str">
        <x:v>Casual</x:v>
      </x:c>
      <x:c r="F2400" t="str">
        <x:v>Standard</x:v>
      </x:c>
      <x:c r="G2400" t="n">
        <x:v>42783</x:v>
      </x:c>
      <x:c r="H2400" t="str">
        <x:v>15202</x:v>
      </x:c>
      <x:c r="I2400" t="str">
        <x:v>https://www.smwcentral.net/?a=details&amp;id=15202&amp;p=section</x:v>
      </x:c>
      <x:c r="J2400" t="str">
        <x:v>https://dl.smwcentral.net/15202/The_Fragmented_Realm_-_Demo_2.zip</x:v>
      </x:c>
    </x:row>
    <x:row r="2401">
      <x:c r="A2401" t="str">
        <x:v>The Friends We Made</x:v>
      </x:c>
      <x:c r="B2401" t="str">
        <x:v>The Friends We Made</x:v>
      </x:c>
      <x:c r="C2401" t="str">
        <x:v>Jibjig</x:v>
      </x:c>
      <x:c r="D2401" t="n">
        <x:v>18</x:v>
      </x:c>
      <x:c r="E2401" t="str">
        <x:v>Master</x:v>
      </x:c>
      <x:c r="F2401" t="str">
        <x:v>Kaizo</x:v>
      </x:c>
      <x:c r="G2401" t="n">
        <x:v>44670</x:v>
      </x:c>
      <x:c r="H2401" t="str">
        <x:v>30014</x:v>
      </x:c>
      <x:c r="I2401" t="str">
        <x:v>https://www.smwcentral.net/?a=details&amp;id=30014&amp;p=section</x:v>
      </x:c>
      <x:c r="J2401" t="str">
        <x:v>https://dl.smwcentral.net/30014/TFWM1.1.zip</x:v>
      </x:c>
    </x:row>
    <x:row r="2402">
      <x:c r="A2402" t="str">
        <x:v>The Fugue</x:v>
      </x:c>
      <x:c r="B2402" t="str">
        <x:v>The Fugue</x:v>
      </x:c>
      <x:c r="C2402" t="str">
        <x:v>NewPointless</x:v>
      </x:c>
      <x:c r="D2402" t="n">
        <x:v>0</x:v>
      </x:c>
      <x:c r="E2402" t="str">
        <x:v>Newcomer</x:v>
      </x:c>
      <x:c r="F2402" t="str">
        <x:v>Standard</x:v>
      </x:c>
      <x:c r="G2402" t="n">
        <x:v>45961</x:v>
      </x:c>
      <x:c r="H2402" t="str">
        <x:v>40917</x:v>
      </x:c>
      <x:c r="I2402" t="str">
        <x:v>https://www.smwcentral.net/?a=details&amp;id=40917&amp;p=section</x:v>
      </x:c>
      <x:c r="J2402" t="str">
        <x:v>https://dl.smwcentral.net/40917/TheFugue1_1.zip</x:v>
      </x:c>
    </x:row>
    <x:row r="2403">
      <x:c r="A2403" t="str">
        <x:v>The Gatekeeper Strikes Again!!!</x:v>
      </x:c>
      <x:c r="B2403" t="str">
        <x:v>The Gatekeeper Strikes Again!!!</x:v>
      </x:c>
      <x:c r="C2403" t="str">
        <x:v>Gamet2004</x:v>
      </x:c>
      <x:c r="D2403" t="n">
        <x:v>17</x:v>
      </x:c>
      <x:c r="E2403" t="str">
        <x:v>Intermediate</x:v>
      </x:c>
      <x:c r="F2403" t="str">
        <x:v>Standard</x:v>
      </x:c>
      <x:c r="G2403" t="n">
        <x:v>45696</x:v>
      </x:c>
      <x:c r="H2403" t="str">
        <x:v>39021</x:v>
      </x:c>
      <x:c r="I2403" t="str">
        <x:v>https://www.smwcentral.net/?a=details&amp;id=39021&amp;p=section</x:v>
      </x:c>
      <x:c r="J2403" t="str">
        <x:v>https://dl.smwcentral.net/39021/Gatekeeper.zip</x:v>
      </x:c>
    </x:row>
    <x:row r="2404">
      <x:c r="A2404" t="str">
        <x:v>The Getaway</x:v>
      </x:c>
      <x:c r="B2404" t="str">
        <x:v>The Getaway</x:v>
      </x:c>
      <x:c r="C2404" t="str">
        <x:v>Parahax</x:v>
      </x:c>
      <x:c r="D2404" t="n">
        <x:v>8</x:v>
      </x:c>
      <x:c r="E2404" t="str">
        <x:v>Expert</x:v>
      </x:c>
      <x:c r="F2404" t="str">
        <x:v>Kaizo</x:v>
      </x:c>
      <x:c r="G2404" t="n">
        <x:v>44736</x:v>
      </x:c>
      <x:c r="H2404" t="str">
        <x:v>31221</x:v>
      </x:c>
      <x:c r="I2404" t="str">
        <x:v>https://www.smwcentral.net/?a=details&amp;id=31221&amp;p=section</x:v>
      </x:c>
      <x:c r="J2404" t="str">
        <x:v>https://dl.smwcentral.net/31221/The%20Getaway%201.12.zip</x:v>
      </x:c>
    </x:row>
    <x:row r="2405">
      <x:c r="A2405" t="str">
        <x:v>The Grassy Plains</x:v>
      </x:c>
      <x:c r="B2405" t="str">
        <x:v>The Grassy Plains</x:v>
      </x:c>
      <x:c r="C2405" t="str">
        <x:v>pieguy184</x:v>
      </x:c>
      <x:c r="D2405" t="n">
        <x:v>4</x:v>
      </x:c>
      <x:c r="E2405" t="str">
        <x:v>Casual</x:v>
      </x:c>
      <x:c r="F2405" t="str">
        <x:v>Standard</x:v>
      </x:c>
      <x:c r="G2405" t="n">
        <x:v>42163</x:v>
      </x:c>
      <x:c r="H2405" t="str">
        <x:v>9955</x:v>
      </x:c>
      <x:c r="I2405" t="str">
        <x:v>https://www.smwcentral.net/?a=details&amp;id=9955&amp;p=section</x:v>
      </x:c>
      <x:c r="J2405" t="str">
        <x:v>https://dl.smwcentral.net/9955/TheGrassyPlains.zip</x:v>
      </x:c>
    </x:row>
    <x:row r="2406">
      <x:c r="A2406" t="str">
        <x:v>The Great Giana Sisters</x:v>
      </x:c>
      <x:c r="B2406" t="str">
        <x:v>The Great Giana Sisters</x:v>
      </x:c>
      <x:c r="C2406" t="str">
        <x:v>Big Brawler</x:v>
      </x:c>
      <x:c r="D2406" t="n">
        <x:v>33</x:v>
      </x:c>
      <x:c r="E2406" t="str">
        <x:v>Newcomer</x:v>
      </x:c>
      <x:c r="F2406" t="str">
        <x:v>Standard</x:v>
      </x:c>
      <x:c r="G2406" t="n">
        <x:v>42445</x:v>
      </x:c>
      <x:c r="H2406" t="str">
        <x:v>13430</x:v>
      </x:c>
      <x:c r="I2406" t="str">
        <x:v>https://www.smwcentral.net/?a=details&amp;id=13430&amp;p=section</x:v>
      </x:c>
      <x:c r="J2406" t="str">
        <x:v>https://dl.smwcentral.net/13430/The%20Great%20Giana%20Sisters.zip</x:v>
      </x:c>
    </x:row>
    <x:row r="2407">
      <x:c r="A2407" t="str">
        <x:v>The Great Giana Sisters 2: Another Generical Hack</x:v>
      </x:c>
      <x:c r="B2407" t="str">
        <x:v>The Great Giana Sisters 2: Another Generical Hack</x:v>
      </x:c>
      <x:c r="C2407" t="str">
        <x:v>Big Brawler</x:v>
      </x:c>
      <x:c r="D2407" t="n">
        <x:v>28</x:v>
      </x:c>
      <x:c r="E2407" t="str">
        <x:v>Advanced</x:v>
      </x:c>
      <x:c r="F2407" t="str">
        <x:v>Standard</x:v>
      </x:c>
      <x:c r="G2407" t="n">
        <x:v>42695</x:v>
      </x:c>
      <x:c r="H2407" t="str">
        <x:v>14627</x:v>
      </x:c>
      <x:c r="I2407" t="str">
        <x:v>https://www.smwcentral.net/?a=details&amp;id=14627&amp;p=section</x:v>
      </x:c>
      <x:c r="J2407" t="str">
        <x:v>https://dl.smwcentral.net/14627/The%20Great%20Giana%20Sisters%202%20-%20Another%20Generical%20Hack.zip</x:v>
      </x:c>
    </x:row>
    <x:row r="2408">
      <x:c r="A2408" t="str">
        <x:v>The Great Giana Sisters 3: The Forgotten Dream</x:v>
      </x:c>
      <x:c r="B2408" t="str">
        <x:v>The Great Giana Sisters 3: The Forgotten Dream</x:v>
      </x:c>
      <x:c r="C2408" t="str">
        <x:v>Big Brawler</x:v>
      </x:c>
      <x:c r="D2408" t="n">
        <x:v>5</x:v>
      </x:c>
      <x:c r="E2408" t="str">
        <x:v>Advanced</x:v>
      </x:c>
      <x:c r="F2408" t="str">
        <x:v>Standard</x:v>
      </x:c>
      <x:c r="G2408" t="n">
        <x:v>42697</x:v>
      </x:c>
      <x:c r="H2408" t="str">
        <x:v>14671</x:v>
      </x:c>
      <x:c r="I2408" t="str">
        <x:v>https://www.smwcentral.net/?a=details&amp;id=14671&amp;p=section</x:v>
      </x:c>
      <x:c r="J2408" t="str">
        <x:v>https://dl.smwcentral.net/14671/The%20Great%20Giana%20Sisters%203%20-%20The%20Forrgoten%20Dream%20Demo1.zip</x:v>
      </x:c>
    </x:row>
    <x:row r="2409">
      <x:c r="A2409" t="str">
        <x:v>The Great Search</x:v>
      </x:c>
      <x:c r="B2409" t="str">
        <x:v>The Great Search</x:v>
      </x:c>
      <x:c r="C2409" t="str">
        <x:v>Easy Difficulty</x:v>
      </x:c>
      <x:c r="D2409" t="n">
        <x:v>0</x:v>
      </x:c>
      <x:c r="E2409" t="str">
        <x:v>Intermediate</x:v>
      </x:c>
      <x:c r="F2409" t="str">
        <x:v>Standard</x:v>
      </x:c>
      <x:c r="G2409" t="n">
        <x:v>45177</x:v>
      </x:c>
      <x:c r="H2409" t="str">
        <x:v>34298</x:v>
      </x:c>
      <x:c r="I2409" t="str">
        <x:v>https://www.smwcentral.net/?a=details&amp;id=34298&amp;p=section</x:v>
      </x:c>
      <x:c r="J2409" t="str">
        <x:v>https://dl.smwcentral.net/34298/The%20Great%20Search.zip</x:v>
      </x:c>
    </x:row>
    <x:row r="2410">
      <x:c r="A2410" t="str">
        <x:v>The Green Plumber's Adventure: A Future Prequel</x:v>
      </x:c>
      <x:c r="B2410" t="str">
        <x:v>The Green Plumber's Adventure: A Future Prequel</x:v>
      </x:c>
      <x:c r="C2410" t="str">
        <x:v>Super Buzzy Yoshi, TheOrangeToad</x:v>
      </x:c>
      <x:c r="D2410" t="n">
        <x:v>12</x:v>
      </x:c>
      <x:c r="E2410" t="str">
        <x:v>Casual</x:v>
      </x:c>
      <x:c r="F2410" t="str">
        <x:v>Standard</x:v>
      </x:c>
      <x:c r="G2410" t="n">
        <x:v>44428</x:v>
      </x:c>
      <x:c r="H2410" t="str">
        <x:v>27980</x:v>
      </x:c>
      <x:c r="I2410" t="str">
        <x:v>https://www.smwcentral.net/?a=details&amp;id=27980&amp;p=section</x:v>
      </x:c>
      <x:c r="J2410" t="str">
        <x:v>https://dl.smwcentral.net/27980/TGPAAFPDemo.zip</x:v>
      </x:c>
    </x:row>
    <x:row r="2411">
      <x:c r="A2411" t="str">
        <x:v>The grey chapter</x:v>
      </x:c>
      <x:c r="B2411" t="str">
        <x:v>The grey chapter</x:v>
      </x:c>
      <x:c r="C2411" t="str">
        <x:v>Lush_50</x:v>
      </x:c>
      <x:c r="D2411" t="n">
        <x:v>4</x:v>
      </x:c>
      <x:c r="E2411" t="str">
        <x:v>Expert</x:v>
      </x:c>
      <x:c r="F2411" t="str">
        <x:v>Kaizo</x:v>
      </x:c>
      <x:c r="G2411" t="n">
        <x:v>44613</x:v>
      </x:c>
      <x:c r="H2411" t="str">
        <x:v>29915</x:v>
      </x:c>
      <x:c r="I2411" t="str">
        <x:v>https://www.smwcentral.net/?a=details&amp;id=29915&amp;p=section</x:v>
      </x:c>
      <x:c r="J2411" t="str">
        <x:v>https://dl.smwcentral.net/29915/The%20grey%20chapter.zip</x:v>
      </x:c>
    </x:row>
    <x:row r="2412">
      <x:c r="A2412" t="str">
        <x:v>The Hackening</x:v>
      </x:c>
      <x:c r="B2412" t="str">
        <x:v>The Hackening</x:v>
      </x:c>
      <x:c r="C2412" t="str">
        <x:v>Captain_Hacko</x:v>
      </x:c>
      <x:c r="D2412" t="n">
        <x:v>7</x:v>
      </x:c>
      <x:c r="E2412" t="str">
        <x:v>Expert</x:v>
      </x:c>
      <x:c r="F2412" t="str">
        <x:v>Kaizo</x:v>
      </x:c>
      <x:c r="G2412" t="n">
        <x:v>44519</x:v>
      </x:c>
      <x:c r="H2412" t="str">
        <x:v>28709</x:v>
      </x:c>
      <x:c r="I2412" t="str">
        <x:v>https://www.smwcentral.net/?a=details&amp;id=28709&amp;p=section</x:v>
      </x:c>
      <x:c r="J2412" t="str">
        <x:v>https://dl.smwcentral.net/28709/The%20Hackening.zip</x:v>
      </x:c>
    </x:row>
    <x:row r="2413">
      <x:c r="A2413" t="str">
        <x:v>The Hackrooms</x:v>
      </x:c>
      <x:c r="B2413" t="str">
        <x:v>The Hackrooms</x:v>
      </x:c>
      <x:c r="C2413" t="str">
        <x:v>Donut</x:v>
      </x:c>
      <x:c r="D2413" t="n">
        <x:v>0</x:v>
      </x:c>
      <x:c r="E2413" t="str">
        <x:v>Advanced</x:v>
      </x:c>
      <x:c r="F2413" t="str">
        <x:v>Standard</x:v>
      </x:c>
      <x:c r="G2413" t="n">
        <x:v>45898</x:v>
      </x:c>
      <x:c r="H2413" t="str">
        <x:v>40345</x:v>
      </x:c>
      <x:c r="I2413" t="str">
        <x:v>https://www.smwcentral.net/?a=details&amp;id=40345&amp;p=section</x:v>
      </x:c>
      <x:c r="J2413" t="str">
        <x:v>https://dl.smwcentral.net/40345/The_Hackrooms.zip</x:v>
      </x:c>
    </x:row>
    <x:row r="2414">
      <x:c r="A2414" t="str">
        <x:v>The Halloween Island</x:v>
      </x:c>
      <x:c r="B2414" t="str">
        <x:v>The Halloween Island</x:v>
      </x:c>
      <x:c r="C2414" t="str">
        <x:v>Green Jerry</x:v>
      </x:c>
      <x:c r="D2414" t="n">
        <x:v>9</x:v>
      </x:c>
      <x:c r="E2414" t="str">
        <x:v>Casual</x:v>
      </x:c>
      <x:c r="F2414" t="str">
        <x:v>Standard</x:v>
      </x:c>
      <x:c r="G2414" t="n">
        <x:v>43770</x:v>
      </x:c>
      <x:c r="H2414" t="str">
        <x:v>21388</x:v>
      </x:c>
      <x:c r="I2414" t="str">
        <x:v>https://www.smwcentral.net/?a=details&amp;id=21388&amp;p=section</x:v>
      </x:c>
      <x:c r="J2414" t="str">
        <x:v>https://dl.smwcentral.net/21388/The%20Halloween%20Island%20V1.2.zip</x:v>
      </x:c>
    </x:row>
    <x:row r="2415">
      <x:c r="A2415" t="str">
        <x:v>The Hand Of Chaos</x:v>
      </x:c>
      <x:c r="B2415" t="str">
        <x:v>The Hand Of Chaos</x:v>
      </x:c>
      <x:c r="C2415" t="str">
        <x:v>Forsequad</x:v>
      </x:c>
      <x:c r="D2415" t="n">
        <x:v>9</x:v>
      </x:c>
      <x:c r="E2415" t="str">
        <x:v>Casual</x:v>
      </x:c>
      <x:c r="F2415" t="str">
        <x:v>Standard</x:v>
      </x:c>
      <x:c r="G2415" t="n">
        <x:v>41545</x:v>
      </x:c>
      <x:c r="H2415" t="str">
        <x:v>5588</x:v>
      </x:c>
      <x:c r="I2415" t="str">
        <x:v>https://www.smwcentral.net/?a=details&amp;id=5588&amp;p=section</x:v>
      </x:c>
      <x:c r="J2415" t="str">
        <x:v>https://dl.smwcentral.net/5588/THOCDEMOFIXED.zip</x:v>
      </x:c>
    </x:row>
    <x:row r="2416">
      <x:c r="A2416" t="str">
        <x:v>The Hangover</x:v>
      </x:c>
      <x:c r="B2416" t="str">
        <x:v>The Hangover</x:v>
      </x:c>
      <x:c r="C2416" t="str">
        <x:v>TheMorganah</x:v>
      </x:c>
      <x:c r="D2416" t="n">
        <x:v>53</x:v>
      </x:c>
      <x:c r="E2416" t="str">
        <x:v>Casual</x:v>
      </x:c>
      <x:c r="F2416" t="str">
        <x:v>Standard</x:v>
      </x:c>
      <x:c r="G2416" t="n">
        <x:v>42484</x:v>
      </x:c>
      <x:c r="H2416" t="str">
        <x:v>13602</x:v>
      </x:c>
      <x:c r="I2416" t="str">
        <x:v>https://www.smwcentral.net/?a=details&amp;id=13602&amp;p=section</x:v>
      </x:c>
      <x:c r="J2416" t="str">
        <x:v>https://dl.smwcentral.net/13602/The%20Hangover%20V1.0.zip</x:v>
      </x:c>
    </x:row>
    <x:row r="2417">
      <x:c r="A2417" t="str">
        <x:v>The Hard</x:v>
      </x:c>
      <x:c r="B2417" t="str">
        <x:v>The Hard</x:v>
      </x:c>
      <x:c r="C2417" t="str">
        <x:v>kurtistrydiz</x:v>
      </x:c>
      <x:c r="D2417" t="n">
        <x:v>13</x:v>
      </x:c>
      <x:c r="E2417" t="str">
        <x:v>Grandmaster</x:v>
      </x:c>
      <x:c r="F2417" t="str">
        <x:v>Kaizo</x:v>
      </x:c>
      <x:c r="G2417" t="n">
        <x:v>45377</x:v>
      </x:c>
      <x:c r="H2417" t="str">
        <x:v>34341</x:v>
      </x:c>
      <x:c r="I2417" t="str">
        <x:v>https://www.smwcentral.net/?a=details&amp;id=34341&amp;p=section</x:v>
      </x:c>
      <x:c r="J2417" t="str">
        <x:v>https://dl.smwcentral.net/34341/The%20The%20Hard.zip</x:v>
      </x:c>
    </x:row>
    <x:row r="2418">
      <x:c r="A2418" t="str">
        <x:v>The Haunt</x:v>
      </x:c>
      <x:c r="B2418" t="str">
        <x:v>The Haunt</x:v>
      </x:c>
      <x:c r="C2418" t="str">
        <x:v>CaseP</x:v>
      </x:c>
      <x:c r="D2418" t="n">
        <x:v>2</x:v>
      </x:c>
      <x:c r="E2418" t="str">
        <x:v>Casual</x:v>
      </x:c>
      <x:c r="F2418" t="str">
        <x:v>Standard</x:v>
      </x:c>
      <x:c r="G2418" t="n">
        <x:v>41521</x:v>
      </x:c>
      <x:c r="H2418" t="str">
        <x:v>5082</x:v>
      </x:c>
      <x:c r="I2418" t="str">
        <x:v>https://www.smwcentral.net/?a=details&amp;id=5082&amp;p=section</x:v>
      </x:c>
      <x:c r="J2418" t="str">
        <x:v>https://dl.smwcentral.net/5082/The%20Haunt.zip</x:v>
      </x:c>
    </x:row>
    <x:row r="2419">
      <x:c r="A2419" t="str">
        <x:v>The Haunted Desert: OLD EDITION</x:v>
      </x:c>
      <x:c r="B2419" t="str">
        <x:v>The Haunted Desert: OLD EDITION</x:v>
      </x:c>
      <x:c r="C2419" t="str">
        <x:v>Crispy, Dan, Hadron</x:v>
      </x:c>
      <x:c r="D2419" t="n">
        <x:v>1</x:v>
      </x:c>
      <x:c r="E2419" t="str">
        <x:v>Intermediate</x:v>
      </x:c>
      <x:c r="F2419" t="str">
        <x:v>Standard</x:v>
      </x:c>
      <x:c r="G2419" t="n">
        <x:v>42691</x:v>
      </x:c>
      <x:c r="H2419" t="str">
        <x:v>14657</x:v>
      </x:c>
      <x:c r="I2419" t="str">
        <x:v>https://www.smwcentral.net/?a=details&amp;id=14657&amp;p=section</x:v>
      </x:c>
      <x:c r="J2419" t="str">
        <x:v>https://dl.smwcentral.net/14657/The%20Haunted%20Desert%20OLD%20EDITION.zip</x:v>
      </x:c>
    </x:row>
    <x:row r="2420">
      <x:c r="A2420" t="str">
        <x:v>The Haunted Desert: REMASTERED</x:v>
      </x:c>
      <x:c r="B2420" t="str">
        <x:v>The Haunted Desert: REMASTERED</x:v>
      </x:c>
      <x:c r="C2420" t="str">
        <x:v>Dan</x:v>
      </x:c>
      <x:c r="D2420" t="n">
        <x:v>0</x:v>
      </x:c>
      <x:c r="E2420" t="str">
        <x:v>Casual</x:v>
      </x:c>
      <x:c r="F2420" t="str">
        <x:v>Standard</x:v>
      </x:c>
      <x:c r="G2420" t="n">
        <x:v>42691</x:v>
      </x:c>
      <x:c r="H2420" t="str">
        <x:v>14592</x:v>
      </x:c>
      <x:c r="I2420" t="str">
        <x:v>https://www.smwcentral.net/?a=details&amp;id=14592&amp;p=section</x:v>
      </x:c>
      <x:c r="J2420" t="str">
        <x:v>https://dl.smwcentral.net/14592/The%20Haunted%20Desert%20REMASTERED.zip</x:v>
      </x:c>
    </x:row>
    <x:row r="2421">
      <x:c r="A2421" t="str">
        <x:v>The Hodgepodge: A Collection of Would Be Scrapped Levels</x:v>
      </x:c>
      <x:c r="B2421" t="str">
        <x:v>The Hodgepodge: A Collection of Would Be Scrapped Levels</x:v>
      </x:c>
      <x:c r="C2421" t="str">
        <x:v>Jamie, Kr00mmi</x:v>
      </x:c>
      <x:c r="D2421" t="n">
        <x:v>10</x:v>
      </x:c>
      <x:c r="E2421" t="str">
        <x:v>Expert</x:v>
      </x:c>
      <x:c r="F2421" t="str">
        <x:v>Kaizo</x:v>
      </x:c>
      <x:c r="G2421" t="n">
        <x:v>45047</x:v>
      </x:c>
      <x:c r="H2421" t="str">
        <x:v>33813</x:v>
      </x:c>
      <x:c r="I2421" t="str">
        <x:v>https://www.smwcentral.net/?a=details&amp;id=33813&amp;p=section</x:v>
      </x:c>
      <x:c r="J2421" t="str">
        <x:v>https://dl.smwcentral.net/33813/The%20Hodgepodge.zip</x:v>
      </x:c>
    </x:row>
    <x:row r="2422">
      <x:c r="A2422" t="str">
        <x:v>The Hooray! - Fishing Season</x:v>
      </x:c>
      <x:c r="B2422" t="str">
        <x:v>The Hooray! - Fishing Season</x:v>
      </x:c>
      <x:c r="C2422" t="str">
        <x:v>MellyMellouange</x:v>
      </x:c>
      <x:c r="D2422" t="n">
        <x:v>14</x:v>
      </x:c>
      <x:c r="E2422" t="str">
        <x:v>Casual</x:v>
      </x:c>
      <x:c r="F2422" t="str">
        <x:v>Standard</x:v>
      </x:c>
      <x:c r="G2422" t="n">
        <x:v>42458</x:v>
      </x:c>
      <x:c r="H2422" t="str">
        <x:v>13496</x:v>
      </x:c>
      <x:c r="I2422" t="str">
        <x:v>https://www.smwcentral.net/?a=details&amp;id=13496&amp;p=section</x:v>
      </x:c>
      <x:c r="J2422" t="str">
        <x:v>https://dl.smwcentral.net/13496/The%20Hooray%21%20-%20Fishing%20Season%20%28v1.01.1%29.zip</x:v>
      </x:c>
    </x:row>
    <x:row r="2423">
      <x:c r="A2423" t="str">
        <x:v>The House of Many Trolls</x:v>
      </x:c>
      <x:c r="B2423" t="str">
        <x:v>The House of Many Trolls</x:v>
      </x:c>
      <x:c r="C2423" t="str">
        <x:v>GoldenSpiny</x:v>
      </x:c>
      <x:c r="D2423" t="n">
        <x:v>1</x:v>
      </x:c>
      <x:c r="E2423" t="str">
        <x:v>Casual</x:v>
      </x:c>
      <x:c r="F2423" t="str">
        <x:v>Standard</x:v>
      </x:c>
      <x:c r="G2423" t="n">
        <x:v>46036</x:v>
      </x:c>
      <x:c r="H2423" t="str">
        <x:v>41392</x:v>
      </x:c>
      <x:c r="I2423" t="str">
        <x:v>https://www.smwcentral.net/?a=details&amp;id=41392&amp;p=section</x:v>
      </x:c>
      <x:c r="J2423" t="str">
        <x:v>https://dl.smwcentral.net/41392/TheHouseOfManyTrolls.zip</x:v>
      </x:c>
    </x:row>
    <x:row r="2424">
      <x:c r="A2424" t="str">
        <x:v>The Hungrymumbles Project</x:v>
      </x:c>
      <x:c r="B2424" t="str">
        <x:v>The Hungrymumbles Project</x:v>
      </x:c>
      <x:c r="C2424" t="str">
        <x:v>Hungrymumbles</x:v>
      </x:c>
      <x:c r="D2424" t="n">
        <x:v>16</x:v>
      </x:c>
      <x:c r="E2424" t="str">
        <x:v>Advanced</x:v>
      </x:c>
      <x:c r="F2424" t="str">
        <x:v>Kaizo</x:v>
      </x:c>
      <x:c r="G2424" t="n">
        <x:v>44133</x:v>
      </x:c>
      <x:c r="H2424" t="str">
        <x:v>24997</x:v>
      </x:c>
      <x:c r="I2424" t="str">
        <x:v>https://www.smwcentral.net/?a=details&amp;id=24997&amp;p=section</x:v>
      </x:c>
      <x:c r="J2424" t="str">
        <x:v>https://dl.smwcentral.net/24997/The%20Hungrymumbles%20Project%20V1.3.zip</x:v>
      </x:c>
    </x:row>
    <x:row r="2425">
      <x:c r="A2425" t="str">
        <x:v>The Hunt for the Chocolate Egg</x:v>
      </x:c>
      <x:c r="B2425" t="str">
        <x:v>The Hunt for the Chocolate Egg</x:v>
      </x:c>
      <x:c r="C2425" t="str">
        <x:v>Green Jerry</x:v>
      </x:c>
      <x:c r="D2425" t="n">
        <x:v>8</x:v>
      </x:c>
      <x:c r="E2425" t="str">
        <x:v>Casual</x:v>
      </x:c>
      <x:c r="F2425" t="str">
        <x:v>Standard</x:v>
      </x:c>
      <x:c r="G2425" t="n">
        <x:v>43569</x:v>
      </x:c>
      <x:c r="H2425" t="str">
        <x:v>19664</x:v>
      </x:c>
      <x:c r="I2425" t="str">
        <x:v>https://www.smwcentral.net/?a=details&amp;id=19664&amp;p=section</x:v>
      </x:c>
      <x:c r="J2425" t="str">
        <x:v>https://dl.smwcentral.net/19664/The_Hunt_for_the_Chocolate_Egg.zip</x:v>
      </x:c>
    </x:row>
    <x:row r="2426">
      <x:c r="A2426" t="str">
        <x:v>The Joy of Kaizo</x:v>
      </x:c>
      <x:c r="B2426" t="str">
        <x:v>The Joy of Kaizo</x:v>
      </x:c>
      <x:c r="C2426" t="str">
        <x:v>NaroGugul</x:v>
      </x:c>
      <x:c r="D2426" t="n">
        <x:v>54</x:v>
      </x:c>
      <x:c r="E2426" t="str">
        <x:v>Master</x:v>
      </x:c>
      <x:c r="F2426" t="str">
        <x:v>Kaizo</x:v>
      </x:c>
      <x:c r="G2426" t="n">
        <x:v>43374</x:v>
      </x:c>
      <x:c r="H2426" t="str">
        <x:v>18200</x:v>
      </x:c>
      <x:c r="I2426" t="str">
        <x:v>https://www.smwcentral.net/?a=details&amp;id=18200&amp;p=section</x:v>
      </x:c>
      <x:c r="J2426" t="str">
        <x:v>https://dl.smwcentral.net/18200/Joy%20of%20Kaizo%201.6.zip</x:v>
      </x:c>
    </x:row>
    <x:row r="2427">
      <x:c r="A2427" t="str">
        <x:v>The Junkbox</x:v>
      </x:c>
      <x:c r="B2427" t="str">
        <x:v>The Junkbox</x:v>
      </x:c>
      <x:c r="C2427" t="str">
        <x:v>Wind Fish</x:v>
      </x:c>
      <x:c r="D2427" t="n">
        <x:v>6</x:v>
      </x:c>
      <x:c r="E2427" t="str">
        <x:v>Casual</x:v>
      </x:c>
      <x:c r="F2427" t="str">
        <x:v>Standard</x:v>
      </x:c>
      <x:c r="G2427" t="n">
        <x:v>43178</x:v>
      </x:c>
      <x:c r="H2427" t="str">
        <x:v>17256</x:v>
      </x:c>
      <x:c r="I2427" t="str">
        <x:v>https://www.smwcentral.net/?a=details&amp;id=17256&amp;p=section</x:v>
      </x:c>
      <x:c r="J2427" t="str">
        <x:v>https://dl.smwcentral.net/17256/The%20Junkbox%201.1.zip</x:v>
      </x:c>
    </x:row>
    <x:row r="2428">
      <x:c r="A2428" t="str">
        <x:v>The Last Journey</x:v>
      </x:c>
      <x:c r="B2428" t="str">
        <x:v>The Last Journey</x:v>
      </x:c>
      <x:c r="C2428" t="str">
        <x:v>TheMURAmatsu</x:v>
      </x:c>
      <x:c r="D2428" t="n">
        <x:v>16</x:v>
      </x:c>
      <x:c r="E2428" t="str">
        <x:v>Expert</x:v>
      </x:c>
      <x:c r="F2428" t="str">
        <x:v>Kaizo</x:v>
      </x:c>
      <x:c r="G2428" t="n">
        <x:v>44456</x:v>
      </x:c>
      <x:c r="H2428" t="str">
        <x:v>28336</x:v>
      </x:c>
      <x:c r="I2428" t="str">
        <x:v>https://www.smwcentral.net/?a=details&amp;id=28336&amp;p=section</x:v>
      </x:c>
      <x:c r="J2428" t="str">
        <x:v>https://dl.smwcentral.net/28336/TheLastJourney_V1.1.zip</x:v>
      </x:c>
    </x:row>
    <x:row r="2429">
      <x:c r="A2429" t="str">
        <x:v>The Last Straw</x:v>
      </x:c>
      <x:c r="B2429" t="str">
        <x:v>The Last Straw</x:v>
      </x:c>
      <x:c r="C2429" t="str">
        <x:v>Diego</x:v>
      </x:c>
      <x:c r="D2429" t="n">
        <x:v>14</x:v>
      </x:c>
      <x:c r="E2429" t="str">
        <x:v>Casual</x:v>
      </x:c>
      <x:c r="F2429" t="str">
        <x:v>Standard</x:v>
      </x:c>
      <x:c r="G2429" t="n">
        <x:v>44098</x:v>
      </x:c>
      <x:c r="H2429" t="str">
        <x:v>24693</x:v>
      </x:c>
      <x:c r="I2429" t="str">
        <x:v>https://www.smwcentral.net/?a=details&amp;id=24693&amp;p=section</x:v>
      </x:c>
      <x:c r="J2429" t="str">
        <x:v>https://dl.smwcentral.net/24693/TLS%20v2.2.zip</x:v>
      </x:c>
    </x:row>
    <x:row r="2430">
      <x:c r="A2430" t="str">
        <x:v>The Left Hand of Rosalina</x:v>
      </x:c>
      <x:c r="B2430" t="str">
        <x:v>The Left Hand of Rosalina</x:v>
      </x:c>
      <x:c r="C2430" t="str">
        <x:v>Buzbee, GrumpyWalrus</x:v>
      </x:c>
      <x:c r="D2430" t="n">
        <x:v>13</x:v>
      </x:c>
      <x:c r="E2430" t="str">
        <x:v>Expert</x:v>
      </x:c>
      <x:c r="F2430" t="str">
        <x:v>Kaizo</x:v>
      </x:c>
      <x:c r="G2430" t="n">
        <x:v>45323</x:v>
      </x:c>
      <x:c r="H2430" t="str">
        <x:v>36686</x:v>
      </x:c>
      <x:c r="I2430" t="str">
        <x:v>https://www.smwcentral.net/?a=details&amp;id=36686&amp;p=section</x:v>
      </x:c>
      <x:c r="J2430" t="str">
        <x:v>https://dl.smwcentral.net/36686/TheLeftHandOfRosalina_2.zip</x:v>
      </x:c>
    </x:row>
    <x:row r="2431">
      <x:c r="A2431" t="str">
        <x:v>The Legend of Randorland 1 - The Rise of Randor - Resurrected</x:v>
      </x:c>
      <x:c r="B2431" t="str">
        <x:v>The Legend of Randorland 1 - The Rise of Randor - Resurrected</x:v>
      </x:c>
      <x:c r="C2431" t="str">
        <x:v>Chikane</x:v>
      </x:c>
      <x:c r="D2431" t="n">
        <x:v>37</x:v>
      </x:c>
      <x:c r="E2431" t="str">
        <x:v>Casual</x:v>
      </x:c>
      <x:c r="F2431" t="str">
        <x:v>Standard</x:v>
      </x:c>
      <x:c r="G2431" t="n">
        <x:v>42304</x:v>
      </x:c>
      <x:c r="H2431" t="str">
        <x:v>10152</x:v>
      </x:c>
      <x:c r="I2431" t="str">
        <x:v>https://www.smwcentral.net/?a=details&amp;id=10152&amp;p=section</x:v>
      </x:c>
      <x:c r="J2431" t="str">
        <x:v>https://dl.smwcentral.net/10152/The%20Legend%20of%20Randorland%201%20-%20The%20Rise%20of%20Randor%20V1.2.zip</x:v>
      </x:c>
    </x:row>
    <x:row r="2432">
      <x:c r="A2432" t="str">
        <x:v>The Legend of Randorland 3 - Randor's Eternal Empire</x:v>
      </x:c>
      <x:c r="B2432" t="str">
        <x:v>The Legend of Randorland 3 - Randor's Eternal Empire</x:v>
      </x:c>
      <x:c r="C2432" t="str">
        <x:v>Chikane</x:v>
      </x:c>
      <x:c r="D2432" t="n">
        <x:v>36</x:v>
      </x:c>
      <x:c r="E2432" t="str">
        <x:v>Casual</x:v>
      </x:c>
      <x:c r="F2432" t="str">
        <x:v>Standard</x:v>
      </x:c>
      <x:c r="G2432" t="n">
        <x:v>42281</x:v>
      </x:c>
      <x:c r="H2432" t="str">
        <x:v>10002</x:v>
      </x:c>
      <x:c r="I2432" t="str">
        <x:v>https://www.smwcentral.net/?a=details&amp;id=10002&amp;p=section</x:v>
      </x:c>
      <x:c r="J2432" t="str">
        <x:v>https://dl.smwcentral.net/10002/The%20Legend%20of%20Randorland%203.zip</x:v>
      </x:c>
    </x:row>
    <x:row r="2433">
      <x:c r="A2433" t="str">
        <x:v>The Legend Of Red Plumber</x:v>
      </x:c>
      <x:c r="B2433" t="str">
        <x:v>The Legend Of Red Plumber</x:v>
      </x:c>
      <x:c r="C2433" t="str">
        <x:v>Jukeboxi_</x:v>
      </x:c>
      <x:c r="D2433" t="n">
        <x:v>22</x:v>
      </x:c>
      <x:c r="E2433" t="str">
        <x:v>Master</x:v>
      </x:c>
      <x:c r="F2433" t="str">
        <x:v>Kaizo</x:v>
      </x:c>
      <x:c r="G2433" t="n">
        <x:v>45721</x:v>
      </x:c>
      <x:c r="H2433" t="str">
        <x:v>39497</x:v>
      </x:c>
      <x:c r="I2433" t="str">
        <x:v>https://www.smwcentral.net/?a=details&amp;id=39497&amp;p=section</x:v>
      </x:c>
      <x:c r="J2433" t="str">
        <x:v>https://dl.smwcentral.net/39497/thelegendofredplumber.zip</x:v>
      </x:c>
    </x:row>
    <x:row r="2434">
      <x:c r="A2434" t="str">
        <x:v>The Legend of Zelda - The Mini Quest</x:v>
      </x:c>
      <x:c r="B2434" t="str">
        <x:v>The Legend of Zelda - The Mini Quest</x:v>
      </x:c>
      <x:c r="C2434" t="str">
        <x:v>MaxwelHacks</x:v>
      </x:c>
      <x:c r="D2434" t="n">
        <x:v>14</x:v>
      </x:c>
      <x:c r="E2434" t="str">
        <x:v>Intermediate</x:v>
      </x:c>
      <x:c r="F2434" t="str">
        <x:v>Standard</x:v>
      </x:c>
      <x:c r="G2434" t="n">
        <x:v>44607</x:v>
      </x:c>
      <x:c r="H2434" t="str">
        <x:v>29774</x:v>
      </x:c>
      <x:c r="I2434" t="str">
        <x:v>https://www.smwcentral.net/?a=details&amp;id=29774&amp;p=section</x:v>
      </x:c>
      <x:c r="J2434" t="str">
        <x:v>https://dl.smwcentral.net/29774/The%20Legend%20of%20Zelda%20-%20The%20Mini%20Quest.zip</x:v>
      </x:c>
    </x:row>
    <x:row r="2435">
      <x:c r="A2435" t="str">
        <x:v>The Legendary Bros.</x:v>
      </x:c>
      <x:c r="B2435" t="str">
        <x:v>The Legendary Bros.</x:v>
      </x:c>
      <x:c r="C2435" t="str">
        <x:v>Stivi</x:v>
      </x:c>
      <x:c r="D2435" t="n">
        <x:v>15</x:v>
      </x:c>
      <x:c r="E2435" t="str">
        <x:v>Casual</x:v>
      </x:c>
      <x:c r="F2435" t="str">
        <x:v>Standard</x:v>
      </x:c>
      <x:c r="G2435" t="n">
        <x:v>42628</x:v>
      </x:c>
      <x:c r="H2435" t="str">
        <x:v>14419</x:v>
      </x:c>
      <x:c r="I2435" t="str">
        <x:v>https://www.smwcentral.net/?a=details&amp;id=14419&amp;p=section</x:v>
      </x:c>
      <x:c r="J2435" t="str">
        <x:v>https://dl.smwcentral.net/14419/The%20Legendary%20Bros.%20Demo%202.zip</x:v>
      </x:c>
    </x:row>
    <x:row r="2436">
      <x:c r="A2436" t="str">
        <x:v>The Level</x:v>
      </x:c>
      <x:c r="B2436" t="str">
        <x:v>The Level</x:v>
      </x:c>
      <x:c r="C2436" t="str">
        <x:v>TheGremlin</x:v>
      </x:c>
      <x:c r="D2436" t="n">
        <x:v>2</x:v>
      </x:c>
      <x:c r="E2436" t="str">
        <x:v>Intermediate</x:v>
      </x:c>
      <x:c r="F2436" t="str">
        <x:v>Standard</x:v>
      </x:c>
      <x:c r="G2436" t="n">
        <x:v>41974</x:v>
      </x:c>
      <x:c r="H2436" t="str">
        <x:v>9525</x:v>
      </x:c>
      <x:c r="I2436" t="str">
        <x:v>https://www.smwcentral.net/?a=details&amp;id=9525&amp;p=section</x:v>
      </x:c>
      <x:c r="J2436" t="str">
        <x:v>https://dl.smwcentral.net/9525/TheLevel1.2.zip</x:v>
      </x:c>
    </x:row>
    <x:row r="2437">
      <x:c r="A2437" t="str">
        <x:v>The long way home</x:v>
      </x:c>
      <x:c r="B2437" t="str">
        <x:v>The long way home</x:v>
      </x:c>
      <x:c r="C2437" t="str">
        <x:v>Lush_50</x:v>
      </x:c>
      <x:c r="D2437" t="n">
        <x:v>20</x:v>
      </x:c>
      <x:c r="E2437" t="str">
        <x:v>Advanced</x:v>
      </x:c>
      <x:c r="F2437" t="str">
        <x:v>Kaizo</x:v>
      </x:c>
      <x:c r="G2437" t="n">
        <x:v>45145</x:v>
      </x:c>
      <x:c r="H2437" t="str">
        <x:v>34659</x:v>
      </x:c>
      <x:c r="I2437" t="str">
        <x:v>https://www.smwcentral.net/?a=details&amp;id=34659&amp;p=section</x:v>
      </x:c>
      <x:c r="J2437" t="str">
        <x:v>https://dl.smwcentral.net/34659/The%20long%20way%20home%20v1.1.zip</x:v>
      </x:c>
    </x:row>
    <x:row r="2438">
      <x:c r="A2438" t="str">
        <x:v>The long way home 2</x:v>
      </x:c>
      <x:c r="B2438" t="str">
        <x:v>The long way home 2</x:v>
      </x:c>
      <x:c r="C2438" t="str">
        <x:v>Lush_50</x:v>
      </x:c>
      <x:c r="D2438" t="n">
        <x:v>18</x:v>
      </x:c>
      <x:c r="E2438" t="str">
        <x:v>Advanced</x:v>
      </x:c>
      <x:c r="F2438" t="str">
        <x:v>Kaizo</x:v>
      </x:c>
      <x:c r="G2438" t="n">
        <x:v>45195</x:v>
      </x:c>
      <x:c r="H2438" t="str">
        <x:v>35088</x:v>
      </x:c>
      <x:c r="I2438" t="str">
        <x:v>https://www.smwcentral.net/?a=details&amp;id=35088&amp;p=section</x:v>
      </x:c>
      <x:c r="J2438" t="str">
        <x:v>https://dl.smwcentral.net/35088/The%20long%20way%20home%20II%20V1.1.zip</x:v>
      </x:c>
    </x:row>
    <x:row r="2439">
      <x:c r="A2439" t="str">
        <x:v>The Lost Chapters - Chapter 1: Reminiscence</x:v>
      </x:c>
      <x:c r="B2439" t="str">
        <x:v>The Lost Chapters - Chapter 1: Reminiscence</x:v>
      </x:c>
      <x:c r="C2439" t="str">
        <x:v>Lumy</x:v>
      </x:c>
      <x:c r="D2439" t="n">
        <x:v>77</x:v>
      </x:c>
      <x:c r="E2439" t="str">
        <x:v>Intermediate</x:v>
      </x:c>
      <x:c r="F2439" t="str">
        <x:v>Standard</x:v>
      </x:c>
      <x:c r="G2439" t="n">
        <x:v>41620</x:v>
      </x:c>
      <x:c r="H2439" t="str">
        <x:v>5965</x:v>
      </x:c>
      <x:c r="I2439" t="str">
        <x:v>https://www.smwcentral.net/?a=details&amp;id=5965&amp;p=section</x:v>
      </x:c>
      <x:c r="J2439" t="str">
        <x:v>https://dl.smwcentral.net/5965/TLC%20-%20Chapter%201%20Demo%203.zip</x:v>
      </x:c>
    </x:row>
    <x:row r="2440">
      <x:c r="A2440" t="str">
        <x:v>The Lost Land</x:v>
      </x:c>
      <x:c r="B2440" t="str">
        <x:v>The Lost Land</x:v>
      </x:c>
      <x:c r="C2440" t="str">
        <x:v>Tahixham</x:v>
      </x:c>
      <x:c r="D2440" t="n">
        <x:v>2</x:v>
      </x:c>
      <x:c r="E2440" t="str">
        <x:v>Casual</x:v>
      </x:c>
      <x:c r="F2440" t="str">
        <x:v>Standard</x:v>
      </x:c>
      <x:c r="G2440" t="n">
        <x:v>42018</x:v>
      </x:c>
      <x:c r="H2440" t="str">
        <x:v>10244</x:v>
      </x:c>
      <x:c r="I2440" t="str">
        <x:v>https://www.smwcentral.net/?a=details&amp;id=10244&amp;p=section</x:v>
      </x:c>
      <x:c r="J2440" t="str">
        <x:v>https://dl.smwcentral.net/10244/The%20Lost%20Land.zip</x:v>
      </x:c>
    </x:row>
    <x:row r="2441">
      <x:c r="A2441" t="str">
        <x:v>The Lost Land 2: The 4 Switches</x:v>
      </x:c>
      <x:c r="B2441" t="str">
        <x:v>The Lost Land 2: The 4 Switches</x:v>
      </x:c>
      <x:c r="C2441" t="str">
        <x:v>Tahixham</x:v>
      </x:c>
      <x:c r="D2441" t="n">
        <x:v>6</x:v>
      </x:c>
      <x:c r="E2441" t="str">
        <x:v>Casual</x:v>
      </x:c>
      <x:c r="F2441" t="str">
        <x:v>Standard</x:v>
      </x:c>
      <x:c r="G2441" t="n">
        <x:v>41533</x:v>
      </x:c>
      <x:c r="H2441" t="str">
        <x:v>5256</x:v>
      </x:c>
      <x:c r="I2441" t="str">
        <x:v>https://www.smwcentral.net/?a=details&amp;id=5256&amp;p=section</x:v>
      </x:c>
      <x:c r="J2441" t="str">
        <x:v>https://dl.smwcentral.net/5256/The%20Lost%20Land%202%20-%20The%204%20Switches.zip</x:v>
      </x:c>
    </x:row>
    <x:row r="2442">
      <x:c r="A2442" t="str">
        <x:v>The Lost Land 3</x:v>
      </x:c>
      <x:c r="B2442" t="str">
        <x:v>The Lost Land 3</x:v>
      </x:c>
      <x:c r="C2442" t="str">
        <x:v>Tahixham</x:v>
      </x:c>
      <x:c r="D2442" t="n">
        <x:v>15</x:v>
      </x:c>
      <x:c r="E2442" t="str">
        <x:v>Casual</x:v>
      </x:c>
      <x:c r="F2442" t="str">
        <x:v>Standard</x:v>
      </x:c>
      <x:c r="G2442" t="n">
        <x:v>41563</x:v>
      </x:c>
      <x:c r="H2442" t="str">
        <x:v>5543</x:v>
      </x:c>
      <x:c r="I2442" t="str">
        <x:v>https://www.smwcentral.net/?a=details&amp;id=5543&amp;p=section</x:v>
      </x:c>
      <x:c r="J2442" t="str">
        <x:v>https://dl.smwcentral.net/5543/The%20Lost%20Land%203.zip</x:v>
      </x:c>
    </x:row>
    <x:row r="2443">
      <x:c r="A2443" t="str">
        <x:v>The Lost Levels Enhanced</x:v>
      </x:c>
      <x:c r="B2443" t="str">
        <x:v>The Lost Levels Enhanced</x:v>
      </x:c>
      <x:c r="C2443" t="str">
        <x:v>Pac</x:v>
      </x:c>
      <x:c r="D2443" t="n">
        <x:v>54</x:v>
      </x:c>
      <x:c r="E2443" t="str">
        <x:v>Intermediate</x:v>
      </x:c>
      <x:c r="F2443" t="str">
        <x:v>Standard</x:v>
      </x:c>
      <x:c r="G2443" t="n">
        <x:v>42299</x:v>
      </x:c>
      <x:c r="H2443" t="str">
        <x:v>10229</x:v>
      </x:c>
      <x:c r="I2443" t="str">
        <x:v>https://www.smwcentral.net/?a=details&amp;id=10229&amp;p=section</x:v>
      </x:c>
      <x:c r="J2443" t="str">
        <x:v>https://dl.smwcentral.net/10229/tlle.zip</x:v>
      </x:c>
    </x:row>
    <x:row r="2444">
      <x:c r="A2444" t="str">
        <x:v>The Lost Woods</x:v>
      </x:c>
      <x:c r="B2444" t="str">
        <x:v>The Lost Woods</x:v>
      </x:c>
      <x:c r="C2444" t="str">
        <x:v>K1ngHacks</x:v>
      </x:c>
      <x:c r="D2444" t="n">
        <x:v>6</x:v>
      </x:c>
      <x:c r="E2444" t="str">
        <x:v>Casual</x:v>
      </x:c>
      <x:c r="F2444" t="str">
        <x:v>Standard</x:v>
      </x:c>
      <x:c r="G2444" t="n">
        <x:v>41535</x:v>
      </x:c>
      <x:c r="H2444" t="str">
        <x:v>5603</x:v>
      </x:c>
      <x:c r="I2444" t="str">
        <x:v>https://www.smwcentral.net/?a=details&amp;id=5603&amp;p=section</x:v>
      </x:c>
      <x:c r="J2444" t="str">
        <x:v>https://dl.smwcentral.net/5603/The%20Lost%20Woods.zip</x:v>
      </x:c>
    </x:row>
    <x:row r="2445">
      <x:c r="A2445" t="str">
        <x:v>The Lost World Journey</x:v>
      </x:c>
      <x:c r="B2445" t="str">
        <x:v>The Lost World Journey</x:v>
      </x:c>
      <x:c r="C2445" t="str">
        <x:v>Team Haunted</x:v>
      </x:c>
      <x:c r="D2445" t="n">
        <x:v>4</x:v>
      </x:c>
      <x:c r="E2445" t="str">
        <x:v>Casual</x:v>
      </x:c>
      <x:c r="F2445" t="str">
        <x:v>Standard</x:v>
      </x:c>
      <x:c r="G2445" t="n">
        <x:v>42066</x:v>
      </x:c>
      <x:c r="H2445" t="str">
        <x:v>9922</x:v>
      </x:c>
      <x:c r="I2445" t="str">
        <x:v>https://www.smwcentral.net/?a=details&amp;id=9922&amp;p=section</x:v>
      </x:c>
      <x:c r="J2445" t="str">
        <x:v>https://dl.smwcentral.net/9922/The%20Lost%20World%20Journey.zip</x:v>
      </x:c>
    </x:row>
    <x:row r="2446">
      <x:c r="A2446" t="str">
        <x:v>The Magic Cooking Pot</x:v>
      </x:c>
      <x:c r="B2446" t="str">
        <x:v>The Magic Cooking Pot</x:v>
      </x:c>
      <x:c r="C2446" t="str">
        <x:v>Goobie Doobie</x:v>
      </x:c>
      <x:c r="D2446" t="n">
        <x:v>32</x:v>
      </x:c>
      <x:c r="E2446" t="str">
        <x:v>Casual</x:v>
      </x:c>
      <x:c r="F2446" t="str">
        <x:v>Standard</x:v>
      </x:c>
      <x:c r="G2446" t="n">
        <x:v>45138</x:v>
      </x:c>
      <x:c r="H2446" t="str">
        <x:v>34379</x:v>
      </x:c>
      <x:c r="I2446" t="str">
        <x:v>https://www.smwcentral.net/?a=details&amp;id=34379&amp;p=section</x:v>
      </x:c>
      <x:c r="J2446" t="str">
        <x:v>https://dl.smwcentral.net/34379/MCP.zip</x:v>
      </x:c>
    </x:row>
    <x:row r="2447">
      <x:c r="A2447" t="str">
        <x:v>The Mario World</x:v>
      </x:c>
      <x:c r="B2447" t="str">
        <x:v>The Mario World</x:v>
      </x:c>
      <x:c r="C2447" t="str">
        <x:v>Mariogoon</x:v>
      </x:c>
      <x:c r="D2447" t="n">
        <x:v>6</x:v>
      </x:c>
      <x:c r="E2447" t="str">
        <x:v>Newcomer</x:v>
      </x:c>
      <x:c r="F2447" t="str">
        <x:v>Standard</x:v>
      </x:c>
      <x:c r="G2447" t="n">
        <x:v>42317</x:v>
      </x:c>
      <x:c r="H2447" t="str">
        <x:v>10084</x:v>
      </x:c>
      <x:c r="I2447" t="str">
        <x:v>https://www.smwcentral.net/?a=details&amp;id=10084&amp;p=section</x:v>
      </x:c>
      <x:c r="J2447" t="str">
        <x:v>https://dl.smwcentral.net/10084/The%20Mario%20World.zip</x:v>
      </x:c>
    </x:row>
    <x:row r="2448">
      <x:c r="A2448" t="str">
        <x:v>The Mario's Greatest Adventure</x:v>
      </x:c>
      <x:c r="B2448" t="str">
        <x:v>The Mario's Greatest Adventure</x:v>
      </x:c>
      <x:c r="C2448" t="str">
        <x:v>Brutapode89</x:v>
      </x:c>
      <x:c r="D2448" t="n">
        <x:v>25</x:v>
      </x:c>
      <x:c r="E2448" t="str">
        <x:v>Intermediate</x:v>
      </x:c>
      <x:c r="F2448" t="str">
        <x:v>Standard</x:v>
      </x:c>
      <x:c r="G2448" t="n">
        <x:v>44167</x:v>
      </x:c>
      <x:c r="H2448" t="str">
        <x:v>25281</x:v>
      </x:c>
      <x:c r="I2448" t="str">
        <x:v>https://www.smwcentral.net/?a=details&amp;id=25281&amp;p=section</x:v>
      </x:c>
      <x:c r="J2448" t="str">
        <x:v>https://dl.smwcentral.net/25281/The%20Mario%27s%20Greatest%20Adventure%20%28Demo%202.1%29.zip</x:v>
      </x:c>
    </x:row>
    <x:row r="2449">
      <x:c r="A2449" t="str">
        <x:v>The Mirror Border</x:v>
      </x:c>
      <x:c r="B2449" t="str">
        <x:v>The Mirror Border</x:v>
      </x:c>
      <x:c r="C2449" t="str">
        <x:v>Ckristina, Kixune, Masterlink, Mentholeus, yupilongas</x:v>
      </x:c>
      <x:c r="D2449" t="n">
        <x:v>0</x:v>
      </x:c>
      <x:c r="E2449" t="str">
        <x:v>Casual</x:v>
      </x:c>
      <x:c r="F2449" t="str">
        <x:v>Standard</x:v>
      </x:c>
      <x:c r="G2449" t="n">
        <x:v>44676</x:v>
      </x:c>
      <x:c r="H2449" t="str">
        <x:v>30156</x:v>
      </x:c>
      <x:c r="I2449" t="str">
        <x:v>https://www.smwcentral.net/?a=details&amp;id=30156&amp;p=section</x:v>
      </x:c>
      <x:c r="J2449" t="str">
        <x:v>https://dl.smwcentral.net/30156/The%20Mirror%20Border.zip</x:v>
      </x:c>
    </x:row>
    <x:row r="2450">
      <x:c r="A2450" t="str">
        <x:v>The Misfortunes of Little Denise</x:v>
      </x:c>
      <x:c r="B2450" t="str">
        <x:v>The Misfortunes of Little Denise</x:v>
      </x:c>
      <x:c r="C2450" t="str">
        <x:v>Mpereira</x:v>
      </x:c>
      <x:c r="D2450" t="n">
        <x:v>44</x:v>
      </x:c>
      <x:c r="E2450" t="str">
        <x:v>Casual</x:v>
      </x:c>
      <x:c r="F2450" t="str">
        <x:v>Standard</x:v>
      </x:c>
      <x:c r="G2450" t="n">
        <x:v>43955</x:v>
      </x:c>
      <x:c r="H2450" t="str">
        <x:v>22858</x:v>
      </x:c>
      <x:c r="I2450" t="str">
        <x:v>https://www.smwcentral.net/?a=details&amp;id=22858&amp;p=section</x:v>
      </x:c>
      <x:c r="J2450" t="str">
        <x:v>https://dl.smwcentral.net/22858/Little%20Denise.zip</x:v>
      </x:c>
    </x:row>
    <x:row r="2451">
      <x:c r="A2451" t="str">
        <x:v>The Missing Eggs</x:v>
      </x:c>
      <x:c r="B2451" t="str">
        <x:v>The Missing Eggs</x:v>
      </x:c>
      <x:c r="C2451" t="str">
        <x:v>AHawk</x:v>
      </x:c>
      <x:c r="D2451" t="n">
        <x:v>11</x:v>
      </x:c>
      <x:c r="E2451" t="str">
        <x:v>Casual</x:v>
      </x:c>
      <x:c r="F2451" t="str">
        <x:v>Standard</x:v>
      </x:c>
      <x:c r="G2451" t="n">
        <x:v>42276</x:v>
      </x:c>
      <x:c r="H2451" t="str">
        <x:v>10261</x:v>
      </x:c>
      <x:c r="I2451" t="str">
        <x:v>https://www.smwcentral.net/?a=details&amp;id=10261&amp;p=section</x:v>
      </x:c>
      <x:c r="J2451" t="str">
        <x:v>https://dl.smwcentral.net/10261/megayoshi%20patch.zip</x:v>
      </x:c>
    </x:row>
    <x:row r="2452">
      <x:c r="A2452" t="str">
        <x:v>The Missing Plot</x:v>
      </x:c>
      <x:c r="B2452" t="str">
        <x:v>The Missing Plot</x:v>
      </x:c>
      <x:c r="C2452" t="str">
        <x:v>Huxellberger</x:v>
      </x:c>
      <x:c r="D2452" t="n">
        <x:v>13</x:v>
      </x:c>
      <x:c r="E2452" t="str">
        <x:v>Casual</x:v>
      </x:c>
      <x:c r="F2452" t="str">
        <x:v>Standard</x:v>
      </x:c>
      <x:c r="G2452" t="n">
        <x:v>42302</x:v>
      </x:c>
      <x:c r="H2452" t="str">
        <x:v>10096</x:v>
      </x:c>
      <x:c r="I2452" t="str">
        <x:v>https://www.smwcentral.net/?a=details&amp;id=10096&amp;p=section</x:v>
      </x:c>
      <x:c r="J2452" t="str">
        <x:v>https://dl.smwcentral.net/10096/Missing%20Plot.zip</x:v>
      </x:c>
    </x:row>
    <x:row r="2453">
      <x:c r="A2453" t="str">
        <x:v>The Most Pointless Hack Ever</x:v>
      </x:c>
      <x:c r="B2453" t="str">
        <x:v>The Most Pointless Hack Ever</x:v>
      </x:c>
      <x:c r="C2453" t="str">
        <x:v>Diddy Kong</x:v>
      </x:c>
      <x:c r="D2453" t="n">
        <x:v>2</x:v>
      </x:c>
      <x:c r="E2453" t="str">
        <x:v>Newcomer</x:v>
      </x:c>
      <x:c r="F2453" t="str">
        <x:v>Standard</x:v>
      </x:c>
      <x:c r="G2453" t="n">
        <x:v>42018</x:v>
      </x:c>
      <x:c r="H2453" t="str">
        <x:v>9835</x:v>
      </x:c>
      <x:c r="I2453" t="str">
        <x:v>https://www.smwcentral.net/?a=details&amp;id=9835&amp;p=section</x:v>
      </x:c>
      <x:c r="J2453" t="str">
        <x:v>https://dl.smwcentral.net/9835/tMPHE.zip</x:v>
      </x:c>
    </x:row>
    <x:row r="2454">
      <x:c r="A2454" t="str">
        <x:v>The Mountain Adventure</x:v>
      </x:c>
      <x:c r="B2454" t="str">
        <x:v>The Mountain Adventure</x:v>
      </x:c>
      <x:c r="C2454" t="str">
        <x:v>Delta</x:v>
      </x:c>
      <x:c r="D2454" t="n">
        <x:v>5</x:v>
      </x:c>
      <x:c r="E2454" t="str">
        <x:v>Newcomer</x:v>
      </x:c>
      <x:c r="F2454" t="str">
        <x:v>Standard</x:v>
      </x:c>
      <x:c r="G2454" t="n">
        <x:v>42265</x:v>
      </x:c>
      <x:c r="H2454" t="str">
        <x:v>9684</x:v>
      </x:c>
      <x:c r="I2454" t="str">
        <x:v>https://www.smwcentral.net/?a=details&amp;id=9684&amp;p=section</x:v>
      </x:c>
      <x:c r="J2454" t="str">
        <x:v>https://dl.smwcentral.net/9684/The%20Mountain%20Adventure.zip</x:v>
      </x:c>
    </x:row>
    <x:row r="2455">
      <x:c r="A2455" t="str">
        <x:v>The Muncher Run</x:v>
      </x:c>
      <x:c r="B2455" t="str">
        <x:v>The Muncher Run</x:v>
      </x:c>
      <x:c r="C2455" t="str">
        <x:v>Ersanio</x:v>
      </x:c>
      <x:c r="D2455" t="n">
        <x:v>1</x:v>
      </x:c>
      <x:c r="E2455" t="str">
        <x:v>Casual</x:v>
      </x:c>
      <x:c r="F2455" t="str">
        <x:v>Standard</x:v>
      </x:c>
      <x:c r="G2455" t="n">
        <x:v>42017</x:v>
      </x:c>
      <x:c r="H2455" t="str">
        <x:v>9876</x:v>
      </x:c>
      <x:c r="I2455" t="str">
        <x:v>https://www.smwcentral.net/?a=details&amp;id=9876&amp;p=section</x:v>
      </x:c>
      <x:c r="J2455" t="str">
        <x:v>https://dl.smwcentral.net/9876/TMR.zip</x:v>
      </x:c>
    </x:row>
    <x:row r="2456">
      <x:c r="A2456" t="str">
        <x:v>The Muncher Run 2</x:v>
      </x:c>
      <x:c r="B2456" t="str">
        <x:v>The Muncher Run 2</x:v>
      </x:c>
      <x:c r="C2456" t="str">
        <x:v>Bad luck man, Ersanio</x:v>
      </x:c>
      <x:c r="D2456" t="n">
        <x:v>4</x:v>
      </x:c>
      <x:c r="E2456" t="str">
        <x:v>Expert</x:v>
      </x:c>
      <x:c r="F2456" t="str">
        <x:v>Kaizo</x:v>
      </x:c>
      <x:c r="G2456" t="n">
        <x:v>42222</x:v>
      </x:c>
      <x:c r="H2456" t="str">
        <x:v>9695</x:v>
      </x:c>
      <x:c r="I2456" t="str">
        <x:v>https://www.smwcentral.net/?a=details&amp;id=9695&amp;p=section</x:v>
      </x:c>
      <x:c r="J2456" t="str">
        <x:v>https://dl.smwcentral.net/9695/The_Muncher_Run_2_V1.1.zip</x:v>
      </x:c>
    </x:row>
    <x:row r="2457">
      <x:c r="A2457" t="str">
        <x:v>The Mushroom Factor</x:v>
      </x:c>
      <x:c r="B2457" t="str">
        <x:v>The Mushroom Factor</x:v>
      </x:c>
      <x:c r="C2457" t="str">
        <x:v>pablopeach</x:v>
      </x:c>
      <x:c r="D2457" t="n">
        <x:v>12</x:v>
      </x:c>
      <x:c r="E2457" t="str">
        <x:v>Casual</x:v>
      </x:c>
      <x:c r="F2457" t="str">
        <x:v>Standard</x:v>
      </x:c>
      <x:c r="G2457" t="n">
        <x:v>41567</x:v>
      </x:c>
      <x:c r="H2457" t="str">
        <x:v>5557</x:v>
      </x:c>
      <x:c r="I2457" t="str">
        <x:v>https://www.smwcentral.net/?a=details&amp;id=5557&amp;p=section</x:v>
      </x:c>
      <x:c r="J2457" t="str">
        <x:v>https://dl.smwcentral.net/5557/tmf.zip</x:v>
      </x:c>
    </x:row>
    <x:row r="2458">
      <x:c r="A2458" t="str">
        <x:v>The Mushroom Manifold</x:v>
      </x:c>
      <x:c r="B2458" t="str">
        <x:v>The Mushroom Manifold</x:v>
      </x:c>
      <x:c r="C2458" t="str">
        <x:v>FerpyMcFrosting, FridayFables, Hwailaluta, Mithrillionaire, Prestinator13</x:v>
      </x:c>
      <x:c r="D2458" t="n">
        <x:v>11</x:v>
      </x:c>
      <x:c r="E2458" t="str">
        <x:v>Master</x:v>
      </x:c>
      <x:c r="F2458" t="str">
        <x:v>Kaizo</x:v>
      </x:c>
      <x:c r="G2458" t="n">
        <x:v>44631</x:v>
      </x:c>
      <x:c r="H2458" t="str">
        <x:v>30029</x:v>
      </x:c>
      <x:c r="I2458" t="str">
        <x:v>https://www.smwcentral.net/?a=details&amp;id=30029&amp;p=section</x:v>
      </x:c>
      <x:c r="J2458" t="str">
        <x:v>https://dl.smwcentral.net/30029/TheMushroomManifold.zip</x:v>
      </x:c>
    </x:row>
    <x:row r="2459">
      <x:c r="A2459" t="str">
        <x:v>The New Comfort Zone</x:v>
      </x:c>
      <x:c r="B2459" t="str">
        <x:v>The New Comfort Zone</x:v>
      </x:c>
      <x:c r="C2459" t="str">
        <x:v>orka-bln</x:v>
      </x:c>
      <x:c r="D2459" t="n">
        <x:v>19</x:v>
      </x:c>
      <x:c r="E2459" t="str">
        <x:v>Expert</x:v>
      </x:c>
      <x:c r="F2459" t="str">
        <x:v>Kaizo</x:v>
      </x:c>
      <x:c r="G2459" t="n">
        <x:v>44480</x:v>
      </x:c>
      <x:c r="H2459" t="str">
        <x:v>28543</x:v>
      </x:c>
      <x:c r="I2459" t="str">
        <x:v>https://www.smwcentral.net/?a=details&amp;id=28543&amp;p=section</x:v>
      </x:c>
      <x:c r="J2459" t="str">
        <x:v>https://dl.smwcentral.net/28543/NewComfy1.02.zip</x:v>
      </x:c>
    </x:row>
    <x:row r="2460">
      <x:c r="A2460" t="str">
        <x:v>The New Mario World</x:v>
      </x:c>
      <x:c r="B2460" t="str">
        <x:v>The New Mario World</x:v>
      </x:c>
      <x:c r="C2460" t="str">
        <x:v>OnlineVideoSurfer</x:v>
      </x:c>
      <x:c r="D2460" t="n">
        <x:v>96</x:v>
      </x:c>
      <x:c r="E2460" t="str">
        <x:v>Master</x:v>
      </x:c>
      <x:c r="F2460" t="str">
        <x:v>Standard</x:v>
      </x:c>
      <x:c r="G2460" t="n">
        <x:v>41582</x:v>
      </x:c>
      <x:c r="H2460" t="str">
        <x:v>5294</x:v>
      </x:c>
      <x:c r="I2460" t="str">
        <x:v>https://www.smwcentral.net/?a=details&amp;id=5294&amp;p=section</x:v>
      </x:c>
      <x:c r="J2460" t="str">
        <x:v>https://dl.smwcentral.net/5294/The%20New%20Mario%20World%20V1.1.zip</x:v>
      </x:c>
    </x:row>
    <x:row r="2461">
      <x:c r="A2461" t="str">
        <x:v>The Ninji Saga</x:v>
      </x:c>
      <x:c r="B2461" t="str">
        <x:v>The Ninji Saga</x:v>
      </x:c>
      <x:c r="C2461" t="str">
        <x:v>The Kins</x:v>
      </x:c>
      <x:c r="D2461" t="n">
        <x:v>9</x:v>
      </x:c>
      <x:c r="E2461" t="str">
        <x:v>Intermediate</x:v>
      </x:c>
      <x:c r="F2461" t="str">
        <x:v>Standard</x:v>
      </x:c>
      <x:c r="G2461" t="n">
        <x:v>42040</x:v>
      </x:c>
      <x:c r="H2461" t="str">
        <x:v>9710</x:v>
      </x:c>
      <x:c r="I2461" t="str">
        <x:v>https://www.smwcentral.net/?a=details&amp;id=9710&amp;p=section</x:v>
      </x:c>
      <x:c r="J2461" t="str">
        <x:v>https://dl.smwcentral.net/9710/ninjisaga.zip</x:v>
      </x:c>
    </x:row>
    <x:row r="2462">
      <x:c r="A2462" t="str">
        <x:v>The Old Mansion</x:v>
      </x:c>
      <x:c r="B2462" t="str">
        <x:v>The Old Mansion</x:v>
      </x:c>
      <x:c r="C2462" t="str">
        <x:v>MaiK</x:v>
      </x:c>
      <x:c r="D2462" t="n">
        <x:v>1</x:v>
      </x:c>
      <x:c r="E2462" t="str">
        <x:v>Intermediate</x:v>
      </x:c>
      <x:c r="F2462" t="str">
        <x:v>Standard</x:v>
      </x:c>
      <x:c r="G2462" t="n">
        <x:v>42155</x:v>
      </x:c>
      <x:c r="H2462" t="str">
        <x:v>10121</x:v>
      </x:c>
      <x:c r="I2462" t="str">
        <x:v>https://www.smwcentral.net/?a=details&amp;id=10121&amp;p=section</x:v>
      </x:c>
      <x:c r="J2462" t="str">
        <x:v>https://dl.smwcentral.net/10121/The%20Old%20Mansion.zip</x:v>
      </x:c>
    </x:row>
    <x:row r="2463">
      <x:c r="A2463" t="str">
        <x:v>The Path from Prisminia</x:v>
      </x:c>
      <x:c r="B2463" t="str">
        <x:v>The Path from Prisminia</x:v>
      </x:c>
      <x:c r="C2463" t="str">
        <x:v>Sayuri</x:v>
      </x:c>
      <x:c r="D2463" t="n">
        <x:v>15</x:v>
      </x:c>
      <x:c r="E2463" t="str">
        <x:v>Intermediate</x:v>
      </x:c>
      <x:c r="F2463" t="str">
        <x:v>Standard</x:v>
      </x:c>
      <x:c r="G2463" t="n">
        <x:v>45407</x:v>
      </x:c>
      <x:c r="H2463" t="str">
        <x:v>37627</x:v>
      </x:c>
      <x:c r="I2463" t="str">
        <x:v>https://www.smwcentral.net/?a=details&amp;id=37627&amp;p=section</x:v>
      </x:c>
      <x:c r="J2463" t="str">
        <x:v>https://dl.smwcentral.net/37627/The%20Path%20from%20Prisminia%20%28Chapter%201%2B2%20Demo%2C%20v2.1%29.zip</x:v>
      </x:c>
    </x:row>
    <x:row r="2464">
      <x:c r="A2464" t="str">
        <x:v>The Pit Level 2</x:v>
      </x:c>
      <x:c r="B2464" t="str">
        <x:v>The Pit Level 2</x:v>
      </x:c>
      <x:c r="C2464" t="str">
        <x:v>IgorS777</x:v>
      </x:c>
      <x:c r="D2464" t="n">
        <x:v>1</x:v>
      </x:c>
      <x:c r="E2464" t="str">
        <x:v>Master</x:v>
      </x:c>
      <x:c r="F2464" t="str">
        <x:v>Tool-Assisted, Pit</x:v>
      </x:c>
      <x:c r="G2464" t="n">
        <x:v>42939</x:v>
      </x:c>
      <x:c r="H2464" t="str">
        <x:v>15823</x:v>
      </x:c>
      <x:c r="I2464" t="str">
        <x:v>https://www.smwcentral.net/?a=details&amp;id=15823&amp;p=section</x:v>
      </x:c>
      <x:c r="J2464" t="str">
        <x:v>https://dl.smwcentral.net/15823/TPL2.zip</x:v>
      </x:c>
    </x:row>
    <x:row r="2465">
      <x:c r="A2465" t="str">
        <x:v>The Pit Level 2 REMASTERED</x:v>
      </x:c>
      <x:c r="B2465" t="str">
        <x:v>The Pit Level 2 REMASTERED</x:v>
      </x:c>
      <x:c r="C2465" t="str">
        <x:v>IgorOliveira666</x:v>
      </x:c>
      <x:c r="D2465" t="n">
        <x:v>1</x:v>
      </x:c>
      <x:c r="E2465" t="str">
        <x:v>Master</x:v>
      </x:c>
      <x:c r="F2465" t="str">
        <x:v>Tool-Assisted, Pit</x:v>
      </x:c>
      <x:c r="G2465" t="n">
        <x:v>45209</x:v>
      </x:c>
      <x:c r="H2465" t="str">
        <x:v>32607</x:v>
      </x:c>
      <x:c r="I2465" t="str">
        <x:v>https://www.smwcentral.net/?a=details&amp;id=32607&amp;p=section</x:v>
      </x:c>
      <x:c r="J2465" t="str">
        <x:v>https://dl.smwcentral.net/32607/The%20Pit%20Level%202%20REMASTERED.zip</x:v>
      </x:c>
    </x:row>
    <x:row r="2466">
      <x:c r="A2466" t="str">
        <x:v>The Plumber Saga</x:v>
      </x:c>
      <x:c r="B2466" t="str">
        <x:v>The Plumber Saga</x:v>
      </x:c>
      <x:c r="C2466" t="str">
        <x:v>E-Man</x:v>
      </x:c>
      <x:c r="D2466" t="n">
        <x:v>17</x:v>
      </x:c>
      <x:c r="E2466" t="str">
        <x:v>Newcomer</x:v>
      </x:c>
      <x:c r="F2466" t="str">
        <x:v>Standard</x:v>
      </x:c>
      <x:c r="G2466" t="n">
        <x:v>42256</x:v>
      </x:c>
      <x:c r="H2466" t="str">
        <x:v>9982</x:v>
      </x:c>
      <x:c r="I2466" t="str">
        <x:v>https://www.smwcentral.net/?a=details&amp;id=9982&amp;p=section</x:v>
      </x:c>
      <x:c r="J2466" t="str">
        <x:v>https://dl.smwcentral.net/9982/The%20Plumber%20Saga.zip</x:v>
      </x:c>
    </x:row>
    <x:row r="2467">
      <x:c r="A2467" t="str">
        <x:v>The Possibility Of An Island</x:v>
      </x:c>
      <x:c r="B2467" t="str">
        <x:v>The Possibility Of An Island</x:v>
      </x:c>
      <x:c r="C2467" t="str">
        <x:v>Eden_</x:v>
      </x:c>
      <x:c r="D2467" t="n">
        <x:v>5</x:v>
      </x:c>
      <x:c r="E2467" t="str">
        <x:v>Grandmaster</x:v>
      </x:c>
      <x:c r="F2467" t="str">
        <x:v>Kaizo</x:v>
      </x:c>
      <x:c r="G2467" t="n">
        <x:v>45127</x:v>
      </x:c>
      <x:c r="H2467" t="str">
        <x:v>34219</x:v>
      </x:c>
      <x:c r="I2467" t="str">
        <x:v>https://www.smwcentral.net/?a=details&amp;id=34219&amp;p=section</x:v>
      </x:c>
      <x:c r="J2467" t="str">
        <x:v>https://dl.smwcentral.net/34219/ThePossibilityOfAnIsland.zip</x:v>
      </x:c>
    </x:row>
    <x:row r="2468">
      <x:c r="A2468" t="str">
        <x:v>The Power Beneath</x:v>
      </x:c>
      <x:c r="B2468" t="str">
        <x:v>The Power Beneath</x:v>
      </x:c>
      <x:c r="C2468" t="str">
        <x:v>Nint</x:v>
      </x:c>
      <x:c r="D2468" t="n">
        <x:v>22</x:v>
      </x:c>
      <x:c r="E2468" t="str">
        <x:v>Expert</x:v>
      </x:c>
      <x:c r="F2468" t="str">
        <x:v>Kaizo</x:v>
      </x:c>
      <x:c r="G2468" t="n">
        <x:v>44384</x:v>
      </x:c>
      <x:c r="H2468" t="str">
        <x:v>27443</x:v>
      </x:c>
      <x:c r="I2468" t="str">
        <x:v>https://www.smwcentral.net/?a=details&amp;id=27443&amp;p=section</x:v>
      </x:c>
      <x:c r="J2468" t="str">
        <x:v>https://dl.smwcentral.net/27443/The%20Power%20Beneath.zip</x:v>
      </x:c>
    </x:row>
    <x:row r="2469">
      <x:c r="A2469" t="str">
        <x:v>The Precise Is Right</x:v>
      </x:c>
      <x:c r="B2469" t="str">
        <x:v>The Precise Is Right</x:v>
      </x:c>
      <x:c r="C2469" t="str">
        <x:v>pixlrik</x:v>
      </x:c>
      <x:c r="D2469" t="n">
        <x:v>8</x:v>
      </x:c>
      <x:c r="E2469" t="str">
        <x:v>Expert</x:v>
      </x:c>
      <x:c r="F2469" t="str">
        <x:v>Kaizo</x:v>
      </x:c>
      <x:c r="G2469" t="n">
        <x:v>46194</x:v>
      </x:c>
      <x:c r="H2469" t="str">
        <x:v>42566</x:v>
      </x:c>
      <x:c r="I2469" t="str">
        <x:v>https://www.smwcentral.net/?a=details&amp;id=42566&amp;p=section</x:v>
      </x:c>
      <x:c r="J2469" t="str">
        <x:v>https://dl.smwcentral.net/42566/The%20Precise%20Is%20Right%20V1.1.zip</x:v>
      </x:c>
    </x:row>
    <x:row r="2470">
      <x:c r="A2470" t="str">
        <x:v>The Princess Was Kidnapped Again DEMO</x:v>
      </x:c>
      <x:c r="B2470" t="str">
        <x:v>The Princess Was Kidnapped Again DEMO</x:v>
      </x:c>
      <x:c r="C2470" t="str">
        <x:v>Gabriel BR</x:v>
      </x:c>
      <x:c r="D2470" t="n">
        <x:v>24</x:v>
      </x:c>
      <x:c r="E2470" t="str">
        <x:v>Casual</x:v>
      </x:c>
      <x:c r="F2470" t="str">
        <x:v>Standard</x:v>
      </x:c>
      <x:c r="G2470" t="n">
        <x:v>44152</x:v>
      </x:c>
      <x:c r="H2470" t="str">
        <x:v>25186</x:v>
      </x:c>
      <x:c r="I2470" t="str">
        <x:v>https://www.smwcentral.net/?a=details&amp;id=25186&amp;p=section</x:v>
      </x:c>
      <x:c r="J2470" t="str">
        <x:v>https://dl.smwcentral.net/25186/The%20Princess%20Was%20Kidnapped%20Again%20DEMO.zip</x:v>
      </x:c>
    </x:row>
    <x:row r="2471">
      <x:c r="A2471" t="str">
        <x:v>The Prodigy's Last Stand</x:v>
      </x:c>
      <x:c r="B2471" t="str">
        <x:v>The Prodigy's Last Stand</x:v>
      </x:c>
      <x:c r="C2471" t="str">
        <x:v>SMGamer</x:v>
      </x:c>
      <x:c r="D2471" t="n">
        <x:v>7</x:v>
      </x:c>
      <x:c r="E2471" t="str">
        <x:v>Casual</x:v>
      </x:c>
      <x:c r="F2471" t="str">
        <x:v>Standard</x:v>
      </x:c>
      <x:c r="G2471" t="n">
        <x:v>41451</x:v>
      </x:c>
      <x:c r="H2471" t="str">
        <x:v>5133</x:v>
      </x:c>
      <x:c r="I2471" t="str">
        <x:v>https://www.smwcentral.net/?a=details&amp;id=5133&amp;p=section</x:v>
      </x:c>
      <x:c r="J2471" t="str">
        <x:v>https://dl.smwcentral.net/5133/The%20Prodigy%27s%20Last%20Stand.zip</x:v>
      </x:c>
    </x:row>
    <x:row r="2472">
      <x:c r="A2472" t="str">
        <x:v>The Quest for the Candies</x:v>
      </x:c>
      <x:c r="B2472" t="str">
        <x:v>The Quest for the Candies</x:v>
      </x:c>
      <x:c r="C2472" t="str">
        <x:v>Green Jerry</x:v>
      </x:c>
      <x:c r="D2472" t="n">
        <x:v>34</x:v>
      </x:c>
      <x:c r="E2472" t="str">
        <x:v>Intermediate</x:v>
      </x:c>
      <x:c r="F2472" t="str">
        <x:v>Standard</x:v>
      </x:c>
      <x:c r="G2472" t="n">
        <x:v>44868</x:v>
      </x:c>
      <x:c r="H2472" t="str">
        <x:v>32483</x:v>
      </x:c>
      <x:c r="I2472" t="str">
        <x:v>https://www.smwcentral.net/?a=details&amp;id=32483&amp;p=section</x:v>
      </x:c>
      <x:c r="J2472" t="str">
        <x:v>https://dl.smwcentral.net/32483/The%20Quest%20for%20the%20Candies%20%28V1.1.1%29.zip</x:v>
      </x:c>
    </x:row>
    <x:row r="2473">
      <x:c r="A2473" t="str">
        <x:v>The Quiet Island Quest Starring Mario</x:v>
      </x:c>
      <x:c r="B2473" t="str">
        <x:v>The Quiet Island Quest Starring Mario</x:v>
      </x:c>
      <x:c r="C2473" t="str">
        <x:v>DatGuyT</x:v>
      </x:c>
      <x:c r="D2473" t="n">
        <x:v>62</x:v>
      </x:c>
      <x:c r="E2473" t="str">
        <x:v>Casual</x:v>
      </x:c>
      <x:c r="F2473" t="str">
        <x:v>Standard</x:v>
      </x:c>
      <x:c r="G2473" t="n">
        <x:v>42300</x:v>
      </x:c>
      <x:c r="H2473" t="str">
        <x:v>10093</x:v>
      </x:c>
      <x:c r="I2473" t="str">
        <x:v>https://www.smwcentral.net/?a=details&amp;id=10093&amp;p=section</x:v>
      </x:c>
      <x:c r="J2473" t="str">
        <x:v>https://dl.smwcentral.net/10093/Quiet%20Island%20%28Final%29.zip</x:v>
      </x:c>
    </x:row>
    <x:row r="2474">
      <x:c r="A2474" t="str">
        <x:v>The Reapers Shells</x:v>
      </x:c>
      <x:c r="B2474" t="str">
        <x:v>The Reapers Shells</x:v>
      </x:c>
      <x:c r="C2474" t="str">
        <x:v>Deivid Borba</x:v>
      </x:c>
      <x:c r="D2474" t="n">
        <x:v>15</x:v>
      </x:c>
      <x:c r="E2474" t="str">
        <x:v>Master</x:v>
      </x:c>
      <x:c r="F2474" t="str">
        <x:v>Kaizo</x:v>
      </x:c>
      <x:c r="G2474" t="n">
        <x:v>44302</x:v>
      </x:c>
      <x:c r="H2474" t="str">
        <x:v>26558</x:v>
      </x:c>
      <x:c r="I2474" t="str">
        <x:v>https://www.smwcentral.net/?a=details&amp;id=26558&amp;p=section</x:v>
      </x:c>
      <x:c r="J2474" t="str">
        <x:v>https://dl.smwcentral.net/26558/TheReaperShells.zip</x:v>
      </x:c>
    </x:row>
    <x:row r="2475">
      <x:c r="A2475" t="str">
        <x:v>The Reapers Shells 2</x:v>
      </x:c>
      <x:c r="B2475" t="str">
        <x:v>The Reapers Shells 2</x:v>
      </x:c>
      <x:c r="C2475" t="str">
        <x:v>Deivid Borba</x:v>
      </x:c>
      <x:c r="D2475" t="n">
        <x:v>10</x:v>
      </x:c>
      <x:c r="E2475" t="str">
        <x:v>Master</x:v>
      </x:c>
      <x:c r="F2475" t="str">
        <x:v>Kaizo</x:v>
      </x:c>
      <x:c r="G2475" t="n">
        <x:v>44656</x:v>
      </x:c>
      <x:c r="H2475" t="str">
        <x:v>30170</x:v>
      </x:c>
      <x:c r="I2475" t="str">
        <x:v>https://www.smwcentral.net/?a=details&amp;id=30170&amp;p=section</x:v>
      </x:c>
      <x:c r="J2475" t="str">
        <x:v>https://dl.smwcentral.net/30170/TheReapersShells2.zip</x:v>
      </x:c>
    </x:row>
    <x:row r="2476">
      <x:c r="A2476" t="str">
        <x:v>The Rebuilding of the Star Palace</x:v>
      </x:c>
      <x:c r="B2476" t="str">
        <x:v>The Rebuilding of the Star Palace</x:v>
      </x:c>
      <x:c r="C2476" t="str">
        <x:v>IsoFrieze</x:v>
      </x:c>
      <x:c r="D2476" t="n">
        <x:v>13</x:v>
      </x:c>
      <x:c r="E2476" t="str">
        <x:v>Casual</x:v>
      </x:c>
      <x:c r="F2476" t="str">
        <x:v>Standard</x:v>
      </x:c>
      <x:c r="G2476" t="n">
        <x:v>42209</x:v>
      </x:c>
      <x:c r="H2476" t="str">
        <x:v>9722</x:v>
      </x:c>
      <x:c r="I2476" t="str">
        <x:v>https://www.smwcentral.net/?a=details&amp;id=9722&amp;p=section</x:v>
      </x:c>
      <x:c r="J2476" t="str">
        <x:v>https://dl.smwcentral.net/9722/vb0.35TheRebuildingofthestarpalace.zip</x:v>
      </x:c>
    </x:row>
    <x:row r="2477">
      <x:c r="A2477" t="str">
        <x:v>The Reconciliation of Ascension</x:v>
      </x:c>
      <x:c r="B2477" t="str">
        <x:v>The Reconciliation of Ascension</x:v>
      </x:c>
      <x:c r="C2477" t="str">
        <x:v>LightAligns, Saela</x:v>
      </x:c>
      <x:c r="D2477" t="n">
        <x:v>22</x:v>
      </x:c>
      <x:c r="E2477" t="str">
        <x:v>Expert</x:v>
      </x:c>
      <x:c r="F2477" t="str">
        <x:v>Kaizo</x:v>
      </x:c>
      <x:c r="G2477" t="n">
        <x:v>44962</x:v>
      </x:c>
      <x:c r="H2477" t="str">
        <x:v>33033</x:v>
      </x:c>
      <x:c r="I2477" t="str">
        <x:v>https://www.smwcentral.net/?a=details&amp;id=33033&amp;p=section</x:v>
      </x:c>
      <x:c r="J2477" t="str">
        <x:v>https://dl.smwcentral.net/33033/The%20Reconciliation%20of%20Ascension.zip</x:v>
      </x:c>
    </x:row>
    <x:row r="2478">
      <x:c r="A2478" t="str">
        <x:v>The Repetitive Adventure of a Distended Plumber</x:v>
      </x:c>
      <x:c r="B2478" t="str">
        <x:v>The Repetitive Adventure of a Distended Plumber</x:v>
      </x:c>
      <x:c r="C2478" t="str">
        <x:v>The Blue Yoshi</x:v>
      </x:c>
      <x:c r="D2478" t="n">
        <x:v>7</x:v>
      </x:c>
      <x:c r="E2478" t="str">
        <x:v>Newcomer</x:v>
      </x:c>
      <x:c r="F2478" t="str">
        <x:v>Standard</x:v>
      </x:c>
      <x:c r="G2478" t="n">
        <x:v>42279</x:v>
      </x:c>
      <x:c r="H2478" t="str">
        <x:v>9909</x:v>
      </x:c>
      <x:c r="I2478" t="str">
        <x:v>https://www.smwcentral.net/?a=details&amp;id=9909&amp;p=section</x:v>
      </x:c>
      <x:c r="J2478" t="str">
        <x:v>https://dl.smwcentral.net/9909/TRAoaDP.zip</x:v>
      </x:c>
    </x:row>
    <x:row r="2479">
      <x:c r="A2479" t="str">
        <x:v>The Return to Super Mario World</x:v>
      </x:c>
      <x:c r="B2479" t="str">
        <x:v>The Return to Super Mario World</x:v>
      </x:c>
      <x:c r="C2479" t="str">
        <x:v>nnn</x:v>
      </x:c>
      <x:c r="D2479" t="n">
        <x:v>96</x:v>
      </x:c>
      <x:c r="E2479" t="str">
        <x:v>Intermediate</x:v>
      </x:c>
      <x:c r="F2479" t="str">
        <x:v>Standard</x:v>
      </x:c>
      <x:c r="G2479" t="n">
        <x:v>42339</x:v>
      </x:c>
      <x:c r="H2479" t="str">
        <x:v>10135</x:v>
      </x:c>
      <x:c r="I2479" t="str">
        <x:v>https://www.smwcentral.net/?a=details&amp;id=10135&amp;p=section</x:v>
      </x:c>
      <x:c r="J2479" t="str">
        <x:v>https://dl.smwcentral.net/10135/SMW%20EXP%20v3.2%20The%20return%20to%20SMW%20%28Fixed%29.zip</x:v>
      </x:c>
    </x:row>
    <x:row r="2480">
      <x:c r="A2480" t="str">
        <x:v>The Rituals Of Resurrection</x:v>
      </x:c>
      <x:c r="B2480" t="str">
        <x:v>The Rituals Of Resurrection</x:v>
      </x:c>
      <x:c r="C2480" t="str">
        <x:v>SyStemkraSh</x:v>
      </x:c>
      <x:c r="D2480" t="n">
        <x:v>14</x:v>
      </x:c>
      <x:c r="E2480" t="str">
        <x:v>Casual</x:v>
      </x:c>
      <x:c r="F2480" t="str">
        <x:v>Standard</x:v>
      </x:c>
      <x:c r="G2480" t="n">
        <x:v>42207</x:v>
      </x:c>
      <x:c r="H2480" t="str">
        <x:v>9848</x:v>
      </x:c>
      <x:c r="I2480" t="str">
        <x:v>https://www.smwcentral.net/?a=details&amp;id=9848&amp;p=section</x:v>
      </x:c>
      <x:c r="J2480" t="str">
        <x:v>https://dl.smwcentral.net/9848/The_Rituals_of_Resurrection.zip</x:v>
      </x:c>
    </x:row>
    <x:row r="2481">
      <x:c r="A2481" t="str">
        <x:v>The Rock 'n' Roll Mario Show: Set 1</x:v>
      </x:c>
      <x:c r="B2481" t="str">
        <x:v>The Rock 'n' Roll Mario Show: Set 1</x:v>
      </x:c>
      <x:c r="C2481" t="str">
        <x:v>kaigem</x:v>
      </x:c>
      <x:c r="D2481" t="n">
        <x:v>15</x:v>
      </x:c>
      <x:c r="E2481" t="str">
        <x:v>Expert</x:v>
      </x:c>
      <x:c r="F2481" t="str">
        <x:v>Kaizo</x:v>
      </x:c>
      <x:c r="G2481" t="n">
        <x:v>44113</x:v>
      </x:c>
      <x:c r="H2481" t="str">
        <x:v>24625</x:v>
      </x:c>
      <x:c r="I2481" t="str">
        <x:v>https://www.smwcentral.net/?a=details&amp;id=24625&amp;p=section</x:v>
      </x:c>
      <x:c r="J2481" t="str">
        <x:v>https://dl.smwcentral.net/24625/Rock%20n%20Roll%20Mario%20Show%20set%201%20v1.13.zip</x:v>
      </x:c>
    </x:row>
    <x:row r="2482">
      <x:c r="A2482" t="str">
        <x:v>The Rock 'n' Roll Mario Show: Set Two</x:v>
      </x:c>
      <x:c r="B2482" t="str">
        <x:v>The Rock 'n' Roll Mario Show: Set Two</x:v>
      </x:c>
      <x:c r="C2482" t="str">
        <x:v>kaigem</x:v>
      </x:c>
      <x:c r="D2482" t="n">
        <x:v>20</x:v>
      </x:c>
      <x:c r="E2482" t="str">
        <x:v>Master</x:v>
      </x:c>
      <x:c r="F2482" t="str">
        <x:v>Kaizo</x:v>
      </x:c>
      <x:c r="G2482" t="n">
        <x:v>44600</x:v>
      </x:c>
      <x:c r="H2482" t="str">
        <x:v>29606</x:v>
      </x:c>
      <x:c r="I2482" t="str">
        <x:v>https://www.smwcentral.net/?a=details&amp;id=29606&amp;p=section</x:v>
      </x:c>
      <x:c r="J2482" t="str">
        <x:v>https://dl.smwcentral.net/29606/The%20Rock%20n%20Roll%20Mario%20Show%20Set%20Two%20v1.1.zip</x:v>
      </x:c>
    </x:row>
    <x:row r="2483">
      <x:c r="A2483" t="str">
        <x:v>The Ruin</x:v>
      </x:c>
      <x:c r="B2483" t="str">
        <x:v>The Ruin</x:v>
      </x:c>
      <x:c r="C2483" t="str">
        <x:v>Mao</x:v>
      </x:c>
      <x:c r="D2483" t="n">
        <x:v>1</x:v>
      </x:c>
      <x:c r="E2483" t="str">
        <x:v>Casual</x:v>
      </x:c>
      <x:c r="F2483" t="str">
        <x:v>Standard</x:v>
      </x:c>
      <x:c r="G2483" t="n">
        <x:v>45320</x:v>
      </x:c>
      <x:c r="H2483" t="str">
        <x:v>36673</x:v>
      </x:c>
      <x:c r="I2483" t="str">
        <x:v>https://www.smwcentral.net/?a=details&amp;id=36673&amp;p=section</x:v>
      </x:c>
      <x:c r="J2483" t="str">
        <x:v>https://dl.smwcentral.net/36673/The%20Ruin.zip</x:v>
      </x:c>
    </x:row>
    <x:row r="2484">
      <x:c r="A2484" t="str">
        <x:v>The Saga - Kame</x:v>
      </x:c>
      <x:c r="B2484" t="str">
        <x:v>The Saga - Kame</x:v>
      </x:c>
      <x:c r="C2484" t="str">
        <x:v>Rauy Style</x:v>
      </x:c>
      <x:c r="D2484" t="n">
        <x:v>7</x:v>
      </x:c>
      <x:c r="E2484" t="str">
        <x:v>Intermediate</x:v>
      </x:c>
      <x:c r="F2484" t="str">
        <x:v>Standard</x:v>
      </x:c>
      <x:c r="G2484" t="n">
        <x:v>42231</x:v>
      </x:c>
      <x:c r="H2484" t="str">
        <x:v>9875</x:v>
      </x:c>
      <x:c r="I2484" t="str">
        <x:v>https://www.smwcentral.net/?a=details&amp;id=9875&amp;p=section</x:v>
      </x:c>
      <x:c r="J2484" t="str">
        <x:v>https://dl.smwcentral.net/9875/The%20Saga%20-%20Kame.zip</x:v>
      </x:c>
    </x:row>
    <x:row r="2485">
      <x:c r="A2485" t="str">
        <x:v>The Sapphire</x:v>
      </x:c>
      <x:c r="B2485" t="str">
        <x:v>The Sapphire</x:v>
      </x:c>
      <x:c r="C2485" t="str">
        <x:v>Atari2.0</x:v>
      </x:c>
      <x:c r="D2485" t="n">
        <x:v>12</x:v>
      </x:c>
      <x:c r="E2485" t="str">
        <x:v>Expert</x:v>
      </x:c>
      <x:c r="F2485" t="str">
        <x:v>Kaizo</x:v>
      </x:c>
      <x:c r="G2485" t="n">
        <x:v>43444</x:v>
      </x:c>
      <x:c r="H2485" t="str">
        <x:v>18601</x:v>
      </x:c>
      <x:c r="I2485" t="str">
        <x:v>https://www.smwcentral.net/?a=details&amp;id=18601&amp;p=section</x:v>
      </x:c>
      <x:c r="J2485" t="str">
        <x:v>https://dl.smwcentral.net/18601/TheSapphireV1.1%281%29.zip</x:v>
      </x:c>
    </x:row>
    <x:row r="2486">
      <x:c r="A2486" t="str">
        <x:v>The Search for Salmon</x:v>
      </x:c>
      <x:c r="B2486" t="str">
        <x:v>The Search for Salmon</x:v>
      </x:c>
      <x:c r="C2486" t="str">
        <x:v>GlitchCat7</x:v>
      </x:c>
      <x:c r="D2486" t="n">
        <x:v>11</x:v>
      </x:c>
      <x:c r="E2486" t="str">
        <x:v>Master</x:v>
      </x:c>
      <x:c r="F2486" t="str">
        <x:v>Kaizo</x:v>
      </x:c>
      <x:c r="G2486" t="n">
        <x:v>43260</x:v>
      </x:c>
      <x:c r="H2486" t="str">
        <x:v>17555</x:v>
      </x:c>
      <x:c r="I2486" t="str">
        <x:v>https://www.smwcentral.net/?a=details&amp;id=17555&amp;p=section</x:v>
      </x:c>
      <x:c r="J2486" t="str">
        <x:v>https://dl.smwcentral.net/17555/The%20Search%20for%20Salmon%201.2.zip</x:v>
      </x:c>
    </x:row>
    <x:row r="2487">
      <x:c r="A2487" t="str">
        <x:v>The Second Reality Project</x:v>
      </x:c>
      <x:c r="B2487" t="str">
        <x:v>The Second Reality Project</x:v>
      </x:c>
      <x:c r="C2487" t="str">
        <x:v>FPI</x:v>
      </x:c>
      <x:c r="D2487" t="n">
        <x:v>96</x:v>
      </x:c>
      <x:c r="E2487" t="str">
        <x:v>Expert</x:v>
      </x:c>
      <x:c r="F2487" t="str">
        <x:v>Standard</x:v>
      </x:c>
      <x:c r="G2487" t="n">
        <x:v>41455</x:v>
      </x:c>
      <x:c r="H2487" t="str">
        <x:v>4983</x:v>
      </x:c>
      <x:c r="I2487" t="str">
        <x:v>https://www.smwcentral.net/?a=details&amp;id=4983&amp;p=section</x:v>
      </x:c>
      <x:c r="J2487" t="str">
        <x:v>https://dl.smwcentral.net/4983/TSRP1.zip</x:v>
      </x:c>
    </x:row>
    <x:row r="2488">
      <x:c r="A2488" t="str">
        <x:v>The Second Reality Project 2 Reloaded: Zycloboo's Challenge</x:v>
      </x:c>
      <x:c r="B2488" t="str">
        <x:v>The Second Reality Project 2 Reloaded: Zycloboo's Challenge</x:v>
      </x:c>
      <x:c r="C2488" t="str">
        <x:v>FPI</x:v>
      </x:c>
      <x:c r="D2488" t="n">
        <x:v>112</x:v>
      </x:c>
      <x:c r="E2488" t="str">
        <x:v>Advanced</x:v>
      </x:c>
      <x:c r="F2488" t="str">
        <x:v>Standard</x:v>
      </x:c>
      <x:c r="G2488" t="n">
        <x:v>41967</x:v>
      </x:c>
      <x:c r="H2488" t="str">
        <x:v>9543</x:v>
      </x:c>
      <x:c r="I2488" t="str">
        <x:v>https://www.smwcentral.net/?a=details&amp;id=9543&amp;p=section</x:v>
      </x:c>
      <x:c r="J2488" t="str">
        <x:v>https://dl.smwcentral.net/9543/TSRP2v2.2.zip</x:v>
      </x:c>
    </x:row>
    <x:row r="2489">
      <x:c r="A2489" t="str">
        <x:v>The Second Reality Project 2: Zycloboo's Challenge</x:v>
      </x:c>
      <x:c r="B2489" t="str">
        <x:v>The Second Reality Project 2: Zycloboo's Challenge</x:v>
      </x:c>
      <x:c r="C2489" t="str">
        <x:v>FPI</x:v>
      </x:c>
      <x:c r="D2489" t="n">
        <x:v>109</x:v>
      </x:c>
      <x:c r="E2489" t="str">
        <x:v>Advanced</x:v>
      </x:c>
      <x:c r="F2489" t="str">
        <x:v>Standard</x:v>
      </x:c>
      <x:c r="G2489" t="n">
        <x:v>41455</x:v>
      </x:c>
      <x:c r="H2489" t="str">
        <x:v>4974</x:v>
      </x:c>
      <x:c r="I2489" t="str">
        <x:v>https://www.smwcentral.net/?a=details&amp;id=4974&amp;p=section</x:v>
      </x:c>
      <x:c r="J2489" t="str">
        <x:v>https://dl.smwcentral.net/4974/TSRP2vers1.2.zip</x:v>
      </x:c>
    </x:row>
    <x:row r="2490">
      <x:c r="A2490" t="str">
        <x:v>The Second Reality Project Reloaded</x:v>
      </x:c>
      <x:c r="B2490" t="str">
        <x:v>The Second Reality Project Reloaded</x:v>
      </x:c>
      <x:c r="C2490" t="str">
        <x:v>FPI</x:v>
      </x:c>
      <x:c r="D2490" t="n">
        <x:v>117</x:v>
      </x:c>
      <x:c r="E2490" t="str">
        <x:v>Advanced</x:v>
      </x:c>
      <x:c r="F2490" t="str">
        <x:v>Standard</x:v>
      </x:c>
      <x:c r="G2490" t="n">
        <x:v>43071</x:v>
      </x:c>
      <x:c r="H2490" t="str">
        <x:v>16696</x:v>
      </x:c>
      <x:c r="I2490" t="str">
        <x:v>https://www.smwcentral.net/?a=details&amp;id=16696&amp;p=section</x:v>
      </x:c>
      <x:c r="J2490" t="str">
        <x:v>https://dl.smwcentral.net/16696/TSRPR%20v1.2.zip</x:v>
      </x:c>
    </x:row>
    <x:row r="2491">
      <x:c r="A2491" t="str">
        <x:v>The Secret Islands</x:v>
      </x:c>
      <x:c r="B2491" t="str">
        <x:v>The Secret Islands</x:v>
      </x:c>
      <x:c r="C2491" t="str">
        <x:v>Mario is the best</x:v>
      </x:c>
      <x:c r="D2491" t="n">
        <x:v>10</x:v>
      </x:c>
      <x:c r="E2491" t="str">
        <x:v>Casual</x:v>
      </x:c>
      <x:c r="F2491" t="str">
        <x:v>Standard</x:v>
      </x:c>
      <x:c r="G2491" t="n">
        <x:v>44084</x:v>
      </x:c>
      <x:c r="H2491" t="str">
        <x:v>24565</x:v>
      </x:c>
      <x:c r="I2491" t="str">
        <x:v>https://www.smwcentral.net/?a=details&amp;id=24565&amp;p=section</x:v>
      </x:c>
      <x:c r="J2491" t="str">
        <x:v>https://dl.smwcentral.net/24565/Secret%20Island.zip</x:v>
      </x:c>
    </x:row>
    <x:row r="2492">
      <x:c r="A2492" t="str">
        <x:v>The Secret of the Switches</x:v>
      </x:c>
      <x:c r="B2492" t="str">
        <x:v>The Secret of the Switches</x:v>
      </x:c>
      <x:c r="C2492" t="str">
        <x:v>arotenbe</x:v>
      </x:c>
      <x:c r="D2492" t="n">
        <x:v>11</x:v>
      </x:c>
      <x:c r="E2492" t="str">
        <x:v>Newcomer</x:v>
      </x:c>
      <x:c r="F2492" t="str">
        <x:v>Standard</x:v>
      </x:c>
      <x:c r="G2492" t="n">
        <x:v>42241</x:v>
      </x:c>
      <x:c r="H2492" t="str">
        <x:v>9902</x:v>
      </x:c>
      <x:c r="I2492" t="str">
        <x:v>https://www.smwcentral.net/?a=details&amp;id=9902&amp;p=section</x:v>
      </x:c>
      <x:c r="J2492" t="str">
        <x:v>https://dl.smwcentral.net/9902/The%20Secret%20of%20the%20Switches%20%28Demo%201.1%29.zip</x:v>
      </x:c>
    </x:row>
    <x:row r="2493">
      <x:c r="A2493" t="str">
        <x:v>The Senate</x:v>
      </x:c>
      <x:c r="B2493" t="str">
        <x:v>The Senate</x:v>
      </x:c>
      <x:c r="C2493" t="str">
        <x:v>Fornaxus</x:v>
      </x:c>
      <x:c r="D2493" t="n">
        <x:v>85</x:v>
      </x:c>
      <x:c r="E2493" t="str">
        <x:v>Intermediate</x:v>
      </x:c>
      <x:c r="F2493" t="str">
        <x:v>Standard</x:v>
      </x:c>
      <x:c r="G2493" t="n">
        <x:v>41657</x:v>
      </x:c>
      <x:c r="H2493" t="str">
        <x:v>6161</x:v>
      </x:c>
      <x:c r="I2493" t="str">
        <x:v>https://www.smwcentral.net/?a=details&amp;id=6161&amp;p=section</x:v>
      </x:c>
      <x:c r="J2493" t="str">
        <x:v>https://dl.smwcentral.net/6161/The%20Senate%20v1.3.zip</x:v>
      </x:c>
    </x:row>
    <x:row r="2494">
      <x:c r="A2494" t="str">
        <x:v>The Seven Hurdles</x:v>
      </x:c>
      <x:c r="B2494" t="str">
        <x:v>The Seven Hurdles</x:v>
      </x:c>
      <x:c r="C2494" t="str">
        <x:v>Wind Fish</x:v>
      </x:c>
      <x:c r="D2494" t="n">
        <x:v>7</x:v>
      </x:c>
      <x:c r="E2494" t="str">
        <x:v>Newcomer</x:v>
      </x:c>
      <x:c r="F2494" t="str">
        <x:v>Standard</x:v>
      </x:c>
      <x:c r="G2494" t="n">
        <x:v>42211</x:v>
      </x:c>
      <x:c r="H2494" t="str">
        <x:v>11848</x:v>
      </x:c>
      <x:c r="I2494" t="str">
        <x:v>https://www.smwcentral.net/?a=details&amp;id=11848&amp;p=section</x:v>
      </x:c>
      <x:c r="J2494" t="str">
        <x:v>https://dl.smwcentral.net/11848/The%20Seven%20Hurdles%20v1.1.zip</x:v>
      </x:c>
    </x:row>
    <x:row r="2495">
      <x:c r="A2495" t="str">
        <x:v>The Seven Hurdles 2</x:v>
      </x:c>
      <x:c r="B2495" t="str">
        <x:v>The Seven Hurdles 2</x:v>
      </x:c>
      <x:c r="C2495" t="str">
        <x:v>Wind Fish</x:v>
      </x:c>
      <x:c r="D2495" t="n">
        <x:v>10</x:v>
      </x:c>
      <x:c r="E2495" t="str">
        <x:v>Casual</x:v>
      </x:c>
      <x:c r="F2495" t="str">
        <x:v>Standard</x:v>
      </x:c>
      <x:c r="G2495" t="n">
        <x:v>42546</x:v>
      </x:c>
      <x:c r="H2495" t="str">
        <x:v>13850</x:v>
      </x:c>
      <x:c r="I2495" t="str">
        <x:v>https://www.smwcentral.net/?a=details&amp;id=13850&amp;p=section</x:v>
      </x:c>
      <x:c r="J2495" t="str">
        <x:v>https://dl.smwcentral.net/13850/TSH2v121.zip</x:v>
      </x:c>
    </x:row>
    <x:row r="2496">
      <x:c r="A2496" t="str">
        <x:v>The Seven Star Pieces</x:v>
      </x:c>
      <x:c r="B2496" t="str">
        <x:v>The Seven Star Pieces</x:v>
      </x:c>
      <x:c r="C2496" t="str">
        <x:v>pieguy1372</x:v>
      </x:c>
      <x:c r="D2496" t="n">
        <x:v>10</x:v>
      </x:c>
      <x:c r="E2496" t="str">
        <x:v>Newcomer</x:v>
      </x:c>
      <x:c r="F2496" t="str">
        <x:v>Standard</x:v>
      </x:c>
      <x:c r="G2496" t="n">
        <x:v>41447</x:v>
      </x:c>
      <x:c r="H2496" t="str">
        <x:v>4989</x:v>
      </x:c>
      <x:c r="I2496" t="str">
        <x:v>https://www.smwcentral.net/?a=details&amp;id=4989&amp;p=section</x:v>
      </x:c>
      <x:c r="J2496" t="str">
        <x:v>https://dl.smwcentral.net/4989/7star_demo1.zip</x:v>
      </x:c>
    </x:row>
    <x:row r="2497">
      <x:c r="A2497" t="str">
        <x:v>The Sixty-four Trials</x:v>
      </x:c>
      <x:c r="B2497" t="str">
        <x:v>The Sixty-four Trials</x:v>
      </x:c>
      <x:c r="C2497" t="str">
        <x:v>Mariowings77</x:v>
      </x:c>
      <x:c r="D2497" t="n">
        <x:v>18</x:v>
      </x:c>
      <x:c r="E2497" t="str">
        <x:v>Newcomer</x:v>
      </x:c>
      <x:c r="F2497" t="str">
        <x:v>Standard</x:v>
      </x:c>
      <x:c r="G2497" t="n">
        <x:v>42312</x:v>
      </x:c>
      <x:c r="H2497" t="str">
        <x:v>9992</x:v>
      </x:c>
      <x:c r="I2497" t="str">
        <x:v>https://www.smwcentral.net/?a=details&amp;id=9992&amp;p=section</x:v>
      </x:c>
      <x:c r="J2497" t="str">
        <x:v>https://dl.smwcentral.net/9992/The%20Sixty-four%20Trials%20Demo%201.zip</x:v>
      </x:c>
    </x:row>
    <x:row r="2498">
      <x:c r="A2498" t="str">
        <x:v>The Stinky Black Banana Peel</x:v>
      </x:c>
      <x:c r="B2498" t="str">
        <x:v>The Stinky Black Banana Peel</x:v>
      </x:c>
      <x:c r="C2498" t="str">
        <x:v>xMANGRAVYx</x:v>
      </x:c>
      <x:c r="D2498" t="n">
        <x:v>8</x:v>
      </x:c>
      <x:c r="E2498" t="str">
        <x:v>Advanced</x:v>
      </x:c>
      <x:c r="F2498" t="str">
        <x:v>Kaizo</x:v>
      </x:c>
      <x:c r="G2498" t="n">
        <x:v>45585</x:v>
      </x:c>
      <x:c r="H2498" t="str">
        <x:v>38660</x:v>
      </x:c>
      <x:c r="I2498" t="str">
        <x:v>https://www.smwcentral.net/?a=details&amp;id=38660&amp;p=section</x:v>
      </x:c>
      <x:c r="J2498" t="str">
        <x:v>https://dl.smwcentral.net/38660/the%20stinky%20black%20banana%20peel.zip</x:v>
      </x:c>
    </x:row>
    <x:row r="2499">
      <x:c r="A2499" t="str">
        <x:v>The Stolen Yoshi Coins</x:v>
      </x:c>
      <x:c r="B2499" t="str">
        <x:v>The Stolen Yoshi Coins</x:v>
      </x:c>
      <x:c r="C2499" t="str">
        <x:v>super pokemon world</x:v>
      </x:c>
      <x:c r="D2499" t="n">
        <x:v>4</x:v>
      </x:c>
      <x:c r="E2499" t="str">
        <x:v>Newcomer</x:v>
      </x:c>
      <x:c r="F2499" t="str">
        <x:v>Standard</x:v>
      </x:c>
      <x:c r="G2499" t="n">
        <x:v>42209</x:v>
      </x:c>
      <x:c r="H2499" t="str">
        <x:v>9970</x:v>
      </x:c>
      <x:c r="I2499" t="str">
        <x:v>https://www.smwcentral.net/?a=details&amp;id=9970&amp;p=section</x:v>
      </x:c>
      <x:c r="J2499" t="str">
        <x:v>https://dl.smwcentral.net/9970/the%20stolen%20yoshi%20coins.zip</x:v>
      </x:c>
    </x:row>
    <x:row r="2500">
      <x:c r="A2500" t="str">
        <x:v>The Sweet Sweet Love</x:v>
      </x:c>
      <x:c r="B2500" t="str">
        <x:v>The Sweet Sweet Love</x:v>
      </x:c>
      <x:c r="C2500" t="str">
        <x:v>Beefy Chud</x:v>
      </x:c>
      <x:c r="D2500" t="n">
        <x:v>16</x:v>
      </x:c>
      <x:c r="E2500" t="str">
        <x:v>Intermediate</x:v>
      </x:c>
      <x:c r="F2500" t="str">
        <x:v>Kaizo</x:v>
      </x:c>
      <x:c r="G2500" t="n">
        <x:v>44487</x:v>
      </x:c>
      <x:c r="H2500" t="str">
        <x:v>28591</x:v>
      </x:c>
      <x:c r="I2500" t="str">
        <x:v>https://www.smwcentral.net/?a=details&amp;id=28591&amp;p=section</x:v>
      </x:c>
      <x:c r="J2500" t="str">
        <x:v>https://dl.smwcentral.net/28591/The_Sweet_Sweet_Love_V1.1.zip</x:v>
      </x:c>
    </x:row>
    <x:row r="2501">
      <x:c r="A2501" t="str">
        <x:v>The Sweet Sweet Love Forever</x:v>
      </x:c>
      <x:c r="B2501" t="str">
        <x:v>The Sweet Sweet Love Forever</x:v>
      </x:c>
      <x:c r="C2501" t="str">
        <x:v>Beefy Chud</x:v>
      </x:c>
      <x:c r="D2501" t="n">
        <x:v>12</x:v>
      </x:c>
      <x:c r="E2501" t="str">
        <x:v>Intermediate</x:v>
      </x:c>
      <x:c r="F2501" t="str">
        <x:v>Kaizo</x:v>
      </x:c>
      <x:c r="G2501" t="n">
        <x:v>44797</x:v>
      </x:c>
      <x:c r="H2501" t="str">
        <x:v>31894</x:v>
      </x:c>
      <x:c r="I2501" t="str">
        <x:v>https://www.smwcentral.net/?a=details&amp;id=31894&amp;p=section</x:v>
      </x:c>
      <x:c r="J2501" t="str">
        <x:v>https://dl.smwcentral.net/31894/The_Sweet_Sweet_Love_Forever.zip</x:v>
      </x:c>
    </x:row>
    <x:row r="2502">
      <x:c r="A2502" t="str">
        <x:v>The Sweet Sweet Love Returns</x:v>
      </x:c>
      <x:c r="B2502" t="str">
        <x:v>The Sweet Sweet Love Returns</x:v>
      </x:c>
      <x:c r="C2502" t="str">
        <x:v>Beefy Chud</x:v>
      </x:c>
      <x:c r="D2502" t="n">
        <x:v>13</x:v>
      </x:c>
      <x:c r="E2502" t="str">
        <x:v>Advanced</x:v>
      </x:c>
      <x:c r="F2502" t="str">
        <x:v>Kaizo</x:v>
      </x:c>
      <x:c r="G2502" t="n">
        <x:v>44613</x:v>
      </x:c>
      <x:c r="H2502" t="str">
        <x:v>29914</x:v>
      </x:c>
      <x:c r="I2502" t="str">
        <x:v>https://www.smwcentral.net/?a=details&amp;id=29914&amp;p=section</x:v>
      </x:c>
      <x:c r="J2502" t="str">
        <x:v>https://dl.smwcentral.net/29914/The_Sweet_Sweet_Love_Returns.zip</x:v>
      </x:c>
    </x:row>
    <x:row r="2503">
      <x:c r="A2503" t="str">
        <x:v>The Swift Skooter Parallelogram</x:v>
      </x:c>
      <x:c r="B2503" t="str">
        <x:v>The Swift Skooter Parallelogram</x:v>
      </x:c>
      <x:c r="C2503" t="str">
        <x:v>placeholdertest</x:v>
      </x:c>
      <x:c r="D2503" t="n">
        <x:v>1</x:v>
      </x:c>
      <x:c r="E2503" t="str">
        <x:v>Expert</x:v>
      </x:c>
      <x:c r="F2503" t="str">
        <x:v>Kaizo</x:v>
      </x:c>
      <x:c r="G2503" t="n">
        <x:v>45215</x:v>
      </x:c>
      <x:c r="H2503" t="str">
        <x:v>35279</x:v>
      </x:c>
      <x:c r="I2503" t="str">
        <x:v>https://www.smwcentral.net/?a=details&amp;id=35279&amp;p=section</x:v>
      </x:c>
      <x:c r="J2503" t="str">
        <x:v>https://dl.smwcentral.net/35279/pht.zip</x:v>
      </x:c>
    </x:row>
    <x:row r="2504">
      <x:c r="A2504" t="str">
        <x:v>The Tale of Elementia</x:v>
      </x:c>
      <x:c r="B2504" t="str">
        <x:v>The Tale of Elementia</x:v>
      </x:c>
      <x:c r="C2504" t="str">
        <x:v>Supertails</x:v>
      </x:c>
      <x:c r="D2504" t="n">
        <x:v>38</x:v>
      </x:c>
      <x:c r="E2504" t="str">
        <x:v>Newcomer</x:v>
      </x:c>
      <x:c r="F2504" t="str">
        <x:v>Standard</x:v>
      </x:c>
      <x:c r="G2504" t="n">
        <x:v>42972</x:v>
      </x:c>
      <x:c r="H2504" t="str">
        <x:v>16068</x:v>
      </x:c>
      <x:c r="I2504" t="str">
        <x:v>https://www.smwcentral.net/?a=details&amp;id=16068&amp;p=section</x:v>
      </x:c>
      <x:c r="J2504" t="str">
        <x:v>https://dl.smwcentral.net/16068/ttoedemo2-fixed.zip</x:v>
      </x:c>
    </x:row>
    <x:row r="2505">
      <x:c r="A2505" t="str">
        <x:v>The Team Shell Hack</x:v>
      </x:c>
      <x:c r="B2505" t="str">
        <x:v>The Team Shell Hack</x:v>
      </x:c>
      <x:c r="C2505" t="str">
        <x:v>Jikurein, Team Shell, xamexer</x:v>
      </x:c>
      <x:c r="D2505" t="n">
        <x:v>38</x:v>
      </x:c>
      <x:c r="E2505" t="str">
        <x:v>Master</x:v>
      </x:c>
      <x:c r="F2505" t="str">
        <x:v>Kaizo</x:v>
      </x:c>
      <x:c r="G2505" t="n">
        <x:v>45349</x:v>
      </x:c>
      <x:c r="H2505" t="str">
        <x:v>36961</x:v>
      </x:c>
      <x:c r="I2505" t="str">
        <x:v>https://www.smwcentral.net/?a=details&amp;id=36961&amp;p=section</x:v>
      </x:c>
      <x:c r="J2505" t="str">
        <x:v>https://dl.smwcentral.net/36961/TEAM_SHELL_3.0.zip</x:v>
      </x:c>
    </x:row>
    <x:row r="2506">
      <x:c r="A2506" t="str">
        <x:v>The Temple of Dinosaurs</x:v>
      </x:c>
      <x:c r="B2506" t="str">
        <x:v>The Temple of Dinosaurs</x:v>
      </x:c>
      <x:c r="C2506" t="str">
        <x:v>Multibella</x:v>
      </x:c>
      <x:c r="D2506" t="n">
        <x:v>5</x:v>
      </x:c>
      <x:c r="E2506" t="str">
        <x:v>Casual</x:v>
      </x:c>
      <x:c r="F2506" t="str">
        <x:v>Standard</x:v>
      </x:c>
      <x:c r="G2506" t="n">
        <x:v>42293</x:v>
      </x:c>
      <x:c r="H2506" t="str">
        <x:v>9960</x:v>
      </x:c>
      <x:c r="I2506" t="str">
        <x:v>https://www.smwcentral.net/?a=details&amp;id=9960&amp;p=section</x:v>
      </x:c>
      <x:c r="J2506" t="str">
        <x:v>https://dl.smwcentral.net/9960/Temple.zip</x:v>
      </x:c>
    </x:row>
    <x:row r="2507">
      <x:c r="A2507" t="str">
        <x:v>The Thousand Year Castle: A Sholmes Adventure</x:v>
      </x:c>
      <x:c r="B2507" t="str">
        <x:v>The Thousand Year Castle: A Sholmes Adventure</x:v>
      </x:c>
      <x:c r="C2507" t="str">
        <x:v>sholmes</x:v>
      </x:c>
      <x:c r="D2507" t="n">
        <x:v>12</x:v>
      </x:c>
      <x:c r="E2507" t="str">
        <x:v>Master</x:v>
      </x:c>
      <x:c r="F2507" t="str">
        <x:v>Kaizo</x:v>
      </x:c>
      <x:c r="G2507" t="n">
        <x:v>46004</x:v>
      </x:c>
      <x:c r="H2507" t="str">
        <x:v>41257</x:v>
      </x:c>
      <x:c r="I2507" t="str">
        <x:v>https://www.smwcentral.net/?a=details&amp;id=41257&amp;p=section</x:v>
      </x:c>
      <x:c r="J2507" t="str">
        <x:v>https://dl.smwcentral.net/41257/Sholmes%20Adventure%20updated.zip</x:v>
      </x:c>
    </x:row>
    <x:row r="2508">
      <x:c r="A2508" t="str">
        <x:v>The Title is Irrelevant</x:v>
      </x:c>
      <x:c r="B2508" t="str">
        <x:v>The Title is Irrelevant</x:v>
      </x:c>
      <x:c r="C2508" t="str">
        <x:v>Forty2</x:v>
      </x:c>
      <x:c r="D2508" t="n">
        <x:v>47</x:v>
      </x:c>
      <x:c r="E2508" t="str">
        <x:v>Casual</x:v>
      </x:c>
      <x:c r="F2508" t="str">
        <x:v>Standard</x:v>
      </x:c>
      <x:c r="G2508" t="n">
        <x:v>42219</x:v>
      </x:c>
      <x:c r="H2508" t="str">
        <x:v>10136</x:v>
      </x:c>
      <x:c r="I2508" t="str">
        <x:v>https://www.smwcentral.net/?a=details&amp;id=10136&amp;p=section</x:v>
      </x:c>
      <x:c r="J2508" t="str">
        <x:v>https://dl.smwcentral.net/10136/tTiI-demo2.zip</x:v>
      </x:c>
    </x:row>
    <x:row r="2509">
      <x:c r="A2509" t="str">
        <x:v>The Tower Tyrant</x:v>
      </x:c>
      <x:c r="B2509" t="str">
        <x:v>The Tower Tyrant</x:v>
      </x:c>
      <x:c r="C2509" t="str">
        <x:v>Mtb4000</x:v>
      </x:c>
      <x:c r="D2509" t="n">
        <x:v>6</x:v>
      </x:c>
      <x:c r="E2509" t="str">
        <x:v>Casual</x:v>
      </x:c>
      <x:c r="F2509" t="str">
        <x:v>Standard</x:v>
      </x:c>
      <x:c r="G2509" t="n">
        <x:v>42288</x:v>
      </x:c>
      <x:c r="H2509" t="str">
        <x:v>10200</x:v>
      </x:c>
      <x:c r="I2509" t="str">
        <x:v>https://www.smwcentral.net/?a=details&amp;id=10200&amp;p=section</x:v>
      </x:c>
      <x:c r="J2509" t="str">
        <x:v>https://dl.smwcentral.net/10200/The%20Tower%20Tyrant%20DEMO.zip</x:v>
      </x:c>
    </x:row>
    <x:row r="2510">
      <x:c r="A2510" t="str">
        <x:v>The Treasure Hunt</x:v>
      </x:c>
      <x:c r="B2510" t="str">
        <x:v>The Treasure Hunt</x:v>
      </x:c>
      <x:c r="C2510" t="str">
        <x:v>Joshua</x:v>
      </x:c>
      <x:c r="D2510" t="n">
        <x:v>39</x:v>
      </x:c>
      <x:c r="E2510" t="str">
        <x:v>Intermediate</x:v>
      </x:c>
      <x:c r="F2510" t="str">
        <x:v>Standard</x:v>
      </x:c>
      <x:c r="G2510" t="n">
        <x:v>42397</x:v>
      </x:c>
      <x:c r="H2510" t="str">
        <x:v>13148</x:v>
      </x:c>
      <x:c r="I2510" t="str">
        <x:v>https://www.smwcentral.net/?a=details&amp;id=13148&amp;p=section</x:v>
      </x:c>
      <x:c r="J2510" t="str">
        <x:v>https://dl.smwcentral.net/13148/The%20Treasure%20Huntv1.1.zip</x:v>
      </x:c>
    </x:row>
    <x:row r="2511">
      <x:c r="A2511" t="str">
        <x:v>The unbearable lightness of being</x:v>
      </x:c>
      <x:c r="B2511" t="str">
        <x:v>The unbearable lightness of being</x:v>
      </x:c>
      <x:c r="C2511" t="str">
        <x:v>dotCoockie</x:v>
      </x:c>
      <x:c r="D2511" t="n">
        <x:v>7</x:v>
      </x:c>
      <x:c r="E2511" t="str">
        <x:v>Expert</x:v>
      </x:c>
      <x:c r="F2511" t="str">
        <x:v>Kaizo</x:v>
      </x:c>
      <x:c r="G2511" t="n">
        <x:v>44683</x:v>
      </x:c>
      <x:c r="H2511" t="str">
        <x:v>30657</x:v>
      </x:c>
      <x:c r="I2511" t="str">
        <x:v>https://www.smwcentral.net/?a=details&amp;id=30657&amp;p=section</x:v>
      </x:c>
      <x:c r="J2511" t="str">
        <x:v>https://dl.smwcentral.net/30657/Release.zip</x:v>
      </x:c>
    </x:row>
    <x:row r="2512">
      <x:c r="A2512" t="str">
        <x:v>The Underground</x:v>
      </x:c>
      <x:c r="B2512" t="str">
        <x:v>The Underground</x:v>
      </x:c>
      <x:c r="C2512" t="str">
        <x:v>algae5</x:v>
      </x:c>
      <x:c r="D2512" t="n">
        <x:v>11</x:v>
      </x:c>
      <x:c r="E2512" t="str">
        <x:v>Expert</x:v>
      </x:c>
      <x:c r="F2512" t="str">
        <x:v>Kaizo</x:v>
      </x:c>
      <x:c r="G2512" t="n">
        <x:v>43630</x:v>
      </x:c>
      <x:c r="H2512" t="str">
        <x:v>20204</x:v>
      </x:c>
      <x:c r="I2512" t="str">
        <x:v>https://www.smwcentral.net/?a=details&amp;id=20204&amp;p=section</x:v>
      </x:c>
      <x:c r="J2512" t="str">
        <x:v>https://dl.smwcentral.net/20204/The%20Underground.zip</x:v>
      </x:c>
    </x:row>
    <x:row r="2513">
      <x:c r="A2513" t="str">
        <x:v>The United States of Mario</x:v>
      </x:c>
      <x:c r="B2513" t="str">
        <x:v>The United States of Mario</x:v>
      </x:c>
      <x:c r="C2513" t="str">
        <x:v>marathonx</x:v>
      </x:c>
      <x:c r="D2513" t="n">
        <x:v>26</x:v>
      </x:c>
      <x:c r="E2513" t="str">
        <x:v>Expert</x:v>
      </x:c>
      <x:c r="F2513" t="str">
        <x:v>Kaizo</x:v>
      </x:c>
      <x:c r="G2513" t="n">
        <x:v>44365</x:v>
      </x:c>
      <x:c r="H2513" t="str">
        <x:v>27225</x:v>
      </x:c>
      <x:c r="I2513" t="str">
        <x:v>https://www.smwcentral.net/?a=details&amp;id=27225&amp;p=section</x:v>
      </x:c>
      <x:c r="J2513" t="str">
        <x:v>https://dl.smwcentral.net/27225/USM%20v1.04a.zip</x:v>
      </x:c>
    </x:row>
    <x:row r="2514">
      <x:c r="A2514" t="str">
        <x:v>The Unknown</x:v>
      </x:c>
      <x:c r="B2514" t="str">
        <x:v>The Unknown</x:v>
      </x:c>
      <x:c r="C2514" t="str">
        <x:v>Jordan</x:v>
      </x:c>
      <x:c r="D2514" t="n">
        <x:v>42</x:v>
      </x:c>
      <x:c r="E2514" t="str">
        <x:v>Advanced</x:v>
      </x:c>
      <x:c r="F2514" t="str">
        <x:v>Kaizo</x:v>
      </x:c>
      <x:c r="G2514" t="n">
        <x:v>44617</x:v>
      </x:c>
      <x:c r="H2514" t="str">
        <x:v>29951</x:v>
      </x:c>
      <x:c r="I2514" t="str">
        <x:v>https://www.smwcentral.net/?a=details&amp;id=29951&amp;p=section</x:v>
      </x:c>
      <x:c r="J2514" t="str">
        <x:v>https://dl.smwcentral.net/29951/The%20Unknown.zip</x:v>
      </x:c>
    </x:row>
    <x:row r="2515">
      <x:c r="A2515" t="str">
        <x:v>The Unworld</x:v>
      </x:c>
      <x:c r="B2515" t="str">
        <x:v>The Unworld</x:v>
      </x:c>
      <x:c r="C2515" t="str">
        <x:v>PrincessEmilu</x:v>
      </x:c>
      <x:c r="D2515" t="n">
        <x:v>92</x:v>
      </x:c>
      <x:c r="E2515" t="str">
        <x:v>Casual</x:v>
      </x:c>
      <x:c r="F2515" t="str">
        <x:v>Standard</x:v>
      </x:c>
      <x:c r="G2515" t="n">
        <x:v>42229</x:v>
      </x:c>
      <x:c r="H2515" t="str">
        <x:v>9653</x:v>
      </x:c>
      <x:c r="I2515" t="str">
        <x:v>https://www.smwcentral.net/?a=details&amp;id=9653&amp;p=section</x:v>
      </x:c>
      <x:c r="J2515" t="str">
        <x:v>https://dl.smwcentral.net/9653/The%20Unworld.zip</x:v>
      </x:c>
    </x:row>
    <x:row r="2516">
      <x:c r="A2516" t="str">
        <x:v>The Unworld: Recharged</x:v>
      </x:c>
      <x:c r="B2516" t="str">
        <x:v>The Unworld: Recharged</x:v>
      </x:c>
      <x:c r="C2516" t="str">
        <x:v>PrincessEmilu</x:v>
      </x:c>
      <x:c r="D2516" t="n">
        <x:v>93</x:v>
      </x:c>
      <x:c r="E2516" t="str">
        <x:v>Casual</x:v>
      </x:c>
      <x:c r="F2516" t="str">
        <x:v>Standard</x:v>
      </x:c>
      <x:c r="G2516" t="n">
        <x:v>41667</x:v>
      </x:c>
      <x:c r="H2516" t="str">
        <x:v>6230</x:v>
      </x:c>
      <x:c r="I2516" t="str">
        <x:v>https://www.smwcentral.net/?a=details&amp;id=6230&amp;p=section</x:v>
      </x:c>
      <x:c r="J2516" t="str">
        <x:v>https://dl.smwcentral.net/6230/The%20Unworld%20Recharged.zip</x:v>
      </x:c>
    </x:row>
    <x:row r="2517">
      <x:c r="A2517" t="str">
        <x:v>The Vanilla</x:v>
      </x:c>
      <x:c r="B2517" t="str">
        <x:v>The Vanilla</x:v>
      </x:c>
      <x:c r="C2517" t="str">
        <x:v>Robju</x:v>
      </x:c>
      <x:c r="D2517" t="n">
        <x:v>8</x:v>
      </x:c>
      <x:c r="E2517" t="str">
        <x:v>Newcomer</x:v>
      </x:c>
      <x:c r="F2517" t="str">
        <x:v>Standard</x:v>
      </x:c>
      <x:c r="G2517" t="n">
        <x:v>42845</x:v>
      </x:c>
      <x:c r="H2517" t="str">
        <x:v>15486</x:v>
      </x:c>
      <x:c r="I2517" t="str">
        <x:v>https://www.smwcentral.net/?a=details&amp;id=15486&amp;p=section</x:v>
      </x:c>
      <x:c r="J2517" t="str">
        <x:v>https://dl.smwcentral.net/15486/TheVanilla%201.3.zip</x:v>
      </x:c>
    </x:row>
    <x:row r="2518">
      <x:c r="A2518" t="str">
        <x:v>The Wahn Stew Race</x:v>
      </x:c>
      <x:c r="B2518" t="str">
        <x:v>The Wahn Stew Race</x:v>
      </x:c>
      <x:c r="C2518" t="str">
        <x:v>Captain_Hacko, Erik_The_Swift, Para_0, VLSkoot, Yetibucca, placeholdertest, user_36733</x:v>
      </x:c>
      <x:c r="D2518" t="n">
        <x:v>6</x:v>
      </x:c>
      <x:c r="E2518" t="str">
        <x:v>Advanced</x:v>
      </x:c>
      <x:c r="F2518" t="str">
        <x:v>Kaizo</x:v>
      </x:c>
      <x:c r="G2518" t="n">
        <x:v>44060</x:v>
      </x:c>
      <x:c r="H2518" t="str">
        <x:v>23816</x:v>
      </x:c>
      <x:c r="I2518" t="str">
        <x:v>https://www.smwcentral.net/?a=details&amp;id=23816&amp;p=section</x:v>
      </x:c>
      <x:c r="J2518" t="str">
        <x:v>https://dl.smwcentral.net/23816/The_Wahn_Stew_Race.zip</x:v>
      </x:c>
    </x:row>
    <x:row r="2519">
      <x:c r="A2519" t="str">
        <x:v>The Way</x:v>
      </x:c>
      <x:c r="B2519" t="str">
        <x:v>The Way</x:v>
      </x:c>
      <x:c r="C2519" t="str">
        <x:v>jdero</x:v>
      </x:c>
      <x:c r="D2519" t="n">
        <x:v>15</x:v>
      </x:c>
      <x:c r="E2519" t="str">
        <x:v>Expert</x:v>
      </x:c>
      <x:c r="F2519" t="str">
        <x:v>Kaizo</x:v>
      </x:c>
      <x:c r="G2519" t="n">
        <x:v>45313</x:v>
      </x:c>
      <x:c r="H2519" t="str">
        <x:v>36599</x:v>
      </x:c>
      <x:c r="I2519" t="str">
        <x:v>https://www.smwcentral.net/?a=details&amp;id=36599&amp;p=section</x:v>
      </x:c>
      <x:c r="J2519" t="str">
        <x:v>https://dl.smwcentral.net/36599/The%20Way.zip</x:v>
      </x:c>
    </x:row>
    <x:row r="2520">
      <x:c r="A2520" t="str">
        <x:v>The Way of The M</x:v>
      </x:c>
      <x:c r="B2520" t="str">
        <x:v>The Way of The M</x:v>
      </x:c>
      <x:c r="C2520" t="str">
        <x:v>levelengine</x:v>
      </x:c>
      <x:c r="D2520" t="n">
        <x:v>80</x:v>
      </x:c>
      <x:c r="E2520" t="str">
        <x:v>Advanced</x:v>
      </x:c>
      <x:c r="F2520" t="str">
        <x:v>Standard</x:v>
      </x:c>
      <x:c r="G2520" t="n">
        <x:v>41717</x:v>
      </x:c>
      <x:c r="H2520" t="str">
        <x:v>6225</x:v>
      </x:c>
      <x:c r="I2520" t="str">
        <x:v>https://www.smwcentral.net/?a=details&amp;id=6225&amp;p=section</x:v>
      </x:c>
      <x:c r="J2520" t="str">
        <x:v>https://dl.smwcentral.net/6225/The%20Way%20of%20The%20M%20%28Epsilon%29.zip</x:v>
      </x:c>
    </x:row>
    <x:row r="2521">
      <x:c r="A2521" t="str">
        <x:v>The Winter Island</x:v>
      </x:c>
      <x:c r="B2521" t="str">
        <x:v>The Winter Island</x:v>
      </x:c>
      <x:c r="C2521" t="str">
        <x:v>Mario is the best</x:v>
      </x:c>
      <x:c r="D2521" t="n">
        <x:v>3</x:v>
      </x:c>
      <x:c r="E2521" t="str">
        <x:v>Casual</x:v>
      </x:c>
      <x:c r="F2521" t="str">
        <x:v>Standard</x:v>
      </x:c>
      <x:c r="G2521" t="n">
        <x:v>44155</x:v>
      </x:c>
      <x:c r="H2521" t="str">
        <x:v>25206</x:v>
      </x:c>
      <x:c r="I2521" t="str">
        <x:v>https://www.smwcentral.net/?a=details&amp;id=25206&amp;p=section</x:v>
      </x:c>
      <x:c r="J2521" t="str">
        <x:v>https://dl.smwcentral.net/25206/The%20Winter%20Island.zip</x:v>
      </x:c>
    </x:row>
    <x:row r="2522">
      <x:c r="A2522" t="str">
        <x:v>The Worlds Longest Shelljump</x:v>
      </x:c>
      <x:c r="B2522" t="str">
        <x:v>The Worlds Longest Shelljump</x:v>
      </x:c>
      <x:c r="C2522" t="str">
        <x:v>HoorayForJay</x:v>
      </x:c>
      <x:c r="D2522" t="n">
        <x:v>1</x:v>
      </x:c>
      <x:c r="E2522" t="str">
        <x:v>Grandmaster</x:v>
      </x:c>
      <x:c r="F2522" t="str">
        <x:v>Tool-Assisted, Pit</x:v>
      </x:c>
      <x:c r="G2522" t="n">
        <x:v>42854</x:v>
      </x:c>
      <x:c r="H2522" t="str">
        <x:v>15340</x:v>
      </x:c>
      <x:c r="I2522" t="str">
        <x:v>https://www.smwcentral.net/?a=details&amp;id=15340&amp;p=section</x:v>
      </x:c>
      <x:c r="J2522" t="str">
        <x:v>https://dl.smwcentral.net/15340/WorldsLongestShellJump.zip</x:v>
      </x:c>
    </x:row>
    <x:row r="2523">
      <x:c r="A2523" t="str">
        <x:v>The Yoshi Egg: A Mission in Miniature</x:v>
      </x:c>
      <x:c r="B2523" t="str">
        <x:v>The Yoshi Egg: A Mission in Miniature</x:v>
      </x:c>
      <x:c r="C2523" t="str">
        <x:v>Noivern</x:v>
      </x:c>
      <x:c r="D2523" t="n">
        <x:v>5</x:v>
      </x:c>
      <x:c r="E2523" t="str">
        <x:v>Newcomer</x:v>
      </x:c>
      <x:c r="F2523" t="str">
        <x:v>Standard</x:v>
      </x:c>
      <x:c r="G2523" t="n">
        <x:v>41491</x:v>
      </x:c>
      <x:c r="H2523" t="str">
        <x:v>5344</x:v>
      </x:c>
      <x:c r="I2523" t="str">
        <x:v>https://www.smwcentral.net/?a=details&amp;id=5344&amp;p=section</x:v>
      </x:c>
      <x:c r="J2523" t="str">
        <x:v>https://dl.smwcentral.net/5344/The%20Yoshi%20Egg.zip</x:v>
      </x:c>
    </x:row>
    <x:row r="2524">
      <x:c r="A2524" t="str">
        <x:v>The Yoshi Trilogy: Part 1 - Dawn of the Darkness</x:v>
      </x:c>
      <x:c r="B2524" t="str">
        <x:v>The Yoshi Trilogy: Part 1 - Dawn of the Darkness</x:v>
      </x:c>
      <x:c r="C2524" t="str">
        <x:v>DarthYoshi492</x:v>
      </x:c>
      <x:c r="D2524" t="n">
        <x:v>43</x:v>
      </x:c>
      <x:c r="E2524" t="str">
        <x:v>Intermediate</x:v>
      </x:c>
      <x:c r="F2524" t="str">
        <x:v>Standard</x:v>
      </x:c>
      <x:c r="G2524" t="n">
        <x:v>42276</x:v>
      </x:c>
      <x:c r="H2524" t="str">
        <x:v>10025</x:v>
      </x:c>
      <x:c r="I2524" t="str">
        <x:v>https://www.smwcentral.net/?a=details&amp;id=10025&amp;p=section</x:v>
      </x:c>
      <x:c r="J2524" t="str">
        <x:v>https://dl.smwcentral.net/10025/Yoshi%20-%20Dawn%20of%20the%20Darkness%20demo2.zip</x:v>
      </x:c>
    </x:row>
    <x:row r="2525">
      <x:c r="A2525" t="str">
        <x:v>TheIslands</x:v>
      </x:c>
      <x:c r="B2525" t="str">
        <x:v>TheIslands</x:v>
      </x:c>
      <x:c r="C2525" t="str">
        <x:v>SonofSolaire</x:v>
      </x:c>
      <x:c r="D2525" t="n">
        <x:v>13</x:v>
      </x:c>
      <x:c r="E2525" t="str">
        <x:v>Expert</x:v>
      </x:c>
      <x:c r="F2525" t="str">
        <x:v>Kaizo</x:v>
      </x:c>
      <x:c r="G2525" t="n">
        <x:v>46199</x:v>
      </x:c>
      <x:c r="H2525" t="str">
        <x:v>42594</x:v>
      </x:c>
      <x:c r="I2525" t="str">
        <x:v>https://www.smwcentral.net/?a=details&amp;id=42594&amp;p=section</x:v>
      </x:c>
      <x:c r="J2525" t="str">
        <x:v>https://dl.smwcentral.net/42594/TheIslandsv1.1.zip</x:v>
      </x:c>
    </x:row>
    <x:row r="2526">
      <x:c r="A2526" t="str">
        <x:v>theplumber'sodyssey</x:v>
      </x:c>
      <x:c r="B2526" t="str">
        <x:v>theplumber'sodyssey</x:v>
      </x:c>
      <x:c r="C2526" t="str">
        <x:v>Angel Miranda</x:v>
      </x:c>
      <x:c r="D2526" t="n">
        <x:v>13</x:v>
      </x:c>
      <x:c r="E2526" t="str">
        <x:v>Intermediate</x:v>
      </x:c>
      <x:c r="F2526" t="str">
        <x:v>Standard</x:v>
      </x:c>
      <x:c r="G2526" t="n">
        <x:v>45076</x:v>
      </x:c>
      <x:c r="H2526" t="str">
        <x:v>33848</x:v>
      </x:c>
      <x:c r="I2526" t="str">
        <x:v>https://www.smwcentral.net/?a=details&amp;id=33848&amp;p=section</x:v>
      </x:c>
      <x:c r="J2526" t="str">
        <x:v>https://dl.smwcentral.net/33848/theplumber%27sodyssey.zip</x:v>
      </x:c>
    </x:row>
    <x:row r="2527">
      <x:c r="A2527" t="str">
        <x:v>therapy!</x:v>
      </x:c>
      <x:c r="B2527" t="str">
        <x:v>therapy!</x:v>
      </x:c>
      <x:c r="C2527" t="str">
        <x:v>TheGremlin</x:v>
      </x:c>
      <x:c r="D2527" t="n">
        <x:v>10</x:v>
      </x:c>
      <x:c r="E2527" t="str">
        <x:v>Master</x:v>
      </x:c>
      <x:c r="F2527" t="str">
        <x:v>Kaizo</x:v>
      </x:c>
      <x:c r="G2527" t="n">
        <x:v>44455</x:v>
      </x:c>
      <x:c r="H2527" t="str">
        <x:v>28332</x:v>
      </x:c>
      <x:c r="I2527" t="str">
        <x:v>https://www.smwcentral.net/?a=details&amp;id=28332&amp;p=section</x:v>
      </x:c>
      <x:c r="J2527" t="str">
        <x:v>https://dl.smwcentral.net/28332/therapy%21.zip</x:v>
      </x:c>
    </x:row>
    <x:row r="2528">
      <x:c r="A2528" t="str">
        <x:v>Things.smc</x:v>
      </x:c>
      <x:c r="B2528" t="str">
        <x:v>Things.smc</x:v>
      </x:c>
      <x:c r="C2528" t="str">
        <x:v>Sweetdude</x:v>
      </x:c>
      <x:c r="D2528" t="n">
        <x:v>80</x:v>
      </x:c>
      <x:c r="E2528" t="str">
        <x:v>Expert</x:v>
      </x:c>
      <x:c r="F2528" t="str">
        <x:v>Kaizo</x:v>
      </x:c>
      <x:c r="G2528" t="n">
        <x:v>44545</x:v>
      </x:c>
      <x:c r="H2528" t="str">
        <x:v>28936</x:v>
      </x:c>
      <x:c r="I2528" t="str">
        <x:v>https://www.smwcentral.net/?a=details&amp;id=28936&amp;p=section</x:v>
      </x:c>
      <x:c r="J2528" t="str">
        <x:v>https://dl.smwcentral.net/28936/Things4U2Play.zip</x:v>
      </x:c>
    </x:row>
    <x:row r="2529">
      <x:c r="A2529" t="str">
        <x:v>Think Fast</x:v>
      </x:c>
      <x:c r="B2529" t="str">
        <x:v>Think Fast</x:v>
      </x:c>
      <x:c r="C2529" t="str">
        <x:v>Desert</x:v>
      </x:c>
      <x:c r="D2529" t="n">
        <x:v>14</x:v>
      </x:c>
      <x:c r="E2529" t="str">
        <x:v>Intermediate</x:v>
      </x:c>
      <x:c r="F2529" t="str">
        <x:v>Kaizo</x:v>
      </x:c>
      <x:c r="G2529" t="n">
        <x:v>44272</x:v>
      </x:c>
      <x:c r="H2529" t="str">
        <x:v>26277</x:v>
      </x:c>
      <x:c r="I2529" t="str">
        <x:v>https://www.smwcentral.net/?a=details&amp;id=26277&amp;p=section</x:v>
      </x:c>
      <x:c r="J2529" t="str">
        <x:v>https://dl.smwcentral.net/26277/Think%20Fast.zip</x:v>
      </x:c>
    </x:row>
    <x:row r="2530">
      <x:c r="A2530" t="str">
        <x:v>Third Whistle</x:v>
      </x:c>
      <x:c r="B2530" t="str">
        <x:v>Third Whistle</x:v>
      </x:c>
      <x:c r="C2530" t="str">
        <x:v>Edidoo</x:v>
      </x:c>
      <x:c r="D2530" t="n">
        <x:v>15</x:v>
      </x:c>
      <x:c r="E2530" t="str">
        <x:v>Advanced</x:v>
      </x:c>
      <x:c r="F2530" t="str">
        <x:v>Kaizo</x:v>
      </x:c>
      <x:c r="G2530" t="n">
        <x:v>44864</x:v>
      </x:c>
      <x:c r="H2530" t="str">
        <x:v>32464</x:v>
      </x:c>
      <x:c r="I2530" t="str">
        <x:v>https://www.smwcentral.net/?a=details&amp;id=32464&amp;p=section</x:v>
      </x:c>
      <x:c r="J2530" t="str">
        <x:v>https://dl.smwcentral.net/32464/ThirdWhistle.zip</x:v>
      </x:c>
    </x:row>
    <x:row r="2531">
      <x:c r="A2531" t="str">
        <x:v>This Hack Contains EVERY Switch Palace Switch</x:v>
      </x:c>
      <x:c r="B2531" t="str">
        <x:v>This Hack Contains EVERY Switch Palace Switch</x:v>
      </x:c>
      <x:c r="C2531" t="str">
        <x:v>Daizo Dee Von</x:v>
      </x:c>
      <x:c r="D2531" t="n">
        <x:v>56</x:v>
      </x:c>
      <x:c r="E2531" t="str">
        <x:v>Newcomer</x:v>
      </x:c>
      <x:c r="F2531" t="str">
        <x:v>Standard</x:v>
      </x:c>
      <x:c r="G2531" t="n">
        <x:v>44661</x:v>
      </x:c>
      <x:c r="H2531" t="str">
        <x:v>30338</x:v>
      </x:c>
      <x:c r="I2531" t="str">
        <x:v>https://www.smwcentral.net/?a=details&amp;id=30338&amp;p=section</x:v>
      </x:c>
      <x:c r="J2531" t="str">
        <x:v>https://dl.smwcentral.net/30338/%5BHack%5D%20This%20Hack%20Contains%20EVERY%20Switch%20Palace%20Switch.zip</x:v>
      </x:c>
    </x:row>
    <x:row r="2532">
      <x:c r="A2532" t="str">
        <x:v>This Hack Needs a Name</x:v>
      </x:c>
      <x:c r="B2532" t="str">
        <x:v>This Hack Needs a Name</x:v>
      </x:c>
      <x:c r="C2532" t="str">
        <x:v>yeahman</x:v>
      </x:c>
      <x:c r="D2532" t="n">
        <x:v>118</x:v>
      </x:c>
      <x:c r="E2532" t="str">
        <x:v>Intermediate</x:v>
      </x:c>
      <x:c r="F2532" t="str">
        <x:v>Standard</x:v>
      </x:c>
      <x:c r="G2532" t="n">
        <x:v>45081</x:v>
      </x:c>
      <x:c r="H2532" t="str">
        <x:v>33796</x:v>
      </x:c>
      <x:c r="I2532" t="str">
        <x:v>https://www.smwcentral.net/?a=details&amp;id=33796&amp;p=section</x:v>
      </x:c>
      <x:c r="J2532" t="str">
        <x:v>https://dl.smwcentral.net/33796/this%20hack%20needs%20a%20name.zip</x:v>
      </x:c>
    </x:row>
    <x:row r="2533">
      <x:c r="A2533" t="str">
        <x:v>This Hack Was Made in 2 Hours</x:v>
      </x:c>
      <x:c r="B2533" t="str">
        <x:v>This Hack Was Made in 2 Hours</x:v>
      </x:c>
      <x:c r="C2533" t="str">
        <x:v>ft029</x:v>
      </x:c>
      <x:c r="D2533" t="n">
        <x:v>7</x:v>
      </x:c>
      <x:c r="E2533" t="str">
        <x:v>Intermediate</x:v>
      </x:c>
      <x:c r="F2533" t="str">
        <x:v>Standard</x:v>
      </x:c>
      <x:c r="G2533" t="n">
        <x:v>42744</x:v>
      </x:c>
      <x:c r="H2533" t="str">
        <x:v>14930</x:v>
      </x:c>
      <x:c r="I2533" t="str">
        <x:v>https://www.smwcentral.net/?a=details&amp;id=14930&amp;p=section</x:v>
      </x:c>
      <x:c r="J2533" t="str">
        <x:v>https://dl.smwcentral.net/14930/This%20Hack%20Was%20Made%20in%202%20Hours.zip</x:v>
      </x:c>
    </x:row>
    <x:row r="2534">
      <x:c r="A2534" t="str">
        <x:v>This is a Good Hack to Play if You Just Started Playing Kaizo... World</x:v>
      </x:c>
      <x:c r="B2534" t="str">
        <x:v>This is a Good Hack to Play if You Just Started Playing Kaizo... World</x:v>
      </x:c>
      <x:c r="C2534" t="str">
        <x:v>BabaYegha, LouisDoucet, Magmatic, StayAtHomeStegosaurus, Sweetdude, gui</x:v>
      </x:c>
      <x:c r="D2534" t="n">
        <x:v>26</x:v>
      </x:c>
      <x:c r="E2534" t="str">
        <x:v>Advanced</x:v>
      </x:c>
      <x:c r="F2534" t="str">
        <x:v>Kaizo</x:v>
      </x:c>
      <x:c r="G2534" t="n">
        <x:v>44396</x:v>
      </x:c>
      <x:c r="H2534" t="str">
        <x:v>27729</x:v>
      </x:c>
      <x:c r="I2534" t="str">
        <x:v>https://www.smwcentral.net/?a=details&amp;id=27729&amp;p=section</x:v>
      </x:c>
      <x:c r="J2534" t="str">
        <x:v>https://dl.smwcentral.net/27729/TIAGHTPIYJSPKW_V1.1.1.zip</x:v>
      </x:c>
    </x:row>
    <x:row r="2535">
      <x:c r="A2535" t="str">
        <x:v>This Is Why We Kaizo</x:v>
      </x:c>
      <x:c r="B2535" t="str">
        <x:v>This Is Why We Kaizo</x:v>
      </x:c>
      <x:c r="C2535" t="str">
        <x:v>Firstnamebutt</x:v>
      </x:c>
      <x:c r="D2535" t="n">
        <x:v>9</x:v>
      </x:c>
      <x:c r="E2535" t="str">
        <x:v>Casual</x:v>
      </x:c>
      <x:c r="F2535" t="str">
        <x:v>Kaizo</x:v>
      </x:c>
      <x:c r="G2535" t="n">
        <x:v>46167</x:v>
      </x:c>
      <x:c r="H2535" t="str">
        <x:v>42425</x:v>
      </x:c>
      <x:c r="I2535" t="str">
        <x:v>https://www.smwcentral.net/?a=details&amp;id=42425&amp;p=section</x:v>
      </x:c>
      <x:c r="J2535" t="str">
        <x:v>https://dl.smwcentral.net/42425/ThisIsWhyWeKaizo.zip</x:v>
      </x:c>
    </x:row>
    <x:row r="2536">
      <x:c r="A2536" t="str">
        <x:v>Those Darn Plumbers</x:v>
      </x:c>
      <x:c r="B2536" t="str">
        <x:v>Those Darn Plumbers</x:v>
      </x:c>
      <x:c r="C2536" t="str">
        <x:v>nintendofreck</x:v>
      </x:c>
      <x:c r="D2536" t="n">
        <x:v>21</x:v>
      </x:c>
      <x:c r="E2536" t="str">
        <x:v>Newcomer</x:v>
      </x:c>
      <x:c r="F2536" t="str">
        <x:v>Standard</x:v>
      </x:c>
      <x:c r="G2536" t="n">
        <x:v>42230</x:v>
      </x:c>
      <x:c r="H2536" t="str">
        <x:v>9697</x:v>
      </x:c>
      <x:c r="I2536" t="str">
        <x:v>https://www.smwcentral.net/?a=details&amp;id=9697&amp;p=section</x:v>
      </x:c>
      <x:c r="J2536" t="str">
        <x:v>https://dl.smwcentral.net/9697/TDPV03.zip</x:v>
      </x:c>
    </x:row>
    <x:row r="2537">
      <x:c r="A2537" t="str">
        <x:v>Thread the Needle</x:v>
      </x:c>
      <x:c r="B2537" t="str">
        <x:v>Thread the Needle</x:v>
      </x:c>
      <x:c r="C2537" t="str">
        <x:v>NixKillsMyths</x:v>
      </x:c>
      <x:c r="D2537" t="n">
        <x:v>1</x:v>
      </x:c>
      <x:c r="E2537" t="str">
        <x:v>Master</x:v>
      </x:c>
      <x:c r="F2537" t="str">
        <x:v>Kaizo</x:v>
      </x:c>
      <x:c r="G2537" t="n">
        <x:v>45214</x:v>
      </x:c>
      <x:c r="H2537" t="str">
        <x:v>35044</x:v>
      </x:c>
      <x:c r="I2537" t="str">
        <x:v>https://www.smwcentral.net/?a=details&amp;id=35044&amp;p=section</x:v>
      </x:c>
      <x:c r="J2537" t="str">
        <x:v>https://dl.smwcentral.net/35044/Thread%20the%20Needle%201.3.zip</x:v>
      </x:c>
    </x:row>
    <x:row r="2538">
      <x:c r="A2538" t="str">
        <x:v>THROWING HANDS</x:v>
      </x:c>
      <x:c r="B2538" t="str">
        <x:v>THROWING HANDS</x:v>
      </x:c>
      <x:c r="C2538" t="str">
        <x:v>Samantha</x:v>
      </x:c>
      <x:c r="D2538" t="n">
        <x:v>12</x:v>
      </x:c>
      <x:c r="E2538" t="str">
        <x:v>Intermediate</x:v>
      </x:c>
      <x:c r="F2538" t="str">
        <x:v>Standard</x:v>
      </x:c>
      <x:c r="G2538" t="n">
        <x:v>45941</x:v>
      </x:c>
      <x:c r="H2538" t="str">
        <x:v>40657</x:v>
      </x:c>
      <x:c r="I2538" t="str">
        <x:v>https://www.smwcentral.net/?a=details&amp;id=40657&amp;p=section</x:v>
      </x:c>
      <x:c r="J2538" t="str">
        <x:v>https://dl.smwcentral.net/40657/THROWING%20HANDS.zip</x:v>
      </x:c>
    </x:row>
    <x:row r="2539">
      <x:c r="A2539" t="str">
        <x:v>Thunderstruck Mario</x:v>
      </x:c>
      <x:c r="B2539" t="str">
        <x:v>Thunderstruck Mario</x:v>
      </x:c>
      <x:c r="C2539" t="str">
        <x:v>Mr Esc</x:v>
      </x:c>
      <x:c r="D2539" t="n">
        <x:v>22</x:v>
      </x:c>
      <x:c r="E2539" t="str">
        <x:v>Casual</x:v>
      </x:c>
      <x:c r="F2539" t="str">
        <x:v>Standard</x:v>
      </x:c>
      <x:c r="G2539" t="n">
        <x:v>42326</x:v>
      </x:c>
      <x:c r="H2539" t="str">
        <x:v>10241</x:v>
      </x:c>
      <x:c r="I2539" t="str">
        <x:v>https://www.smwcentral.net/?a=details&amp;id=10241&amp;p=section</x:v>
      </x:c>
      <x:c r="J2539" t="str">
        <x:v>https://dl.smwcentral.net/10241/Thunderstruck%20demo%202012%20v1A.zip</x:v>
      </x:c>
    </x:row>
    <x:row r="2540">
      <x:c r="A2540" t="str">
        <x:v>TILIA</x:v>
      </x:c>
      <x:c r="B2540" t="str">
        <x:v>TILIA</x:v>
      </x:c>
      <x:c r="C2540" t="str">
        <x:v>neidoodle</x:v>
      </x:c>
      <x:c r="D2540" t="n">
        <x:v>17</x:v>
      </x:c>
      <x:c r="E2540" t="str">
        <x:v>Advanced</x:v>
      </x:c>
      <x:c r="F2540" t="str">
        <x:v>Kaizo</x:v>
      </x:c>
      <x:c r="G2540" t="n">
        <x:v>46075</x:v>
      </x:c>
      <x:c r="H2540" t="str">
        <x:v>41580</x:v>
      </x:c>
      <x:c r="I2540" t="str">
        <x:v>https://www.smwcentral.net/?a=details&amp;id=41580&amp;p=section</x:v>
      </x:c>
      <x:c r="J2540" t="str">
        <x:v>https://dl.smwcentral.net/41580/TILIA%202.3.zip</x:v>
      </x:c>
    </x:row>
    <x:row r="2541">
      <x:c r="A2541" t="str">
        <x:v>Time Out!</x:v>
      </x:c>
      <x:c r="B2541" t="str">
        <x:v>Time Out!</x:v>
      </x:c>
      <x:c r="C2541" t="str">
        <x:v>GlitchyR-01</x:v>
      </x:c>
      <x:c r="D2541" t="n">
        <x:v>11</x:v>
      </x:c>
      <x:c r="E2541" t="str">
        <x:v>Casual</x:v>
      </x:c>
      <x:c r="F2541" t="str">
        <x:v>Standard</x:v>
      </x:c>
      <x:c r="G2541" t="n">
        <x:v>44467</x:v>
      </x:c>
      <x:c r="H2541" t="str">
        <x:v>28440</x:v>
      </x:c>
      <x:c r="I2541" t="str">
        <x:v>https://www.smwcentral.net/?a=details&amp;id=28440&amp;p=section</x:v>
      </x:c>
      <x:c r="J2541" t="str">
        <x:v>https://dl.smwcentral.net/28440/Time%20Out%21%20%5BDemo%202%5D.zip</x:v>
      </x:c>
    </x:row>
    <x:row r="2542">
      <x:c r="A2542" t="str">
        <x:v>TIME UP!</x:v>
      </x:c>
      <x:c r="B2542" t="str">
        <x:v>TIME UP!</x:v>
      </x:c>
      <x:c r="C2542" t="str">
        <x:v>Scarfley</x:v>
      </x:c>
      <x:c r="D2542" t="n">
        <x:v>12</x:v>
      </x:c>
      <x:c r="E2542" t="str">
        <x:v>Advanced</x:v>
      </x:c>
      <x:c r="F2542" t="str">
        <x:v>Standard</x:v>
      </x:c>
      <x:c r="G2542" t="n">
        <x:v>45717</x:v>
      </x:c>
      <x:c r="H2542" t="str">
        <x:v>39398</x:v>
      </x:c>
      <x:c r="I2542" t="str">
        <x:v>https://www.smwcentral.net/?a=details&amp;id=39398&amp;p=section</x:v>
      </x:c>
      <x:c r="J2542" t="str">
        <x:v>https://dl.smwcentral.net/39398/TIME%20UP.zip</x:v>
      </x:c>
    </x:row>
    <x:row r="2543">
      <x:c r="A2543" t="str">
        <x:v>Timeline Death Challenge</x:v>
      </x:c>
      <x:c r="B2543" t="str">
        <x:v>Timeline Death Challenge</x:v>
      </x:c>
      <x:c r="C2543" t="str">
        <x:v>Deivid Borba</x:v>
      </x:c>
      <x:c r="D2543" t="n">
        <x:v>4</x:v>
      </x:c>
      <x:c r="E2543" t="str">
        <x:v>Advanced</x:v>
      </x:c>
      <x:c r="F2543" t="str">
        <x:v>Kaizo</x:v>
      </x:c>
      <x:c r="G2543" t="n">
        <x:v>44305</x:v>
      </x:c>
      <x:c r="H2543" t="str">
        <x:v>26719</x:v>
      </x:c>
      <x:c r="I2543" t="str">
        <x:v>https://www.smwcentral.net/?a=details&amp;id=26719&amp;p=section</x:v>
      </x:c>
      <x:c r="J2543" t="str">
        <x:v>https://dl.smwcentral.net/26719/TimelineDeathChallenge.zip</x:v>
      </x:c>
    </x:row>
    <x:row r="2544">
      <x:c r="A2544" t="str">
        <x:v>Timeline World</x:v>
      </x:c>
      <x:c r="B2544" t="str">
        <x:v>Timeline World</x:v>
      </x:c>
      <x:c r="C2544" t="str">
        <x:v>Natsuz2, TheReaper</x:v>
      </x:c>
      <x:c r="D2544" t="n">
        <x:v>9</x:v>
      </x:c>
      <x:c r="E2544" t="str">
        <x:v>Master</x:v>
      </x:c>
      <x:c r="F2544" t="str">
        <x:v>Kaizo</x:v>
      </x:c>
      <x:c r="G2544" t="n">
        <x:v>44523</x:v>
      </x:c>
      <x:c r="H2544" t="str">
        <x:v>28647</x:v>
      </x:c>
      <x:c r="I2544" t="str">
        <x:v>https://www.smwcentral.net/?a=details&amp;id=28647&amp;p=section</x:v>
      </x:c>
      <x:c r="J2544" t="str">
        <x:v>https://dl.smwcentral.net/28647/Timeline%20World%201.2.zip</x:v>
      </x:c>
    </x:row>
    <x:row r="2545">
      <x:c r="A2545" t="str">
        <x:v>Tiny Variety World</x:v>
      </x:c>
      <x:c r="B2545" t="str">
        <x:v>Tiny Variety World</x:v>
      </x:c>
      <x:c r="C2545" t="str">
        <x:v>Snifit</x:v>
      </x:c>
      <x:c r="D2545" t="n">
        <x:v>4</x:v>
      </x:c>
      <x:c r="E2545" t="str">
        <x:v>Intermediate</x:v>
      </x:c>
      <x:c r="F2545" t="str">
        <x:v>Standard</x:v>
      </x:c>
      <x:c r="G2545" t="n">
        <x:v>42044</x:v>
      </x:c>
      <x:c r="H2545" t="str">
        <x:v>10250</x:v>
      </x:c>
      <x:c r="I2545" t="str">
        <x:v>https://www.smwcentral.net/?a=details&amp;id=10250&amp;p=section</x:v>
      </x:c>
      <x:c r="J2545" t="str">
        <x:v>https://dl.smwcentral.net/10250/TVW.zip</x:v>
      </x:c>
    </x:row>
    <x:row r="2546">
      <x:c r="A2546" t="str">
        <x:v>Tired Mario World</x:v>
      </x:c>
      <x:c r="B2546" t="str">
        <x:v>Tired Mario World</x:v>
      </x:c>
      <x:c r="C2546" t="str">
        <x:v>Wyatt</x:v>
      </x:c>
      <x:c r="D2546" t="n">
        <x:v>10</x:v>
      </x:c>
      <x:c r="E2546" t="str">
        <x:v>Master</x:v>
      </x:c>
      <x:c r="F2546" t="str">
        <x:v>Kaizo</x:v>
      </x:c>
      <x:c r="G2546" t="n">
        <x:v>44983</x:v>
      </x:c>
      <x:c r="H2546" t="str">
        <x:v>33137</x:v>
      </x:c>
      <x:c r="I2546" t="str">
        <x:v>https://www.smwcentral.net/?a=details&amp;id=33137&amp;p=section</x:v>
      </x:c>
      <x:c r="J2546" t="str">
        <x:v>https://dl.smwcentral.net/33137/Tired%20Mario%20World.zip</x:v>
      </x:c>
    </x:row>
    <x:row r="2547">
      <x:c r="A2547" t="str">
        <x:v>Titan Mario</x:v>
      </x:c>
      <x:c r="B2547" t="str">
        <x:v>Titan Mario</x:v>
      </x:c>
      <x:c r="C2547" t="str">
        <x:v>orka-bln</x:v>
      </x:c>
      <x:c r="D2547" t="n">
        <x:v>11</x:v>
      </x:c>
      <x:c r="E2547" t="str">
        <x:v>Master</x:v>
      </x:c>
      <x:c r="F2547" t="str">
        <x:v>Kaizo</x:v>
      </x:c>
      <x:c r="G2547" t="n">
        <x:v>44449</x:v>
      </x:c>
      <x:c r="H2547" t="str">
        <x:v>28247</x:v>
      </x:c>
      <x:c r="I2547" t="str">
        <x:v>https://www.smwcentral.net/?a=details&amp;id=28247&amp;p=section</x:v>
      </x:c>
      <x:c r="J2547" t="str">
        <x:v>https://dl.smwcentral.net/28247/titan1.1.zip</x:v>
      </x:c>
    </x:row>
    <x:row r="2548">
      <x:c r="A2548" t="str">
        <x:v>Titan Mario 2</x:v>
      </x:c>
      <x:c r="B2548" t="str">
        <x:v>Titan Mario 2</x:v>
      </x:c>
      <x:c r="C2548" t="str">
        <x:v>orka-bln</x:v>
      </x:c>
      <x:c r="D2548" t="n">
        <x:v>14</x:v>
      </x:c>
      <x:c r="E2548" t="str">
        <x:v>Master</x:v>
      </x:c>
      <x:c r="F2548" t="str">
        <x:v>Kaizo</x:v>
      </x:c>
      <x:c r="G2548" t="n">
        <x:v>45424</x:v>
      </x:c>
      <x:c r="H2548" t="str">
        <x:v>37767</x:v>
      </x:c>
      <x:c r="I2548" t="str">
        <x:v>https://www.smwcentral.net/?a=details&amp;id=37767&amp;p=section</x:v>
      </x:c>
      <x:c r="J2548" t="str">
        <x:v>https://dl.smwcentral.net/37767/Titan2_1.1.zip</x:v>
      </x:c>
    </x:row>
    <x:row r="2549">
      <x:c r="A2549" t="str">
        <x:v>Tithered Mario</x:v>
      </x:c>
      <x:c r="B2549" t="str">
        <x:v>Tithered Mario</x:v>
      </x:c>
      <x:c r="C2549" t="str">
        <x:v>Anonymous</x:v>
      </x:c>
      <x:c r="D2549" t="n">
        <x:v>13</x:v>
      </x:c>
      <x:c r="E2549" t="str">
        <x:v>Master</x:v>
      </x:c>
      <x:c r="F2549" t="str">
        <x:v>Standard, Kaizo</x:v>
      </x:c>
      <x:c r="G2549" t="n">
        <x:v>43965</x:v>
      </x:c>
      <x:c r="H2549" t="str">
        <x:v>22845</x:v>
      </x:c>
      <x:c r="I2549" t="str">
        <x:v>https://www.smwcentral.net/?a=details&amp;id=22845&amp;p=section</x:v>
      </x:c>
      <x:c r="J2549" t="str">
        <x:v>https://dl.smwcentral.net/22845/Tithered_Mario.zip</x:v>
      </x:c>
    </x:row>
    <x:row r="2550">
      <x:c r="A2550" t="str">
        <x:v>Title</x:v>
      </x:c>
      <x:c r="B2550" t="str">
        <x:v>Title</x:v>
      </x:c>
      <x:c r="C2550" t="str">
        <x:v>Noivern</x:v>
      </x:c>
      <x:c r="D2550" t="n">
        <x:v>12</x:v>
      </x:c>
      <x:c r="E2550" t="str">
        <x:v>Casual</x:v>
      </x:c>
      <x:c r="F2550" t="str">
        <x:v>Standard</x:v>
      </x:c>
      <x:c r="G2550" t="n">
        <x:v>41445</x:v>
      </x:c>
      <x:c r="H2550" t="str">
        <x:v>5577</x:v>
      </x:c>
      <x:c r="I2550" t="str">
        <x:v>https://www.smwcentral.net/?a=details&amp;id=5577&amp;p=section</x:v>
      </x:c>
      <x:c r="J2550" t="str">
        <x:v>https://dl.smwcentral.net/5577/%5Btitle%5D.zip</x:v>
      </x:c>
    </x:row>
    <x:row r="2551">
      <x:c r="A2551" t="str">
        <x:v>TmD</x:v>
      </x:c>
      <x:c r="B2551" t="str">
        <x:v>TmD</x:v>
      </x:c>
      <x:c r="C2551" t="str">
        <x:v>Kazefbr</x:v>
      </x:c>
      <x:c r="D2551" t="n">
        <x:v>6</x:v>
      </x:c>
      <x:c r="E2551" t="str">
        <x:v>Intermediate</x:v>
      </x:c>
      <x:c r="F2551" t="str">
        <x:v>Kaizo</x:v>
      </x:c>
      <x:c r="G2551" t="n">
        <x:v>44677</x:v>
      </x:c>
      <x:c r="H2551" t="str">
        <x:v>30607</x:v>
      </x:c>
      <x:c r="I2551" t="str">
        <x:v>https://www.smwcentral.net/?a=details&amp;id=30607&amp;p=section</x:v>
      </x:c>
      <x:c r="J2551" t="str">
        <x:v>https://dl.smwcentral.net/30607/TmD.zip</x:v>
      </x:c>
    </x:row>
    <x:row r="2552">
      <x:c r="A2552" t="str">
        <x:v>TMFC3EYHEP&amp;K - Q2BDB</x:v>
      </x:c>
      <x:c r="B2552" t="str">
        <x:v>TMFC3EYHEP&amp;K - Q2BDB</x:v>
      </x:c>
      <x:c r="C2552" t="str">
        <x:v>S.N.N.</x:v>
      </x:c>
      <x:c r="D2552" t="n">
        <x:v>5</x:v>
      </x:c>
      <x:c r="E2552" t="str">
        <x:v>Newcomer</x:v>
      </x:c>
      <x:c r="F2552" t="str">
        <x:v>Standard</x:v>
      </x:c>
      <x:c r="G2552" t="n">
        <x:v>42178</x:v>
      </x:c>
      <x:c r="H2552" t="str">
        <x:v>11499</x:v>
      </x:c>
      <x:c r="I2552" t="str">
        <x:v>https://www.smwcentral.net/?a=details&amp;id=11499&amp;p=section</x:v>
      </x:c>
      <x:c r="J2552" t="str">
        <x:v>https://dl.smwcentral.net/11499/TMFC3EYHAP%26K%20-%20Q2BDB.zip</x:v>
      </x:c>
    </x:row>
    <x:row r="2553">
      <x:c r="A2553" t="str">
        <x:v>To Shell And Back!</x:v>
      </x:c>
      <x:c r="B2553" t="str">
        <x:v>To Shell And Back!</x:v>
      </x:c>
      <x:c r="C2553" t="str">
        <x:v>Bux</x:v>
      </x:c>
      <x:c r="D2553" t="n">
        <x:v>11</x:v>
      </x:c>
      <x:c r="E2553" t="str">
        <x:v>Master</x:v>
      </x:c>
      <x:c r="F2553" t="str">
        <x:v>Kaizo</x:v>
      </x:c>
      <x:c r="G2553" t="n">
        <x:v>45386</x:v>
      </x:c>
      <x:c r="H2553" t="str">
        <x:v>36780</x:v>
      </x:c>
      <x:c r="I2553" t="str">
        <x:v>https://www.smwcentral.net/?a=details&amp;id=36780&amp;p=section</x:v>
      </x:c>
      <x:c r="J2553" t="str">
        <x:v>https://dl.smwcentral.net/36780/To%20Shell%20And%20Back%21%201.3.zip</x:v>
      </x:c>
    </x:row>
    <x:row r="2554">
      <x:c r="A2554" t="str">
        <x:v>Toad Kaizo World</x:v>
      </x:c>
      <x:c r="B2554" t="str">
        <x:v>Toad Kaizo World</x:v>
      </x:c>
      <x:c r="C2554" t="str">
        <x:v>Bruno Peixoto</x:v>
      </x:c>
      <x:c r="D2554" t="n">
        <x:v>22</x:v>
      </x:c>
      <x:c r="E2554" t="str">
        <x:v>Advanced</x:v>
      </x:c>
      <x:c r="F2554" t="str">
        <x:v>Kaizo</x:v>
      </x:c>
      <x:c r="G2554" t="n">
        <x:v>43970</x:v>
      </x:c>
      <x:c r="H2554" t="str">
        <x:v>22869</x:v>
      </x:c>
      <x:c r="I2554" t="str">
        <x:v>https://www.smwcentral.net/?a=details&amp;id=22869&amp;p=section</x:v>
      </x:c>
      <x:c r="J2554" t="str">
        <x:v>https://dl.smwcentral.net/22869/Toad%20Kaizo%20World.zip</x:v>
      </x:c>
    </x:row>
    <x:row r="2555">
      <x:c r="A2555" t="str">
        <x:v>Toad Kaizo World 2</x:v>
      </x:c>
      <x:c r="B2555" t="str">
        <x:v>Toad Kaizo World 2</x:v>
      </x:c>
      <x:c r="C2555" t="str">
        <x:v>Bruno_Peixoto</x:v>
      </x:c>
      <x:c r="D2555" t="n">
        <x:v>17</x:v>
      </x:c>
      <x:c r="E2555" t="str">
        <x:v>Advanced</x:v>
      </x:c>
      <x:c r="F2555" t="str">
        <x:v>Kaizo</x:v>
      </x:c>
      <x:c r="G2555" t="n">
        <x:v>44318</x:v>
      </x:c>
      <x:c r="H2555" t="str">
        <x:v>26862</x:v>
      </x:c>
      <x:c r="I2555" t="str">
        <x:v>https://www.smwcentral.net/?a=details&amp;id=26862&amp;p=section</x:v>
      </x:c>
      <x:c r="J2555" t="str">
        <x:v>https://dl.smwcentral.net/26862/Toad%20Kaizo%20World%202.zip</x:v>
      </x:c>
    </x:row>
    <x:row r="2556">
      <x:c r="A2556" t="str">
        <x:v>Toad's cherry tracker</x:v>
      </x:c>
      <x:c r="B2556" t="str">
        <x:v>Toad's cherry tracker</x:v>
      </x:c>
      <x:c r="C2556" t="str">
        <x:v>Lush_50</x:v>
      </x:c>
      <x:c r="D2556" t="n">
        <x:v>18</x:v>
      </x:c>
      <x:c r="E2556" t="str">
        <x:v>Intermediate</x:v>
      </x:c>
      <x:c r="F2556" t="str">
        <x:v>Standard</x:v>
      </x:c>
      <x:c r="G2556" t="n">
        <x:v>45573</x:v>
      </x:c>
      <x:c r="H2556" t="str">
        <x:v>38570</x:v>
      </x:c>
      <x:c r="I2556" t="str">
        <x:v>https://www.smwcentral.net/?a=details&amp;id=38570&amp;p=section</x:v>
      </x:c>
      <x:c r="J2556" t="str">
        <x:v>https://dl.smwcentral.net/38570/Toad%27s%20Cherry%20Tracker%20V1.3.zip</x:v>
      </x:c>
    </x:row>
    <x:row r="2557">
      <x:c r="A2557" t="str">
        <x:v>Toad's World</x:v>
      </x:c>
      <x:c r="B2557" t="str">
        <x:v>Toad's World</x:v>
      </x:c>
      <x:c r="C2557" t="str">
        <x:v>FPI, Ice Man, ghettoyouth</x:v>
      </x:c>
      <x:c r="D2557" t="n">
        <x:v>56</x:v>
      </x:c>
      <x:c r="E2557" t="str">
        <x:v>Advanced</x:v>
      </x:c>
      <x:c r="F2557" t="str">
        <x:v>Standard</x:v>
      </x:c>
      <x:c r="G2557" t="n">
        <x:v>46222</x:v>
      </x:c>
      <x:c r="H2557" t="str">
        <x:v>42620</x:v>
      </x:c>
      <x:c r="I2557" t="str">
        <x:v>https://www.smwcentral.net/?a=details&amp;id=42620&amp;p=section</x:v>
      </x:c>
      <x:c r="J2557" t="str">
        <x:v>https://dl.smwcentral.net/42620/Toad%27s%20World%20%282026%20Version%201.2%29.zip</x:v>
      </x:c>
    </x:row>
    <x:row r="2558">
      <x:c r="A2558" t="str">
        <x:v>Toad's World 2</x:v>
      </x:c>
      <x:c r="B2558" t="str">
        <x:v>Toad's World 2</x:v>
      </x:c>
      <x:c r="C2558" t="str">
        <x:v>Ice Man</x:v>
      </x:c>
      <x:c r="D2558" t="n">
        <x:v>65</x:v>
      </x:c>
      <x:c r="E2558" t="str">
        <x:v>Intermediate</x:v>
      </x:c>
      <x:c r="F2558" t="str">
        <x:v>Standard</x:v>
      </x:c>
      <x:c r="G2558" t="n">
        <x:v>45725</x:v>
      </x:c>
      <x:c r="H2558" t="str">
        <x:v>39167</x:v>
      </x:c>
      <x:c r="I2558" t="str">
        <x:v>https://www.smwcentral.net/?a=details&amp;id=39167&amp;p=section</x:v>
      </x:c>
      <x:c r="J2558" t="str">
        <x:v>https://dl.smwcentral.net/39167/Toad%27s%20World%202%20v1.2%20%28Normal%20%2B%20Hard%20Mode%29.zip</x:v>
      </x:c>
    </x:row>
    <x:row r="2559">
      <x:c r="A2559" t="str">
        <x:v>Toadette's Adventure</x:v>
      </x:c>
      <x:c r="B2559" t="str">
        <x:v>Toadette's Adventure</x:v>
      </x:c>
      <x:c r="C2559" t="str">
        <x:v>I don't know a good name.</x:v>
      </x:c>
      <x:c r="D2559" t="n">
        <x:v>9</x:v>
      </x:c>
      <x:c r="E2559" t="str">
        <x:v>Newcomer</x:v>
      </x:c>
      <x:c r="F2559" t="str">
        <x:v>Standard</x:v>
      </x:c>
      <x:c r="G2559" t="n">
        <x:v>43783</x:v>
      </x:c>
      <x:c r="H2559" t="str">
        <x:v>21476</x:v>
      </x:c>
      <x:c r="I2559" t="str">
        <x:v>https://www.smwcentral.net/?a=details&amp;id=21476&amp;p=section</x:v>
      </x:c>
      <x:c r="J2559" t="str">
        <x:v>https://dl.smwcentral.net/21476/Toadette.zip</x:v>
      </x:c>
    </x:row>
    <x:row r="2560">
      <x:c r="A2560" t="str">
        <x:v>Toadette's Kaizo Tuesday</x:v>
      </x:c>
      <x:c r="B2560" t="str">
        <x:v>Toadette's Kaizo Tuesday</x:v>
      </x:c>
      <x:c r="C2560" t="str">
        <x:v>Hwailaluta</x:v>
      </x:c>
      <x:c r="D2560" t="n">
        <x:v>27</x:v>
      </x:c>
      <x:c r="E2560" t="str">
        <x:v>Master</x:v>
      </x:c>
      <x:c r="F2560" t="str">
        <x:v>Kaizo</x:v>
      </x:c>
      <x:c r="G2560" t="n">
        <x:v>44872</x:v>
      </x:c>
      <x:c r="H2560" t="str">
        <x:v>31771</x:v>
      </x:c>
      <x:c r="I2560" t="str">
        <x:v>https://www.smwcentral.net/?a=details&amp;id=31771&amp;p=section</x:v>
      </x:c>
      <x:c r="J2560" t="str">
        <x:v>https://dl.smwcentral.net/31771/ToadettesKaizoTuesday.zip</x:v>
      </x:c>
    </x:row>
    <x:row r="2561">
      <x:c r="A2561" t="str">
        <x:v>Toadventure</x:v>
      </x:c>
      <x:c r="B2561" t="str">
        <x:v>Toadventure</x:v>
      </x:c>
      <x:c r="C2561" t="str">
        <x:v>Captain Domas</x:v>
      </x:c>
      <x:c r="D2561" t="n">
        <x:v>10</x:v>
      </x:c>
      <x:c r="E2561" t="str">
        <x:v>Advanced</x:v>
      </x:c>
      <x:c r="F2561" t="str">
        <x:v>Kaizo</x:v>
      </x:c>
      <x:c r="G2561" t="n">
        <x:v>44449</x:v>
      </x:c>
      <x:c r="H2561" t="str">
        <x:v>28264</x:v>
      </x:c>
      <x:c r="I2561" t="str">
        <x:v>https://www.smwcentral.net/?a=details&amp;id=28264&amp;p=section</x:v>
      </x:c>
      <x:c r="J2561" t="str">
        <x:v>https://dl.smwcentral.net/28264/Toadventure.zip</x:v>
      </x:c>
    </x:row>
    <x:row r="2562">
      <x:c r="A2562" t="str">
        <x:v>Tomorrow, Together</x:v>
      </x:c>
      <x:c r="B2562" t="str">
        <x:v>Tomorrow, Together</x:v>
      </x:c>
      <x:c r="C2562" t="str">
        <x:v>dotCoockie</x:v>
      </x:c>
      <x:c r="D2562" t="n">
        <x:v>9</x:v>
      </x:c>
      <x:c r="E2562" t="str">
        <x:v>Master</x:v>
      </x:c>
      <x:c r="F2562" t="str">
        <x:v>Kaizo</x:v>
      </x:c>
      <x:c r="G2562" t="n">
        <x:v>44909</x:v>
      </x:c>
      <x:c r="H2562" t="str">
        <x:v>32718</x:v>
      </x:c>
      <x:c r="I2562" t="str">
        <x:v>https://www.smwcentral.net/?a=details&amp;id=32718&amp;p=section</x:v>
      </x:c>
      <x:c r="J2562" t="str">
        <x:v>https://dl.smwcentral.net/32718/Tomorrow.zip</x:v>
      </x:c>
    </x:row>
    <x:row r="2563">
      <x:c r="A2563" t="str">
        <x:v>Toothpaste World</x:v>
      </x:c>
      <x:c r="B2563" t="str">
        <x:v>Toothpaste World</x:v>
      </x:c>
      <x:c r="C2563" t="str">
        <x:v>TheRedCrystal</x:v>
      </x:c>
      <x:c r="D2563" t="n">
        <x:v>20</x:v>
      </x:c>
      <x:c r="E2563" t="str">
        <x:v>Advanced</x:v>
      </x:c>
      <x:c r="F2563" t="str">
        <x:v>Standard</x:v>
      </x:c>
      <x:c r="G2563" t="n">
        <x:v>45859</x:v>
      </x:c>
      <x:c r="H2563" t="str">
        <x:v>40125</x:v>
      </x:c>
      <x:c r="I2563" t="str">
        <x:v>https://www.smwcentral.net/?a=details&amp;id=40125&amp;p=section</x:v>
      </x:c>
      <x:c r="J2563" t="str">
        <x:v>https://dl.smwcentral.net/40125/toothpaste%20world.zip</x:v>
      </x:c>
    </x:row>
    <x:row r="2564">
      <x:c r="A2564" t="str">
        <x:v>Torkiyello</x:v>
      </x:c>
      <x:c r="B2564" t="str">
        <x:v>Torkiyello</x:v>
      </x:c>
      <x:c r="C2564" t="str">
        <x:v>OEO6</x:v>
      </x:c>
      <x:c r="D2564" t="n">
        <x:v>8</x:v>
      </x:c>
      <x:c r="E2564" t="str">
        <x:v>Expert</x:v>
      </x:c>
      <x:c r="F2564" t="str">
        <x:v>Kaizo</x:v>
      </x:c>
      <x:c r="G2564" t="n">
        <x:v>43666</x:v>
      </x:c>
      <x:c r="H2564" t="str">
        <x:v>20120</x:v>
      </x:c>
      <x:c r="I2564" t="str">
        <x:v>https://www.smwcentral.net/?a=details&amp;id=20120&amp;p=section</x:v>
      </x:c>
      <x:c r="J2564" t="str">
        <x:v>https://dl.smwcentral.net/20120/Torkiyello%20v1.zip</x:v>
      </x:c>
    </x:row>
    <x:row r="2565">
      <x:c r="A2565" t="str">
        <x:v>torkiyello extra pack</x:v>
      </x:c>
      <x:c r="B2565" t="str">
        <x:v>torkiyello extra pack</x:v>
      </x:c>
      <x:c r="C2565" t="str">
        <x:v>OEO6</x:v>
      </x:c>
      <x:c r="D2565" t="n">
        <x:v>5</x:v>
      </x:c>
      <x:c r="E2565" t="str">
        <x:v>Expert</x:v>
      </x:c>
      <x:c r="F2565" t="str">
        <x:v>Kaizo</x:v>
      </x:c>
      <x:c r="G2565" t="n">
        <x:v>44147</x:v>
      </x:c>
      <x:c r="H2565" t="str">
        <x:v>25031</x:v>
      </x:c>
      <x:c r="I2565" t="str">
        <x:v>https://www.smwcentral.net/?a=details&amp;id=25031&amp;p=section</x:v>
      </x:c>
      <x:c r="J2565" t="str">
        <x:v>https://dl.smwcentral.net/25031/torkiyello%20extra%20pack%20new%20update.zip</x:v>
      </x:c>
    </x:row>
    <x:row r="2566">
      <x:c r="A2566" t="str">
        <x:v>torkiyello iki</x:v>
      </x:c>
      <x:c r="B2566" t="str">
        <x:v>torkiyello iki</x:v>
      </x:c>
      <x:c r="C2566" t="str">
        <x:v>OEO6</x:v>
      </x:c>
      <x:c r="D2566" t="n">
        <x:v>7</x:v>
      </x:c>
      <x:c r="E2566" t="str">
        <x:v>Expert</x:v>
      </x:c>
      <x:c r="F2566" t="str">
        <x:v>Kaizo</x:v>
      </x:c>
      <x:c r="G2566" t="n">
        <x:v>44146</x:v>
      </x:c>
      <x:c r="H2566" t="str">
        <x:v>25030</x:v>
      </x:c>
      <x:c r="I2566" t="str">
        <x:v>https://www.smwcentral.net/?a=details&amp;id=25030&amp;p=section</x:v>
      </x:c>
      <x:c r="J2566" t="str">
        <x:v>https://dl.smwcentral.net/25030/torkiyello%20iki%20new%20update.zip</x:v>
      </x:c>
    </x:row>
    <x:row r="2567">
      <x:c r="A2567" t="str">
        <x:v>Tortured Souls</x:v>
      </x:c>
      <x:c r="B2567" t="str">
        <x:v>Tortured Souls</x:v>
      </x:c>
      <x:c r="C2567" t="str">
        <x:v>RZRider</x:v>
      </x:c>
      <x:c r="D2567" t="n">
        <x:v>33</x:v>
      </x:c>
      <x:c r="E2567" t="str">
        <x:v>Expert</x:v>
      </x:c>
      <x:c r="F2567" t="str">
        <x:v>Kaizo</x:v>
      </x:c>
      <x:c r="G2567" t="n">
        <x:v>44735</x:v>
      </x:c>
      <x:c r="H2567" t="str">
        <x:v>31160</x:v>
      </x:c>
      <x:c r="I2567" t="str">
        <x:v>https://www.smwcentral.net/?a=details&amp;id=31160&amp;p=section</x:v>
      </x:c>
      <x:c r="J2567" t="str">
        <x:v>https://dl.smwcentral.net/31160/TorturedSouls1.2.zip</x:v>
      </x:c>
    </x:row>
    <x:row r="2568">
      <x:c r="A2568" t="str">
        <x:v>Tortured Souls 3 DEMO</x:v>
      </x:c>
      <x:c r="B2568" t="str">
        <x:v>Tortured Souls 3 DEMO</x:v>
      </x:c>
      <x:c r="C2568" t="str">
        <x:v>RZRider</x:v>
      </x:c>
      <x:c r="D2568" t="n">
        <x:v>23</x:v>
      </x:c>
      <x:c r="E2568" t="str">
        <x:v>Master</x:v>
      </x:c>
      <x:c r="F2568" t="str">
        <x:v>Kaizo</x:v>
      </x:c>
      <x:c r="G2568" t="n">
        <x:v>45642</x:v>
      </x:c>
      <x:c r="H2568" t="str">
        <x:v>38917</x:v>
      </x:c>
      <x:c r="I2568" t="str">
        <x:v>https://www.smwcentral.net/?a=details&amp;id=38917&amp;p=section</x:v>
      </x:c>
      <x:c r="J2568" t="str">
        <x:v>https://dl.smwcentral.net/38917/TS3Demo1.1.zip</x:v>
      </x:c>
    </x:row>
    <x:row r="2569">
      <x:c r="A2569" t="str">
        <x:v>Tortured Souls II: Rapture</x:v>
      </x:c>
      <x:c r="B2569" t="str">
        <x:v>Tortured Souls II: Rapture</x:v>
      </x:c>
      <x:c r="C2569" t="str">
        <x:v>RZRider</x:v>
      </x:c>
      <x:c r="D2569" t="n">
        <x:v>44</x:v>
      </x:c>
      <x:c r="E2569" t="str">
        <x:v>Expert</x:v>
      </x:c>
      <x:c r="F2569" t="str">
        <x:v>Kaizo</x:v>
      </x:c>
      <x:c r="G2569" t="n">
        <x:v>45383</x:v>
      </x:c>
      <x:c r="H2569" t="str">
        <x:v>37513</x:v>
      </x:c>
      <x:c r="I2569" t="str">
        <x:v>https://www.smwcentral.net/?a=details&amp;id=37513&amp;p=section</x:v>
      </x:c>
      <x:c r="J2569" t="str">
        <x:v>https://dl.smwcentral.net/37513/TorturedSoulsIIRapture.zip</x:v>
      </x:c>
    </x:row>
    <x:row r="2570">
      <x:c r="A2570" t="str">
        <x:v>Total Jotary World</x:v>
      </x:c>
      <x:c r="B2570" t="str">
        <x:v>Total Jotary World</x:v>
      </x:c>
      <x:c r="C2570" t="str">
        <x:v>Narcologer</x:v>
      </x:c>
      <x:c r="D2570" t="n">
        <x:v>26</x:v>
      </x:c>
      <x:c r="E2570" t="str">
        <x:v>Intermediate</x:v>
      </x:c>
      <x:c r="F2570" t="str">
        <x:v>Standard</x:v>
      </x:c>
      <x:c r="G2570" t="n">
        <x:v>44726</x:v>
      </x:c>
      <x:c r="H2570" t="str">
        <x:v>31032</x:v>
      </x:c>
      <x:c r="I2570" t="str">
        <x:v>https://www.smwcentral.net/?a=details&amp;id=31032&amp;p=section</x:v>
      </x:c>
      <x:c r="J2570" t="str">
        <x:v>https://dl.smwcentral.net/31032/Total%20Jotary%20World.zip</x:v>
      </x:c>
    </x:row>
    <x:row r="2571">
      <x:c r="A2571" t="str">
        <x:v>Total Mario World</x:v>
      </x:c>
      <x:c r="B2571" t="str">
        <x:v>Total Mario World</x:v>
      </x:c>
      <x:c r="C2571" t="str">
        <x:v>Narcologer</x:v>
      </x:c>
      <x:c r="D2571" t="n">
        <x:v>23</x:v>
      </x:c>
      <x:c r="E2571" t="str">
        <x:v>Casual</x:v>
      </x:c>
      <x:c r="F2571" t="str">
        <x:v>Standard</x:v>
      </x:c>
      <x:c r="G2571" t="n">
        <x:v>43449</x:v>
      </x:c>
      <x:c r="H2571" t="str">
        <x:v>18665</x:v>
      </x:c>
      <x:c r="I2571" t="str">
        <x:v>https://www.smwcentral.net/?a=details&amp;id=18665&amp;p=section</x:v>
      </x:c>
      <x:c r="J2571" t="str">
        <x:v>https://dl.smwcentral.net/18665/TMW.zip</x:v>
      </x:c>
    </x:row>
    <x:row r="2572">
      <x:c r="A2572" t="str">
        <x:v>Totally Vanilla</x:v>
      </x:c>
      <x:c r="B2572" t="str">
        <x:v>Totally Vanilla</x:v>
      </x:c>
      <x:c r="C2572" t="str">
        <x:v>RussianMan</x:v>
      </x:c>
      <x:c r="D2572" t="n">
        <x:v>9</x:v>
      </x:c>
      <x:c r="E2572" t="str">
        <x:v>Intermediate</x:v>
      </x:c>
      <x:c r="F2572" t="str">
        <x:v>Standard</x:v>
      </x:c>
      <x:c r="G2572" t="n">
        <x:v>44035</x:v>
      </x:c>
      <x:c r="H2572" t="str">
        <x:v>23974</x:v>
      </x:c>
      <x:c r="I2572" t="str">
        <x:v>https://www.smwcentral.net/?a=details&amp;id=23974&amp;p=section</x:v>
      </x:c>
      <x:c r="J2572" t="str">
        <x:v>https://dl.smwcentral.net/23974/Totally%20Vanilla.zip</x:v>
      </x:c>
    </x:row>
    <x:row r="2573">
      <x:c r="A2573" t="str">
        <x:v>Totemo Tanoshii World</x:v>
      </x:c>
      <x:c r="B2573" t="str">
        <x:v>Totemo Tanoshii World</x:v>
      </x:c>
      <x:c r="C2573" t="str">
        <x:v>StayAtHomeStegosaurus</x:v>
      </x:c>
      <x:c r="D2573" t="n">
        <x:v>19</x:v>
      </x:c>
      <x:c r="E2573" t="str">
        <x:v>Master</x:v>
      </x:c>
      <x:c r="F2573" t="str">
        <x:v>Kaizo</x:v>
      </x:c>
      <x:c r="G2573" t="n">
        <x:v>44268</x:v>
      </x:c>
      <x:c r="H2573" t="str">
        <x:v>26296</x:v>
      </x:c>
      <x:c r="I2573" t="str">
        <x:v>https://www.smwcentral.net/?a=details&amp;id=26296&amp;p=section</x:v>
      </x:c>
      <x:c r="J2573" t="str">
        <x:v>https://dl.smwcentral.net/26296/TotemoTanoshiWorld_v1.02.zip</x:v>
      </x:c>
    </x:row>
    <x:row r="2574">
      <x:c r="A2574" t="str">
        <x:v>Touhou Mario: Imperishable Night</x:v>
      </x:c>
      <x:c r="B2574" t="str">
        <x:v>Touhou Mario: Imperishable Night</x:v>
      </x:c>
      <x:c r="C2574" t="str">
        <x:v>Vitor Vilela, Wakana</x:v>
      </x:c>
      <x:c r="D2574" t="n">
        <x:v>18</x:v>
      </x:c>
      <x:c r="E2574" t="str">
        <x:v>Intermediate</x:v>
      </x:c>
      <x:c r="F2574" t="str">
        <x:v>Standard</x:v>
      </x:c>
      <x:c r="G2574" t="n">
        <x:v>41650</x:v>
      </x:c>
      <x:c r="H2574" t="str">
        <x:v>6059</x:v>
      </x:c>
      <x:c r="I2574" t="str">
        <x:v>https://www.smwcentral.net/?a=details&amp;id=6059&amp;p=section</x:v>
      </x:c>
      <x:c r="J2574" t="str">
        <x:v>https://dl.smwcentral.net/6059/Touhou%20Mario.zip</x:v>
      </x:c>
    </x:row>
    <x:row r="2575">
      <x:c r="A2575" t="str">
        <x:v>Tower of Facades</x:v>
      </x:c>
      <x:c r="B2575" t="str">
        <x:v>Tower of Facades</x:v>
      </x:c>
      <x:c r="C2575" t="str">
        <x:v>GbreezeSunset</x:v>
      </x:c>
      <x:c r="D2575" t="n">
        <x:v>1</x:v>
      </x:c>
      <x:c r="E2575" t="str">
        <x:v>Expert</x:v>
      </x:c>
      <x:c r="F2575" t="str">
        <x:v>Puzzle</x:v>
      </x:c>
      <x:c r="G2575" t="n">
        <x:v>45736</x:v>
      </x:c>
      <x:c r="H2575" t="str">
        <x:v>39332</x:v>
      </x:c>
      <x:c r="I2575" t="str">
        <x:v>https://www.smwcentral.net/?a=details&amp;id=39332&amp;p=section</x:v>
      </x:c>
      <x:c r="J2575" t="str">
        <x:v>https://dl.smwcentral.net/39332/Tower%20of%20Facades.zip</x:v>
      </x:c>
    </x:row>
    <x:row r="2576">
      <x:c r="A2576" t="str">
        <x:v>Tower Of Glory</x:v>
      </x:c>
      <x:c r="B2576" t="str">
        <x:v>Tower Of Glory</x:v>
      </x:c>
      <x:c r="C2576" t="str">
        <x:v>ShoopDaWhoop</x:v>
      </x:c>
      <x:c r="D2576" t="n">
        <x:v>1</x:v>
      </x:c>
      <x:c r="E2576" t="str">
        <x:v>Advanced</x:v>
      </x:c>
      <x:c r="F2576" t="str">
        <x:v>Kaizo</x:v>
      </x:c>
      <x:c r="G2576" t="n">
        <x:v>45481</x:v>
      </x:c>
      <x:c r="H2576" t="str">
        <x:v>38036</x:v>
      </x:c>
      <x:c r="I2576" t="str">
        <x:v>https://www.smwcentral.net/?a=details&amp;id=38036&amp;p=section</x:v>
      </x:c>
      <x:c r="J2576" t="str">
        <x:v>https://dl.smwcentral.net/38036/Tower%20of%20Glory.zip</x:v>
      </x:c>
    </x:row>
    <x:row r="2577">
      <x:c r="A2577" t="str">
        <x:v>Tower Of Glory 2</x:v>
      </x:c>
      <x:c r="B2577" t="str">
        <x:v>Tower Of Glory 2</x:v>
      </x:c>
      <x:c r="C2577" t="str">
        <x:v>ShoopDaWhoop</x:v>
      </x:c>
      <x:c r="D2577" t="n">
        <x:v>0</x:v>
      </x:c>
      <x:c r="E2577" t="str">
        <x:v>Advanced</x:v>
      </x:c>
      <x:c r="F2577" t="str">
        <x:v>Kaizo</x:v>
      </x:c>
      <x:c r="G2577" t="n">
        <x:v>46191</x:v>
      </x:c>
      <x:c r="H2577" t="str">
        <x:v>42504</x:v>
      </x:c>
      <x:c r="I2577" t="str">
        <x:v>https://www.smwcentral.net/?a=details&amp;id=42504&amp;p=section</x:v>
      </x:c>
      <x:c r="J2577" t="str">
        <x:v>https://dl.smwcentral.net/42504/Tower%20of%20Glory%202%20%281%29.zip</x:v>
      </x:c>
    </x:row>
    <x:row r="2578">
      <x:c r="A2578" t="str">
        <x:v>Tower Of Keys</x:v>
      </x:c>
      <x:c r="B2578" t="str">
        <x:v>Tower Of Keys</x:v>
      </x:c>
      <x:c r="C2578" t="str">
        <x:v>lolyoshi</x:v>
      </x:c>
      <x:c r="D2578" t="n">
        <x:v>1</x:v>
      </x:c>
      <x:c r="E2578" t="str">
        <x:v>Expert</x:v>
      </x:c>
      <x:c r="F2578" t="str">
        <x:v>Kaizo</x:v>
      </x:c>
      <x:c r="G2578" t="n">
        <x:v>42638</x:v>
      </x:c>
      <x:c r="H2578" t="str">
        <x:v>14452</x:v>
      </x:c>
      <x:c r="I2578" t="str">
        <x:v>https://www.smwcentral.net/?a=details&amp;id=14452&amp;p=section</x:v>
      </x:c>
      <x:c r="J2578" t="str">
        <x:v>https://dl.smwcentral.net/14452/tower%20of%20keys.zip</x:v>
      </x:c>
    </x:row>
    <x:row r="2579">
      <x:c r="A2579" t="str">
        <x:v>Tower Of Nopecr</x:v>
      </x:c>
      <x:c r="B2579" t="str">
        <x:v>Tower Of Nopecr</x:v>
      </x:c>
      <x:c r="C2579" t="str">
        <x:v>MarioFan1337</x:v>
      </x:c>
      <x:c r="D2579" t="n">
        <x:v>1</x:v>
      </x:c>
      <x:c r="E2579" t="str">
        <x:v>Expert</x:v>
      </x:c>
      <x:c r="F2579" t="str">
        <x:v>Kaizo</x:v>
      </x:c>
      <x:c r="G2579" t="n">
        <x:v>45613</x:v>
      </x:c>
      <x:c r="H2579" t="str">
        <x:v>38786</x:v>
      </x:c>
      <x:c r="I2579" t="str">
        <x:v>https://www.smwcentral.net/?a=details&amp;id=38786&amp;p=section</x:v>
      </x:c>
      <x:c r="J2579" t="str">
        <x:v>https://dl.smwcentral.net/38786/Tower_Of_Nopecr.zip</x:v>
      </x:c>
    </x:row>
    <x:row r="2580">
      <x:c r="A2580" t="str">
        <x:v>Tower of Shells 2: True Insanity</x:v>
      </x:c>
      <x:c r="B2580" t="str">
        <x:v>Tower of Shells 2: True Insanity</x:v>
      </x:c>
      <x:c r="C2580" t="str">
        <x:v>Insanit</x:v>
      </x:c>
      <x:c r="D2580" t="n">
        <x:v>2</x:v>
      </x:c>
      <x:c r="E2580" t="str">
        <x:v>Master</x:v>
      </x:c>
      <x:c r="F2580" t="str">
        <x:v>Kaizo</x:v>
      </x:c>
      <x:c r="G2580" t="n">
        <x:v>44816</x:v>
      </x:c>
      <x:c r="H2580" t="str">
        <x:v>32042</x:v>
      </x:c>
      <x:c r="I2580" t="str">
        <x:v>https://www.smwcentral.net/?a=details&amp;id=32042&amp;p=section</x:v>
      </x:c>
      <x:c r="J2580" t="str">
        <x:v>https://dl.smwcentral.net/32042/TowerOfShells2TrueInsanity.zip</x:v>
      </x:c>
    </x:row>
    <x:row r="2581">
      <x:c r="A2581" t="str">
        <x:v>Tower of Shells DELUXE</x:v>
      </x:c>
      <x:c r="B2581" t="str">
        <x:v>Tower of Shells DELUXE</x:v>
      </x:c>
      <x:c r="C2581" t="str">
        <x:v>Insanit</x:v>
      </x:c>
      <x:c r="D2581" t="n">
        <x:v>1</x:v>
      </x:c>
      <x:c r="E2581" t="str">
        <x:v>Expert</x:v>
      </x:c>
      <x:c r="F2581" t="str">
        <x:v>Kaizo</x:v>
      </x:c>
      <x:c r="G2581" t="n">
        <x:v>44400</x:v>
      </x:c>
      <x:c r="H2581" t="str">
        <x:v>27801</x:v>
      </x:c>
      <x:c r="I2581" t="str">
        <x:v>https://www.smwcentral.net/?a=details&amp;id=27801&amp;p=section</x:v>
      </x:c>
      <x:c r="J2581" t="str">
        <x:v>https://dl.smwcentral.net/27801/Tower%20of%20Shells%20DELUXE.zip</x:v>
      </x:c>
    </x:row>
    <x:row r="2582">
      <x:c r="A2582" t="str">
        <x:v>Trans Liberation Forever</x:v>
      </x:c>
      <x:c r="B2582" t="str">
        <x:v>Trans Liberation Forever</x:v>
      </x:c>
      <x:c r="C2582" t="str">
        <x:v>MarsAmPear</x:v>
      </x:c>
      <x:c r="D2582" t="n">
        <x:v>5</x:v>
      </x:c>
      <x:c r="E2582" t="str">
        <x:v>Grandmaster</x:v>
      </x:c>
      <x:c r="F2582" t="str">
        <x:v>Kaizo</x:v>
      </x:c>
      <x:c r="G2582" t="n">
        <x:v>44953</x:v>
      </x:c>
      <x:c r="H2582" t="str">
        <x:v>33007</x:v>
      </x:c>
      <x:c r="I2582" t="str">
        <x:v>https://www.smwcentral.net/?a=details&amp;id=33007&amp;p=section</x:v>
      </x:c>
      <x:c r="J2582" t="str">
        <x:v>https://dl.smwcentral.net/33007/Trans%20Liberation%20Forever%202.04.zip</x:v>
      </x:c>
    </x:row>
    <x:row r="2583">
      <x:c r="A2583" t="str">
        <x:v>Transatlantic Flights</x:v>
      </x:c>
      <x:c r="B2583" t="str">
        <x:v>Transatlantic Flights</x:v>
      </x:c>
      <x:c r="C2583" t="str">
        <x:v>l337f00l</x:v>
      </x:c>
      <x:c r="D2583" t="n">
        <x:v>9</x:v>
      </x:c>
      <x:c r="E2583" t="str">
        <x:v>Master</x:v>
      </x:c>
      <x:c r="F2583" t="str">
        <x:v>Kaizo</x:v>
      </x:c>
      <x:c r="G2583" t="n">
        <x:v>45462</x:v>
      </x:c>
      <x:c r="H2583" t="str">
        <x:v>37885</x:v>
      </x:c>
      <x:c r="I2583" t="str">
        <x:v>https://www.smwcentral.net/?a=details&amp;id=37885&amp;p=section</x:v>
      </x:c>
      <x:c r="J2583" t="str">
        <x:v>https://dl.smwcentral.net/37885/Transatlantic_Flight-V1.1.zip</x:v>
      </x:c>
    </x:row>
    <x:row r="2584">
      <x:c r="A2584" t="str">
        <x:v>Transmission Chain Experiment</x:v>
      </x:c>
      <x:c r="B2584" t="str">
        <x:v>Transmission Chain Experiment</x:v>
      </x:c>
      <x:c r="C2584" t="str">
        <x:v>Various Authors</x:v>
      </x:c>
      <x:c r="D2584" t="n">
        <x:v>6</x:v>
      </x:c>
      <x:c r="E2584" t="str">
        <x:v>Expert</x:v>
      </x:c>
      <x:c r="F2584" t="str">
        <x:v>Standard, Kaizo</x:v>
      </x:c>
      <x:c r="G2584" t="n">
        <x:v>44623</x:v>
      </x:c>
      <x:c r="H2584" t="str">
        <x:v>29659</x:v>
      </x:c>
      <x:c r="I2584" t="str">
        <x:v>https://www.smwcentral.net/?a=details&amp;id=29659&amp;p=section</x:v>
      </x:c>
      <x:c r="J2584" t="str">
        <x:v>https://dl.smwcentral.net/29659/TransmissionChainExperiment.zip</x:v>
      </x:c>
    </x:row>
    <x:row r="2585">
      <x:c r="A2585" t="str">
        <x:v>Transylvania Fable- Legacy of Archaic Arcanum</x:v>
      </x:c>
      <x:c r="B2585" t="str">
        <x:v>Transylvania Fable- Legacy of Archaic Arcanum</x:v>
      </x:c>
      <x:c r="C2585" t="str">
        <x:v>Vamperumbra</x:v>
      </x:c>
      <x:c r="D2585" t="n">
        <x:v>20</x:v>
      </x:c>
      <x:c r="E2585" t="str">
        <x:v>Intermediate</x:v>
      </x:c>
      <x:c r="F2585" t="str">
        <x:v>Standard</x:v>
      </x:c>
      <x:c r="G2585" t="n">
        <x:v>42977</x:v>
      </x:c>
      <x:c r="H2585" t="str">
        <x:v>16080</x:v>
      </x:c>
      <x:c r="I2585" t="str">
        <x:v>https://www.smwcentral.net/?a=details&amp;id=16080&amp;p=section</x:v>
      </x:c>
      <x:c r="J2585" t="str">
        <x:v>https://dl.smwcentral.net/16080/TF.zip</x:v>
      </x:c>
    </x:row>
    <x:row r="2586">
      <x:c r="A2586" t="str">
        <x:v>trashdumb</x:v>
      </x:c>
      <x:c r="B2586" t="str">
        <x:v>trashdumb</x:v>
      </x:c>
      <x:c r="C2586" t="str">
        <x:v>OEO6</x:v>
      </x:c>
      <x:c r="D2586" t="n">
        <x:v>29</x:v>
      </x:c>
      <x:c r="E2586" t="str">
        <x:v>Advanced</x:v>
      </x:c>
      <x:c r="F2586" t="str">
        <x:v>Standard</x:v>
      </x:c>
      <x:c r="G2586" t="n">
        <x:v>44312</x:v>
      </x:c>
      <x:c r="H2586" t="str">
        <x:v>26737</x:v>
      </x:c>
      <x:c r="I2586" t="str">
        <x:v>https://www.smwcentral.net/?a=details&amp;id=26737&amp;p=section</x:v>
      </x:c>
      <x:c r="J2586" t="str">
        <x:v>https://dl.smwcentral.net/26737/trashdumb.zip</x:v>
      </x:c>
    </x:row>
    <x:row r="2587">
      <x:c r="A2587" t="str">
        <x:v>TRAWASBNONASYACTNISGAS</x:v>
      </x:c>
      <x:c r="B2587" t="str">
        <x:v>TRAWASBNONASYACTNISGAS</x:v>
      </x:c>
      <x:c r="C2587" t="str">
        <x:v>Shizufuzu</x:v>
      </x:c>
      <x:c r="D2587" t="n">
        <x:v>5</x:v>
      </x:c>
      <x:c r="E2587" t="str">
        <x:v>Casual</x:v>
      </x:c>
      <x:c r="F2587" t="str">
        <x:v>Standard</x:v>
      </x:c>
      <x:c r="G2587" t="n">
        <x:v>42482</x:v>
      </x:c>
      <x:c r="H2587" t="str">
        <x:v>13554</x:v>
      </x:c>
      <x:c r="I2587" t="str">
        <x:v>https://www.smwcentral.net/?a=details&amp;id=13554&amp;p=section</x:v>
      </x:c>
      <x:c r="J2587" t="str">
        <x:v>https://dl.smwcentral.net/13554/TRAWASBNONASYACTNISGAS.zip</x:v>
      </x:c>
    </x:row>
    <x:row r="2588">
      <x:c r="A2588" t="str">
        <x:v>Tribute</x:v>
      </x:c>
      <x:c r="B2588" t="str">
        <x:v>Tribute</x:v>
      </x:c>
      <x:c r="C2588" t="str">
        <x:v>JakAttack</x:v>
      </x:c>
      <x:c r="D2588" t="n">
        <x:v>16</x:v>
      </x:c>
      <x:c r="E2588" t="str">
        <x:v>Intermediate</x:v>
      </x:c>
      <x:c r="F2588" t="str">
        <x:v>Kaizo</x:v>
      </x:c>
      <x:c r="G2588" t="n">
        <x:v>46220</x:v>
      </x:c>
      <x:c r="H2588" t="str">
        <x:v>42703</x:v>
      </x:c>
      <x:c r="I2588" t="str">
        <x:v>https://www.smwcentral.net/?a=details&amp;id=42703&amp;p=section</x:v>
      </x:c>
      <x:c r="J2588" t="str">
        <x:v>https://dl.smwcentral.net/42703/Tribute.zip</x:v>
      </x:c>
    </x:row>
    <x:row r="2589">
      <x:c r="A2589" t="str">
        <x:v>Tricky Mario</x:v>
      </x:c>
      <x:c r="B2589" t="str">
        <x:v>Tricky Mario</x:v>
      </x:c>
      <x:c r="C2589" t="str">
        <x:v>tomato jonson</x:v>
      </x:c>
      <x:c r="D2589" t="n">
        <x:v>8</x:v>
      </x:c>
      <x:c r="E2589" t="str">
        <x:v>Expert</x:v>
      </x:c>
      <x:c r="F2589" t="str">
        <x:v>Kaizo</x:v>
      </x:c>
      <x:c r="G2589" t="n">
        <x:v>43957</x:v>
      </x:c>
      <x:c r="H2589" t="str">
        <x:v>22832</x:v>
      </x:c>
      <x:c r="I2589" t="str">
        <x:v>https://www.smwcentral.net/?a=details&amp;id=22832&amp;p=section</x:v>
      </x:c>
      <x:c r="J2589" t="str">
        <x:v>https://dl.smwcentral.net/22832/tricky%20mario.zip</x:v>
      </x:c>
    </x:row>
    <x:row r="2590">
      <x:c r="A2590" t="str">
        <x:v>Tricky Mario 2</x:v>
      </x:c>
      <x:c r="B2590" t="str">
        <x:v>Tricky Mario 2</x:v>
      </x:c>
      <x:c r="C2590" t="str">
        <x:v>tomato jonson</x:v>
      </x:c>
      <x:c r="D2590" t="n">
        <x:v>7</x:v>
      </x:c>
      <x:c r="E2590" t="str">
        <x:v>Master</x:v>
      </x:c>
      <x:c r="F2590" t="str">
        <x:v>Kaizo</x:v>
      </x:c>
      <x:c r="G2590" t="n">
        <x:v>44506</x:v>
      </x:c>
      <x:c r="H2590" t="str">
        <x:v>28235</x:v>
      </x:c>
      <x:c r="I2590" t="str">
        <x:v>https://www.smwcentral.net/?a=details&amp;id=28235&amp;p=section</x:v>
      </x:c>
      <x:c r="J2590" t="str">
        <x:v>https://dl.smwcentral.net/28235/tm2.zip</x:v>
      </x:c>
    </x:row>
    <x:row r="2591">
      <x:c r="A2591" t="str">
        <x:v>Trinity Shells</x:v>
      </x:c>
      <x:c r="B2591" t="str">
        <x:v>Trinity Shells</x:v>
      </x:c>
      <x:c r="C2591" t="str">
        <x:v>arantes</x:v>
      </x:c>
      <x:c r="D2591" t="n">
        <x:v>14</x:v>
      </x:c>
      <x:c r="E2591" t="str">
        <x:v>Expert</x:v>
      </x:c>
      <x:c r="F2591" t="str">
        <x:v>Kaizo</x:v>
      </x:c>
      <x:c r="G2591" t="n">
        <x:v>45022</x:v>
      </x:c>
      <x:c r="H2591" t="str">
        <x:v>33538</x:v>
      </x:c>
      <x:c r="I2591" t="str">
        <x:v>https://www.smwcentral.net/?a=details&amp;id=33538&amp;p=section</x:v>
      </x:c>
      <x:c r="J2591" t="str">
        <x:v>https://dl.smwcentral.net/33538/Trinity%20Shells%20V1.1.zip</x:v>
      </x:c>
    </x:row>
    <x:row r="2592">
      <x:c r="A2592" t="str">
        <x:v>Trouble at Snow Land</x:v>
      </x:c>
      <x:c r="B2592" t="str">
        <x:v>Trouble at Snow Land</x:v>
      </x:c>
      <x:c r="C2592" t="str">
        <x:v>P1JDS</x:v>
      </x:c>
      <x:c r="D2592" t="n">
        <x:v>10</x:v>
      </x:c>
      <x:c r="E2592" t="str">
        <x:v>Intermediate</x:v>
      </x:c>
      <x:c r="F2592" t="str">
        <x:v>Standard</x:v>
      </x:c>
      <x:c r="G2592" t="n">
        <x:v>45295</x:v>
      </x:c>
      <x:c r="H2592" t="str">
        <x:v>35774</x:v>
      </x:c>
      <x:c r="I2592" t="str">
        <x:v>https://www.smwcentral.net/?a=details&amp;id=35774&amp;p=section</x:v>
      </x:c>
      <x:c r="J2592" t="str">
        <x:v>https://dl.smwcentral.net/35774/Trouble%20at%20Snow%20Land%201.1.zip</x:v>
      </x:c>
    </x:row>
    <x:row r="2593">
      <x:c r="A2593" t="str">
        <x:v>Trouble in Truffle Islands</x:v>
      </x:c>
      <x:c r="B2593" t="str">
        <x:v>Trouble in Truffle Islands</x:v>
      </x:c>
      <x:c r="C2593" t="str">
        <x:v>Cydrius</x:v>
      </x:c>
      <x:c r="D2593" t="n">
        <x:v>17</x:v>
      </x:c>
      <x:c r="E2593" t="str">
        <x:v>Casual</x:v>
      </x:c>
      <x:c r="F2593" t="str">
        <x:v>Standard</x:v>
      </x:c>
      <x:c r="G2593" t="n">
        <x:v>42611</x:v>
      </x:c>
      <x:c r="H2593" t="str">
        <x:v>14167</x:v>
      </x:c>
      <x:c r="I2593" t="str">
        <x:v>https://www.smwcentral.net/?a=details&amp;id=14167&amp;p=section</x:v>
      </x:c>
      <x:c r="J2593" t="str">
        <x:v>https://dl.smwcentral.net/14167/SMW%20-%20Trouble%20in%20Truffle%20Islands.zip</x:v>
      </x:c>
    </x:row>
    <x:row r="2594">
      <x:c r="A2594" t="str">
        <x:v>Truc Bidule</x:v>
      </x:c>
      <x:c r="B2594" t="str">
        <x:v>Truc Bidule</x:v>
      </x:c>
      <x:c r="C2594" t="str">
        <x:v>yogui</x:v>
      </x:c>
      <x:c r="D2594" t="n">
        <x:v>43</x:v>
      </x:c>
      <x:c r="E2594" t="str">
        <x:v>Advanced</x:v>
      </x:c>
      <x:c r="F2594" t="str">
        <x:v>Standard</x:v>
      </x:c>
      <x:c r="G2594" t="n">
        <x:v>45314</x:v>
      </x:c>
      <x:c r="H2594" t="str">
        <x:v>35741</x:v>
      </x:c>
      <x:c r="I2594" t="str">
        <x:v>https://www.smwcentral.net/?a=details&amp;id=35741&amp;p=section</x:v>
      </x:c>
      <x:c r="J2594" t="str">
        <x:v>https://dl.smwcentral.net/35741/Truc_Bidule.zip</x:v>
      </x:c>
    </x:row>
    <x:row r="2595">
      <x:c r="A2595" t="str">
        <x:v>TSG's Obligatory Ice Level</x:v>
      </x:c>
      <x:c r="B2595" t="str">
        <x:v>TSG's Obligatory Ice Level</x:v>
      </x:c>
      <x:c r="C2595" t="str">
        <x:v>Doseianasan</x:v>
      </x:c>
      <x:c r="D2595" t="n">
        <x:v>1</x:v>
      </x:c>
      <x:c r="E2595" t="str">
        <x:v>Casual</x:v>
      </x:c>
      <x:c r="F2595" t="str">
        <x:v>Standard</x:v>
      </x:c>
      <x:c r="G2595" t="n">
        <x:v>42128</x:v>
      </x:c>
      <x:c r="H2595" t="str">
        <x:v>10120</x:v>
      </x:c>
      <x:c r="I2595" t="str">
        <x:v>https://www.smwcentral.net/?a=details&amp;id=10120&amp;p=section</x:v>
      </x:c>
      <x:c r="J2595" t="str">
        <x:v>https://dl.smwcentral.net/10120/OILDL.zip</x:v>
      </x:c>
    </x:row>
    <x:row r="2596">
      <x:c r="A2596" t="str">
        <x:v>Tsunami Island</x:v>
      </x:c>
      <x:c r="B2596" t="str">
        <x:v>Tsunami Island</x:v>
      </x:c>
      <x:c r="C2596" t="str">
        <x:v>PROMETHEUS</x:v>
      </x:c>
      <x:c r="D2596" t="n">
        <x:v>9</x:v>
      </x:c>
      <x:c r="E2596" t="str">
        <x:v>Casual</x:v>
      </x:c>
      <x:c r="F2596" t="str">
        <x:v>Standard</x:v>
      </x:c>
      <x:c r="G2596" t="n">
        <x:v>41445</x:v>
      </x:c>
      <x:c r="H2596" t="str">
        <x:v>5609</x:v>
      </x:c>
      <x:c r="I2596" t="str">
        <x:v>https://www.smwcentral.net/?a=details&amp;id=5609&amp;p=section</x:v>
      </x:c>
      <x:c r="J2596" t="str">
        <x:v>https://dl.smwcentral.net/5609/Tsunami%20Island.zip</x:v>
      </x:c>
    </x:row>
    <x:row r="2597">
      <x:c r="A2597" t="str">
        <x:v>Twisted Plains</x:v>
      </x:c>
      <x:c r="B2597" t="str">
        <x:v>Twisted Plains</x:v>
      </x:c>
      <x:c r="C2597" t="str">
        <x:v>TheBiob</x:v>
      </x:c>
      <x:c r="D2597" t="n">
        <x:v>1</x:v>
      </x:c>
      <x:c r="E2597" t="str">
        <x:v>Master</x:v>
      </x:c>
      <x:c r="F2597" t="str">
        <x:v>Kaizo</x:v>
      </x:c>
      <x:c r="G2597" t="n">
        <x:v>44197</x:v>
      </x:c>
      <x:c r="H2597" t="str">
        <x:v>25564</x:v>
      </x:c>
      <x:c r="I2597" t="str">
        <x:v>https://www.smwcentral.net/?a=details&amp;id=25564&amp;p=section</x:v>
      </x:c>
      <x:c r="J2597" t="str">
        <x:v>https://dl.smwcentral.net/25564/Twisted%20Plains.zip</x:v>
      </x:c>
    </x:row>
    <x:row r="2598">
      <x:c r="A2598" t="str">
        <x:v>U N O R I G I N A L (C3 2020 Demo)</x:v>
      </x:c>
      <x:c r="B2598" t="str">
        <x:v>U N O R I G I N A L (C3 2020 Demo)</x:v>
      </x:c>
      <x:c r="C2598" t="str">
        <x:v>92</x:v>
      </x:c>
      <x:c r="D2598" t="n">
        <x:v>4</x:v>
      </x:c>
      <x:c r="E2598" t="str">
        <x:v>Casual</x:v>
      </x:c>
      <x:c r="F2598" t="str">
        <x:v>Standard</x:v>
      </x:c>
      <x:c r="G2598" t="n">
        <x:v>44021</x:v>
      </x:c>
      <x:c r="H2598" t="str">
        <x:v>23741</x:v>
      </x:c>
      <x:c r="I2598" t="str">
        <x:v>https://www.smwcentral.net/?a=details&amp;id=23741&amp;p=section</x:v>
      </x:c>
      <x:c r="J2598" t="str">
        <x:v>https://dl.smwcentral.net/23741/UNORIGINAL_C3_2020_v1.1.zip</x:v>
      </x:c>
    </x:row>
    <x:row r="2599">
      <x:c r="A2599" t="str">
        <x:v>Ukraine, Detroit</x:v>
      </x:c>
      <x:c r="B2599" t="str">
        <x:v>Ukraine, Detroit</x:v>
      </x:c>
      <x:c r="C2599" t="str">
        <x:v>tamano</x:v>
      </x:c>
      <x:c r="D2599" t="n">
        <x:v>11</x:v>
      </x:c>
      <x:c r="E2599" t="str">
        <x:v>Advanced</x:v>
      </x:c>
      <x:c r="F2599" t="str">
        <x:v>Kaizo</x:v>
      </x:c>
      <x:c r="G2599" t="n">
        <x:v>44595</x:v>
      </x:c>
      <x:c r="H2599" t="str">
        <x:v>29669</x:v>
      </x:c>
      <x:c r="I2599" t="str">
        <x:v>https://www.smwcentral.net/?a=details&amp;id=29669&amp;p=section</x:v>
      </x:c>
      <x:c r="J2599" t="str">
        <x:v>https://dl.smwcentral.net/29669/ukraine%20detroit.zip</x:v>
      </x:c>
    </x:row>
    <x:row r="2600">
      <x:c r="A2600" t="str">
        <x:v>Ultima Kiwi Winter Demo</x:v>
      </x:c>
      <x:c r="B2600" t="str">
        <x:v>Ultima Kiwi Winter Demo</x:v>
      </x:c>
      <x:c r="C2600" t="str">
        <x:v>ModernKiwi</x:v>
      </x:c>
      <x:c r="D2600" t="n">
        <x:v>31</x:v>
      </x:c>
      <x:c r="E2600" t="str">
        <x:v>Casual</x:v>
      </x:c>
      <x:c r="F2600" t="str">
        <x:v>Standard</x:v>
      </x:c>
      <x:c r="G2600" t="n">
        <x:v>45370</x:v>
      </x:c>
      <x:c r="H2600" t="str">
        <x:v>35863</x:v>
      </x:c>
      <x:c r="I2600" t="str">
        <x:v>https://www.smwcentral.net/?a=details&amp;id=35863&amp;p=section</x:v>
      </x:c>
      <x:c r="J2600" t="str">
        <x:v>https://dl.smwcentral.net/35863/Ultima%20Kiwi%20Winter%20Demo.zip</x:v>
      </x:c>
    </x:row>
    <x:row r="2601">
      <x:c r="A2601" t="str">
        <x:v>Ultimate Carl Heaven</x:v>
      </x:c>
      <x:c r="B2601" t="str">
        <x:v>Ultimate Carl Heaven</x:v>
      </x:c>
      <x:c r="C2601" t="str">
        <x:v>Anonymous</x:v>
      </x:c>
      <x:c r="D2601" t="n">
        <x:v>12</x:v>
      </x:c>
      <x:c r="E2601" t="str">
        <x:v>Advanced</x:v>
      </x:c>
      <x:c r="F2601" t="str">
        <x:v>Kaizo</x:v>
      </x:c>
      <x:c r="G2601" t="n">
        <x:v>45680</x:v>
      </x:c>
      <x:c r="H2601" t="str">
        <x:v>39095</x:v>
      </x:c>
      <x:c r="I2601" t="str">
        <x:v>https://www.smwcentral.net/?a=details&amp;id=39095&amp;p=section</x:v>
      </x:c>
      <x:c r="J2601" t="str">
        <x:v>https://dl.smwcentral.net/39095/Ultimate_Carl_Heaven.zip</x:v>
      </x:c>
    </x:row>
    <x:row r="2602">
      <x:c r="A2602" t="str">
        <x:v>Ultimate Kaizo Tutorial Hack</x:v>
      </x:c>
      <x:c r="B2602" t="str">
        <x:v>Ultimate Kaizo Tutorial Hack</x:v>
      </x:c>
      <x:c r="C2602" t="str">
        <x:v>ageVerrly</x:v>
      </x:c>
      <x:c r="D2602" t="n">
        <x:v>34</x:v>
      </x:c>
      <x:c r="E2602" t="str">
        <x:v>Master</x:v>
      </x:c>
      <x:c r="F2602" t="str">
        <x:v>Kaizo</x:v>
      </x:c>
      <x:c r="G2602" t="n">
        <x:v>45665</x:v>
      </x:c>
      <x:c r="H2602" t="str">
        <x:v>38769</x:v>
      </x:c>
      <x:c r="I2602" t="str">
        <x:v>https://www.smwcentral.net/?a=details&amp;id=38769&amp;p=section</x:v>
      </x:c>
      <x:c r="J2602" t="str">
        <x:v>https://dl.smwcentral.net/38769/zip.zip</x:v>
      </x:c>
    </x:row>
    <x:row r="2603">
      <x:c r="A2603" t="str">
        <x:v>Ultimate Mario World</x:v>
      </x:c>
      <x:c r="B2603" t="str">
        <x:v>Ultimate Mario World</x:v>
      </x:c>
      <x:c r="C2603" t="str">
        <x:v>Master_Owens</x:v>
      </x:c>
      <x:c r="D2603" t="n">
        <x:v>4</x:v>
      </x:c>
      <x:c r="E2603" t="str">
        <x:v>Casual</x:v>
      </x:c>
      <x:c r="F2603" t="str">
        <x:v>Standard</x:v>
      </x:c>
      <x:c r="G2603" t="n">
        <x:v>42211</x:v>
      </x:c>
      <x:c r="H2603" t="str">
        <x:v>9826</x:v>
      </x:c>
      <x:c r="I2603" t="str">
        <x:v>https://www.smwcentral.net/?a=details&amp;id=9826&amp;p=section</x:v>
      </x:c>
      <x:c r="J2603" t="str">
        <x:v>https://dl.smwcentral.net/9826/Ultimate%20Mario%20World.zip</x:v>
      </x:c>
    </x:row>
    <x:row r="2604">
      <x:c r="A2604" t="str">
        <x:v>Ultra Kaizo World</x:v>
      </x:c>
      <x:c r="B2604" t="str">
        <x:v>Ultra Kaizo World</x:v>
      </x:c>
      <x:c r="C2604" t="str">
        <x:v>Arobam</x:v>
      </x:c>
      <x:c r="D2604" t="n">
        <x:v>25</x:v>
      </x:c>
      <x:c r="E2604" t="str">
        <x:v>Master</x:v>
      </x:c>
      <x:c r="F2604" t="str">
        <x:v>Kaizo</x:v>
      </x:c>
      <x:c r="G2604" t="n">
        <x:v>43449</x:v>
      </x:c>
      <x:c r="H2604" t="str">
        <x:v>18664</x:v>
      </x:c>
      <x:c r="I2604" t="str">
        <x:v>https://www.smwcentral.net/?a=details&amp;id=18664&amp;p=section</x:v>
      </x:c>
      <x:c r="J2604" t="str">
        <x:v>https://dl.smwcentral.net/18664/Ultra%20Kaizo%20World1.1.zip</x:v>
      </x:c>
    </x:row>
    <x:row r="2605">
      <x:c r="A2605" t="str">
        <x:v>Ultra Kaizo World 2</x:v>
      </x:c>
      <x:c r="B2605" t="str">
        <x:v>Ultra Kaizo World 2</x:v>
      </x:c>
      <x:c r="C2605" t="str">
        <x:v>Arobam</x:v>
      </x:c>
      <x:c r="D2605" t="n">
        <x:v>20</x:v>
      </x:c>
      <x:c r="E2605" t="str">
        <x:v>Master</x:v>
      </x:c>
      <x:c r="F2605" t="str">
        <x:v>Kaizo</x:v>
      </x:c>
      <x:c r="G2605" t="n">
        <x:v>43962</x:v>
      </x:c>
      <x:c r="H2605" t="str">
        <x:v>22676</x:v>
      </x:c>
      <x:c r="I2605" t="str">
        <x:v>https://www.smwcentral.net/?a=details&amp;id=22676&amp;p=section</x:v>
      </x:c>
      <x:c r="J2605" t="str">
        <x:v>https://dl.smwcentral.net/22676/UKW2%20Version%201.2.zip</x:v>
      </x:c>
    </x:row>
    <x:row r="2606">
      <x:c r="A2606" t="str">
        <x:v>Ultra Luigi World: Luigi in... Destiny</x:v>
      </x:c>
      <x:c r="B2606" t="str">
        <x:v>Ultra Luigi World: Luigi in... Destiny</x:v>
      </x:c>
      <x:c r="C2606" t="str">
        <x:v>Uncle_Bones</x:v>
      </x:c>
      <x:c r="D2606" t="n">
        <x:v>2</x:v>
      </x:c>
      <x:c r="E2606" t="str">
        <x:v>Casual</x:v>
      </x:c>
      <x:c r="F2606" t="str">
        <x:v>Standard</x:v>
      </x:c>
      <x:c r="G2606" t="n">
        <x:v>42108</x:v>
      </x:c>
      <x:c r="H2606" t="str">
        <x:v>9732</x:v>
      </x:c>
      <x:c r="I2606" t="str">
        <x:v>https://www.smwcentral.net/?a=details&amp;id=9732&amp;p=section</x:v>
      </x:c>
      <x:c r="J2606" t="str">
        <x:v>https://dl.smwcentral.net/9732/ULWD1.zip</x:v>
      </x:c>
    </x:row>
    <x:row r="2607">
      <x:c r="A2607" t="str">
        <x:v>Ultraviolet</x:v>
      </x:c>
      <x:c r="B2607" t="str">
        <x:v>Ultraviolet</x:v>
      </x:c>
      <x:c r="C2607" t="str">
        <x:v>MDBattleFrog</x:v>
      </x:c>
      <x:c r="D2607" t="n">
        <x:v>11</x:v>
      </x:c>
      <x:c r="E2607" t="str">
        <x:v>Master</x:v>
      </x:c>
      <x:c r="F2607" t="str">
        <x:v>Kaizo</x:v>
      </x:c>
      <x:c r="G2607" t="n">
        <x:v>44063</x:v>
      </x:c>
      <x:c r="H2607" t="str">
        <x:v>24272</x:v>
      </x:c>
      <x:c r="I2607" t="str">
        <x:v>https://www.smwcentral.net/?a=details&amp;id=24272&amp;p=section</x:v>
      </x:c>
      <x:c r="J2607" t="str">
        <x:v>https://dl.smwcentral.net/24272/UV2.0.zip</x:v>
      </x:c>
    </x:row>
    <x:row r="2608">
      <x:c r="A2608" t="str">
        <x:v>Uma Aventura Xalabaias</x:v>
      </x:c>
      <x:c r="B2608" t="str">
        <x:v>Uma Aventura Xalabaias</x:v>
      </x:c>
      <x:c r="C2608" t="str">
        <x:v>MaxwelHacks</x:v>
      </x:c>
      <x:c r="D2608" t="n">
        <x:v>38</x:v>
      </x:c>
      <x:c r="E2608" t="str">
        <x:v>Intermediate</x:v>
      </x:c>
      <x:c r="F2608" t="str">
        <x:v>Standard</x:v>
      </x:c>
      <x:c r="G2608" t="n">
        <x:v>43723</x:v>
      </x:c>
      <x:c r="H2608" t="str">
        <x:v>21058</x:v>
      </x:c>
      <x:c r="I2608" t="str">
        <x:v>https://www.smwcentral.net/?a=details&amp;id=21058&amp;p=section</x:v>
      </x:c>
      <x:c r="J2608" t="str">
        <x:v>https://dl.smwcentral.net/21058/Aventura%20Xalabaias.zip</x:v>
      </x:c>
    </x:row>
    <x:row r="2609">
      <x:c r="A2609" t="str">
        <x:v>Uncharted World</x:v>
      </x:c>
      <x:c r="B2609" t="str">
        <x:v>Uncharted World</x:v>
      </x:c>
      <x:c r="C2609" t="str">
        <x:v>will___</x:v>
      </x:c>
      <x:c r="D2609" t="n">
        <x:v>63</x:v>
      </x:c>
      <x:c r="E2609" t="str">
        <x:v>Advanced</x:v>
      </x:c>
      <x:c r="F2609" t="str">
        <x:v>Standard, Kaizo</x:v>
      </x:c>
      <x:c r="G2609" t="n">
        <x:v>46026</x:v>
      </x:c>
      <x:c r="H2609" t="str">
        <x:v>41359</x:v>
      </x:c>
      <x:c r="I2609" t="str">
        <x:v>https://www.smwcentral.net/?a=details&amp;id=41359&amp;p=section</x:v>
      </x:c>
      <x:c r="J2609" t="str">
        <x:v>https://dl.smwcentral.net/41359/UnchartedWorld.zip</x:v>
      </x:c>
    </x:row>
    <x:row r="2610">
      <x:c r="A2610" t="str">
        <x:v>Under Control</x:v>
      </x:c>
      <x:c r="B2610" t="str">
        <x:v>Under Control</x:v>
      </x:c>
      <x:c r="C2610" t="str">
        <x:v>WoxicTaste</x:v>
      </x:c>
      <x:c r="D2610" t="n">
        <x:v>11</x:v>
      </x:c>
      <x:c r="E2610" t="str">
        <x:v>Grandmaster</x:v>
      </x:c>
      <x:c r="F2610" t="str">
        <x:v>Kaizo</x:v>
      </x:c>
      <x:c r="G2610" t="n">
        <x:v>45867</x:v>
      </x:c>
      <x:c r="H2610" t="str">
        <x:v>40070</x:v>
      </x:c>
      <x:c r="I2610" t="str">
        <x:v>https://www.smwcentral.net/?a=details&amp;id=40070&amp;p=section</x:v>
      </x:c>
      <x:c r="J2610" t="str">
        <x:v>https://dl.smwcentral.net/40070/uc_1.1_final.zip</x:v>
      </x:c>
    </x:row>
    <x:row r="2611">
      <x:c r="A2611" t="str">
        <x:v>Under the Rose</x:v>
      </x:c>
      <x:c r="B2611" t="str">
        <x:v>Under the Rose</x:v>
      </x:c>
      <x:c r="C2611" t="str">
        <x:v>Cianureto</x:v>
      </x:c>
      <x:c r="D2611" t="n">
        <x:v>8</x:v>
      </x:c>
      <x:c r="E2611" t="str">
        <x:v>Newcomer</x:v>
      </x:c>
      <x:c r="F2611" t="str">
        <x:v>Standard</x:v>
      </x:c>
      <x:c r="G2611" t="n">
        <x:v>43721</x:v>
      </x:c>
      <x:c r="H2611" t="str">
        <x:v>21138</x:v>
      </x:c>
      <x:c r="I2611" t="str">
        <x:v>https://www.smwcentral.net/?a=details&amp;id=21138&amp;p=section</x:v>
      </x:c>
      <x:c r="J2611" t="str">
        <x:v>https://dl.smwcentral.net/21138/Under%20the%20Rose.zip</x:v>
      </x:c>
    </x:row>
    <x:row r="2612">
      <x:c r="A2612" t="str">
        <x:v>Underworld</x:v>
      </x:c>
      <x:c r="B2612" t="str">
        <x:v>Underworld</x:v>
      </x:c>
      <x:c r="C2612" t="str">
        <x:v>cyphermur9t</x:v>
      </x:c>
      <x:c r="D2612" t="n">
        <x:v>2</x:v>
      </x:c>
      <x:c r="E2612" t="str">
        <x:v>Casual</x:v>
      </x:c>
      <x:c r="F2612" t="str">
        <x:v>Standard</x:v>
      </x:c>
      <x:c r="G2612" t="n">
        <x:v>42744</x:v>
      </x:c>
      <x:c r="H2612" t="str">
        <x:v>14932</x:v>
      </x:c>
      <x:c r="I2612" t="str">
        <x:v>https://www.smwcentral.net/?a=details&amp;id=14932&amp;p=section</x:v>
      </x:c>
      <x:c r="J2612" t="str">
        <x:v>https://dl.smwcentral.net/14932/Underworld.zip</x:v>
      </x:c>
    </x:row>
    <x:row r="2613">
      <x:c r="A2613" t="str">
        <x:v>Unforgiving Tower</x:v>
      </x:c>
      <x:c r="B2613" t="str">
        <x:v>Unforgiving Tower</x:v>
      </x:c>
      <x:c r="C2613" t="str">
        <x:v>Easy Difficulty</x:v>
      </x:c>
      <x:c r="D2613" t="n">
        <x:v>39</x:v>
      </x:c>
      <x:c r="E2613" t="str">
        <x:v>Master</x:v>
      </x:c>
      <x:c r="F2613" t="str">
        <x:v>Standard, Kaizo</x:v>
      </x:c>
      <x:c r="G2613" t="n">
        <x:v>44571</x:v>
      </x:c>
      <x:c r="H2613" t="str">
        <x:v>28912</x:v>
      </x:c>
      <x:c r="I2613" t="str">
        <x:v>https://www.smwcentral.net/?a=details&amp;id=28912&amp;p=section</x:v>
      </x:c>
      <x:c r="J2613" t="str">
        <x:v>https://dl.smwcentral.net/28912/Unforgiving%20Tower.zip</x:v>
      </x:c>
    </x:row>
    <x:row r="2614">
      <x:c r="A2614" t="str">
        <x:v>Unforgiving Tower 2</x:v>
      </x:c>
      <x:c r="B2614" t="str">
        <x:v>Unforgiving Tower 2</x:v>
      </x:c>
      <x:c r="C2614" t="str">
        <x:v>Easy Difficulty</x:v>
      </x:c>
      <x:c r="D2614" t="n">
        <x:v>27</x:v>
      </x:c>
      <x:c r="E2614" t="str">
        <x:v>Intermediate</x:v>
      </x:c>
      <x:c r="F2614" t="str">
        <x:v>Standard</x:v>
      </x:c>
      <x:c r="G2614" t="n">
        <x:v>44888</x:v>
      </x:c>
      <x:c r="H2614" t="str">
        <x:v>32546</x:v>
      </x:c>
      <x:c r="I2614" t="str">
        <x:v>https://www.smwcentral.net/?a=details&amp;id=32546&amp;p=section</x:v>
      </x:c>
      <x:c r="J2614" t="str">
        <x:v>https://dl.smwcentral.net/32546/Unforgiving%20Tower%202.zip</x:v>
      </x:c>
    </x:row>
    <x:row r="2615">
      <x:c r="A2615" t="str">
        <x:v>Unforgiving Tower 3</x:v>
      </x:c>
      <x:c r="B2615" t="str">
        <x:v>Unforgiving Tower 3</x:v>
      </x:c>
      <x:c r="C2615" t="str">
        <x:v>Easy Difficulty</x:v>
      </x:c>
      <x:c r="D2615" t="n">
        <x:v>25</x:v>
      </x:c>
      <x:c r="E2615" t="str">
        <x:v>Intermediate</x:v>
      </x:c>
      <x:c r="F2615" t="str">
        <x:v>Standard</x:v>
      </x:c>
      <x:c r="G2615" t="n">
        <x:v>45189</x:v>
      </x:c>
      <x:c r="H2615" t="str">
        <x:v>35081</x:v>
      </x:c>
      <x:c r="I2615" t="str">
        <x:v>https://www.smwcentral.net/?a=details&amp;id=35081&amp;p=section</x:v>
      </x:c>
      <x:c r="J2615" t="str">
        <x:v>https://dl.smwcentral.net/35081/Unforgiving%20Tower%203.zip</x:v>
      </x:c>
    </x:row>
    <x:row r="2616">
      <x:c r="A2616" t="str">
        <x:v>Unforgiving Tower 4</x:v>
      </x:c>
      <x:c r="B2616" t="str">
        <x:v>Unforgiving Tower 4</x:v>
      </x:c>
      <x:c r="C2616" t="str">
        <x:v>Easy Difficulty</x:v>
      </x:c>
      <x:c r="D2616" t="n">
        <x:v>37</x:v>
      </x:c>
      <x:c r="E2616" t="str">
        <x:v>Advanced</x:v>
      </x:c>
      <x:c r="F2616" t="str">
        <x:v>Standard</x:v>
      </x:c>
      <x:c r="G2616" t="n">
        <x:v>45443</x:v>
      </x:c>
      <x:c r="H2616" t="str">
        <x:v>37636</x:v>
      </x:c>
      <x:c r="I2616" t="str">
        <x:v>https://www.smwcentral.net/?a=details&amp;id=37636&amp;p=section</x:v>
      </x:c>
      <x:c r="J2616" t="str">
        <x:v>https://dl.smwcentral.net/37636/Unforgiving%20Tower%204.zip</x:v>
      </x:c>
    </x:row>
    <x:row r="2617">
      <x:c r="A2617" t="str">
        <x:v>Unfriendly Afterlives Demo</x:v>
      </x:c>
      <x:c r="B2617" t="str">
        <x:v>Unfriendly Afterlives Demo</x:v>
      </x:c>
      <x:c r="C2617" t="str">
        <x:v>AntonioAntonio</x:v>
      </x:c>
      <x:c r="D2617" t="n">
        <x:v>1</x:v>
      </x:c>
      <x:c r="E2617" t="str">
        <x:v>Expert</x:v>
      </x:c>
      <x:c r="F2617" t="str">
        <x:v>Kaizo</x:v>
      </x:c>
      <x:c r="G2617" t="n">
        <x:v>44789</x:v>
      </x:c>
      <x:c r="H2617" t="str">
        <x:v>31800</x:v>
      </x:c>
      <x:c r="I2617" t="str">
        <x:v>https://www.smwcentral.net/?a=details&amp;id=31800&amp;p=section</x:v>
      </x:c>
      <x:c r="J2617" t="str">
        <x:v>https://dl.smwcentral.net/31800/Unfriendly%20Demos.zip</x:v>
      </x:c>
    </x:row>
    <x:row r="2618">
      <x:c r="A2618" t="str">
        <x:v>Unintended Behavior</x:v>
      </x:c>
      <x:c r="B2618" t="str">
        <x:v>Unintended Behavior</x:v>
      </x:c>
      <x:c r="C2618" t="str">
        <x:v>GbreezeSunset</x:v>
      </x:c>
      <x:c r="D2618" t="n">
        <x:v>11</x:v>
      </x:c>
      <x:c r="E2618" t="str">
        <x:v>Expert</x:v>
      </x:c>
      <x:c r="F2618" t="str">
        <x:v>Kaizo</x:v>
      </x:c>
      <x:c r="G2618" t="n">
        <x:v>44172</x:v>
      </x:c>
      <x:c r="H2618" t="str">
        <x:v>25406</x:v>
      </x:c>
      <x:c r="I2618" t="str">
        <x:v>https://www.smwcentral.net/?a=details&amp;id=25406&amp;p=section</x:v>
      </x:c>
      <x:c r="J2618" t="str">
        <x:v>https://dl.smwcentral.net/25406/UnintendedBehavior.zip</x:v>
      </x:c>
    </x:row>
    <x:row r="2619">
      <x:c r="A2619" t="str">
        <x:v>Unintended Behavior 2</x:v>
      </x:c>
      <x:c r="B2619" t="str">
        <x:v>Unintended Behavior 2</x:v>
      </x:c>
      <x:c r="C2619" t="str">
        <x:v>GbreezeSunset</x:v>
      </x:c>
      <x:c r="D2619" t="n">
        <x:v>10</x:v>
      </x:c>
      <x:c r="E2619" t="str">
        <x:v>Expert</x:v>
      </x:c>
      <x:c r="F2619" t="str">
        <x:v>Kaizo</x:v>
      </x:c>
      <x:c r="G2619" t="n">
        <x:v>44369</x:v>
      </x:c>
      <x:c r="H2619" t="str">
        <x:v>27338</x:v>
      </x:c>
      <x:c r="I2619" t="str">
        <x:v>https://www.smwcentral.net/?a=details&amp;id=27338&amp;p=section</x:v>
      </x:c>
      <x:c r="J2619" t="str">
        <x:v>https://dl.smwcentral.net/27338/Unintended_Behavior_2.zip</x:v>
      </x:c>
    </x:row>
    <x:row r="2620">
      <x:c r="A2620" t="str">
        <x:v>Unintended Behavior 3</x:v>
      </x:c>
      <x:c r="B2620" t="str">
        <x:v>Unintended Behavior 3</x:v>
      </x:c>
      <x:c r="C2620" t="str">
        <x:v>GbreezeSunset</x:v>
      </x:c>
      <x:c r="D2620" t="n">
        <x:v>9</x:v>
      </x:c>
      <x:c r="E2620" t="str">
        <x:v>Expert</x:v>
      </x:c>
      <x:c r="F2620" t="str">
        <x:v>Kaizo</x:v>
      </x:c>
      <x:c r="G2620" t="n">
        <x:v>44833</x:v>
      </x:c>
      <x:c r="H2620" t="str">
        <x:v>32166</x:v>
      </x:c>
      <x:c r="I2620" t="str">
        <x:v>https://www.smwcentral.net/?a=details&amp;id=32166&amp;p=section</x:v>
      </x:c>
      <x:c r="J2620" t="str">
        <x:v>https://dl.smwcentral.net/32166/Unintended%20Behavior%203%20v1.1.zip</x:v>
      </x:c>
    </x:row>
    <x:row r="2621">
      <x:c r="A2621" t="str">
        <x:v>Unknown Islandz</x:v>
      </x:c>
      <x:c r="B2621" t="str">
        <x:v>Unknown Islandz</x:v>
      </x:c>
      <x:c r="C2621" t="str">
        <x:v>xIque</x:v>
      </x:c>
      <x:c r="D2621" t="n">
        <x:v>31</x:v>
      </x:c>
      <x:c r="E2621" t="str">
        <x:v>Expert</x:v>
      </x:c>
      <x:c r="F2621" t="str">
        <x:v>Standard</x:v>
      </x:c>
      <x:c r="G2621" t="n">
        <x:v>44167</x:v>
      </x:c>
      <x:c r="H2621" t="str">
        <x:v>25234</x:v>
      </x:c>
      <x:c r="I2621" t="str">
        <x:v>https://www.smwcentral.net/?a=details&amp;id=25234&amp;p=section</x:v>
      </x:c>
      <x:c r="J2621" t="str">
        <x:v>https://dl.smwcentral.net/25234/UnknownIslandz.zip</x:v>
      </x:c>
    </x:row>
    <x:row r="2622">
      <x:c r="A2622" t="str">
        <x:v>Unlit Candles</x:v>
      </x:c>
      <x:c r="B2622" t="str">
        <x:v>Unlit Candles</x:v>
      </x:c>
      <x:c r="C2622" t="str">
        <x:v>NaroGugul</x:v>
      </x:c>
      <x:c r="D2622" t="n">
        <x:v>6</x:v>
      </x:c>
      <x:c r="E2622" t="str">
        <x:v>Master</x:v>
      </x:c>
      <x:c r="F2622" t="str">
        <x:v>Kaizo</x:v>
      </x:c>
      <x:c r="G2622" t="n">
        <x:v>44161</x:v>
      </x:c>
      <x:c r="H2622" t="str">
        <x:v>25250</x:v>
      </x:c>
      <x:c r="I2622" t="str">
        <x:v>https://www.smwcentral.net/?a=details&amp;id=25250&amp;p=section</x:v>
      </x:c>
      <x:c r="J2622" t="str">
        <x:v>https://dl.smwcentral.net/25250/Unlit%20Candles%201.2.zip</x:v>
      </x:c>
    </x:row>
    <x:row r="2623">
      <x:c r="A2623" t="str">
        <x:v>Unnamed 2D Mario Game</x:v>
      </x:c>
      <x:c r="B2623" t="str">
        <x:v>Unnamed 2D Mario Game</x:v>
      </x:c>
      <x:c r="C2623" t="str">
        <x:v>Dominicentek</x:v>
      </x:c>
      <x:c r="D2623" t="n">
        <x:v>12</x:v>
      </x:c>
      <x:c r="E2623" t="str">
        <x:v>Intermediate</x:v>
      </x:c>
      <x:c r="F2623" t="str">
        <x:v>Standard</x:v>
      </x:c>
      <x:c r="G2623" t="n">
        <x:v>43944</x:v>
      </x:c>
      <x:c r="H2623" t="str">
        <x:v>22495</x:v>
      </x:c>
      <x:c r="I2623" t="str">
        <x:v>https://www.smwcentral.net/?a=details&amp;id=22495&amp;p=section</x:v>
      </x:c>
      <x:c r="J2623" t="str">
        <x:v>https://dl.smwcentral.net/22495/Unnamed%202D%20Mario%20Game%20Beta%202.2.zip</x:v>
      </x:c>
    </x:row>
    <x:row r="2624">
      <x:c r="A2624" t="str">
        <x:v>Unnamed Pit</x:v>
      </x:c>
      <x:c r="B2624" t="str">
        <x:v>Unnamed Pit</x:v>
      </x:c>
      <x:c r="C2624" t="str">
        <x:v>IgorOliveira666</x:v>
      </x:c>
      <x:c r="D2624" t="n">
        <x:v>1</x:v>
      </x:c>
      <x:c r="E2624" t="str">
        <x:v>Master</x:v>
      </x:c>
      <x:c r="F2624" t="str">
        <x:v>Tool-Assisted, Pit</x:v>
      </x:c>
      <x:c r="G2624" t="n">
        <x:v>43228</x:v>
      </x:c>
      <x:c r="H2624" t="str">
        <x:v>17473</x:v>
      </x:c>
      <x:c r="I2624" t="str">
        <x:v>https://www.smwcentral.net/?a=details&amp;id=17473&amp;p=section</x:v>
      </x:c>
      <x:c r="J2624" t="str">
        <x:v>https://dl.smwcentral.net/17473/Unnamed%20Pit.zip</x:v>
      </x:c>
    </x:row>
    <x:row r="2625">
      <x:c r="A2625" t="str">
        <x:v>Unnamed Precision</x:v>
      </x:c>
      <x:c r="B2625" t="str">
        <x:v>Unnamed Precision</x:v>
      </x:c>
      <x:c r="C2625" t="str">
        <x:v>Zoreo</x:v>
      </x:c>
      <x:c r="D2625" t="n">
        <x:v>2</x:v>
      </x:c>
      <x:c r="E2625" t="str">
        <x:v>Advanced</x:v>
      </x:c>
      <x:c r="F2625" t="str">
        <x:v>Kaizo</x:v>
      </x:c>
      <x:c r="G2625" t="n">
        <x:v>44593</x:v>
      </x:c>
      <x:c r="H2625" t="str">
        <x:v>29660</x:v>
      </x:c>
      <x:c r="I2625" t="str">
        <x:v>https://www.smwcentral.net/?a=details&amp;id=29660&amp;p=section</x:v>
      </x:c>
      <x:c r="J2625" t="str">
        <x:v>https://dl.smwcentral.net/29660/UnnamedPrecision.zip</x:v>
      </x:c>
    </x:row>
    <x:row r="2626">
      <x:c r="A2626" t="str">
        <x:v>Unnormal</x:v>
      </x:c>
      <x:c r="B2626" t="str">
        <x:v>Unnormal</x:v>
      </x:c>
      <x:c r="C2626" t="str">
        <x:v>ageVerrly</x:v>
      </x:c>
      <x:c r="D2626" t="n">
        <x:v>10</x:v>
      </x:c>
      <x:c r="E2626" t="str">
        <x:v>Grandmaster</x:v>
      </x:c>
      <x:c r="F2626" t="str">
        <x:v>Kaizo</x:v>
      </x:c>
      <x:c r="G2626" t="n">
        <x:v>44893</x:v>
      </x:c>
      <x:c r="H2626" t="str">
        <x:v>32500</x:v>
      </x:c>
      <x:c r="I2626" t="str">
        <x:v>https://www.smwcentral.net/?a=details&amp;id=32500&amp;p=section</x:v>
      </x:c>
      <x:c r="J2626" t="str">
        <x:v>https://dl.smwcentral.net/32500/keyB.zip</x:v>
      </x:c>
    </x:row>
    <x:row r="2627">
      <x:c r="A2627" t="str">
        <x:v>Untamed</x:v>
      </x:c>
      <x:c r="B2627" t="str">
        <x:v>Untamed</x:v>
      </x:c>
      <x:c r="C2627" t="str">
        <x:v>goosedajuice</x:v>
      </x:c>
      <x:c r="D2627" t="n">
        <x:v>15</x:v>
      </x:c>
      <x:c r="E2627" t="str">
        <x:v>Advanced</x:v>
      </x:c>
      <x:c r="F2627" t="str">
        <x:v>Kaizo</x:v>
      </x:c>
      <x:c r="G2627" t="n">
        <x:v>44882</x:v>
      </x:c>
      <x:c r="H2627" t="str">
        <x:v>32577</x:v>
      </x:c>
      <x:c r="I2627" t="str">
        <x:v>https://www.smwcentral.net/?a=details&amp;id=32577&amp;p=section</x:v>
      </x:c>
      <x:c r="J2627" t="str">
        <x:v>https://dl.smwcentral.net/32577/Untamed_v2.zip</x:v>
      </x:c>
    </x:row>
    <x:row r="2628">
      <x:c r="A2628" t="str">
        <x:v>UNTITLED DOOM</x:v>
      </x:c>
      <x:c r="B2628" t="str">
        <x:v>UNTITLED DOOM</x:v>
      </x:c>
      <x:c r="C2628" t="str">
        <x:v>MercuryPenny</x:v>
      </x:c>
      <x:c r="D2628" t="n">
        <x:v>6</x:v>
      </x:c>
      <x:c r="E2628" t="str">
        <x:v>Expert</x:v>
      </x:c>
      <x:c r="F2628" t="str">
        <x:v>Kaizo</x:v>
      </x:c>
      <x:c r="G2628" t="n">
        <x:v>41780</x:v>
      </x:c>
      <x:c r="H2628" t="str">
        <x:v>6386</x:v>
      </x:c>
      <x:c r="I2628" t="str">
        <x:v>https://www.smwcentral.net/?a=details&amp;id=6386&amp;p=section</x:v>
      </x:c>
      <x:c r="J2628" t="str">
        <x:v>https://dl.smwcentral.net/6386/UNTITLED%20DOOM%20demo%201.zip</x:v>
      </x:c>
    </x:row>
    <x:row r="2629">
      <x:c r="A2629" t="str">
        <x:v>Untitled Hack</x:v>
      </x:c>
      <x:c r="B2629" t="str">
        <x:v>Untitled Hack</x:v>
      </x:c>
      <x:c r="C2629" t="str">
        <x:v>PinkSatan</x:v>
      </x:c>
      <x:c r="D2629" t="n">
        <x:v>8</x:v>
      </x:c>
      <x:c r="E2629" t="str">
        <x:v>Expert</x:v>
      </x:c>
      <x:c r="F2629" t="str">
        <x:v>Kaizo</x:v>
      </x:c>
      <x:c r="G2629" t="n">
        <x:v>43964</x:v>
      </x:c>
      <x:c r="H2629" t="str">
        <x:v>22946</x:v>
      </x:c>
      <x:c r="I2629" t="str">
        <x:v>https://www.smwcentral.net/?a=details&amp;id=22946&amp;p=section</x:v>
      </x:c>
      <x:c r="J2629" t="str">
        <x:v>https://dl.smwcentral.net/22946/Untitled%20Hack.zip</x:v>
      </x:c>
    </x:row>
    <x:row r="2630">
      <x:c r="A2630" t="str">
        <x:v>Untitled ROM Hack</x:v>
      </x:c>
      <x:c r="B2630" t="str">
        <x:v>Untitled ROM Hack</x:v>
      </x:c>
      <x:c r="C2630" t="str">
        <x:v>Caped Mario2</x:v>
      </x:c>
      <x:c r="D2630" t="n">
        <x:v>5</x:v>
      </x:c>
      <x:c r="E2630" t="str">
        <x:v>Advanced</x:v>
      </x:c>
      <x:c r="F2630" t="str">
        <x:v>Kaizo</x:v>
      </x:c>
      <x:c r="G2630" t="n">
        <x:v>42093</x:v>
      </x:c>
      <x:c r="H2630" t="str">
        <x:v>9783</x:v>
      </x:c>
      <x:c r="I2630" t="str">
        <x:v>https://www.smwcentral.net/?a=details&amp;id=9783&amp;p=section</x:v>
      </x:c>
      <x:c r="J2630" t="str">
        <x:v>https://dl.smwcentral.net/9783/Hack.zip</x:v>
      </x:c>
    </x:row>
    <x:row r="2631">
      <x:c r="A2631" t="str">
        <x:v>UP ᵀʰᵉ ᴿᵒᵐʰᵃᶜᵏ</x:v>
      </x:c>
      <x:c r="B2631" t="str">
        <x:v>UP ᵀʰᵉ ᴿᵒᵐʰᵃᶜᵏ</x:v>
      </x:c>
      <x:c r="C2631" t="str">
        <x:v>Sweetdude</x:v>
      </x:c>
      <x:c r="D2631" t="n">
        <x:v>8</x:v>
      </x:c>
      <x:c r="E2631" t="str">
        <x:v>Expert</x:v>
      </x:c>
      <x:c r="F2631" t="str">
        <x:v>Kaizo</x:v>
      </x:c>
      <x:c r="G2631" t="n">
        <x:v>45404</x:v>
      </x:c>
      <x:c r="H2631" t="str">
        <x:v>37640</x:v>
      </x:c>
      <x:c r="I2631" t="str">
        <x:v>https://www.smwcentral.net/?a=details&amp;id=37640&amp;p=section</x:v>
      </x:c>
      <x:c r="J2631" t="str">
        <x:v>https://dl.smwcentral.net/37640/What%27sUpDog.zip</x:v>
      </x:c>
    </x:row>
    <x:row r="2632">
      <x:c r="A2632" t="str">
        <x:v>Vah Knee Yah</x:v>
      </x:c>
      <x:c r="B2632" t="str">
        <x:v>Vah Knee Yah</x:v>
      </x:c>
      <x:c r="C2632" t="str">
        <x:v>Scags</x:v>
      </x:c>
      <x:c r="D2632" t="n">
        <x:v>8</x:v>
      </x:c>
      <x:c r="E2632" t="str">
        <x:v>Expert</x:v>
      </x:c>
      <x:c r="F2632" t="str">
        <x:v>Kaizo</x:v>
      </x:c>
      <x:c r="G2632" t="n">
        <x:v>45254</x:v>
      </x:c>
      <x:c r="H2632" t="str">
        <x:v>35565</x:v>
      </x:c>
      <x:c r="I2632" t="str">
        <x:v>https://www.smwcentral.net/?a=details&amp;id=35565&amp;p=section</x:v>
      </x:c>
      <x:c r="J2632" t="str">
        <x:v>https://dl.smwcentral.net/35565/Vah%20Knee%20Yah.zip</x:v>
      </x:c>
    </x:row>
    <x:row r="2633">
      <x:c r="A2633" t="str">
        <x:v>Valuable and Beautiful</x:v>
      </x:c>
      <x:c r="B2633" t="str">
        <x:v>Valuable and Beautiful</x:v>
      </x:c>
      <x:c r="C2633" t="str">
        <x:v>CarlSagan42</x:v>
      </x:c>
      <x:c r="D2633" t="n">
        <x:v>11</x:v>
      </x:c>
      <x:c r="E2633" t="str">
        <x:v>Master</x:v>
      </x:c>
      <x:c r="F2633" t="str">
        <x:v>Kaizo</x:v>
      </x:c>
      <x:c r="G2633" t="n">
        <x:v>46080</x:v>
      </x:c>
      <x:c r="H2633" t="str">
        <x:v>41548</x:v>
      </x:c>
      <x:c r="I2633" t="str">
        <x:v>https://www.smwcentral.net/?a=details&amp;id=41548&amp;p=section</x:v>
      </x:c>
      <x:c r="J2633" t="str">
        <x:v>https://dl.smwcentral.net/41548/ValuableAndBeautiful.zip</x:v>
      </x:c>
    </x:row>
    <x:row r="2634">
      <x:c r="A2634" t="str">
        <x:v>Vampire Hunter Savior Of The Kingdom</x:v>
      </x:c>
      <x:c r="B2634" t="str">
        <x:v>Vampire Hunter Savior Of The Kingdom</x:v>
      </x:c>
      <x:c r="C2634" t="str">
        <x:v>AjaTheVampire</x:v>
      </x:c>
      <x:c r="D2634" t="n">
        <x:v>39</x:v>
      </x:c>
      <x:c r="E2634" t="str">
        <x:v>Intermediate</x:v>
      </x:c>
      <x:c r="F2634" t="str">
        <x:v>Standard</x:v>
      </x:c>
      <x:c r="G2634" t="n">
        <x:v>45042</x:v>
      </x:c>
      <x:c r="H2634" t="str">
        <x:v>33795</x:v>
      </x:c>
      <x:c r="I2634" t="str">
        <x:v>https://www.smwcentral.net/?a=details&amp;id=33795&amp;p=section</x:v>
      </x:c>
      <x:c r="J2634" t="str">
        <x:v>https://dl.smwcentral.net/33795/Vampire%20Hunter%20Savior%20Of%20The%20Kingdom.zip</x:v>
      </x:c>
    </x:row>
    <x:row r="2635">
      <x:c r="A2635" t="str">
        <x:v>Vanilla Failure: Blind Devil's Final Stand</x:v>
      </x:c>
      <x:c r="B2635" t="str">
        <x:v>Vanilla Failure: Blind Devil's Final Stand</x:v>
      </x:c>
      <x:c r="C2635" t="str">
        <x:v>Blind Devil</x:v>
      </x:c>
      <x:c r="D2635" t="n">
        <x:v>7</x:v>
      </x:c>
      <x:c r="E2635" t="str">
        <x:v>Newcomer</x:v>
      </x:c>
      <x:c r="F2635" t="str">
        <x:v>Standard</x:v>
      </x:c>
      <x:c r="G2635" t="n">
        <x:v>41445</x:v>
      </x:c>
      <x:c r="H2635" t="str">
        <x:v>5493</x:v>
      </x:c>
      <x:c r="I2635" t="str">
        <x:v>https://www.smwcentral.net/?a=details&amp;id=5493&amp;p=section</x:v>
      </x:c>
      <x:c r="J2635" t="str">
        <x:v>https://dl.smwcentral.net/5493/Vanilla%20Failure%20C3%20Demo%20v1.1.zip</x:v>
      </x:c>
    </x:row>
    <x:row r="2636">
      <x:c r="A2636" t="str">
        <x:v>Vanilla Flavour</x:v>
      </x:c>
      <x:c r="B2636" t="str">
        <x:v>Vanilla Flavour</x:v>
      </x:c>
      <x:c r="C2636" t="str">
        <x:v>niko</x:v>
      </x:c>
      <x:c r="D2636" t="n">
        <x:v>74</x:v>
      </x:c>
      <x:c r="E2636" t="str">
        <x:v>Intermediate</x:v>
      </x:c>
      <x:c r="F2636" t="str">
        <x:v>Standard</x:v>
      </x:c>
      <x:c r="G2636" t="n">
        <x:v>45753</x:v>
      </x:c>
      <x:c r="H2636" t="str">
        <x:v>39643</x:v>
      </x:c>
      <x:c r="I2636" t="str">
        <x:v>https://www.smwcentral.net/?a=details&amp;id=39643&amp;p=section</x:v>
      </x:c>
      <x:c r="J2636" t="str">
        <x:v>https://dl.smwcentral.net/39643/Vanilla%20Flavour%20V.%201.30.zip</x:v>
      </x:c>
    </x:row>
    <x:row r="2637">
      <x:c r="A2637" t="str">
        <x:v>Vanilla Hour - a collection of one-hour levels</x:v>
      </x:c>
      <x:c r="B2637" t="str">
        <x:v>Vanilla Hour - a collection of one-hour levels</x:v>
      </x:c>
      <x:c r="C2637" t="str">
        <x:v>Nitrogen</x:v>
      </x:c>
      <x:c r="D2637" t="n">
        <x:v>12</x:v>
      </x:c>
      <x:c r="E2637" t="str">
        <x:v>Advanced</x:v>
      </x:c>
      <x:c r="F2637" t="str">
        <x:v>Standard</x:v>
      </x:c>
      <x:c r="G2637" t="n">
        <x:v>46079</x:v>
      </x:c>
      <x:c r="H2637" t="str">
        <x:v>41740</x:v>
      </x:c>
      <x:c r="I2637" t="str">
        <x:v>https://www.smwcentral.net/?a=details&amp;id=41740&amp;p=section</x:v>
      </x:c>
      <x:c r="J2637" t="str">
        <x:v>https://dl.smwcentral.net/41740/Vanilla%20Hour%20-%20a%20collection%20of%20one-hour%20levels.zip</x:v>
      </x:c>
    </x:row>
    <x:row r="2638">
      <x:c r="A2638" t="str">
        <x:v>Vanilla Kaizo World</x:v>
      </x:c>
      <x:c r="B2638" t="str">
        <x:v>Vanilla Kaizo World</x:v>
      </x:c>
      <x:c r="C2638" t="str">
        <x:v>MassPunishment</x:v>
      </x:c>
      <x:c r="D2638" t="n">
        <x:v>27</x:v>
      </x:c>
      <x:c r="E2638" t="str">
        <x:v>Expert</x:v>
      </x:c>
      <x:c r="F2638" t="str">
        <x:v>Kaizo</x:v>
      </x:c>
      <x:c r="G2638" t="n">
        <x:v>44151</x:v>
      </x:c>
      <x:c r="H2638" t="str">
        <x:v>24833</x:v>
      </x:c>
      <x:c r="I2638" t="str">
        <x:v>https://www.smwcentral.net/?a=details&amp;id=24833&amp;p=section</x:v>
      </x:c>
      <x:c r="J2638" t="str">
        <x:v>https://dl.smwcentral.net/24833/VKW1.1.zip</x:v>
      </x:c>
    </x:row>
    <x:row r="2639">
      <x:c r="A2639" t="str">
        <x:v>Vanilla Mario World</x:v>
      </x:c>
      <x:c r="B2639" t="str">
        <x:v>Vanilla Mario World</x:v>
      </x:c>
      <x:c r="C2639" t="str">
        <x:v>monkey03297</x:v>
      </x:c>
      <x:c r="D2639" t="n">
        <x:v>17</x:v>
      </x:c>
      <x:c r="E2639" t="str">
        <x:v>Casual</x:v>
      </x:c>
      <x:c r="F2639" t="str">
        <x:v>Standard</x:v>
      </x:c>
      <x:c r="G2639" t="n">
        <x:v>44101</x:v>
      </x:c>
      <x:c r="H2639" t="str">
        <x:v>24708</x:v>
      </x:c>
      <x:c r="I2639" t="str">
        <x:v>https://www.smwcentral.net/?a=details&amp;id=24708&amp;p=section</x:v>
      </x:c>
      <x:c r="J2639" t="str">
        <x:v>https://dl.smwcentral.net/24708/VMW%20v0.01.zip</x:v>
      </x:c>
    </x:row>
    <x:row r="2640">
      <x:c r="A2640" t="str">
        <x:v>Vanilla Shakedown</x:v>
      </x:c>
      <x:c r="B2640" t="str">
        <x:v>Vanilla Shakedown</x:v>
      </x:c>
      <x:c r="C2640" t="str">
        <x:v>DoktorGroove</x:v>
      </x:c>
      <x:c r="D2640" t="n">
        <x:v>31</x:v>
      </x:c>
      <x:c r="E2640" t="str">
        <x:v>Expert</x:v>
      </x:c>
      <x:c r="F2640" t="str">
        <x:v>Kaizo</x:v>
      </x:c>
      <x:c r="G2640" t="n">
        <x:v>44691</x:v>
      </x:c>
      <x:c r="H2640" t="str">
        <x:v>30669</x:v>
      </x:c>
      <x:c r="I2640" t="str">
        <x:v>https://www.smwcentral.net/?a=details&amp;id=30669&amp;p=section</x:v>
      </x:c>
      <x:c r="J2640" t="str">
        <x:v>https://dl.smwcentral.net/30669/VanillaShakedown.zip</x:v>
      </x:c>
    </x:row>
    <x:row r="2641">
      <x:c r="A2641" t="str">
        <x:v>Vanilla Twist!</x:v>
      </x:c>
      <x:c r="B2641" t="str">
        <x:v>Vanilla Twist!</x:v>
      </x:c>
      <x:c r="C2641" t="str">
        <x:v>Anonymous</x:v>
      </x:c>
      <x:c r="D2641" t="n">
        <x:v>23</x:v>
      </x:c>
      <x:c r="E2641" t="str">
        <x:v>Casual</x:v>
      </x:c>
      <x:c r="F2641" t="str">
        <x:v>Standard</x:v>
      </x:c>
      <x:c r="G2641" t="n">
        <x:v>41811</x:v>
      </x:c>
      <x:c r="H2641" t="str">
        <x:v>6692</x:v>
      </x:c>
      <x:c r="I2641" t="str">
        <x:v>https://www.smwcentral.net/?a=details&amp;id=6692&amp;p=section</x:v>
      </x:c>
      <x:c r="J2641" t="str">
        <x:v>https://dl.smwcentral.net/6692/VTv3.1.zip</x:v>
      </x:c>
    </x:row>
    <x:row r="2642">
      <x:c r="A2642" t="str">
        <x:v>Vanilla: Made to Order</x:v>
      </x:c>
      <x:c r="B2642" t="str">
        <x:v>Vanilla: Made to Order</x:v>
      </x:c>
      <x:c r="C2642" t="str">
        <x:v>Gamma V</x:v>
      </x:c>
      <x:c r="D2642" t="n">
        <x:v>14</x:v>
      </x:c>
      <x:c r="E2642" t="str">
        <x:v>Casual</x:v>
      </x:c>
      <x:c r="F2642" t="str">
        <x:v>Standard</x:v>
      </x:c>
      <x:c r="G2642" t="n">
        <x:v>43501</x:v>
      </x:c>
      <x:c r="H2642" t="str">
        <x:v>19028</x:v>
      </x:c>
      <x:c r="I2642" t="str">
        <x:v>https://www.smwcentral.net/?a=details&amp;id=19028&amp;p=section</x:v>
      </x:c>
      <x:c r="J2642" t="str">
        <x:v>https://dl.smwcentral.net/19028/Vanilla%20Made%20to%20Order.zip</x:v>
      </x:c>
    </x:row>
    <x:row r="2643">
      <x:c r="A2643" t="str">
        <x:v>VanillaCraft</x:v>
      </x:c>
      <x:c r="B2643" t="str">
        <x:v>VanillaCraft</x:v>
      </x:c>
      <x:c r="C2643" t="str">
        <x:v>oneframejames</x:v>
      </x:c>
      <x:c r="D2643" t="n">
        <x:v>9</x:v>
      </x:c>
      <x:c r="E2643" t="str">
        <x:v>Master</x:v>
      </x:c>
      <x:c r="F2643" t="str">
        <x:v>Kaizo</x:v>
      </x:c>
      <x:c r="G2643" t="n">
        <x:v>44453</x:v>
      </x:c>
      <x:c r="H2643" t="str">
        <x:v>28289</x:v>
      </x:c>
      <x:c r="I2643" t="str">
        <x:v>https://www.smwcentral.net/?a=details&amp;id=28289&amp;p=section</x:v>
      </x:c>
      <x:c r="J2643" t="str">
        <x:v>https://dl.smwcentral.net/28289/VanillaCraft.zip</x:v>
      </x:c>
    </x:row>
    <x:row r="2644">
      <x:c r="A2644" t="str">
        <x:v>Varndts Castle</x:v>
      </x:c>
      <x:c r="B2644" t="str">
        <x:v>Varndts Castle</x:v>
      </x:c>
      <x:c r="C2644" t="str">
        <x:v>Hellbourne</x:v>
      </x:c>
      <x:c r="D2644" t="n">
        <x:v>7</x:v>
      </x:c>
      <x:c r="E2644" t="str">
        <x:v>Newcomer</x:v>
      </x:c>
      <x:c r="F2644" t="str">
        <x:v>Standard</x:v>
      </x:c>
      <x:c r="G2644" t="n">
        <x:v>42265</x:v>
      </x:c>
      <x:c r="H2644" t="str">
        <x:v>10019</x:v>
      </x:c>
      <x:c r="I2644" t="str">
        <x:v>https://www.smwcentral.net/?a=details&amp;id=10019&amp;p=section</x:v>
      </x:c>
      <x:c r="J2644" t="str">
        <x:v>https://dl.smwcentral.net/10019/Varndts%20Castle.zip</x:v>
      </x:c>
    </x:row>
    <x:row r="2645">
      <x:c r="A2645" t="str">
        <x:v>Vast Minutiae</x:v>
      </x:c>
      <x:c r="B2645" t="str">
        <x:v>Vast Minutiae</x:v>
      </x:c>
      <x:c r="C2645" t="str">
        <x:v>GlitchCat7</x:v>
      </x:c>
      <x:c r="D2645" t="n">
        <x:v>8</x:v>
      </x:c>
      <x:c r="E2645" t="str">
        <x:v>Grandmaster</x:v>
      </x:c>
      <x:c r="F2645" t="str">
        <x:v>Kaizo</x:v>
      </x:c>
      <x:c r="G2645" t="n">
        <x:v>45384</x:v>
      </x:c>
      <x:c r="H2645" t="str">
        <x:v>36796</x:v>
      </x:c>
      <x:c r="I2645" t="str">
        <x:v>https://www.smwcentral.net/?a=details&amp;id=36796&amp;p=section</x:v>
      </x:c>
      <x:c r="J2645" t="str">
        <x:v>https://dl.smwcentral.net/36796/Vast%20Minutiae%201.2%20by%20GlitchCat7.zip</x:v>
      </x:c>
    </x:row>
    <x:row r="2646">
      <x:c r="A2646" t="str">
        <x:v>Vengeful Mario</x:v>
      </x:c>
      <x:c r="B2646" t="str">
        <x:v>Vengeful Mario</x:v>
      </x:c>
      <x:c r="C2646" t="str">
        <x:v>Easy Difficulty</x:v>
      </x:c>
      <x:c r="D2646" t="n">
        <x:v>72</x:v>
      </x:c>
      <x:c r="E2646" t="str">
        <x:v>Master</x:v>
      </x:c>
      <x:c r="F2646" t="str">
        <x:v>Standard, Kaizo</x:v>
      </x:c>
      <x:c r="G2646" t="n">
        <x:v>45724</x:v>
      </x:c>
      <x:c r="H2646" t="str">
        <x:v>38882</x:v>
      </x:c>
      <x:c r="I2646" t="str">
        <x:v>https://www.smwcentral.net/?a=details&amp;id=38882&amp;p=section</x:v>
      </x:c>
      <x:c r="J2646" t="str">
        <x:v>https://dl.smwcentral.net/38882/reasonably%20long%20kaizo%20game%20but%20it%27s%20version%201.1.1%20now.zip</x:v>
      </x:c>
    </x:row>
    <x:row r="2647">
      <x:c r="A2647" t="str">
        <x:v>Venture</x:v>
      </x:c>
      <x:c r="B2647" t="str">
        <x:v>Venture</x:v>
      </x:c>
      <x:c r="C2647" t="str">
        <x:v>jirok1</x:v>
      </x:c>
      <x:c r="D2647" t="n">
        <x:v>10</x:v>
      </x:c>
      <x:c r="E2647" t="str">
        <x:v>Expert</x:v>
      </x:c>
      <x:c r="F2647" t="str">
        <x:v>Kaizo</x:v>
      </x:c>
      <x:c r="G2647" t="n">
        <x:v>45419</x:v>
      </x:c>
      <x:c r="H2647" t="str">
        <x:v>37735</x:v>
      </x:c>
      <x:c r="I2647" t="str">
        <x:v>https://www.smwcentral.net/?a=details&amp;id=37735&amp;p=section</x:v>
      </x:c>
      <x:c r="J2647" t="str">
        <x:v>https://dl.smwcentral.net/37735/Venture1_2.zip</x:v>
      </x:c>
    </x:row>
    <x:row r="2648">
      <x:c r="A2648" t="str">
        <x:v>Very Fun World</x:v>
      </x:c>
      <x:c r="B2648" t="str">
        <x:v>Very Fun World</x:v>
      </x:c>
      <x:c r="C2648" t="str">
        <x:v>tomato jonson</x:v>
      </x:c>
      <x:c r="D2648" t="n">
        <x:v>6</x:v>
      </x:c>
      <x:c r="E2648" t="str">
        <x:v>Casual</x:v>
      </x:c>
      <x:c r="F2648" t="str">
        <x:v>Standard</x:v>
      </x:c>
      <x:c r="G2648" t="n">
        <x:v>43731</x:v>
      </x:c>
      <x:c r="H2648" t="str">
        <x:v>21080</x:v>
      </x:c>
      <x:c r="I2648" t="str">
        <x:v>https://www.smwcentral.net/?a=details&amp;id=21080&amp;p=section</x:v>
      </x:c>
      <x:c r="J2648" t="str">
        <x:v>https://dl.smwcentral.net/21080/Very%20Fun%20World.zip</x:v>
      </x:c>
    </x:row>
    <x:row r="2649">
      <x:c r="A2649" t="str">
        <x:v>Very Hard Mario</x:v>
      </x:c>
      <x:c r="B2649" t="str">
        <x:v>Very Hard Mario</x:v>
      </x:c>
      <x:c r="C2649" t="str">
        <x:v>lolyoshi</x:v>
      </x:c>
      <x:c r="D2649" t="n">
        <x:v>13</x:v>
      </x:c>
      <x:c r="E2649" t="str">
        <x:v>Master</x:v>
      </x:c>
      <x:c r="F2649" t="str">
        <x:v>Kaizo</x:v>
      </x:c>
      <x:c r="G2649" t="n">
        <x:v>45853</x:v>
      </x:c>
      <x:c r="H2649" t="str">
        <x:v>40105</x:v>
      </x:c>
      <x:c r="I2649" t="str">
        <x:v>https://www.smwcentral.net/?a=details&amp;id=40105&amp;p=section</x:v>
      </x:c>
      <x:c r="J2649" t="str">
        <x:v>https://dl.smwcentral.net/40105/veryhard.zip</x:v>
      </x:c>
    </x:row>
    <x:row r="2650">
      <x:c r="A2650" t="str">
        <x:v>Vincere</x:v>
      </x:c>
      <x:c r="B2650" t="str">
        <x:v>Vincere</x:v>
      </x:c>
      <x:c r="C2650" t="str">
        <x:v>Wolfguy423</x:v>
      </x:c>
      <x:c r="D2650" t="n">
        <x:v>14</x:v>
      </x:c>
      <x:c r="E2650" t="str">
        <x:v>Expert</x:v>
      </x:c>
      <x:c r="F2650" t="str">
        <x:v>Kaizo</x:v>
      </x:c>
      <x:c r="G2650" t="n">
        <x:v>44741</x:v>
      </x:c>
      <x:c r="H2650" t="str">
        <x:v>31246</x:v>
      </x:c>
      <x:c r="I2650" t="str">
        <x:v>https://www.smwcentral.net/?a=details&amp;id=31246&amp;p=section</x:v>
      </x:c>
      <x:c r="J2650" t="str">
        <x:v>https://dl.smwcentral.net/31246/Vincere.zip</x:v>
      </x:c>
    </x:row>
    <x:row r="2651">
      <x:c r="A2651" t="str">
        <x:v>VIP and Wall Mix 1</x:v>
      </x:c>
      <x:c r="B2651" t="str">
        <x:v>VIP and Wall Mix 1</x:v>
      </x:c>
      <x:c r="C2651" t="str">
        <x:v>Vipper</x:v>
      </x:c>
      <x:c r="D2651" t="n">
        <x:v>78</x:v>
      </x:c>
      <x:c r="E2651" t="str">
        <x:v>Expert</x:v>
      </x:c>
      <x:c r="F2651" t="str">
        <x:v>Standard</x:v>
      </x:c>
      <x:c r="G2651" t="n">
        <x:v>42234</x:v>
      </x:c>
      <x:c r="H2651" t="str">
        <x:v>9706</x:v>
      </x:c>
      <x:c r="I2651" t="str">
        <x:v>https://www.smwcentral.net/?a=details&amp;id=9706&amp;p=section</x:v>
      </x:c>
      <x:c r="J2651" t="str">
        <x:v>https://dl.smwcentral.net/9706/VIP1.zip</x:v>
      </x:c>
    </x:row>
    <x:row r="2652">
      <x:c r="A2652" t="str">
        <x:v>VIP and Wall Mix 1: Mario Edition</x:v>
      </x:c>
      <x:c r="B2652" t="str">
        <x:v>VIP and Wall Mix 1: Mario Edition</x:v>
      </x:c>
      <x:c r="C2652" t="str">
        <x:v>Vipper</x:v>
      </x:c>
      <x:c r="D2652" t="n">
        <x:v>78</x:v>
      </x:c>
      <x:c r="E2652" t="str">
        <x:v>Expert</x:v>
      </x:c>
      <x:c r="F2652" t="str">
        <x:v>Standard</x:v>
      </x:c>
      <x:c r="G2652" t="n">
        <x:v>42234</x:v>
      </x:c>
      <x:c r="H2652" t="str">
        <x:v>10005</x:v>
      </x:c>
      <x:c r="I2652" t="str">
        <x:v>https://www.smwcentral.net/?a=details&amp;id=10005&amp;p=section</x:v>
      </x:c>
      <x:c r="J2652" t="str">
        <x:v>https://dl.smwcentral.net/10005/Vip%20mario%20-%20mario%20edition.zip</x:v>
      </x:c>
    </x:row>
    <x:row r="2653">
      <x:c r="A2653" t="str">
        <x:v>VIP and Wall Mix 2</x:v>
      </x:c>
      <x:c r="B2653" t="str">
        <x:v>VIP and Wall Mix 2</x:v>
      </x:c>
      <x:c r="C2653" t="str">
        <x:v>Vipper</x:v>
      </x:c>
      <x:c r="D2653" t="n">
        <x:v>103</x:v>
      </x:c>
      <x:c r="E2653" t="str">
        <x:v>Expert</x:v>
      </x:c>
      <x:c r="F2653" t="str">
        <x:v>Standard</x:v>
      </x:c>
      <x:c r="G2653" t="n">
        <x:v>42280</x:v>
      </x:c>
      <x:c r="H2653" t="str">
        <x:v>9821</x:v>
      </x:c>
      <x:c r="I2653" t="str">
        <x:v>https://www.smwcentral.net/?a=details&amp;id=9821&amp;p=section</x:v>
      </x:c>
      <x:c r="J2653" t="str">
        <x:v>https://dl.smwcentral.net/9821/SMW2-By%20Vipper.zip</x:v>
      </x:c>
    </x:row>
    <x:row r="2654">
      <x:c r="A2654" t="str">
        <x:v>VIP and Wall Mix 2: Mario Edition</x:v>
      </x:c>
      <x:c r="B2654" t="str">
        <x:v>VIP and Wall Mix 2: Mario Edition</x:v>
      </x:c>
      <x:c r="C2654" t="str">
        <x:v>Vipper</x:v>
      </x:c>
      <x:c r="D2654" t="n">
        <x:v>103</x:v>
      </x:c>
      <x:c r="E2654" t="str">
        <x:v>Expert</x:v>
      </x:c>
      <x:c r="F2654" t="str">
        <x:v>Standard</x:v>
      </x:c>
      <x:c r="G2654" t="n">
        <x:v>42280</x:v>
      </x:c>
      <x:c r="H2654" t="str">
        <x:v>10123</x:v>
      </x:c>
      <x:c r="I2654" t="str">
        <x:v>https://www.smwcentral.net/?a=details&amp;id=10123&amp;p=section</x:v>
      </x:c>
      <x:c r="J2654" t="str">
        <x:v>https://dl.smwcentral.net/10123/vip%20mario%202%20-%20mario%20edition.zip</x:v>
      </x:c>
    </x:row>
    <x:row r="2655">
      <x:c r="A2655" t="str">
        <x:v>VIP and Wall Mix 3</x:v>
      </x:c>
      <x:c r="B2655" t="str">
        <x:v>VIP and Wall Mix 3</x:v>
      </x:c>
      <x:c r="C2655" t="str">
        <x:v>Vipper</x:v>
      </x:c>
      <x:c r="D2655" t="n">
        <x:v>100</x:v>
      </x:c>
      <x:c r="E2655" t="str">
        <x:v>Advanced</x:v>
      </x:c>
      <x:c r="F2655" t="str">
        <x:v>Standard</x:v>
      </x:c>
      <x:c r="G2655" t="n">
        <x:v>42325</x:v>
      </x:c>
      <x:c r="H2655" t="str">
        <x:v>10027</x:v>
      </x:c>
      <x:c r="I2655" t="str">
        <x:v>https://www.smwcentral.net/?a=details&amp;id=10027&amp;p=section</x:v>
      </x:c>
      <x:c r="J2655" t="str">
        <x:v>https://dl.smwcentral.net/10027/VIP%26%2312510%3B%26%2312522%3B%26%2312458%3B3AAE%20ver.1.48.zip</x:v>
      </x:c>
    </x:row>
    <x:row r="2656">
      <x:c r="A2656" t="str">
        <x:v>VIP and Wall Mix 3: Mario Edition</x:v>
      </x:c>
      <x:c r="B2656" t="str">
        <x:v>VIP and Wall Mix 3: Mario Edition</x:v>
      </x:c>
      <x:c r="C2656" t="str">
        <x:v>Vipper</x:v>
      </x:c>
      <x:c r="D2656" t="n">
        <x:v>99</x:v>
      </x:c>
      <x:c r="E2656" t="str">
        <x:v>Advanced</x:v>
      </x:c>
      <x:c r="F2656" t="str">
        <x:v>Standard</x:v>
      </x:c>
      <x:c r="G2656" t="n">
        <x:v>42325</x:v>
      </x:c>
      <x:c r="H2656" t="str">
        <x:v>9812</x:v>
      </x:c>
      <x:c r="I2656" t="str">
        <x:v>https://www.smwcentral.net/?a=details&amp;id=9812&amp;p=section</x:v>
      </x:c>
      <x:c r="J2656" t="str">
        <x:v>https://dl.smwcentral.net/9812/SMW3-%20By%20Vipper.zip</x:v>
      </x:c>
    </x:row>
    <x:row r="2657">
      <x:c r="A2657" t="str">
        <x:v>VIP and Wall Mix 4</x:v>
      </x:c>
      <x:c r="B2657" t="str">
        <x:v>VIP and Wall Mix 4</x:v>
      </x:c>
      <x:c r="C2657" t="str">
        <x:v>Vipper</x:v>
      </x:c>
      <x:c r="D2657" t="n">
        <x:v>115</x:v>
      </x:c>
      <x:c r="E2657" t="str">
        <x:v>Advanced</x:v>
      </x:c>
      <x:c r="F2657" t="str">
        <x:v>Standard</x:v>
      </x:c>
      <x:c r="G2657" t="n">
        <x:v>42337</x:v>
      </x:c>
      <x:c r="H2657" t="str">
        <x:v>9799</x:v>
      </x:c>
      <x:c r="I2657" t="str">
        <x:v>https://www.smwcentral.net/?a=details&amp;id=9799&amp;p=section</x:v>
      </x:c>
      <x:c r="J2657" t="str">
        <x:v>https://dl.smwcentral.net/9799/MIX4AAE.zip</x:v>
      </x:c>
    </x:row>
    <x:row r="2658">
      <x:c r="A2658" t="str">
        <x:v>VIP and Wall Mix 4: Mario Edition</x:v>
      </x:c>
      <x:c r="B2658" t="str">
        <x:v>VIP and Wall Mix 4: Mario Edition</x:v>
      </x:c>
      <x:c r="C2658" t="str">
        <x:v>Vipper</x:v>
      </x:c>
      <x:c r="D2658" t="n">
        <x:v>115</x:v>
      </x:c>
      <x:c r="E2658" t="str">
        <x:v>Advanced</x:v>
      </x:c>
      <x:c r="F2658" t="str">
        <x:v>Standard</x:v>
      </x:c>
      <x:c r="G2658" t="n">
        <x:v>42337</x:v>
      </x:c>
      <x:c r="H2658" t="str">
        <x:v>9778</x:v>
      </x:c>
      <x:c r="I2658" t="str">
        <x:v>https://www.smwcentral.net/?a=details&amp;id=9778&amp;p=section</x:v>
      </x:c>
      <x:c r="J2658" t="str">
        <x:v>https://dl.smwcentral.net/9778/vip%20mario%204%20-%20mario%20edition.zip</x:v>
      </x:c>
    </x:row>
    <x:row r="2659">
      <x:c r="A2659" t="str">
        <x:v>VOQBON.smc</x:v>
      </x:c>
      <x:c r="B2659" t="str">
        <x:v>VOQBON.smc</x:v>
      </x:c>
      <x:c r="C2659" t="str">
        <x:v>Phyll</x:v>
      </x:c>
      <x:c r="D2659" t="n">
        <x:v>13</x:v>
      </x:c>
      <x:c r="E2659" t="str">
        <x:v>Master</x:v>
      </x:c>
      <x:c r="F2659" t="str">
        <x:v>Kaizo</x:v>
      </x:c>
      <x:c r="G2659" t="n">
        <x:v>45316</x:v>
      </x:c>
      <x:c r="H2659" t="str">
        <x:v>36682</x:v>
      </x:c>
      <x:c r="I2659" t="str">
        <x:v>https://www.smwcentral.net/?a=details&amp;id=36682&amp;p=section</x:v>
      </x:c>
      <x:c r="J2659" t="str">
        <x:v>https://dl.smwcentral.net/36682/VOQBON.zip</x:v>
      </x:c>
    </x:row>
    <x:row r="2660">
      <x:c r="A2660" t="str">
        <x:v>Voyager</x:v>
      </x:c>
      <x:c r="B2660" t="str">
        <x:v>Voyager</x:v>
      </x:c>
      <x:c r="C2660" t="str">
        <x:v>Parahax</x:v>
      </x:c>
      <x:c r="D2660" t="n">
        <x:v>24</x:v>
      </x:c>
      <x:c r="E2660" t="str">
        <x:v>Expert</x:v>
      </x:c>
      <x:c r="F2660" t="str">
        <x:v>Kaizo</x:v>
      </x:c>
      <x:c r="G2660" t="n">
        <x:v>44505</x:v>
      </x:c>
      <x:c r="H2660" t="str">
        <x:v>28513</x:v>
      </x:c>
      <x:c r="I2660" t="str">
        <x:v>https://www.smwcentral.net/?a=details&amp;id=28513&amp;p=section</x:v>
      </x:c>
      <x:c r="J2660" t="str">
        <x:v>https://dl.smwcentral.net/28513/Voyager%20v1.27.zip</x:v>
      </x:c>
    </x:row>
    <x:row r="2661">
      <x:c r="A2661" t="str">
        <x:v>VP</x:v>
      </x:c>
      <x:c r="B2661" t="str">
        <x:v>VP</x:v>
      </x:c>
      <x:c r="C2661" t="str">
        <x:v>gameboyjeremy</x:v>
      </x:c>
      <x:c r="D2661" t="n">
        <x:v>22</x:v>
      </x:c>
      <x:c r="E2661" t="str">
        <x:v>Expert</x:v>
      </x:c>
      <x:c r="F2661" t="str">
        <x:v>Kaizo, Puzzle</x:v>
      </x:c>
      <x:c r="G2661" t="n">
        <x:v>42473</x:v>
      </x:c>
      <x:c r="H2661" t="str">
        <x:v>13214</x:v>
      </x:c>
      <x:c r="I2661" t="str">
        <x:v>https://www.smwcentral.net/?a=details&amp;id=13214&amp;p=section</x:v>
      </x:c>
      <x:c r="J2661" t="str">
        <x:v>https://dl.smwcentral.net/13214/VP.zip</x:v>
      </x:c>
    </x:row>
    <x:row r="2662">
      <x:c r="A2662" t="str">
        <x:v>Vuit Grups</x:v>
      </x:c>
      <x:c r="B2662" t="str">
        <x:v>Vuit Grups</x:v>
      </x:c>
      <x:c r="C2662" t="str">
        <x:v>Nirv</x:v>
      </x:c>
      <x:c r="D2662" t="n">
        <x:v>8</x:v>
      </x:c>
      <x:c r="E2662" t="str">
        <x:v>Expert</x:v>
      </x:c>
      <x:c r="F2662" t="str">
        <x:v>Kaizo</x:v>
      </x:c>
      <x:c r="G2662" t="n">
        <x:v>45929</x:v>
      </x:c>
      <x:c r="H2662" t="str">
        <x:v>40549</x:v>
      </x:c>
      <x:c r="I2662" t="str">
        <x:v>https://www.smwcentral.net/?a=details&amp;id=40549&amp;p=section</x:v>
      </x:c>
      <x:c r="J2662" t="str">
        <x:v>https://dl.smwcentral.net/40549/VuitGrups.zip</x:v>
      </x:c>
    </x:row>
    <x:row r="2663">
      <x:c r="A2663" t="str">
        <x:v>Wake Up Call</x:v>
      </x:c>
      <x:c r="B2663" t="str">
        <x:v>Wake Up Call</x:v>
      </x:c>
      <x:c r="C2663" t="str">
        <x:v>lustreflux</x:v>
      </x:c>
      <x:c r="D2663" t="n">
        <x:v>28</x:v>
      </x:c>
      <x:c r="E2663" t="str">
        <x:v>Advanced</x:v>
      </x:c>
      <x:c r="F2663" t="str">
        <x:v>Standard, Kaizo</x:v>
      </x:c>
      <x:c r="G2663" t="n">
        <x:v>45216</x:v>
      </x:c>
      <x:c r="H2663" t="str">
        <x:v>35030</x:v>
      </x:c>
      <x:c r="I2663" t="str">
        <x:v>https://www.smwcentral.net/?a=details&amp;id=35030&amp;p=section</x:v>
      </x:c>
      <x:c r="J2663" t="str">
        <x:v>https://dl.smwcentral.net/35030/WakeUpCall.zip</x:v>
      </x:c>
    </x:row>
    <x:row r="2664">
      <x:c r="A2664" t="str">
        <x:v>Wake Up Call Re-Mix</x:v>
      </x:c>
      <x:c r="B2664" t="str">
        <x:v>Wake Up Call Re-Mix</x:v>
      </x:c>
      <x:c r="C2664" t="str">
        <x:v>lustreflux</x:v>
      </x:c>
      <x:c r="D2664" t="n">
        <x:v>15</x:v>
      </x:c>
      <x:c r="E2664" t="str">
        <x:v>Advanced</x:v>
      </x:c>
      <x:c r="F2664" t="str">
        <x:v>Standard, Kaizo</x:v>
      </x:c>
      <x:c r="G2664" t="n">
        <x:v>45327</x:v>
      </x:c>
      <x:c r="H2664" t="str">
        <x:v>35849</x:v>
      </x:c>
      <x:c r="I2664" t="str">
        <x:v>https://www.smwcentral.net/?a=details&amp;id=35849&amp;p=section</x:v>
      </x:c>
      <x:c r="J2664" t="str">
        <x:v>https://dl.smwcentral.net/35849/wakeupcallREMIX1.2.zip</x:v>
      </x:c>
    </x:row>
    <x:row r="2665">
      <x:c r="A2665" t="str">
        <x:v>Walkabout</x:v>
      </x:c>
      <x:c r="B2665" t="str">
        <x:v>Walkabout</x:v>
      </x:c>
      <x:c r="C2665" t="str">
        <x:v>SgN4T4N</x:v>
      </x:c>
      <x:c r="D2665" t="n">
        <x:v>33</x:v>
      </x:c>
      <x:c r="E2665" t="str">
        <x:v>Casual</x:v>
      </x:c>
      <x:c r="F2665" t="str">
        <x:v>Standard</x:v>
      </x:c>
      <x:c r="G2665" t="n">
        <x:v>46094</x:v>
      </x:c>
      <x:c r="H2665" t="str">
        <x:v>41906</x:v>
      </x:c>
      <x:c r="I2665" t="str">
        <x:v>https://www.smwcentral.net/?a=details&amp;id=41906&amp;p=section</x:v>
      </x:c>
      <x:c r="J2665" t="str">
        <x:v>https://dl.smwcentral.net/41906/Walkabout.zip</x:v>
      </x:c>
    </x:row>
    <x:row r="2666">
      <x:c r="A2666" t="str">
        <x:v>Wall Mario 1</x:v>
      </x:c>
      <x:c r="B2666" t="str">
        <x:v>Wall Mario 1</x:v>
      </x:c>
      <x:c r="C2666" t="str">
        <x:v>TanookiMan</x:v>
      </x:c>
      <x:c r="D2666" t="n">
        <x:v>10</x:v>
      </x:c>
      <x:c r="E2666" t="str">
        <x:v>Casual</x:v>
      </x:c>
      <x:c r="F2666" t="str">
        <x:v>Standard</x:v>
      </x:c>
      <x:c r="G2666" t="n">
        <x:v>42315</x:v>
      </x:c>
      <x:c r="H2666" t="str">
        <x:v>10259</x:v>
      </x:c>
      <x:c r="I2666" t="str">
        <x:v>https://www.smwcentral.net/?a=details&amp;id=10259&amp;p=section</x:v>
      </x:c>
      <x:c r="J2666" t="str">
        <x:v>https://dl.smwcentral.net/10259/Wall%20Mario%201%20%28Demo%201%29.zip</x:v>
      </x:c>
    </x:row>
    <x:row r="2667">
      <x:c r="A2667" t="str">
        <x:v>Waluigi's Quest to Become Known</x:v>
      </x:c>
      <x:c r="B2667" t="str">
        <x:v>Waluigi's Quest to Become Known</x:v>
      </x:c>
      <x:c r="C2667" t="str">
        <x:v>NAM</x:v>
      </x:c>
      <x:c r="D2667" t="n">
        <x:v>16</x:v>
      </x:c>
      <x:c r="E2667" t="str">
        <x:v>Casual</x:v>
      </x:c>
      <x:c r="F2667" t="str">
        <x:v>Standard</x:v>
      </x:c>
      <x:c r="G2667" t="n">
        <x:v>42292</x:v>
      </x:c>
      <x:c r="H2667" t="str">
        <x:v>9751</x:v>
      </x:c>
      <x:c r="I2667" t="str">
        <x:v>https://www.smwcentral.net/?a=details&amp;id=9751&amp;p=section</x:v>
      </x:c>
      <x:c r="J2667" t="str">
        <x:v>https://dl.smwcentral.net/9751/WQtBK-Demo1.zip</x:v>
      </x:c>
    </x:row>
    <x:row r="2668">
      <x:c r="A2668" t="str">
        <x:v>Waluigi's Road to Glory 2 - Azathomura</x:v>
      </x:c>
      <x:c r="B2668" t="str">
        <x:v>Waluigi's Road to Glory 2 - Azathomura</x:v>
      </x:c>
      <x:c r="C2668" t="str">
        <x:v>Roberto zampari</x:v>
      </x:c>
      <x:c r="D2668" t="n">
        <x:v>104</x:v>
      </x:c>
      <x:c r="E2668" t="str">
        <x:v>Intermediate</x:v>
      </x:c>
      <x:c r="F2668" t="str">
        <x:v>Standard</x:v>
      </x:c>
      <x:c r="G2668" t="n">
        <x:v>45968</x:v>
      </x:c>
      <x:c r="H2668" t="str">
        <x:v>40960</x:v>
      </x:c>
      <x:c r="I2668" t="str">
        <x:v>https://www.smwcentral.net/?a=details&amp;id=40960&amp;p=section</x:v>
      </x:c>
      <x:c r="J2668" t="str">
        <x:v>https://dl.smwcentral.net/40960/waluigi02-f02b.zip</x:v>
      </x:c>
    </x:row>
    <x:row r="2669">
      <x:c r="A2669" t="str">
        <x:v>Waluigi's road to glory: Horlogic will go on</x:v>
      </x:c>
      <x:c r="B2669" t="str">
        <x:v>Waluigi's road to glory: Horlogic will go on</x:v>
      </x:c>
      <x:c r="C2669" t="str">
        <x:v>Roberto zampari</x:v>
      </x:c>
      <x:c r="D2669" t="n">
        <x:v>112</x:v>
      </x:c>
      <x:c r="E2669" t="str">
        <x:v>Intermediate</x:v>
      </x:c>
      <x:c r="F2669" t="str">
        <x:v>Standard</x:v>
      </x:c>
      <x:c r="G2669" t="n">
        <x:v>44439</x:v>
      </x:c>
      <x:c r="H2669" t="str">
        <x:v>27018</x:v>
      </x:c>
      <x:c r="I2669" t="str">
        <x:v>https://www.smwcentral.net/?a=details&amp;id=27018&amp;p=section</x:v>
      </x:c>
      <x:c r="J2669" t="str">
        <x:v>https://dl.smwcentral.net/27018/WaluigiRoad01.zip</x:v>
      </x:c>
    </x:row>
    <x:row r="2670">
      <x:c r="A2670" t="str">
        <x:v>Waluigi's Wadventure</x:v>
      </x:c>
      <x:c r="B2670" t="str">
        <x:v>Waluigi's Wadventure</x:v>
      </x:c>
      <x:c r="C2670" t="str">
        <x:v>Galactic Spear</x:v>
      </x:c>
      <x:c r="D2670" t="n">
        <x:v>11</x:v>
      </x:c>
      <x:c r="E2670" t="str">
        <x:v>Casual</x:v>
      </x:c>
      <x:c r="F2670" t="str">
        <x:v>Standard</x:v>
      </x:c>
      <x:c r="G2670" t="n">
        <x:v>43293</x:v>
      </x:c>
      <x:c r="H2670" t="str">
        <x:v>17837</x:v>
      </x:c>
      <x:c r="I2670" t="str">
        <x:v>https://www.smwcentral.net/?a=details&amp;id=17837&amp;p=section</x:v>
      </x:c>
      <x:c r="J2670" t="str">
        <x:v>https://dl.smwcentral.net/17837/Waluigi%27s%20Wadventure%20-%20Demo%202.1.zip</x:v>
      </x:c>
    </x:row>
    <x:row r="2671">
      <x:c r="A2671" t="str">
        <x:v>Wario Land 5</x:v>
      </x:c>
      <x:c r="B2671" t="str">
        <x:v>Wario Land 5</x:v>
      </x:c>
      <x:c r="C2671" t="str">
        <x:v>Dylan Yoshi</x:v>
      </x:c>
      <x:c r="D2671" t="n">
        <x:v>6</x:v>
      </x:c>
      <x:c r="E2671" t="str">
        <x:v>Casual</x:v>
      </x:c>
      <x:c r="F2671" t="str">
        <x:v>Standard</x:v>
      </x:c>
      <x:c r="G2671" t="n">
        <x:v>42108</x:v>
      </x:c>
      <x:c r="H2671" t="str">
        <x:v>9650</x:v>
      </x:c>
      <x:c r="I2671" t="str">
        <x:v>https://www.smwcentral.net/?a=details&amp;id=9650&amp;p=section</x:v>
      </x:c>
      <x:c r="J2671" t="str">
        <x:v>https://dl.smwcentral.net/9650/Wario%20Land%205.zip</x:v>
      </x:c>
    </x:row>
    <x:row r="2672">
      <x:c r="A2672" t="str">
        <x:v>Wario Land 6</x:v>
      </x:c>
      <x:c r="B2672" t="str">
        <x:v>Wario Land 6</x:v>
      </x:c>
      <x:c r="C2672" t="str">
        <x:v>mariomaster13</x:v>
      </x:c>
      <x:c r="D2672" t="n">
        <x:v>5</x:v>
      </x:c>
      <x:c r="E2672" t="str">
        <x:v>Newcomer</x:v>
      </x:c>
      <x:c r="F2672" t="str">
        <x:v>Standard</x:v>
      </x:c>
      <x:c r="G2672" t="n">
        <x:v>42220</x:v>
      </x:c>
      <x:c r="H2672" t="str">
        <x:v>10112</x:v>
      </x:c>
      <x:c r="I2672" t="str">
        <x:v>https://www.smwcentral.net/?a=details&amp;id=10112&amp;p=section</x:v>
      </x:c>
      <x:c r="J2672" t="str">
        <x:v>https://dl.smwcentral.net/10112/wario%20land.zip</x:v>
      </x:c>
    </x:row>
    <x:row r="2673">
      <x:c r="A2673" t="str">
        <x:v>Wario World: Between The Dimensions</x:v>
      </x:c>
      <x:c r="B2673" t="str">
        <x:v>Wario World: Between The Dimensions</x:v>
      </x:c>
      <x:c r="C2673" t="str">
        <x:v>SLBros.</x:v>
      </x:c>
      <x:c r="D2673" t="n">
        <x:v>7</x:v>
      </x:c>
      <x:c r="E2673" t="str">
        <x:v>Newcomer</x:v>
      </x:c>
      <x:c r="F2673" t="str">
        <x:v>Standard</x:v>
      </x:c>
      <x:c r="G2673" t="n">
        <x:v>41445</x:v>
      </x:c>
      <x:c r="H2673" t="str">
        <x:v>5500</x:v>
      </x:c>
      <x:c r="I2673" t="str">
        <x:v>https://www.smwcentral.net/?a=details&amp;id=5500&amp;p=section</x:v>
      </x:c>
      <x:c r="J2673" t="str">
        <x:v>https://dl.smwcentral.net/5500/Wario%20World%20-%20Between%20The%20Dimensions%20%28Ver1.5b%29.zip</x:v>
      </x:c>
    </x:row>
    <x:row r="2674">
      <x:c r="A2674" t="str">
        <x:v>Wario's Adventure</x:v>
      </x:c>
      <x:c r="B2674" t="str">
        <x:v>Wario's Adventure</x:v>
      </x:c>
      <x:c r="C2674" t="str">
        <x:v>Retrodeath</x:v>
      </x:c>
      <x:c r="D2674" t="n">
        <x:v>77</x:v>
      </x:c>
      <x:c r="E2674" t="str">
        <x:v>Expert</x:v>
      </x:c>
      <x:c r="F2674" t="str">
        <x:v>Standard</x:v>
      </x:c>
      <x:c r="G2674" t="n">
        <x:v>42098</x:v>
      </x:c>
      <x:c r="H2674" t="str">
        <x:v>11026</x:v>
      </x:c>
      <x:c r="I2674" t="str">
        <x:v>https://www.smwcentral.net/?a=details&amp;id=11026&amp;p=section</x:v>
      </x:c>
      <x:c r="J2674" t="str">
        <x:v>https://dl.smwcentral.net/11026/Wario%27s%20Adventure%201.4.zip</x:v>
      </x:c>
    </x:row>
    <x:row r="2675">
      <x:c r="A2675" t="str">
        <x:v>Wario's Return</x:v>
      </x:c>
      <x:c r="B2675" t="str">
        <x:v>Wario's Return</x:v>
      </x:c>
      <x:c r="C2675" t="str">
        <x:v>Retired Man</x:v>
      </x:c>
      <x:c r="D2675" t="n">
        <x:v>7</x:v>
      </x:c>
      <x:c r="E2675" t="str">
        <x:v>Casual</x:v>
      </x:c>
      <x:c r="F2675" t="str">
        <x:v>Standard</x:v>
      </x:c>
      <x:c r="G2675" t="n">
        <x:v>41445</x:v>
      </x:c>
      <x:c r="H2675" t="str">
        <x:v>5372</x:v>
      </x:c>
      <x:c r="I2675" t="str">
        <x:v>https://www.smwcentral.net/?a=details&amp;id=5372&amp;p=section</x:v>
      </x:c>
      <x:c r="J2675" t="str">
        <x:v>https://dl.smwcentral.net/5372/Wario%C2%B4s%20Return.zip</x:v>
      </x:c>
    </x:row>
    <x:row r="2676">
      <x:c r="A2676" t="str">
        <x:v>Warios Wonderful Walk</x:v>
      </x:c>
      <x:c r="B2676" t="str">
        <x:v>Warios Wonderful Walk</x:v>
      </x:c>
      <x:c r="C2676" t="str">
        <x:v>Captain Domas</x:v>
      </x:c>
      <x:c r="D2676" t="n">
        <x:v>10</x:v>
      </x:c>
      <x:c r="E2676" t="str">
        <x:v>Advanced</x:v>
      </x:c>
      <x:c r="F2676" t="str">
        <x:v>Kaizo</x:v>
      </x:c>
      <x:c r="G2676" t="n">
        <x:v>44664</x:v>
      </x:c>
      <x:c r="H2676" t="str">
        <x:v>30365</x:v>
      </x:c>
      <x:c r="I2676" t="str">
        <x:v>https://www.smwcentral.net/?a=details&amp;id=30365&amp;p=section</x:v>
      </x:c>
      <x:c r="J2676" t="str">
        <x:v>https://dl.smwcentral.net/30365/WWW.zip</x:v>
      </x:c>
    </x:row>
    <x:row r="2677">
      <x:c r="A2677" t="str">
        <x:v>Watch Mario</x:v>
      </x:c>
      <x:c r="B2677" t="str">
        <x:v>Watch Mario</x:v>
      </x:c>
      <x:c r="C2677" t="str">
        <x:v>ANDCo., BabyCan</x:v>
      </x:c>
      <x:c r="D2677" t="n">
        <x:v>77</x:v>
      </x:c>
      <x:c r="E2677" t="str">
        <x:v>Casual</x:v>
      </x:c>
      <x:c r="F2677" t="str">
        <x:v>Standard</x:v>
      </x:c>
      <x:c r="G2677" t="n">
        <x:v>43300</x:v>
      </x:c>
      <x:c r="H2677" t="str">
        <x:v>17731</x:v>
      </x:c>
      <x:c r="I2677" t="str">
        <x:v>https://www.smwcentral.net/?a=details&amp;id=17731&amp;p=section</x:v>
      </x:c>
      <x:c r="J2677" t="str">
        <x:v>https://dl.smwcentral.net/17731/Watch%20Mario%20Bundle.zip</x:v>
      </x:c>
    </x:row>
    <x:row r="2678">
      <x:c r="A2678" t="str">
        <x:v>Watermelon World</x:v>
      </x:c>
      <x:c r="B2678" t="str">
        <x:v>Watermelon World</x:v>
      </x:c>
      <x:c r="C2678" t="str">
        <x:v>MIRANHA</x:v>
      </x:c>
      <x:c r="D2678" t="n">
        <x:v>21</x:v>
      </x:c>
      <x:c r="E2678" t="str">
        <x:v>Intermediate</x:v>
      </x:c>
      <x:c r="F2678" t="str">
        <x:v>Kaizo</x:v>
      </x:c>
      <x:c r="G2678" t="n">
        <x:v>43549</x:v>
      </x:c>
      <x:c r="H2678" t="str">
        <x:v>19397</x:v>
      </x:c>
      <x:c r="I2678" t="str">
        <x:v>https://www.smwcentral.net/?a=details&amp;id=19397&amp;p=section</x:v>
      </x:c>
      <x:c r="J2678" t="str">
        <x:v>https://dl.smwcentral.net/19397/Watermelon%20World.zip</x:v>
      </x:c>
    </x:row>
    <x:row r="2679">
      <x:c r="A2679" t="str">
        <x:v>Waterworld</x:v>
      </x:c>
      <x:c r="B2679" t="str">
        <x:v>Waterworld</x:v>
      </x:c>
      <x:c r="C2679" t="str">
        <x:v>BabaYegha</x:v>
      </x:c>
      <x:c r="D2679" t="n">
        <x:v>14</x:v>
      </x:c>
      <x:c r="E2679" t="str">
        <x:v>Master</x:v>
      </x:c>
      <x:c r="F2679" t="str">
        <x:v>Kaizo</x:v>
      </x:c>
      <x:c r="G2679" t="n">
        <x:v>44336</x:v>
      </x:c>
      <x:c r="H2679" t="str">
        <x:v>27024</x:v>
      </x:c>
      <x:c r="I2679" t="str">
        <x:v>https://www.smwcentral.net/?a=details&amp;id=27024&amp;p=section</x:v>
      </x:c>
      <x:c r="J2679" t="str">
        <x:v>https://dl.smwcentral.net/27024/Waterworld.zip</x:v>
      </x:c>
    </x:row>
    <x:row r="2680">
      <x:c r="A2680" t="str">
        <x:v>Way of the Tempest</x:v>
      </x:c>
      <x:c r="B2680" t="str">
        <x:v>Way of the Tempest</x:v>
      </x:c>
      <x:c r="C2680" t="str">
        <x:v>gui</x:v>
      </x:c>
      <x:c r="D2680" t="n">
        <x:v>5</x:v>
      </x:c>
      <x:c r="E2680" t="str">
        <x:v>Master</x:v>
      </x:c>
      <x:c r="F2680" t="str">
        <x:v>Kaizo</x:v>
      </x:c>
      <x:c r="G2680" t="n">
        <x:v>45175</x:v>
      </x:c>
      <x:c r="H2680" t="str">
        <x:v>34920</x:v>
      </x:c>
      <x:c r="I2680" t="str">
        <x:v>https://www.smwcentral.net/?a=details&amp;id=34920&amp;p=section</x:v>
      </x:c>
      <x:c r="J2680" t="str">
        <x:v>https://dl.smwcentral.net/34920/tempest1.2.zip</x:v>
      </x:c>
    </x:row>
    <x:row r="2681">
      <x:c r="A2681" t="str">
        <x:v>We all end up here</x:v>
      </x:c>
      <x:c r="B2681" t="str">
        <x:v>We all end up here</x:v>
      </x:c>
      <x:c r="C2681" t="str">
        <x:v>dotCoockie</x:v>
      </x:c>
      <x:c r="D2681" t="n">
        <x:v>21</x:v>
      </x:c>
      <x:c r="E2681" t="str">
        <x:v>Grandmaster</x:v>
      </x:c>
      <x:c r="F2681" t="str">
        <x:v>Kaizo</x:v>
      </x:c>
      <x:c r="G2681" t="n">
        <x:v>45572</x:v>
      </x:c>
      <x:c r="H2681" t="str">
        <x:v>38468</x:v>
      </x:c>
      <x:c r="I2681" t="str">
        <x:v>https://www.smwcentral.net/?a=details&amp;id=38468&amp;p=section</x:v>
      </x:c>
      <x:c r="J2681" t="str">
        <x:v>https://dl.smwcentral.net/38468/kuso.zip</x:v>
      </x:c>
    </x:row>
    <x:row r="2682">
      <x:c r="A2682" t="str">
        <x:v>We Like It Here</x:v>
      </x:c>
      <x:c r="B2682" t="str">
        <x:v>We Like It Here</x:v>
      </x:c>
      <x:c r="C2682" t="str">
        <x:v>Brakkie, Buflen, Donkeymint, JeepySol, NewPointless, Scags, mmmdoggy, revolug</x:v>
      </x:c>
      <x:c r="D2682" t="n">
        <x:v>43</x:v>
      </x:c>
      <x:c r="E2682" t="str">
        <x:v>Expert</x:v>
      </x:c>
      <x:c r="F2682" t="str">
        <x:v>Kaizo</x:v>
      </x:c>
      <x:c r="G2682" t="n">
        <x:v>45449</x:v>
      </x:c>
      <x:c r="H2682" t="str">
        <x:v>37880</x:v>
      </x:c>
      <x:c r="I2682" t="str">
        <x:v>https://www.smwcentral.net/?a=details&amp;id=37880&amp;p=section</x:v>
      </x:c>
      <x:c r="J2682" t="str">
        <x:v>https://dl.smwcentral.net/37880/WeLikeItHere1_1.zip</x:v>
      </x:c>
    </x:row>
    <x:row r="2683">
      <x:c r="A2683" t="str">
        <x:v>We Must Go Steeper</x:v>
      </x:c>
      <x:c r="B2683" t="str">
        <x:v>We Must Go Steeper</x:v>
      </x:c>
      <x:c r="C2683" t="str">
        <x:v>tOaO</x:v>
      </x:c>
      <x:c r="D2683" t="n">
        <x:v>6</x:v>
      </x:c>
      <x:c r="E2683" t="str">
        <x:v>Expert</x:v>
      </x:c>
      <x:c r="F2683" t="str">
        <x:v>Kaizo</x:v>
      </x:c>
      <x:c r="G2683" t="n">
        <x:v>45807</x:v>
      </x:c>
      <x:c r="H2683" t="str">
        <x:v>39891</x:v>
      </x:c>
      <x:c r="I2683" t="str">
        <x:v>https://www.smwcentral.net/?a=details&amp;id=39891&amp;p=section</x:v>
      </x:c>
      <x:c r="J2683" t="str">
        <x:v>https://dl.smwcentral.net/39891/We_Must_Go_Steeper_1.0.zip</x:v>
      </x:c>
    </x:row>
    <x:row r="2684">
      <x:c r="A2684" t="str">
        <x:v>Weather Report</x:v>
      </x:c>
      <x:c r="B2684" t="str">
        <x:v>Weather Report</x:v>
      </x:c>
      <x:c r="C2684" t="str">
        <x:v>gui</x:v>
      </x:c>
      <x:c r="D2684" t="n">
        <x:v>6</x:v>
      </x:c>
      <x:c r="E2684" t="str">
        <x:v>Master</x:v>
      </x:c>
      <x:c r="F2684" t="str">
        <x:v>Kaizo</x:v>
      </x:c>
      <x:c r="G2684" t="n">
        <x:v>45516</x:v>
      </x:c>
      <x:c r="H2684" t="str">
        <x:v>38150</x:v>
      </x:c>
      <x:c r="I2684" t="str">
        <x:v>https://www.smwcentral.net/?a=details&amp;id=38150&amp;p=section</x:v>
      </x:c>
      <x:c r="J2684" t="str">
        <x:v>https://dl.smwcentral.net/38150/WeatherReport.zip</x:v>
      </x:c>
    </x:row>
    <x:row r="2685">
      <x:c r="A2685" t="str">
        <x:v>Weekend</x:v>
      </x:c>
      <x:c r="B2685" t="str">
        <x:v>Weekend</x:v>
      </x:c>
      <x:c r="C2685" t="str">
        <x:v>Overcrow03</x:v>
      </x:c>
      <x:c r="D2685" t="n">
        <x:v>6</x:v>
      </x:c>
      <x:c r="E2685" t="str">
        <x:v>Expert</x:v>
      </x:c>
      <x:c r="F2685" t="str">
        <x:v>Kaizo</x:v>
      </x:c>
      <x:c r="G2685" t="n">
        <x:v>45733</x:v>
      </x:c>
      <x:c r="H2685" t="str">
        <x:v>39553</x:v>
      </x:c>
      <x:c r="I2685" t="str">
        <x:v>https://www.smwcentral.net/?a=details&amp;id=39553&amp;p=section</x:v>
      </x:c>
      <x:c r="J2685" t="str">
        <x:v>https://dl.smwcentral.net/39553/Weekend.zip</x:v>
      </x:c>
    </x:row>
    <x:row r="2686">
      <x:c r="A2686" t="str">
        <x:v>Weekend at Luigi's</x:v>
      </x:c>
      <x:c r="B2686" t="str">
        <x:v>Weekend at Luigi's</x:v>
      </x:c>
      <x:c r="C2686" t="str">
        <x:v>AmazingChest, PinkDad</x:v>
      </x:c>
      <x:c r="D2686" t="n">
        <x:v>26</x:v>
      </x:c>
      <x:c r="E2686" t="str">
        <x:v>Expert</x:v>
      </x:c>
      <x:c r="F2686" t="str">
        <x:v>Kaizo</x:v>
      </x:c>
      <x:c r="G2686" t="n">
        <x:v>44418</x:v>
      </x:c>
      <x:c r="H2686" t="str">
        <x:v>27869</x:v>
      </x:c>
      <x:c r="I2686" t="str">
        <x:v>https://www.smwcentral.net/?a=details&amp;id=27869&amp;p=section</x:v>
      </x:c>
      <x:c r="J2686" t="str">
        <x:v>https://dl.smwcentral.net/27869/weekend-at-luigis-v111%20%281%29.zip</x:v>
      </x:c>
    </x:row>
    <x:row r="2687">
      <x:c r="A2687" t="str">
        <x:v>Wendy's Ten Fights</x:v>
      </x:c>
      <x:c r="B2687" t="str">
        <x:v>Wendy's Ten Fights</x:v>
      </x:c>
      <x:c r="C2687" t="str">
        <x:v>Shuttles</x:v>
      </x:c>
      <x:c r="D2687" t="n">
        <x:v>10</x:v>
      </x:c>
      <x:c r="E2687" t="str">
        <x:v>Intermediate</x:v>
      </x:c>
      <x:c r="F2687" t="str">
        <x:v>Standard</x:v>
      </x:c>
      <x:c r="G2687" t="n">
        <x:v>44252</x:v>
      </x:c>
      <x:c r="H2687" t="str">
        <x:v>26183</x:v>
      </x:c>
      <x:c r="I2687" t="str">
        <x:v>https://www.smwcentral.net/?a=details&amp;id=26183&amp;p=section</x:v>
      </x:c>
      <x:c r="J2687" t="str">
        <x:v>https://dl.smwcentral.net/26183/WTF.zip</x:v>
      </x:c>
    </x:row>
    <x:row r="2688">
      <x:c r="A2688" t="str">
        <x:v>What did Mario do?</x:v>
      </x:c>
      <x:c r="B2688" t="str">
        <x:v>What did Mario do?</x:v>
      </x:c>
      <x:c r="C2688" t="str">
        <x:v>eltiolavara9, woop</x:v>
      </x:c>
      <x:c r="D2688" t="n">
        <x:v>69</x:v>
      </x:c>
      <x:c r="E2688" t="str">
        <x:v>Intermediate</x:v>
      </x:c>
      <x:c r="F2688" t="str">
        <x:v>Standard, Kaizo</x:v>
      </x:c>
      <x:c r="G2688" t="n">
        <x:v>45558</x:v>
      </x:c>
      <x:c r="H2688" t="str">
        <x:v>38285</x:v>
      </x:c>
      <x:c r="I2688" t="str">
        <x:v>https://www.smwcentral.net/?a=details&amp;id=38285&amp;p=section</x:v>
      </x:c>
      <x:c r="J2688" t="str">
        <x:v>https://dl.smwcentral.net/38285/WDMD.zip</x:v>
      </x:c>
    </x:row>
    <x:row r="2689">
      <x:c r="A2689" t="str">
        <x:v>What The Heck 2</x:v>
      </x:c>
      <x:c r="B2689" t="str">
        <x:v>What The Heck 2</x:v>
      </x:c>
      <x:c r="C2689" t="str">
        <x:v>lolyoshi</x:v>
      </x:c>
      <x:c r="D2689" t="n">
        <x:v>9</x:v>
      </x:c>
      <x:c r="E2689" t="str">
        <x:v>Intermediate</x:v>
      </x:c>
      <x:c r="F2689" t="str">
        <x:v>Standard</x:v>
      </x:c>
      <x:c r="G2689" t="n">
        <x:v>41729</x:v>
      </x:c>
      <x:c r="H2689" t="str">
        <x:v>6421</x:v>
      </x:c>
      <x:c r="I2689" t="str">
        <x:v>https://www.smwcentral.net/?a=details&amp;id=6421&amp;p=section</x:v>
      </x:c>
      <x:c r="J2689" t="str">
        <x:v>https://dl.smwcentral.net/6421/WTH2.zip</x:v>
      </x:c>
    </x:row>
    <x:row r="2690">
      <x:c r="A2690" t="str">
        <x:v>What The Shell!</x:v>
      </x:c>
      <x:c r="B2690" t="str">
        <x:v>What The Shell!</x:v>
      </x:c>
      <x:c r="C2690" t="str">
        <x:v>GrenudoGames</x:v>
      </x:c>
      <x:c r="D2690" t="n">
        <x:v>15</x:v>
      </x:c>
      <x:c r="E2690" t="str">
        <x:v>Expert</x:v>
      </x:c>
      <x:c r="F2690" t="str">
        <x:v>Kaizo</x:v>
      </x:c>
      <x:c r="G2690" t="n">
        <x:v>44363</x:v>
      </x:c>
      <x:c r="H2690" t="str">
        <x:v>27263</x:v>
      </x:c>
      <x:c r="I2690" t="str">
        <x:v>https://www.smwcentral.net/?a=details&amp;id=27263&amp;p=section</x:v>
      </x:c>
      <x:c r="J2690" t="str">
        <x:v>https://dl.smwcentral.net/27263/What%20The%20Shell%21.zip</x:v>
      </x:c>
    </x:row>
    <x:row r="2691">
      <x:c r="A2691" t="str">
        <x:v>What the... Hack?</x:v>
      </x:c>
      <x:c r="B2691" t="str">
        <x:v>What the... Hack?</x:v>
      </x:c>
      <x:c r="C2691" t="str">
        <x:v>Hellbourne</x:v>
      </x:c>
      <x:c r="D2691" t="n">
        <x:v>8</x:v>
      </x:c>
      <x:c r="E2691" t="str">
        <x:v>Casual</x:v>
      </x:c>
      <x:c r="F2691" t="str">
        <x:v>Standard</x:v>
      </x:c>
      <x:c r="G2691" t="n">
        <x:v>42266</x:v>
      </x:c>
      <x:c r="H2691" t="str">
        <x:v>10021</x:v>
      </x:c>
      <x:c r="I2691" t="str">
        <x:v>https://www.smwcentral.net/?a=details&amp;id=10021&amp;p=section</x:v>
      </x:c>
      <x:c r="J2691" t="str">
        <x:v>https://dl.smwcentral.net/10021/What%20the...%20Hack.zip</x:v>
      </x:c>
    </x:row>
    <x:row r="2692">
      <x:c r="A2692" t="str">
        <x:v>What's Thanksgiving Without Turkey?</x:v>
      </x:c>
      <x:c r="B2692" t="str">
        <x:v>What's Thanksgiving Without Turkey?</x:v>
      </x:c>
      <x:c r="C2692" t="str">
        <x:v>OmegaLuigi</x:v>
      </x:c>
      <x:c r="D2692" t="n">
        <x:v>2</x:v>
      </x:c>
      <x:c r="E2692" t="str">
        <x:v>Newcomer</x:v>
      </x:c>
      <x:c r="F2692" t="str">
        <x:v>Standard</x:v>
      </x:c>
      <x:c r="G2692" t="n">
        <x:v>43871</x:v>
      </x:c>
      <x:c r="H2692" t="str">
        <x:v>22073</x:v>
      </x:c>
      <x:c r="I2692" t="str">
        <x:v>https://www.smwcentral.net/?a=details&amp;id=22073&amp;p=section</x:v>
      </x:c>
      <x:c r="J2692" t="str">
        <x:v>https://dl.smwcentral.net/22073/Whats%20Thanksgiving%20Without%20Turkey%20%28Music%20Fixed%29.zip</x:v>
      </x:c>
    </x:row>
    <x:row r="2693">
      <x:c r="A2693" t="str">
        <x:v>What's The Name of This Hack?</x:v>
      </x:c>
      <x:c r="B2693" t="str">
        <x:v>What's The Name of This Hack?</x:v>
      </x:c>
      <x:c r="C2693" t="str">
        <x:v>dtothefourth</x:v>
      </x:c>
      <x:c r="D2693" t="n">
        <x:v>1</x:v>
      </x:c>
      <x:c r="E2693" t="str">
        <x:v>Intermediate</x:v>
      </x:c>
      <x:c r="F2693" t="str">
        <x:v>Standard, Kaizo</x:v>
      </x:c>
      <x:c r="G2693" t="n">
        <x:v>43688</x:v>
      </x:c>
      <x:c r="H2693" t="str">
        <x:v>20891</x:v>
      </x:c>
      <x:c r="I2693" t="str">
        <x:v>https://www.smwcentral.net/?a=details&amp;id=20891&amp;p=section</x:v>
      </x:c>
      <x:c r="J2693" t="str">
        <x:v>https://dl.smwcentral.net/20891/Whats_The_Name_Of_This_Hack_v1_7.zip</x:v>
      </x:c>
    </x:row>
    <x:row r="2694">
      <x:c r="A2694" t="str">
        <x:v>Where the universe breaks</x:v>
      </x:c>
      <x:c r="B2694" t="str">
        <x:v>Where the universe breaks</x:v>
      </x:c>
      <x:c r="C2694" t="str">
        <x:v>dotCoockie</x:v>
      </x:c>
      <x:c r="D2694" t="n">
        <x:v>6</x:v>
      </x:c>
      <x:c r="E2694" t="str">
        <x:v>Grandmaster</x:v>
      </x:c>
      <x:c r="F2694" t="str">
        <x:v>Kaizo</x:v>
      </x:c>
      <x:c r="G2694" t="n">
        <x:v>45394</x:v>
      </x:c>
      <x:c r="H2694" t="str">
        <x:v>37046</x:v>
      </x:c>
      <x:c r="I2694" t="str">
        <x:v>https://www.smwcentral.net/?a=details&amp;id=37046&amp;p=section</x:v>
      </x:c>
      <x:c r="J2694" t="str">
        <x:v>https://dl.smwcentral.net/37046/Edge.zip</x:v>
      </x:c>
    </x:row>
    <x:row r="2695">
      <x:c r="A2695" t="str">
        <x:v>White Men Can´t Toss</x:v>
      </x:c>
      <x:c r="B2695" t="str">
        <x:v>White Men Can´t Toss</x:v>
      </x:c>
      <x:c r="C2695" t="str">
        <x:v>uriel2k3</x:v>
      </x:c>
      <x:c r="D2695" t="n">
        <x:v>9</x:v>
      </x:c>
      <x:c r="E2695" t="str">
        <x:v>Grandmaster</x:v>
      </x:c>
      <x:c r="F2695" t="str">
        <x:v>Kaizo</x:v>
      </x:c>
      <x:c r="G2695" t="n">
        <x:v>46207</x:v>
      </x:c>
      <x:c r="H2695" t="str">
        <x:v>42624</x:v>
      </x:c>
      <x:c r="I2695" t="str">
        <x:v>https://www.smwcentral.net/?a=details&amp;id=42624&amp;p=section</x:v>
      </x:c>
      <x:c r="J2695" t="str">
        <x:v>https://dl.smwcentral.net/42624/WhiteMenCantToss.zip</x:v>
      </x:c>
    </x:row>
    <x:row r="2696">
      <x:c r="A2696" t="str">
        <x:v>Why Do Coins Float?</x:v>
      </x:c>
      <x:c r="B2696" t="str">
        <x:v>Why Do Coins Float?</x:v>
      </x:c>
      <x:c r="C2696" t="str">
        <x:v>FalseCircus</x:v>
      </x:c>
      <x:c r="D2696" t="n">
        <x:v>12</x:v>
      </x:c>
      <x:c r="E2696" t="str">
        <x:v>Master</x:v>
      </x:c>
      <x:c r="F2696" t="str">
        <x:v>Kaizo</x:v>
      </x:c>
      <x:c r="G2696" t="n">
        <x:v>44609</x:v>
      </x:c>
      <x:c r="H2696" t="str">
        <x:v>28807</x:v>
      </x:c>
      <x:c r="I2696" t="str">
        <x:v>https://www.smwcentral.net/?a=details&amp;id=28807&amp;p=section</x:v>
      </x:c>
      <x:c r="J2696" t="str">
        <x:v>https://dl.smwcentral.net/28807/Why%20Do%20Coins%20Float.zip</x:v>
      </x:c>
    </x:row>
    <x:row r="2697">
      <x:c r="A2697" t="str">
        <x:v>Windows Mario World</x:v>
      </x:c>
      <x:c r="B2697" t="str">
        <x:v>Windows Mario World</x:v>
      </x:c>
      <x:c r="C2697" t="str">
        <x:v>BetaMaster64</x:v>
      </x:c>
      <x:c r="D2697" t="n">
        <x:v>13</x:v>
      </x:c>
      <x:c r="E2697" t="str">
        <x:v>Casual</x:v>
      </x:c>
      <x:c r="F2697" t="str">
        <x:v>Standard</x:v>
      </x:c>
      <x:c r="G2697" t="n">
        <x:v>42013</x:v>
      </x:c>
      <x:c r="H2697" t="str">
        <x:v>10412</x:v>
      </x:c>
      <x:c r="I2697" t="str">
        <x:v>https://www.smwcentral.net/?a=details&amp;id=10412&amp;p=section</x:v>
      </x:c>
      <x:c r="J2697" t="str">
        <x:v>https://dl.smwcentral.net/10412/WMW.zip</x:v>
      </x:c>
    </x:row>
    <x:row r="2698">
      <x:c r="A2698" t="str">
        <x:v>Winter Season</x:v>
      </x:c>
      <x:c r="B2698" t="str">
        <x:v>Winter Season</x:v>
      </x:c>
      <x:c r="C2698" t="str">
        <x:v>RussianMan</x:v>
      </x:c>
      <x:c r="D2698" t="n">
        <x:v>11</x:v>
      </x:c>
      <x:c r="E2698" t="str">
        <x:v>Intermediate</x:v>
      </x:c>
      <x:c r="F2698" t="str">
        <x:v>Standard</x:v>
      </x:c>
      <x:c r="G2698" t="n">
        <x:v>42799</x:v>
      </x:c>
      <x:c r="H2698" t="str">
        <x:v>15265</x:v>
      </x:c>
      <x:c r="I2698" t="str">
        <x:v>https://www.smwcentral.net/?a=details&amp;id=15265&amp;p=section</x:v>
      </x:c>
      <x:c r="J2698" t="str">
        <x:v>https://dl.smwcentral.net/15265/Winter%20season.zip</x:v>
      </x:c>
    </x:row>
    <x:row r="2699">
      <x:c r="A2699" t="str">
        <x:v>Winter Season 2</x:v>
      </x:c>
      <x:c r="B2699" t="str">
        <x:v>Winter Season 2</x:v>
      </x:c>
      <x:c r="C2699" t="str">
        <x:v>RussianMan</x:v>
      </x:c>
      <x:c r="D2699" t="n">
        <x:v>6</x:v>
      </x:c>
      <x:c r="E2699" t="str">
        <x:v>Advanced</x:v>
      </x:c>
      <x:c r="F2699" t="str">
        <x:v>Standard</x:v>
      </x:c>
      <x:c r="G2699" t="n">
        <x:v>44990</x:v>
      </x:c>
      <x:c r="H2699" t="str">
        <x:v>33326</x:v>
      </x:c>
      <x:c r="I2699" t="str">
        <x:v>https://www.smwcentral.net/?a=details&amp;id=33326&amp;p=section</x:v>
      </x:c>
      <x:c r="J2699" t="str">
        <x:v>https://dl.smwcentral.net/33326/WinterSeason2.zip</x:v>
      </x:c>
    </x:row>
    <x:row r="2700">
      <x:c r="A2700" t="str">
        <x:v>Woji World</x:v>
      </x:c>
      <x:c r="B2700" t="str">
        <x:v>Woji World</x:v>
      </x:c>
      <x:c r="C2700" t="str">
        <x:v>MarkAlarm</x:v>
      </x:c>
      <x:c r="D2700" t="n">
        <x:v>20</x:v>
      </x:c>
      <x:c r="E2700" t="str">
        <x:v>Advanced</x:v>
      </x:c>
      <x:c r="F2700" t="str">
        <x:v>Kaizo</x:v>
      </x:c>
      <x:c r="G2700" t="n">
        <x:v>43140</x:v>
      </x:c>
      <x:c r="H2700" t="str">
        <x:v>16890</x:v>
      </x:c>
      <x:c r="I2700" t="str">
        <x:v>https://www.smwcentral.net/?a=details&amp;id=16890&amp;p=section</x:v>
      </x:c>
      <x:c r="J2700" t="str">
        <x:v>https://dl.smwcentral.net/16890/Woji%20World%20v1.3.zip</x:v>
      </x:c>
    </x:row>
    <x:row r="2701">
      <x:c r="A2701" t="str">
        <x:v>Wonders of Kaizo!</x:v>
      </x:c>
      <x:c r="B2701" t="str">
        <x:v>Wonders of Kaizo!</x:v>
      </x:c>
      <x:c r="C2701" t="str">
        <x:v>Vanessa</x:v>
      </x:c>
      <x:c r="D2701" t="n">
        <x:v>18</x:v>
      </x:c>
      <x:c r="E2701" t="str">
        <x:v>Expert</x:v>
      </x:c>
      <x:c r="F2701" t="str">
        <x:v>Kaizo, Tool-Assisted</x:v>
      </x:c>
      <x:c r="G2701" t="n">
        <x:v>44545</x:v>
      </x:c>
      <x:c r="H2701" t="str">
        <x:v>28323</x:v>
      </x:c>
      <x:c r="I2701" t="str">
        <x:v>https://www.smwcentral.net/?a=details&amp;id=28323&amp;p=section</x:v>
      </x:c>
      <x:c r="J2701" t="str">
        <x:v>https://dl.smwcentral.net/28323/Wonders%20of%20Kaizo%21%21.zip</x:v>
      </x:c>
    </x:row>
    <x:row r="2702">
      <x:c r="A2702" t="str">
        <x:v>Worl's World</x:v>
      </x:c>
      <x:c r="B2702" t="str">
        <x:v>Worl's World</x:v>
      </x:c>
      <x:c r="C2702" t="str">
        <x:v>Worl</x:v>
      </x:c>
      <x:c r="D2702" t="n">
        <x:v>10</x:v>
      </x:c>
      <x:c r="E2702" t="str">
        <x:v>Expert</x:v>
      </x:c>
      <x:c r="F2702" t="str">
        <x:v>Kaizo</x:v>
      </x:c>
      <x:c r="G2702" t="n">
        <x:v>44070</x:v>
      </x:c>
      <x:c r="H2702" t="str">
        <x:v>24118</x:v>
      </x:c>
      <x:c r="I2702" t="str">
        <x:v>https://www.smwcentral.net/?a=details&amp;id=24118&amp;p=section</x:v>
      </x:c>
      <x:c r="J2702" t="str">
        <x:v>https://dl.smwcentral.net/24118/Worls%20World%201.3.zip</x:v>
      </x:c>
    </x:row>
    <x:row r="2703">
      <x:c r="A2703" t="str">
        <x:v>Worl's World 2: The Rebellion</x:v>
      </x:c>
      <x:c r="B2703" t="str">
        <x:v>Worl's World 2: The Rebellion</x:v>
      </x:c>
      <x:c r="C2703" t="str">
        <x:v>Worl</x:v>
      </x:c>
      <x:c r="D2703" t="n">
        <x:v>24</x:v>
      </x:c>
      <x:c r="E2703" t="str">
        <x:v>Advanced</x:v>
      </x:c>
      <x:c r="F2703" t="str">
        <x:v>Kaizo</x:v>
      </x:c>
      <x:c r="G2703" t="n">
        <x:v>44275</x:v>
      </x:c>
      <x:c r="H2703" t="str">
        <x:v>26447</x:v>
      </x:c>
      <x:c r="I2703" t="str">
        <x:v>https://www.smwcentral.net/?a=details&amp;id=26447&amp;p=section</x:v>
      </x:c>
      <x:c r="J2703" t="str">
        <x:v>https://dl.smwcentral.net/26447/Worls%20World%202%20v1.1.zip</x:v>
      </x:c>
    </x:row>
    <x:row r="2704">
      <x:c r="A2704" t="str">
        <x:v>World Of Illusion</x:v>
      </x:c>
      <x:c r="B2704" t="str">
        <x:v>World Of Illusion</x:v>
      </x:c>
      <x:c r="C2704" t="str">
        <x:v>Azure</x:v>
      </x:c>
      <x:c r="D2704" t="n">
        <x:v>34</x:v>
      </x:c>
      <x:c r="E2704" t="str">
        <x:v>Advanced</x:v>
      </x:c>
      <x:c r="F2704" t="str">
        <x:v>Standard</x:v>
      </x:c>
      <x:c r="G2704" t="n">
        <x:v>41445</x:v>
      </x:c>
      <x:c r="H2704" t="str">
        <x:v>4980</x:v>
      </x:c>
      <x:c r="I2704" t="str">
        <x:v>https://www.smwcentral.net/?a=details&amp;id=4980&amp;p=section</x:v>
      </x:c>
      <x:c r="J2704" t="str">
        <x:v>https://dl.smwcentral.net/4980/World%20of%20Illusion.zip</x:v>
      </x:c>
    </x:row>
    <x:row r="2705">
      <x:c r="A2705" t="str">
        <x:v>World of Jumps</x:v>
      </x:c>
      <x:c r="B2705" t="str">
        <x:v>World of Jumps</x:v>
      </x:c>
      <x:c r="C2705" t="str">
        <x:v>Maltz</x:v>
      </x:c>
      <x:c r="D2705" t="n">
        <x:v>29</x:v>
      </x:c>
      <x:c r="E2705" t="str">
        <x:v>Expert</x:v>
      </x:c>
      <x:c r="F2705" t="str">
        <x:v>Kaizo</x:v>
      </x:c>
      <x:c r="G2705" t="n">
        <x:v>46030</x:v>
      </x:c>
      <x:c r="H2705" t="str">
        <x:v>41374</x:v>
      </x:c>
      <x:c r="I2705" t="str">
        <x:v>https://www.smwcentral.net/?a=details&amp;id=41374&amp;p=section</x:v>
      </x:c>
      <x:c r="J2705" t="str">
        <x:v>https://dl.smwcentral.net/41374/WorldOfJumps.zip</x:v>
      </x:c>
    </x:row>
    <x:row r="2706">
      <x:c r="A2706" t="str">
        <x:v>World of Shells</x:v>
      </x:c>
      <x:c r="B2706" t="str">
        <x:v>World of Shells</x:v>
      </x:c>
      <x:c r="C2706" t="str">
        <x:v>Riu_69</x:v>
      </x:c>
      <x:c r="D2706" t="n">
        <x:v>11</x:v>
      </x:c>
      <x:c r="E2706" t="str">
        <x:v>Master</x:v>
      </x:c>
      <x:c r="F2706" t="str">
        <x:v>Kaizo</x:v>
      </x:c>
      <x:c r="G2706" t="n">
        <x:v>44929</x:v>
      </x:c>
      <x:c r="H2706" t="str">
        <x:v>32844</x:v>
      </x:c>
      <x:c r="I2706" t="str">
        <x:v>https://www.smwcentral.net/?a=details&amp;id=32844&amp;p=section</x:v>
      </x:c>
      <x:c r="J2706" t="str">
        <x:v>https://dl.smwcentral.net/32844/World%20of%20Shells%20V%201.4.zip</x:v>
      </x:c>
    </x:row>
    <x:row r="2707">
      <x:c r="A2707" t="str">
        <x:v>World's Hardest Hack</x:v>
      </x:c>
      <x:c r="B2707" t="str">
        <x:v>World's Hardest Hack</x:v>
      </x:c>
      <x:c r="C2707" t="str">
        <x:v>Sweetdude</x:v>
      </x:c>
      <x:c r="D2707" t="n">
        <x:v>0</x:v>
      </x:c>
      <x:c r="E2707" t="str">
        <x:v>Advanced</x:v>
      </x:c>
      <x:c r="F2707" t="str">
        <x:v>Kaizo</x:v>
      </x:c>
      <x:c r="G2707" t="n">
        <x:v>44943</x:v>
      </x:c>
      <x:c r="H2707" t="str">
        <x:v>32940</x:v>
      </x:c>
      <x:c r="I2707" t="str">
        <x:v>https://www.smwcentral.net/?a=details&amp;id=32940&amp;p=section</x:v>
      </x:c>
      <x:c r="J2707" t="str">
        <x:v>https://dl.smwcentral.net/32940/CoolMathHacks.zip</x:v>
      </x:c>
    </x:row>
    <x:row r="2708">
      <x:c r="A2708" t="str">
        <x:v>worm</x:v>
      </x:c>
      <x:c r="B2708" t="str">
        <x:v>worm</x:v>
      </x:c>
      <x:c r="C2708" t="str">
        <x:v>PopCorn181</x:v>
      </x:c>
      <x:c r="D2708" t="n">
        <x:v>4</x:v>
      </x:c>
      <x:c r="E2708" t="str">
        <x:v>Intermediate</x:v>
      </x:c>
      <x:c r="F2708" t="str">
        <x:v>Kaizo</x:v>
      </x:c>
      <x:c r="G2708" t="n">
        <x:v>45802</x:v>
      </x:c>
      <x:c r="H2708" t="str">
        <x:v>39888</x:v>
      </x:c>
      <x:c r="I2708" t="str">
        <x:v>https://www.smwcentral.net/?a=details&amp;id=39888&amp;p=section</x:v>
      </x:c>
      <x:c r="J2708" t="str">
        <x:v>https://dl.smwcentral.net/39888/worm.zip</x:v>
      </x:c>
    </x:row>
    <x:row r="2709">
      <x:c r="A2709" t="str">
        <x:v>Wrath of Bowser</x:v>
      </x:c>
      <x:c r="B2709" t="str">
        <x:v>Wrath of Bowser</x:v>
      </x:c>
      <x:c r="C2709" t="str">
        <x:v>Tubbaluvin</x:v>
      </x:c>
      <x:c r="D2709" t="n">
        <x:v>10</x:v>
      </x:c>
      <x:c r="E2709" t="str">
        <x:v>Master</x:v>
      </x:c>
      <x:c r="F2709" t="str">
        <x:v>Kaizo</x:v>
      </x:c>
      <x:c r="G2709" t="n">
        <x:v>43860</x:v>
      </x:c>
      <x:c r="H2709" t="str">
        <x:v>22025</x:v>
      </x:c>
      <x:c r="I2709" t="str">
        <x:v>https://www.smwcentral.net/?a=details&amp;id=22025&amp;p=section</x:v>
      </x:c>
      <x:c r="J2709" t="str">
        <x:v>https://dl.smwcentral.net/22025/WrathOfBowserV1_1.zip</x:v>
      </x:c>
    </x:row>
    <x:row r="2710">
      <x:c r="A2710" t="str">
        <x:v>Wrecking Crew '98</x:v>
      </x:c>
      <x:c r="B2710" t="str">
        <x:v>Wrecking Crew '98</x:v>
      </x:c>
      <x:c r="C2710" t="str">
        <x:v>Big Brawler</x:v>
      </x:c>
      <x:c r="D2710" t="n">
        <x:v>18</x:v>
      </x:c>
      <x:c r="E2710" t="str">
        <x:v>Intermediate</x:v>
      </x:c>
      <x:c r="F2710" t="str">
        <x:v>Standard</x:v>
      </x:c>
      <x:c r="G2710" t="n">
        <x:v>42523</x:v>
      </x:c>
      <x:c r="H2710" t="str">
        <x:v>13765</x:v>
      </x:c>
      <x:c r="I2710" t="str">
        <x:v>https://www.smwcentral.net/?a=details&amp;id=13765&amp;p=section</x:v>
      </x:c>
      <x:c r="J2710" t="str">
        <x:v>https://dl.smwcentral.net/13765/Wrecking%20Crew%20%2798%20v1.3.zip</x:v>
      </x:c>
    </x:row>
    <x:row r="2711">
      <x:c r="A2711" t="str">
        <x:v>X-Drive</x:v>
      </x:c>
      <x:c r="B2711" t="str">
        <x:v>X-Drive</x:v>
      </x:c>
      <x:c r="C2711" t="str">
        <x:v>Aurel509, Kourauh, MrJ'lien</x:v>
      </x:c>
      <x:c r="D2711" t="n">
        <x:v>67</x:v>
      </x:c>
      <x:c r="E2711" t="str">
        <x:v>Advanced</x:v>
      </x:c>
      <x:c r="F2711" t="str">
        <x:v>Standard</x:v>
      </x:c>
      <x:c r="G2711" t="n">
        <x:v>45039</x:v>
      </x:c>
      <x:c r="H2711" t="str">
        <x:v>33559</x:v>
      </x:c>
      <x:c r="I2711" t="str">
        <x:v>https://www.smwcentral.net/?a=details&amp;id=33559&amp;p=section</x:v>
      </x:c>
      <x:c r="J2711" t="str">
        <x:v>https://dl.smwcentral.net/33559/XDrive%20-%20v1.0.2.zip</x:v>
      </x:c>
    </x:row>
    <x:row r="2712">
      <x:c r="A2712" t="str">
        <x:v>Xka Shack</x:v>
      </x:c>
      <x:c r="B2712" t="str">
        <x:v>Xka Shack</x:v>
      </x:c>
      <x:c r="C2712" t="str">
        <x:v>Smallhacker, smkdan</x:v>
      </x:c>
      <x:c r="D2712" t="n">
        <x:v>4</x:v>
      </x:c>
      <x:c r="E2712" t="str">
        <x:v>Casual</x:v>
      </x:c>
      <x:c r="F2712" t="str">
        <x:v>Standard</x:v>
      </x:c>
      <x:c r="G2712" t="n">
        <x:v>43221</x:v>
      </x:c>
      <x:c r="H2712" t="str">
        <x:v>17482</x:v>
      </x:c>
      <x:c r="I2712" t="str">
        <x:v>https://www.smwcentral.net/?a=details&amp;id=17482&amp;p=section</x:v>
      </x:c>
      <x:c r="J2712" t="str">
        <x:v>https://dl.smwcentral.net/17482/xka_shack.zip</x:v>
      </x:c>
    </x:row>
    <x:row r="2713">
      <x:c r="A2713" t="str">
        <x:v>Xulaph Kaizo World</x:v>
      </x:c>
      <x:c r="B2713" t="str">
        <x:v>Xulaph Kaizo World</x:v>
      </x:c>
      <x:c r="C2713" t="str">
        <x:v>TheMURAmatsu</x:v>
      </x:c>
      <x:c r="D2713" t="n">
        <x:v>14</x:v>
      </x:c>
      <x:c r="E2713" t="str">
        <x:v>Expert</x:v>
      </x:c>
      <x:c r="F2713" t="str">
        <x:v>Kaizo</x:v>
      </x:c>
      <x:c r="G2713" t="n">
        <x:v>43922</x:v>
      </x:c>
      <x:c r="H2713" t="str">
        <x:v>22346</x:v>
      </x:c>
      <x:c r="I2713" t="str">
        <x:v>https://www.smwcentral.net/?a=details&amp;id=22346&amp;p=section</x:v>
      </x:c>
      <x:c r="J2713" t="str">
        <x:v>https://dl.smwcentral.net/22346/Xulaph_Kaizo_World.zip</x:v>
      </x:c>
    </x:row>
    <x:row r="2714">
      <x:c r="A2714" t="str">
        <x:v>Yahoo!!</x:v>
      </x:c>
      <x:c r="B2714" t="str">
        <x:v>Yahoo!!</x:v>
      </x:c>
      <x:c r="C2714" t="str">
        <x:v>Mousejuggler</x:v>
      </x:c>
      <x:c r="D2714" t="n">
        <x:v>2</x:v>
      </x:c>
      <x:c r="E2714" t="str">
        <x:v>Advanced</x:v>
      </x:c>
      <x:c r="F2714" t="str">
        <x:v>Standard, Kaizo</x:v>
      </x:c>
      <x:c r="G2714" t="n">
        <x:v>45765</x:v>
      </x:c>
      <x:c r="H2714" t="str">
        <x:v>39510</x:v>
      </x:c>
      <x:c r="I2714" t="str">
        <x:v>https://www.smwcentral.net/?a=details&amp;id=39510&amp;p=section</x:v>
      </x:c>
      <x:c r="J2714" t="str">
        <x:v>https://dl.smwcentral.net/39510/Yahoo%21%21.zip</x:v>
      </x:c>
    </x:row>
    <x:row r="2715">
      <x:c r="A2715" t="str">
        <x:v>Yank 2</x:v>
      </x:c>
      <x:c r="B2715" t="str">
        <x:v>Yank 2</x:v>
      </x:c>
      <x:c r="C2715" t="str">
        <x:v>placeholdertest</x:v>
      </x:c>
      <x:c r="D2715" t="n">
        <x:v>12</x:v>
      </x:c>
      <x:c r="E2715" t="str">
        <x:v>Advanced</x:v>
      </x:c>
      <x:c r="F2715" t="str">
        <x:v>Kaizo</x:v>
      </x:c>
      <x:c r="G2715" t="n">
        <x:v>44318</x:v>
      </x:c>
      <x:c r="H2715" t="str">
        <x:v>26899</x:v>
      </x:c>
      <x:c r="I2715" t="str">
        <x:v>https://www.smwcentral.net/?a=details&amp;id=26899&amp;p=section</x:v>
      </x:c>
      <x:c r="J2715" t="str">
        <x:v>https://dl.smwcentral.net/26899/Yank%202.zip</x:v>
      </x:c>
    </x:row>
    <x:row r="2716">
      <x:c r="A2716" t="str">
        <x:v>Yet Another SMW Hack</x:v>
      </x:c>
      <x:c r="B2716" t="str">
        <x:v>Yet Another SMW Hack</x:v>
      </x:c>
      <x:c r="C2716" t="str">
        <x:v>JP32</x:v>
      </x:c>
      <x:c r="D2716" t="n">
        <x:v>33</x:v>
      </x:c>
      <x:c r="E2716" t="str">
        <x:v>Intermediate</x:v>
      </x:c>
      <x:c r="F2716" t="str">
        <x:v>Standard</x:v>
      </x:c>
      <x:c r="G2716" t="n">
        <x:v>42946</x:v>
      </x:c>
      <x:c r="H2716" t="str">
        <x:v>15893</x:v>
      </x:c>
      <x:c r="I2716" t="str">
        <x:v>https://www.smwcentral.net/?a=details&amp;id=15893&amp;p=section</x:v>
      </x:c>
      <x:c r="J2716" t="str">
        <x:v>https://dl.smwcentral.net/15893/YASH%20F1.0.zip</x:v>
      </x:c>
    </x:row>
    <x:row r="2717">
      <x:c r="A2717" t="str">
        <x:v>Yet Another Super Mario Adventure</x:v>
      </x:c>
      <x:c r="B2717" t="str">
        <x:v>Yet Another Super Mario Adventure</x:v>
      </x:c>
      <x:c r="C2717" t="str">
        <x:v>Anonymous</x:v>
      </x:c>
      <x:c r="D2717" t="n">
        <x:v>10</x:v>
      </x:c>
      <x:c r="E2717" t="str">
        <x:v>Intermediate</x:v>
      </x:c>
      <x:c r="F2717" t="str">
        <x:v>Standard</x:v>
      </x:c>
      <x:c r="G2717" t="n">
        <x:v>44153</x:v>
      </x:c>
      <x:c r="H2717" t="str">
        <x:v>25198</x:v>
      </x:c>
      <x:c r="I2717" t="str">
        <x:v>https://www.smwcentral.net/?a=details&amp;id=25198&amp;p=section</x:v>
      </x:c>
      <x:c r="J2717" t="str">
        <x:v>https://dl.smwcentral.net/25198/Yet%20Another%20Super%20Mario%20Adventure%20Demo.zip</x:v>
      </x:c>
    </x:row>
    <x:row r="2718">
      <x:c r="A2718" t="str">
        <x:v>YF10CBTTHNTDWTL</x:v>
      </x:c>
      <x:c r="B2718" t="str">
        <x:v>YF10CBTTHNTDWTL</x:v>
      </x:c>
      <x:c r="C2718" t="str">
        <x:v>Shizufuzu</x:v>
      </x:c>
      <x:c r="D2718" t="n">
        <x:v>1</x:v>
      </x:c>
      <x:c r="E2718" t="str">
        <x:v>Intermediate</x:v>
      </x:c>
      <x:c r="F2718" t="str">
        <x:v>Standard</x:v>
      </x:c>
      <x:c r="G2718" t="n">
        <x:v>42209</x:v>
      </x:c>
      <x:c r="H2718" t="str">
        <x:v>11769</x:v>
      </x:c>
      <x:c r="I2718" t="str">
        <x:v>https://www.smwcentral.net/?a=details&amp;id=11769&amp;p=section</x:v>
      </x:c>
      <x:c r="J2718" t="str">
        <x:v>https://dl.smwcentral.net/11769/YF10CBTTHNTDWTL.zip</x:v>
      </x:c>
    </x:row>
    <x:row r="2719">
      <x:c r="A2719" t="str">
        <x:v>Yikes Kaizo World</x:v>
      </x:c>
      <x:c r="B2719" t="str">
        <x:v>Yikes Kaizo World</x:v>
      </x:c>
      <x:c r="C2719" t="str">
        <x:v>jquery861</x:v>
      </x:c>
      <x:c r="D2719" t="n">
        <x:v>15</x:v>
      </x:c>
      <x:c r="E2719" t="str">
        <x:v>Expert</x:v>
      </x:c>
      <x:c r="F2719" t="str">
        <x:v>Kaizo</x:v>
      </x:c>
      <x:c r="G2719" t="n">
        <x:v>44504</x:v>
      </x:c>
      <x:c r="H2719" t="str">
        <x:v>28710</x:v>
      </x:c>
      <x:c r="I2719" t="str">
        <x:v>https://www.smwcentral.net/?a=details&amp;id=28710&amp;p=section</x:v>
      </x:c>
      <x:c r="J2719" t="str">
        <x:v>https://dl.smwcentral.net/28710/YikesKaizoWorld_v1.0.zip</x:v>
      </x:c>
    </x:row>
    <x:row r="2720">
      <x:c r="A2720" t="str">
        <x:v>YNT MARIO</x:v>
      </x:c>
      <x:c r="B2720" t="str">
        <x:v>YNT MARIO</x:v>
      </x:c>
      <x:c r="C2720" t="str">
        <x:v>YNT, astm</x:v>
      </x:c>
      <x:c r="D2720" t="n">
        <x:v>113</x:v>
      </x:c>
      <x:c r="E2720" t="str">
        <x:v>Expert</x:v>
      </x:c>
      <x:c r="F2720" t="str">
        <x:v>Standard</x:v>
      </x:c>
      <x:c r="G2720" t="n">
        <x:v>46201</x:v>
      </x:c>
      <x:c r="H2720" t="str">
        <x:v>42427</x:v>
      </x:c>
      <x:c r="I2720" t="str">
        <x:v>https://www.smwcentral.net/?a=details&amp;id=42427&amp;p=section</x:v>
      </x:c>
      <x:c r="J2720" t="str">
        <x:v>https://dl.smwcentral.net/42427/ynt_mario_en_v1.0.6.zip</x:v>
      </x:c>
    </x:row>
    <x:row r="2721">
      <x:c r="A2721" t="str">
        <x:v>Yo mama is fat</x:v>
      </x:c>
      <x:c r="B2721" t="str">
        <x:v>Yo mama is fat</x:v>
      </x:c>
      <x:c r="C2721" t="str">
        <x:v>Aguni_</x:v>
      </x:c>
      <x:c r="D2721" t="n">
        <x:v>11</x:v>
      </x:c>
      <x:c r="E2721" t="str">
        <x:v>Intermediate</x:v>
      </x:c>
      <x:c r="F2721" t="str">
        <x:v>Standard</x:v>
      </x:c>
      <x:c r="G2721" t="n">
        <x:v>43272</x:v>
      </x:c>
      <x:c r="H2721" t="str">
        <x:v>17614</x:v>
      </x:c>
      <x:c r="I2721" t="str">
        <x:v>https://www.smwcentral.net/?a=details&amp;id=17614&amp;p=section</x:v>
      </x:c>
      <x:c r="J2721" t="str">
        <x:v>https://dl.smwcentral.net/17614/Yo%20mama%20is%20fat.zip</x:v>
      </x:c>
    </x:row>
    <x:row r="2722">
      <x:c r="A2722" t="str">
        <x:v>YoHo</x:v>
      </x:c>
      <x:c r="B2722" t="str">
        <x:v>YoHo</x:v>
      </x:c>
      <x:c r="C2722" t="str">
        <x:v>neidoodle</x:v>
      </x:c>
      <x:c r="D2722" t="n">
        <x:v>4</x:v>
      </x:c>
      <x:c r="E2722" t="str">
        <x:v>Master</x:v>
      </x:c>
      <x:c r="F2722" t="str">
        <x:v>Kaizo</x:v>
      </x:c>
      <x:c r="G2722" t="n">
        <x:v>44284</x:v>
      </x:c>
      <x:c r="H2722" t="str">
        <x:v>26473</x:v>
      </x:c>
      <x:c r="I2722" t="str">
        <x:v>https://www.smwcentral.net/?a=details&amp;id=26473&amp;p=section</x:v>
      </x:c>
      <x:c r="J2722" t="str">
        <x:v>https://dl.smwcentral.net/26473/YoHo1.4.zip</x:v>
      </x:c>
    </x:row>
    <x:row r="2723">
      <x:c r="A2723" t="str">
        <x:v>YoHo Adventure</x:v>
      </x:c>
      <x:c r="B2723" t="str">
        <x:v>YoHo Adventure</x:v>
      </x:c>
      <x:c r="C2723" t="str">
        <x:v>neidoodle</x:v>
      </x:c>
      <x:c r="D2723" t="n">
        <x:v>7</x:v>
      </x:c>
      <x:c r="E2723" t="str">
        <x:v>Casual</x:v>
      </x:c>
      <x:c r="F2723" t="str">
        <x:v>Standard</x:v>
      </x:c>
      <x:c r="G2723" t="n">
        <x:v>44314</x:v>
      </x:c>
      <x:c r="H2723" t="str">
        <x:v>26657</x:v>
      </x:c>
      <x:c r="I2723" t="str">
        <x:v>https://www.smwcentral.net/?a=details&amp;id=26657&amp;p=section</x:v>
      </x:c>
      <x:c r="J2723" t="str">
        <x:v>https://dl.smwcentral.net/26657/YoHo%20Adventure.zip</x:v>
      </x:c>
    </x:row>
    <x:row r="2724">
      <x:c r="A2724" t="str">
        <x:v>Yoshi Is Missing!</x:v>
      </x:c>
      <x:c r="B2724" t="str">
        <x:v>Yoshi Is Missing!</x:v>
      </x:c>
      <x:c r="C2724" t="str">
        <x:v>S.L</x:v>
      </x:c>
      <x:c r="D2724" t="n">
        <x:v>14</x:v>
      </x:c>
      <x:c r="E2724" t="str">
        <x:v>Newcomer</x:v>
      </x:c>
      <x:c r="F2724" t="str">
        <x:v>Standard</x:v>
      </x:c>
      <x:c r="G2724" t="n">
        <x:v>42210</x:v>
      </x:c>
      <x:c r="H2724" t="str">
        <x:v>9770</x:v>
      </x:c>
      <x:c r="I2724" t="str">
        <x:v>https://www.smwcentral.net/?a=details&amp;id=9770&amp;p=section</x:v>
      </x:c>
      <x:c r="J2724" t="str">
        <x:v>https://dl.smwcentral.net/9770/Yoshi%20is%20missing%20%21.zip</x:v>
      </x:c>
    </x:row>
    <x:row r="2725">
      <x:c r="A2725" t="str">
        <x:v>Yoshi Saves Summer Vacation</x:v>
      </x:c>
      <x:c r="B2725" t="str">
        <x:v>Yoshi Saves Summer Vacation</x:v>
      </x:c>
      <x:c r="C2725" t="str">
        <x:v>El Cuh Fermin</x:v>
      </x:c>
      <x:c r="D2725" t="n">
        <x:v>11</x:v>
      </x:c>
      <x:c r="E2725" t="str">
        <x:v>Casual</x:v>
      </x:c>
      <x:c r="F2725" t="str">
        <x:v>Standard</x:v>
      </x:c>
      <x:c r="G2725" t="n">
        <x:v>45093</x:v>
      </x:c>
      <x:c r="H2725" t="str">
        <x:v>34071</x:v>
      </x:c>
      <x:c r="I2725" t="str">
        <x:v>https://www.smwcentral.net/?a=details&amp;id=34071&amp;p=section</x:v>
      </x:c>
      <x:c r="J2725" t="str">
        <x:v>https://dl.smwcentral.net/34071/Yoshi%20Saves%20Summer%20Vacation.zip</x:v>
      </x:c>
    </x:row>
    <x:row r="2726">
      <x:c r="A2726" t="str">
        <x:v>Yoshi Surfer 5000</x:v>
      </x:c>
      <x:c r="B2726" t="str">
        <x:v>Yoshi Surfer 5000</x:v>
      </x:c>
      <x:c r="C2726" t="str">
        <x:v>VLSkoot</x:v>
      </x:c>
      <x:c r="D2726" t="n">
        <x:v>5</x:v>
      </x:c>
      <x:c r="E2726" t="str">
        <x:v>Expert</x:v>
      </x:c>
      <x:c r="F2726" t="str">
        <x:v>Kaizo</x:v>
      </x:c>
      <x:c r="G2726" t="n">
        <x:v>43588</x:v>
      </x:c>
      <x:c r="H2726" t="str">
        <x:v>19699</x:v>
      </x:c>
      <x:c r="I2726" t="str">
        <x:v>https://www.smwcentral.net/?a=details&amp;id=19699&amp;p=section</x:v>
      </x:c>
      <x:c r="J2726" t="str">
        <x:v>https://dl.smwcentral.net/19699/Yoshi%20Surfer%205000.zip</x:v>
      </x:c>
    </x:row>
    <x:row r="2727">
      <x:c r="A2727" t="str">
        <x:v>Yoshi's Crack House</x:v>
      </x:c>
      <x:c r="B2727" t="str">
        <x:v>Yoshi's Crack House</x:v>
      </x:c>
      <x:c r="C2727" t="str">
        <x:v>MilkyMooer</x:v>
      </x:c>
      <x:c r="D2727" t="n">
        <x:v>12</x:v>
      </x:c>
      <x:c r="E2727" t="str">
        <x:v>Advanced</x:v>
      </x:c>
      <x:c r="F2727" t="str">
        <x:v>Standard</x:v>
      </x:c>
      <x:c r="G2727" t="n">
        <x:v>44586</x:v>
      </x:c>
      <x:c r="H2727" t="str">
        <x:v>29590</x:v>
      </x:c>
      <x:c r="I2727" t="str">
        <x:v>https://www.smwcentral.net/?a=details&amp;id=29590&amp;p=section</x:v>
      </x:c>
      <x:c r="J2727" t="str">
        <x:v>https://dl.smwcentral.net/29590/Yoshis_Crack_House.zip</x:v>
      </x:c>
    </x:row>
    <x:row r="2728">
      <x:c r="A2728" t="str">
        <x:v>Yoshi's Emergency</x:v>
      </x:c>
      <x:c r="B2728" t="str">
        <x:v>Yoshi's Emergency</x:v>
      </x:c>
      <x:c r="C2728" t="str">
        <x:v>Brad172</x:v>
      </x:c>
      <x:c r="D2728" t="n">
        <x:v>21</x:v>
      </x:c>
      <x:c r="E2728" t="str">
        <x:v>Newcomer</x:v>
      </x:c>
      <x:c r="F2728" t="str">
        <x:v>Standard</x:v>
      </x:c>
      <x:c r="G2728" t="n">
        <x:v>42277</x:v>
      </x:c>
      <x:c r="H2728" t="str">
        <x:v>10072</x:v>
      </x:c>
      <x:c r="I2728" t="str">
        <x:v>https://www.smwcentral.net/?a=details&amp;id=10072&amp;p=section</x:v>
      </x:c>
      <x:c r="J2728" t="str">
        <x:v>https://dl.smwcentral.net/10072/Yoshi%27s%20Emergency.zip</x:v>
      </x:c>
    </x:row>
    <x:row r="2729">
      <x:c r="A2729" t="str">
        <x:v>Yoshi's rescue run</x:v>
      </x:c>
      <x:c r="B2729" t="str">
        <x:v>Yoshi's rescue run</x:v>
      </x:c>
      <x:c r="C2729" t="str">
        <x:v>mikeeeeee83</x:v>
      </x:c>
      <x:c r="D2729" t="n">
        <x:v>13</x:v>
      </x:c>
      <x:c r="E2729" t="str">
        <x:v>Advanced</x:v>
      </x:c>
      <x:c r="F2729" t="str">
        <x:v>Kaizo</x:v>
      </x:c>
      <x:c r="G2729" t="n">
        <x:v>45324</x:v>
      </x:c>
      <x:c r="H2729" t="str">
        <x:v>36719</x:v>
      </x:c>
      <x:c r="I2729" t="str">
        <x:v>https://www.smwcentral.net/?a=details&amp;id=36719&amp;p=section</x:v>
      </x:c>
      <x:c r="J2729" t="str">
        <x:v>https://dl.smwcentral.net/36719/Yoshisrescuerun1.2%20%282%29.zip</x:v>
      </x:c>
    </x:row>
    <x:row r="2730">
      <x:c r="A2730" t="str">
        <x:v>Yoshi's Revenge</x:v>
      </x:c>
      <x:c r="B2730" t="str">
        <x:v>Yoshi's Revenge</x:v>
      </x:c>
      <x:c r="C2730" t="str">
        <x:v>Oskise</x:v>
      </x:c>
      <x:c r="D2730" t="n">
        <x:v>46</x:v>
      </x:c>
      <x:c r="E2730" t="str">
        <x:v>Master</x:v>
      </x:c>
      <x:c r="F2730" t="str">
        <x:v>Kaizo</x:v>
      </x:c>
      <x:c r="G2730" t="n">
        <x:v>46198</x:v>
      </x:c>
      <x:c r="H2730" t="str">
        <x:v>42385</x:v>
      </x:c>
      <x:c r="I2730" t="str">
        <x:v>https://www.smwcentral.net/?a=details&amp;id=42385&amp;p=section</x:v>
      </x:c>
      <x:c r="J2730" t="str">
        <x:v>https://dl.smwcentral.net/42385/Yoshi%27s%20Revenge%201.1.1.zip</x:v>
      </x:c>
    </x:row>
    <x:row r="2731">
      <x:c r="A2731" t="str">
        <x:v>Yoshi's Strange Quest</x:v>
      </x:c>
      <x:c r="B2731" t="str">
        <x:v>Yoshi's Strange Quest</x:v>
      </x:c>
      <x:c r="C2731" t="str">
        <x:v>yoshifanatic</x:v>
      </x:c>
      <x:c r="D2731" t="n">
        <x:v>100</x:v>
      </x:c>
      <x:c r="E2731" t="str">
        <x:v>Master</x:v>
      </x:c>
      <x:c r="F2731" t="str">
        <x:v>Standard</x:v>
      </x:c>
      <x:c r="G2731" t="n">
        <x:v>42069</x:v>
      </x:c>
      <x:c r="H2731" t="str">
        <x:v>10302</x:v>
      </x:c>
      <x:c r="I2731" t="str">
        <x:v>https://www.smwcentral.net/?a=details&amp;id=10302&amp;p=section</x:v>
      </x:c>
      <x:c r="J2731" t="str">
        <x:v>https://dl.smwcentral.net/10302/YSQ%20V1.3.zip</x:v>
      </x:c>
    </x:row>
    <x:row r="2732">
      <x:c r="A2732" t="str">
        <x:v>Yoshi: Super Dinosaur</x:v>
      </x:c>
      <x:c r="B2732" t="str">
        <x:v>Yoshi: Super Dinosaur</x:v>
      </x:c>
      <x:c r="C2732" t="str">
        <x:v>Kyouken</x:v>
      </x:c>
      <x:c r="D2732" t="n">
        <x:v>5</x:v>
      </x:c>
      <x:c r="E2732" t="str">
        <x:v>Intermediate</x:v>
      </x:c>
      <x:c r="F2732" t="str">
        <x:v>Standard</x:v>
      </x:c>
      <x:c r="G2732" t="n">
        <x:v>42264</x:v>
      </x:c>
      <x:c r="H2732" t="str">
        <x:v>10029</x:v>
      </x:c>
      <x:c r="I2732" t="str">
        <x:v>https://www.smwcentral.net/?a=details&amp;id=10029&amp;p=section</x:v>
      </x:c>
      <x:c r="J2732" t="str">
        <x:v>https://dl.smwcentral.net/10029/Yoshi%20-%20Super%20Dinosaur.zip</x:v>
      </x:c>
    </x:row>
    <x:row r="2733">
      <x:c r="A2733" t="str">
        <x:v>Yoshiro</x:v>
      </x:c>
      <x:c r="B2733" t="str">
        <x:v>Yoshiro</x:v>
      </x:c>
      <x:c r="C2733" t="str">
        <x:v>Yoshiro</x:v>
      </x:c>
      <x:c r="D2733" t="n">
        <x:v>30</x:v>
      </x:c>
      <x:c r="E2733" t="str">
        <x:v>Casual</x:v>
      </x:c>
      <x:c r="F2733" t="str">
        <x:v>Standard</x:v>
      </x:c>
      <x:c r="G2733" t="n">
        <x:v>42268</x:v>
      </x:c>
      <x:c r="H2733" t="str">
        <x:v>10024</x:v>
      </x:c>
      <x:c r="I2733" t="str">
        <x:v>https://www.smwcentral.net/?a=details&amp;id=10024&amp;p=section</x:v>
      </x:c>
      <x:c r="J2733" t="str">
        <x:v>https://dl.smwcentral.net/10024/Yoshirofullversion1.1.zip</x:v>
      </x:c>
    </x:row>
    <x:row r="2734">
      <x:c r="A2734" t="str">
        <x:v>You Are Just A Blue Switch</x:v>
      </x:c>
      <x:c r="B2734" t="str">
        <x:v>You Are Just A Blue Switch</x:v>
      </x:c>
      <x:c r="C2734" t="str">
        <x:v>Daizo Dee Von</x:v>
      </x:c>
      <x:c r="D2734" t="n">
        <x:v>0</x:v>
      </x:c>
      <x:c r="E2734" t="str">
        <x:v>Intermediate</x:v>
      </x:c>
      <x:c r="F2734" t="str">
        <x:v>Standard</x:v>
      </x:c>
      <x:c r="G2734" t="n">
        <x:v>45853</x:v>
      </x:c>
      <x:c r="H2734" t="str">
        <x:v>40107</x:v>
      </x:c>
      <x:c r="I2734" t="str">
        <x:v>https://www.smwcentral.net/?a=details&amp;id=40107&amp;p=section</x:v>
      </x:c>
      <x:c r="J2734" t="str">
        <x:v>https://dl.smwcentral.net/40107/%5BHack%5D%20You%20Are%20Just%20A%20Blue%20Switch%20v1.03.zip</x:v>
      </x:c>
    </x:row>
    <x:row r="2735">
      <x:c r="A2735" t="str">
        <x:v>You Have No Life</x:v>
      </x:c>
      <x:c r="B2735" t="str">
        <x:v>You Have No Life</x:v>
      </x:c>
      <x:c r="C2735" t="str">
        <x:v>Anonymous</x:v>
      </x:c>
      <x:c r="D2735" t="n">
        <x:v>5</x:v>
      </x:c>
      <x:c r="E2735" t="str">
        <x:v>Expert</x:v>
      </x:c>
      <x:c r="F2735" t="str">
        <x:v>Kaizo</x:v>
      </x:c>
      <x:c r="G2735" t="n">
        <x:v>45768</x:v>
      </x:c>
      <x:c r="H2735" t="str">
        <x:v>39741</x:v>
      </x:c>
      <x:c r="I2735" t="str">
        <x:v>https://www.smwcentral.net/?a=details&amp;id=39741&amp;p=section</x:v>
      </x:c>
      <x:c r="J2735" t="str">
        <x:v>https://dl.smwcentral.net/39741/You%20Have%20No%20Life%20-%20SMW.zip</x:v>
      </x:c>
    </x:row>
    <x:row r="2736">
      <x:c r="A2736" t="str">
        <x:v>You Shell Not Pass</x:v>
      </x:c>
      <x:c r="B2736" t="str">
        <x:v>You Shell Not Pass</x:v>
      </x:c>
      <x:c r="C2736" t="str">
        <x:v>Firstnamebutt, Inflagrandy, robbstermusic</x:v>
      </x:c>
      <x:c r="D2736" t="n">
        <x:v>15</x:v>
      </x:c>
      <x:c r="E2736" t="str">
        <x:v>Expert</x:v>
      </x:c>
      <x:c r="F2736" t="str">
        <x:v>Kaizo</x:v>
      </x:c>
      <x:c r="G2736" t="n">
        <x:v>45534</x:v>
      </x:c>
      <x:c r="H2736" t="str">
        <x:v>38263</x:v>
      </x:c>
      <x:c r="I2736" t="str">
        <x:v>https://www.smwcentral.net/?a=details&amp;id=38263&amp;p=section</x:v>
      </x:c>
      <x:c r="J2736" t="str">
        <x:v>https://dl.smwcentral.net/38263/You%20Shell%20Not%20Pass%201.2.zip</x:v>
      </x:c>
    </x:row>
    <x:row r="2737">
      <x:c r="A2737" t="str">
        <x:v>Yuki Mario</x:v>
      </x:c>
      <x:c r="B2737" t="str">
        <x:v>Yuki Mario</x:v>
      </x:c>
      <x:c r="C2737" t="str">
        <x:v>Rouge</x:v>
      </x:c>
      <x:c r="D2737" t="n">
        <x:v>5</x:v>
      </x:c>
      <x:c r="E2737" t="str">
        <x:v>Casual</x:v>
      </x:c>
      <x:c r="F2737" t="str">
        <x:v>Standard</x:v>
      </x:c>
      <x:c r="G2737" t="n">
        <x:v>44920</x:v>
      </x:c>
      <x:c r="H2737" t="str">
        <x:v>32596</x:v>
      </x:c>
      <x:c r="I2737" t="str">
        <x:v>https://www.smwcentral.net/?a=details&amp;id=32596&amp;p=section</x:v>
      </x:c>
      <x:c r="J2737" t="str">
        <x:v>https://dl.smwcentral.net/32596/Yuki%20Mario%20World%201.zip</x:v>
      </x:c>
    </x:row>
    <x:row r="2738">
      <x:c r="A2738" t="str">
        <x:v>YUMP</x:v>
      </x:c>
      <x:c r="B2738" t="str">
        <x:v>YUMP</x:v>
      </x:c>
      <x:c r="C2738" t="str">
        <x:v>Christina Hendricks, JUMP Team, Lazy</x:v>
      </x:c>
      <x:c r="D2738" t="n">
        <x:v>120</x:v>
      </x:c>
      <x:c r="E2738" t="str">
        <x:v>Expert</x:v>
      </x:c>
      <x:c r="F2738" t="str">
        <x:v>Standard, Kaizo</x:v>
      </x:c>
      <x:c r="G2738" t="n">
        <x:v>42933</x:v>
      </x:c>
      <x:c r="H2738" t="str">
        <x:v>15892</x:v>
      </x:c>
      <x:c r="I2738" t="str">
        <x:v>https://www.smwcentral.net/?a=details&amp;id=15892&amp;p=section</x:v>
      </x:c>
      <x:c r="J2738" t="str">
        <x:v>https://dl.smwcentral.net/15892/yumpy%20boy.zip</x:v>
      </x:c>
    </x:row>
    <x:row r="2739">
      <x:c r="A2739" t="str">
        <x:v>YUMP 2</x:v>
      </x:c>
      <x:c r="B2739" t="str">
        <x:v>YUMP 2</x:v>
      </x:c>
      <x:c r="C2739" t="str">
        <x:v>JUMP Team, Lazy</x:v>
      </x:c>
      <x:c r="D2739" t="n">
        <x:v>104</x:v>
      </x:c>
      <x:c r="E2739" t="str">
        <x:v>Expert</x:v>
      </x:c>
      <x:c r="F2739" t="str">
        <x:v>Standard, Kaizo</x:v>
      </x:c>
      <x:c r="G2739" t="n">
        <x:v>44030</x:v>
      </x:c>
      <x:c r="H2739" t="str">
        <x:v>23778</x:v>
      </x:c>
      <x:c r="I2739" t="str">
        <x:v>https://www.smwcentral.net/?a=details&amp;id=23778&amp;p=section</x:v>
      </x:c>
      <x:c r="J2739" t="str">
        <x:v>https://dl.smwcentral.net/23778/YUMP%202.zip</x:v>
      </x:c>
    </x:row>
    <x:row r="2740">
      <x:c r="A2740" t="str">
        <x:v>Zap &amp; Lena Adventures</x:v>
      </x:c>
      <x:c r="B2740" t="str">
        <x:v>Zap &amp; Lena Adventures</x:v>
      </x:c>
      <x:c r="C2740" t="str">
        <x:v>LucasMegaStriker</x:v>
      </x:c>
      <x:c r="D2740" t="n">
        <x:v>19</x:v>
      </x:c>
      <x:c r="E2740" t="str">
        <x:v>Intermediate</x:v>
      </x:c>
      <x:c r="F2740" t="str">
        <x:v>Standard</x:v>
      </x:c>
      <x:c r="G2740" t="n">
        <x:v>43971</x:v>
      </x:c>
      <x:c r="H2740" t="str">
        <x:v>23031</x:v>
      </x:c>
      <x:c r="I2740" t="str">
        <x:v>https://www.smwcentral.net/?a=details&amp;id=23031&amp;p=section</x:v>
      </x:c>
      <x:c r="J2740" t="str">
        <x:v>https://dl.smwcentral.net/23031/ZapLenaAdventures.zip</x:v>
      </x:c>
    </x:row>
    <x:row r="2741">
      <x:c r="A2741" t="str">
        <x:v>Zap Lena World</x:v>
      </x:c>
      <x:c r="B2741" t="str">
        <x:v>Zap Lena World</x:v>
      </x:c>
      <x:c r="C2741" t="str">
        <x:v>SKAW Adri</x:v>
      </x:c>
      <x:c r="D2741" t="n">
        <x:v>13</x:v>
      </x:c>
      <x:c r="E2741" t="str">
        <x:v>Advanced</x:v>
      </x:c>
      <x:c r="F2741" t="str">
        <x:v>Kaizo</x:v>
      </x:c>
      <x:c r="G2741" t="n">
        <x:v>44084</x:v>
      </x:c>
      <x:c r="H2741" t="str">
        <x:v>24421</x:v>
      </x:c>
      <x:c r="I2741" t="str">
        <x:v>https://www.smwcentral.net/?a=details&amp;id=24421&amp;p=section</x:v>
      </x:c>
      <x:c r="J2741" t="str">
        <x:v>https://dl.smwcentral.net/24421/Zap%20Lena%20World%20v1.2.zip</x:v>
      </x:c>
    </x:row>
    <x:row r="2742">
      <x:c r="A2742" t="str">
        <x:v>Zeldara's Glitch City v147</x:v>
      </x:c>
      <x:c r="B2742" t="str">
        <x:v>Zeldara's Glitch City v147</x:v>
      </x:c>
      <x:c r="C2742" t="str">
        <x:v>Karisa</x:v>
      </x:c>
      <x:c r="D2742" t="n">
        <x:v>64</x:v>
      </x:c>
      <x:c r="E2742" t="str">
        <x:v>Casual</x:v>
      </x:c>
      <x:c r="F2742" t="str">
        <x:v>Standard</x:v>
      </x:c>
      <x:c r="G2742" t="n">
        <x:v>42939</x:v>
      </x:c>
      <x:c r="H2742" t="str">
        <x:v>15935</x:v>
      </x:c>
      <x:c r="I2742" t="str">
        <x:v>https://www.smwcentral.net/?a=details&amp;id=15935&amp;p=section</x:v>
      </x:c>
      <x:c r="J2742" t="str">
        <x:v>https://dl.smwcentral.net/15935/zgc147.zip</x:v>
      </x:c>
    </x:row>
    <x:row r="2743">
      <x:c r="A2743" t="str">
        <x:v>~ Sure Shot ~ featuring Sonic the Hedgehog DELUXE EDITION</x:v>
      </x:c>
      <x:c r="B2743" t="str">
        <x:v>~ Sure Shot ~ featuring Sonic the Hedgehog DELUXE EDITION</x:v>
      </x:c>
      <x:c r="C2743" t="str">
        <x:v>YMM, margot</x:v>
      </x:c>
      <x:c r="D2743" t="n">
        <x:v>11</x:v>
      </x:c>
      <x:c r="E2743" t="str">
        <x:v>Advanced</x:v>
      </x:c>
      <x:c r="F2743" t="str">
        <x:v>Kaizo</x:v>
      </x:c>
      <x:c r="G2743" t="n">
        <x:v>44886</x:v>
      </x:c>
      <x:c r="H2743" t="str">
        <x:v>32587</x:v>
      </x:c>
      <x:c r="I2743" t="str">
        <x:v>https://www.smwcentral.net/?a=details&amp;id=32587&amp;p=section</x:v>
      </x:c>
      <x:c r="J2743" t="str">
        <x:v>https://dl.smwcentral.net/32587/Sure%20Shot.zip</x:v>
      </x:c>
    </x:row>
    <x:row r="2744">
      <x:c r="A2744" t="str">
        <x:v>~omh~</x:v>
      </x:c>
      <x:c r="B2744" t="str">
        <x:v>~omh~</x:v>
      </x:c>
      <x:c r="C2744" t="str">
        <x:v>Daizo Dee Von, Squirrelyman157, Team JANK</x:v>
      </x:c>
      <x:c r="D2744" t="n">
        <x:v>100</x:v>
      </x:c>
      <x:c r="E2744" t="str">
        <x:v>Expert</x:v>
      </x:c>
      <x:c r="F2744" t="str">
        <x:v>Standard</x:v>
      </x:c>
      <x:c r="G2744" t="n">
        <x:v>45452</x:v>
      </x:c>
      <x:c r="H2744" t="str">
        <x:v>35050</x:v>
      </x:c>
      <x:c r="I2744" t="str">
        <x:v>https://www.smwcentral.net/?a=details&amp;id=35050&amp;p=section</x:v>
      </x:c>
      <x:c r="J2744" t="str">
        <x:v>https://dl.smwcentral.net/35050/~omh~%20-%20original%20mario%20hack.zip</x:v>
      </x:c>
    </x:row>
    <x:row r="2745">
      <x:c r="A2745" t="str">
        <x:v>⏱︎ Slow Motion Mario</x:v>
      </x:c>
      <x:c r="B2745" t="str">
        <x:v>⏱︎ Slow Motion Mario</x:v>
      </x:c>
      <x:c r="C2745" t="str">
        <x:v>TheSpreee333</x:v>
      </x:c>
      <x:c r="D2745" t="n">
        <x:v>4</x:v>
      </x:c>
      <x:c r="E2745" t="str">
        <x:v>Expert</x:v>
      </x:c>
      <x:c r="F2745" t="str">
        <x:v>Kaizo</x:v>
      </x:c>
      <x:c r="G2745" t="n">
        <x:v>45716</x:v>
      </x:c>
      <x:c r="H2745" t="str">
        <x:v>39168</x:v>
      </x:c>
      <x:c r="I2745" t="str">
        <x:v>https://www.smwcentral.net/?a=details&amp;id=39168&amp;p=section</x:v>
      </x:c>
      <x:c r="J2745" t="str">
        <x:v>https://dl.smwcentral.net/39168/%E2%8F%B1%EF%B8%8E%20Slow%20Motion%20Mario.zip</x:v>
      </x:c>
    </x:row>
    <x:row r="2746">
      <x:c r="A2746" t="str">
        <x:v>🐭 So 2 Mice Walk Into a Bar... 🐭</x:v>
      </x:c>
      <x:c r="B2746" t="str">
        <x:v>🐭 So 2 Mice Walk Into a Bar... 🐭</x:v>
      </x:c>
      <x:c r="C2746" t="str">
        <x:v>Christina Hendricks, S.N.N.</x:v>
      </x:c>
      <x:c r="D2746" t="n">
        <x:v>18</x:v>
      </x:c>
      <x:c r="E2746" t="str">
        <x:v>Intermediate</x:v>
      </x:c>
      <x:c r="F2746" t="str">
        <x:v>Standard</x:v>
      </x:c>
      <x:c r="G2746" t="n">
        <x:v>43846</x:v>
      </x:c>
      <x:c r="H2746" t="str">
        <x:v>21950</x:v>
      </x:c>
      <x:c r="I2746" t="str">
        <x:v>https://www.smwcentral.net/?a=details&amp;id=21950&amp;p=section</x:v>
      </x:c>
      <x:c r="J2746" t="str">
        <x:v>https://dl.smwcentral.net/21950/so_2_mice_walk_into_a_bar_v1.1.zip</x:v>
      </x:c>
    </x:row>
    <x:row r="2747">
      <x:c r="A2747" t="str">
        <x:v>🐸🥣</x:v>
      </x:c>
      <x:c r="B2747" t="str">
        <x:v>🐸🥣</x:v>
      </x:c>
      <x:c r="C2747" t="str">
        <x:v>Squirrelyman157</x:v>
      </x:c>
      <x:c r="D2747" t="n">
        <x:v>13</x:v>
      </x:c>
      <x:c r="E2747" t="str">
        <x:v>Expert</x:v>
      </x:c>
      <x:c r="F2747" t="str">
        <x:v>Kaizo</x:v>
      </x:c>
      <x:c r="G2747" t="n">
        <x:v>44938</x:v>
      </x:c>
      <x:c r="H2747" t="str">
        <x:v>32897</x:v>
      </x:c>
      <x:c r="I2747" t="str">
        <x:v>https://www.smwcentral.net/?a=details&amp;id=32897&amp;p=section</x:v>
      </x:c>
      <x:c r="J2747" t="str">
        <x:v>https://dl.smwcentral.net/32897/meep.zip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13" t="str">
        <x:v>ROM Hack Dropdown</x:v>
      </x:c>
      <x:c r="B1" s="14" t="str">
        <x:v>100% Completed?</x:v>
      </x:c>
      <x:c r="C1" s="14" t="str">
        <x:v>Difficulty</x:v>
      </x:c>
      <x:c r="D1" s="15" t="str">
        <x:v>Type</x:v>
      </x:c>
    </x:row>
    <x:row r="2">
      <x:c r="A2" t="str">
        <x:v>!uppipe</x:v>
      </x:c>
      <x:c r="B2" t="str">
        <x:v>Yes</x:v>
      </x:c>
      <x:c r="C2" t="str">
        <x:v>Newcomer</x:v>
      </x:c>
      <x:c r="D2" t="str">
        <x:v>Standard</x:v>
      </x:c>
    </x:row>
    <x:row r="3">
      <x:c r="A3" t="str">
        <x:v>#0 IGGY'S CASTLE</x:v>
      </x:c>
      <x:c r="B3" t="str">
        <x:v>No</x:v>
      </x:c>
      <x:c r="C3" t="str">
        <x:v>Casual</x:v>
      </x:c>
      <x:c r="D3" t="str">
        <x:v>Kaizo</x:v>
      </x:c>
    </x:row>
    <x:row r="4">
      <x:c r="A4" t="str">
        <x:v>#thathack</x:v>
      </x:c>
      <x:c r="C4" t="str">
        <x:v>Intermediate</x:v>
      </x:c>
      <x:c r="D4" t="str">
        <x:v>Puzzle</x:v>
      </x:c>
    </x:row>
    <x:row r="5">
      <x:c r="A5" t="str">
        <x:v>'the</x:v>
      </x:c>
      <x:c r="C5" t="str">
        <x:v>Advanced</x:v>
      </x:c>
      <x:c r="D5" t="str">
        <x:v>Tool-Assisted</x:v>
      </x:c>
    </x:row>
    <x:row r="6">
      <x:c r="A6" t="str">
        <x:v>*SUPERSTAR* - an EP by margot</x:v>
      </x:c>
      <x:c r="C6" t="str">
        <x:v>Expert</x:v>
      </x:c>
      <x:c r="D6" t="str">
        <x:v>Pit</x:v>
      </x:c>
    </x:row>
    <x:row r="7">
      <x:c r="A7" t="str">
        <x:v>1 Island Of Vanilla Feeling</x:v>
      </x:c>
      <x:c r="C7" t="str">
        <x:v>Master</x:v>
      </x:c>
      <x:c r="D7" t="str">
        <x:v>Troll</x:v>
      </x:c>
    </x:row>
    <x:row r="8">
      <x:c r="A8" t="str">
        <x:v>1 Square Puzzle</x:v>
      </x:c>
      <x:c r="C8" t="str">
        <x:v>Grandmaster</x:v>
      </x:c>
    </x:row>
    <x:row r="9">
      <x:c r="A9" t="str">
        <x:v>100 Rooms of Enemies: 10th Anniversary Edition</x:v>
      </x:c>
      <x:c r="C9" t="str">
        <x:v>Unranked</x:v>
      </x:c>
    </x:row>
    <x:row r="10">
      <x:c r="A10" t="str">
        <x:v>100 Rooms Of Torment</x:v>
      </x:c>
    </x:row>
    <x:row r="11">
      <x:c r="A11" t="str">
        <x:v>100th Birthday Cake</x:v>
      </x:c>
    </x:row>
    <x:row r="12">
      <x:c r="A12" t="str">
        <x:v>10yumps</x:v>
      </x:c>
    </x:row>
    <x:row r="13">
      <x:c r="A13" t="str">
        <x:v>12 DAY: An SMW Mixtape</x:v>
      </x:c>
    </x:row>
    <x:row r="14">
      <x:c r="A14" t="str">
        <x:v>1st Kochobo Dourado Collab</x:v>
      </x:c>
    </x:row>
    <x:row r="15">
      <x:c r="A15" t="str">
        <x:v>2 Hour Hack</x:v>
      </x:c>
    </x:row>
    <x:row r="16">
      <x:c r="A16" t="str">
        <x:v>2 Player Co-op Quest 2</x:v>
      </x:c>
    </x:row>
    <x:row r="17">
      <x:c r="A17" t="str">
        <x:v>2 Player Co-op Quest!</x:v>
      </x:c>
    </x:row>
    <x:row r="18">
      <x:c r="A18" t="str">
        <x:v>20 Challenges: Episode 1 - A feard enemy</x:v>
      </x:c>
    </x:row>
    <x:row r="19">
      <x:c r="A19" t="str">
        <x:v>20 Challenges: Episode 2 - Witchcraft</x:v>
      </x:c>
    </x:row>
    <x:row r="20">
      <x:c r="A20" t="str">
        <x:v>20 Challenges: Episode 3 - The tale from a bone</x:v>
      </x:c>
    </x:row>
    <x:row r="21">
      <x:c r="A21" t="str">
        <x:v>20 Challenges: Episode 4 - Temple of the elements</x:v>
      </x:c>
    </x:row>
    <x:row r="22">
      <x:c r="A22" t="str">
        <x:v>20 Challenges: Episode 5 - Community Vibe</x:v>
      </x:c>
    </x:row>
    <x:row r="23">
      <x:c r="A23" t="str">
        <x:v>2019 Blind Kaizo Relay Level Collaboration</x:v>
      </x:c>
    </x:row>
    <x:row r="24">
      <x:c r="A24" t="str">
        <x:v>22H</x:v>
      </x:c>
    </x:row>
    <x:row r="25">
      <x:c r="A25" t="str">
        <x:v>2K Shells</x:v>
      </x:c>
    </x:row>
    <x:row r="26">
      <x:c r="A26" t="str">
        <x:v>2Kaizo2Learn</x:v>
      </x:c>
    </x:row>
    <x:row r="27">
      <x:c r="A27" t="str">
        <x:v>3 Islands of Shells</x:v>
      </x:c>
    </x:row>
    <x:row r="28">
      <x:c r="A28" t="str">
        <x:v>3 Trials</x:v>
      </x:c>
    </x:row>
    <x:row r="29">
      <x:c r="A29" t="str">
        <x:v>35 Questions Deluxe</x:v>
      </x:c>
    </x:row>
    <x:row r="30">
      <x:c r="A30" t="str">
        <x:v>35 Rooms of Nonsense</x:v>
      </x:c>
    </x:row>
    <x:row r="31">
      <x:c r="A31" t="str">
        <x:v>4 YUMPs For Yoshi</x:v>
      </x:c>
    </x:row>
    <x:row r="32">
      <x:c r="A32" t="str">
        <x:v>45 Rooms of Balderdash</x:v>
      </x:c>
    </x:row>
    <x:row r="33">
      <x:c r="A33" t="str">
        <x:v>4th Chamber</x:v>
      </x:c>
    </x:row>
    <x:row r="34">
      <x:c r="A34" t="str">
        <x:v>5 Level Hack</x:v>
      </x:c>
    </x:row>
    <x:row r="35">
      <x:c r="A35" t="str">
        <x:v>5 Orbs</x:v>
      </x:c>
    </x:row>
    <x:row r="36">
      <x:c r="A36" t="str">
        <x:v>5.3.20 Magnolia</x:v>
      </x:c>
    </x:row>
    <x:row r="37">
      <x:c r="A37" t="str">
        <x:v>6 HOURS</x:v>
      </x:c>
    </x:row>
    <x:row r="38">
      <x:c r="A38" t="str">
        <x:v>8 SCREENS</x:v>
      </x:c>
    </x:row>
    <x:row r="39">
      <x:c r="A39" t="str">
        <x:v>8 Trials Await</x:v>
      </x:c>
    </x:row>
    <x:row r="40">
      <x:c r="A40" t="str">
        <x:v>8-bit Mario World - Desert Mario</x:v>
      </x:c>
    </x:row>
    <x:row r="41">
      <x:c r="A41" t="str">
        <x:v>8:40</x:v>
      </x:c>
    </x:row>
    <x:row r="42">
      <x:c r="A42" t="str">
        <x:v>9 Dreams</x:v>
      </x:c>
    </x:row>
    <x:row r="43">
      <x:c r="A43" t="str">
        <x:v>9 LONG ADVENTURES</x:v>
      </x:c>
    </x:row>
    <x:row r="44">
      <x:c r="A44" t="str">
        <x:v>[Demo] Mario Adventure Land</x:v>
      </x:c>
    </x:row>
    <x:row r="45">
      <x:c r="A45" t="str">
        <x:v>A Baby Yoshi Quest</x:v>
      </x:c>
    </x:row>
    <x:row r="46">
      <x:c r="A46" t="str">
        <x:v>A Chance for Glory</x:v>
      </x:c>
    </x:row>
    <x:row r="47">
      <x:c r="A47" t="str">
        <x:v>A Christmas Gift</x:v>
      </x:c>
    </x:row>
    <x:row r="48">
      <x:c r="A48" t="str">
        <x:v>A Christmas Gift: Timmy's Final Gift</x:v>
      </x:c>
    </x:row>
    <x:row r="49">
      <x:c r="A49" t="str">
        <x:v>A Christmas Walk</x:v>
      </x:c>
    </x:row>
    <x:row r="50">
      <x:c r="A50" t="str">
        <x:v>A Cold Day In Shell</x:v>
      </x:c>
    </x:row>
    <x:row r="51">
      <x:c r="A51" t="str">
        <x:v>A Difficult Journey</x:v>
      </x:c>
    </x:row>
    <x:row r="52">
      <x:c r="A52" t="str">
        <x:v>A FIP</x:v>
      </x:c>
    </x:row>
    <x:row r="53">
      <x:c r="A53" t="str">
        <x:v>A Frivolous Journey</x:v>
      </x:c>
    </x:row>
    <x:row r="54">
      <x:c r="A54" t="str">
        <x:v>A Goblin's Quest to Leave Her House and Get a Gyro For Lunch Because She Was Hungry</x:v>
      </x:c>
    </x:row>
    <x:row r="55">
      <x:c r="A55" t="str">
        <x:v>A Goomba's Walk</x:v>
      </x:c>
    </x:row>
    <x:row r="56">
      <x:c r="A56" t="str">
        <x:v>A Hack Thing</x:v>
      </x:c>
    </x:row>
    <x:row r="57">
      <x:c r="A57" t="str">
        <x:v>A Hack Thing 2</x:v>
      </x:c>
    </x:row>
    <x:row r="58">
      <x:c r="A58" t="str">
        <x:v>A Halloween Walk</x:v>
      </x:c>
    </x:row>
    <x:row r="59">
      <x:c r="A59" t="str">
        <x:v>A Haunted Christmas</x:v>
      </x:c>
    </x:row>
    <x:row r="60">
      <x:c r="A60" t="str">
        <x:v>A Haunting at Chateau Cousseaux</x:v>
      </x:c>
    </x:row>
    <x:row r="61">
      <x:c r="A61" t="str">
        <x:v>A Helping Hand</x:v>
      </x:c>
    </x:row>
    <x:row r="62">
      <x:c r="A62" t="str">
        <x:v>A Journey To Save The Yoshis</x:v>
      </x:c>
    </x:row>
    <x:row r="63">
      <x:c r="A63" t="str">
        <x:v>A Kaizo Adventure</x:v>
      </x:c>
    </x:row>
    <x:row r="64">
      <x:c r="A64" t="str">
        <x:v>A Kekcroc Christmas</x:v>
      </x:c>
    </x:row>
    <x:row r="65">
      <x:c r="A65" t="str">
        <x:v>A Land That is Super</x:v>
      </x:c>
    </x:row>
    <x:row r="66">
      <x:c r="A66" t="str">
        <x:v>A Lenda do Herói (Songs for a Hero)</x:v>
      </x:c>
    </x:row>
    <x:row r="67">
      <x:c r="A67" t="str">
        <x:v>A Mario Place</x:v>
      </x:c>
    </x:row>
    <x:row r="68">
      <x:c r="A68" t="str">
        <x:v>A Maxi Mini Hack</x:v>
      </x:c>
    </x:row>
    <x:row r="69">
      <x:c r="A69" t="str">
        <x:v>A Maxi Mini Hack B-Sides</x:v>
      </x:c>
    </x:row>
    <x:row r="70">
      <x:c r="A70" t="str">
        <x:v>A Metal Hack</x:v>
      </x:c>
    </x:row>
    <x:row r="71">
      <x:c r="A71" t="str">
        <x:v>A Mole in Space</x:v>
      </x:c>
    </x:row>
    <x:row r="72">
      <x:c r="A72" t="str">
        <x:v>A New Journey</x:v>
      </x:c>
    </x:row>
    <x:row r="73">
      <x:c r="A73" t="str">
        <x:v>A New Year Walk</x:v>
      </x:c>
    </x:row>
    <x:row r="74">
      <x:c r="A74" t="str">
        <x:v>A Plumber For All Seasons</x:v>
      </x:c>
    </x:row>
    <x:row r="75">
      <x:c r="A75" t="str">
        <x:v>a pretty view</x:v>
      </x:c>
    </x:row>
    <x:row r="76">
      <x:c r="A76" t="str">
        <x:v>A Pure Vanilla Hack</x:v>
      </x:c>
    </x:row>
    <x:row r="77">
      <x:c r="A77" t="str">
        <x:v>A Random Pit</x:v>
      </x:c>
    </x:row>
    <x:row r="78">
      <x:c r="A78" t="str">
        <x:v>A Rose for Emily</x:v>
      </x:c>
    </x:row>
    <x:row r="79">
      <x:c r="A79" t="str">
        <x:v>A Rushed Project</x:v>
      </x:c>
    </x:row>
    <x:row r="80">
      <x:c r="A80" t="str">
        <x:v>A Second X Thing: Gaiden: Gaiden</x:v>
      </x:c>
    </x:row>
    <x:row r="81">
      <x:c r="A81" t="str">
        <x:v>A Semi-Normal Castle</x:v>
      </x:c>
    </x:row>
    <x:row r="82">
      <x:c r="A82" t="str">
        <x:v>A short Journey</x:v>
      </x:c>
    </x:row>
    <x:row r="83">
      <x:c r="A83" t="str">
        <x:v>A short kaizo</x:v>
      </x:c>
    </x:row>
    <x:row r="84">
      <x:c r="A84" t="str">
        <x:v>A short kaizo 2</x:v>
      </x:c>
    </x:row>
    <x:row r="85">
      <x:c r="A85" t="str">
        <x:v>A Simple Story</x:v>
      </x:c>
    </x:row>
    <x:row r="86">
      <x:c r="A86" t="str">
        <x:v>A SMW Hack</x:v>
      </x:c>
    </x:row>
    <x:row r="87">
      <x:c r="A87" t="str">
        <x:v>A Special Birthday</x:v>
      </x:c>
    </x:row>
    <x:row r="88">
      <x:c r="A88" t="str">
        <x:v>A Special Christmas</x:v>
      </x:c>
    </x:row>
    <x:row r="89">
      <x:c r="A89" t="str">
        <x:v>A Sticky Situation</x:v>
      </x:c>
    </x:row>
    <x:row r="90">
      <x:c r="A90" t="str">
        <x:v>A story about an island</x:v>
      </x:c>
    </x:row>
    <x:row r="91">
      <x:c r="A91" t="str">
        <x:v>A Strange Mission</x:v>
      </x:c>
    </x:row>
    <x:row r="92">
      <x:c r="A92" t="str">
        <x:v>A Strongly-Worded Letter to the Iceberg</x:v>
      </x:c>
    </x:row>
    <x:row r="93">
      <x:c r="A93" t="str">
        <x:v>A Summer Level</x:v>
      </x:c>
    </x:row>
    <x:row r="94">
      <x:c r="A94" t="str">
        <x:v>A Super Mario Adventure</x:v>
      </x:c>
    </x:row>
    <x:row r="95">
      <x:c r="A95" t="str">
        <x:v>A Super Mario Thing</x:v>
      </x:c>
    </x:row>
    <x:row r="96">
      <x:c r="A96" t="str">
        <x:v>A Super Mario World Rom Hack</x:v>
      </x:c>
    </x:row>
    <x:row r="97">
      <x:c r="A97" t="str">
        <x:v>A Supposedly Fun Thing I'll Never Do Again</x:v>
      </x:c>
    </x:row>
    <x:row r="98">
      <x:c r="A98" t="str">
        <x:v>A Teakettle of Wet Bees</x:v>
      </x:c>
    </x:row>
    <x:row r="99">
      <x:c r="A99" t="str">
        <x:v>A Thing w/ Peiton</x:v>
      </x:c>
    </x:row>
    <x:row r="100">
      <x:c r="A100" t="str">
        <x:v>A Vanilla Level</x:v>
      </x:c>
    </x:row>
    <x:row r="101">
      <x:c r="A101" t="str">
        <x:v>A Very Super Mario World</x:v>
      </x:c>
    </x:row>
    <x:row r="102">
      <x:c r="A102" t="str">
        <x:v>A WIP</x:v>
      </x:c>
    </x:row>
    <x:row r="103">
      <x:c r="A103" t="str">
        <x:v>A work project thing...</x:v>
      </x:c>
    </x:row>
    <x:row r="104">
      <x:c r="A104" t="str">
        <x:v>A Yoshi's Story</x:v>
      </x:c>
    </x:row>
    <x:row r="105">
      <x:c r="A105" t="str">
        <x:v>A Yoshi's Story 2</x:v>
      </x:c>
    </x:row>
    <x:row r="106">
      <x:c r="A106" t="str">
        <x:v>A1 Mario World</x:v>
      </x:c>
    </x:row>
    <x:row r="107">
      <x:c r="A107" t="str">
        <x:v>Absolute Authenticity</x:v>
      </x:c>
    </x:row>
    <x:row r="108">
      <x:c r="A108" t="str">
        <x:v>Abuse and Die 3</x:v>
      </x:c>
    </x:row>
    <x:row r="109">
      <x:c r="A109" t="str">
        <x:v>Acid Tapes Vol. 1</x:v>
      </x:c>
    </x:row>
    <x:row r="110">
      <x:c r="A110" t="str">
        <x:v>Acid Tapes Vol. 2</x:v>
      </x:c>
    </x:row>
    <x:row r="111">
      <x:c r="A111" t="str">
        <x:v>Action42</x:v>
      </x:c>
    </x:row>
    <x:row r="112">
      <x:c r="A112" t="str">
        <x:v>Advanced Shells</x:v>
      </x:c>
    </x:row>
    <x:row r="113">
      <x:c r="A113" t="str">
        <x:v>Advanced Shells II</x:v>
      </x:c>
    </x:row>
    <x:row r="114">
      <x:c r="A114" t="str">
        <x:v>Advanced Shells III</x:v>
      </x:c>
    </x:row>
    <x:row r="115">
      <x:c r="A115" t="str">
        <x:v>Adventure in Gemstone Islands</x:v>
      </x:c>
    </x:row>
    <x:row r="116">
      <x:c r="A116" t="str">
        <x:v>Adventure Islands</x:v>
      </x:c>
    </x:row>
    <x:row r="117">
      <x:c r="A117" t="str">
        <x:v>Adventure Land: Darkness Rising</x:v>
      </x:c>
    </x:row>
    <x:row r="118">
      <x:c r="A118" t="str">
        <x:v>Adventure Land: Legend of the Stars</x:v>
      </x:c>
    </x:row>
    <x:row r="119">
      <x:c r="A119" t="str">
        <x:v>Adventure Of The Red Plumber</x:v>
      </x:c>
    </x:row>
    <x:row r="120">
      <x:c r="A120" t="str">
        <x:v>Aeron Returns</x:v>
      </x:c>
    </x:row>
    <x:row r="121">
      <x:c r="A121" t="str">
        <x:v>Aeron's Golden Cookie Quest ~ Special Edition</x:v>
      </x:c>
    </x:row>
    <x:row r="122">
      <x:c r="A122" t="str">
        <x:v>Aether: The Paramount Omnibus</x:v>
      </x:c>
    </x:row>
    <x:row r="123">
      <x:c r="A123" t="str">
        <x:v>ageVerrly's Challenge</x:v>
      </x:c>
    </x:row>
    <x:row r="124">
      <x:c r="A124" t="str">
        <x:v>Agnosthesia</x:v>
      </x:c>
    </x:row>
    <x:row r="125">
      <x:c r="A125" t="str">
        <x:v>Aionios Dynami</x:v>
      </x:c>
    </x:row>
    <x:row r="126">
      <x:c r="A126" t="str">
        <x:v>Akogare 2</x:v>
      </x:c>
    </x:row>
    <x:row r="127">
      <x:c r="A127" t="str">
        <x:v>Akogare Mario World</x:v>
      </x:c>
    </x:row>
    <x:row r="128">
      <x:c r="A128" t="str">
        <x:v>Alabaras Shells</x:v>
      </x:c>
    </x:row>
    <x:row r="129">
      <x:c r="A129" t="str">
        <x:v>Albatros</x:v>
      </x:c>
    </x:row>
    <x:row r="130">
      <x:c r="A130" t="str">
        <x:v>Alex Kidd in Mario World</x:v>
      </x:c>
    </x:row>
    <x:row r="131">
      <x:c r="A131" t="str">
        <x:v>Alex Kidd In Pancake World</x:v>
      </x:c>
    </x:row>
    <x:row r="132">
      <x:c r="A132" t="str">
        <x:v>All in a Day's World</x:v>
      </x:c>
    </x:row>
    <x:row r="133">
      <x:c r="A133" t="str">
        <x:v>Allstar's dream</x:v>
      </x:c>
    </x:row>
    <x:row r="134">
      <x:c r="A134" t="str">
        <x:v>Allycia Legends - The Blood Moon</x:v>
      </x:c>
    </x:row>
    <x:row r="135">
      <x:c r="A135" t="str">
        <x:v>Alpha Shelltauri</x:v>
      </x:c>
    </x:row>
    <x:row r="136">
      <x:c r="A136" t="str">
        <x:v>ALPHA SPHERE Zero: Rotten Brains</x:v>
      </x:c>
    </x:row>
    <x:row r="137">
      <x:c r="A137" t="str">
        <x:v>ALPHA SPHERE: Director's Cut</x:v>
      </x:c>
    </x:row>
    <x:row r="138">
      <x:c r="A138" t="str">
        <x:v>Also Sprach Mario</x:v>
      </x:c>
    </x:row>
    <x:row r="139">
      <x:c r="A139" t="str">
        <x:v>Amazing</x:v>
      </x:c>
    </x:row>
    <x:row r="140">
      <x:c r="A140" t="str">
        <x:v>Ambivalence</x:v>
      </x:c>
    </x:row>
    <x:row r="141">
      <x:c r="A141" t="str">
        <x:v>Amulet Of Corruption DEMO</x:v>
      </x:c>
    </x:row>
    <x:row r="142">
      <x:c r="A142" t="str">
        <x:v>An SMW Central Production</x:v>
      </x:c>
    </x:row>
    <x:row r="143">
      <x:c r="A143" t="str">
        <x:v>An Untitled Quest!</x:v>
      </x:c>
    </x:row>
    <x:row r="144">
      <x:c r="A144" t="str">
        <x:v>Anita Kaizo Land</x:v>
      </x:c>
    </x:row>
    <x:row r="145">
      <x:c r="A145" t="str">
        <x:v>Another adventure of Mario</x:v>
      </x:c>
    </x:row>
    <x:row r="146">
      <x:c r="A146" t="str">
        <x:v>Another Challenge With Mario</x:v>
      </x:c>
    </x:row>
    <x:row r="147">
      <x:c r="A147" t="str">
        <x:v>Another Christmas Gift - Christmas in March</x:v>
      </x:c>
    </x:row>
    <x:row r="148">
      <x:c r="A148" t="str">
        <x:v>Another Generic SMW Hack</x:v>
      </x:c>
    </x:row>
    <x:row r="149">
      <x:c r="A149" t="str">
        <x:v>Another Mario Adventure</x:v>
      </x:c>
    </x:row>
    <x:row r="150">
      <x:c r="A150" t="str">
        <x:v>Another Mario Hack</x:v>
      </x:c>
    </x:row>
    <x:row r="151">
      <x:c r="A151" t="str">
        <x:v>Another Mario Remastered</x:v>
      </x:c>
    </x:row>
    <x:row r="152">
      <x:c r="A152" t="str">
        <x:v>Another Mario Remastered 2 - HF Crismon</x:v>
      </x:c>
    </x:row>
    <x:row r="153">
      <x:c r="A153" t="str">
        <x:v>Another Mario World</x:v>
      </x:c>
    </x:row>
    <x:row r="154">
      <x:c r="A154" t="str">
        <x:v>Another Mario World 2: Luigi's Mission</x:v>
      </x:c>
    </x:row>
    <x:row r="155">
      <x:c r="A155" t="str">
        <x:v>Another Rom Hack Featuring Mario</x:v>
      </x:c>
    </x:row>
    <x:row r="156">
      <x:c r="A156" t="str">
        <x:v>Another Special World</x:v>
      </x:c>
    </x:row>
    <x:row r="157">
      <x:c r="A157" t="str">
        <x:v>Another Special World 2</x:v>
      </x:c>
    </x:row>
    <x:row r="158">
      <x:c r="A158" t="str">
        <x:v>Another Super Mario Adventure</x:v>
      </x:c>
    </x:row>
    <x:row r="159">
      <x:c r="A159" t="str">
        <x:v>Aperitif</x:v>
      </x:c>
    </x:row>
    <x:row r="160">
      <x:c r="A160" t="str">
        <x:v>App Strike</x:v>
      </x:c>
    </x:row>
    <x:row r="161">
      <x:c r="A161" t="str">
        <x:v>Apple Boy 2: Homebound Hero</x:v>
      </x:c>
    </x:row>
    <x:row r="162">
      <x:c r="A162" t="str">
        <x:v>Apple Boy: Attack of Ice Cream Man</x:v>
      </x:c>
    </x:row>
    <x:row r="163">
      <x:c r="A163" t="str">
        <x:v>Apple Guardian</x:v>
      </x:c>
    </x:row>
    <x:row r="164">
      <x:c r="A164" t="str">
        <x:v>Arantes Shells</x:v>
      </x:c>
    </x:row>
    <x:row r="165">
      <x:c r="A165" t="str">
        <x:v>Arcadia</x:v>
      </x:c>
    </x:row>
    <x:row r="166">
      <x:c r="A166" t="str">
        <x:v>Arcane Mario World</x:v>
      </x:c>
    </x:row>
    <x:row r="167">
      <x:c r="A167" t="str">
        <x:v>Archipelago of Truth Collection</x:v>
      </x:c>
    </x:row>
    <x:row r="168">
      <x:c r="A168" t="str">
        <x:v>Arcyria</x:v>
      </x:c>
    </x:row>
    <x:row r="169">
      <x:c r="A169" t="str">
        <x:v>Are The Enemies Smarter Than A Caveman?</x:v>
      </x:c>
    </x:row>
    <x:row r="170">
      <x:c r="A170" t="str">
        <x:v>Arkin</x:v>
      </x:c>
    </x:row>
    <x:row r="171">
      <x:c r="A171" t="str">
        <x:v>ARMAGEDDON</x:v>
      </x:c>
    </x:row>
    <x:row r="172">
      <x:c r="A172" t="str">
        <x:v>Armaidia</x:v>
      </x:c>
    </x:row>
    <x:row r="173">
      <x:c r="A173" t="str">
        <x:v>Assortment Of Wyverns</x:v>
      </x:c>
    </x:row>
    <x:row r="174">
      <x:c r="A174" t="str">
        <x:v>At Least The Music's Good</x:v>
      </x:c>
    </x:row>
    <x:row r="175">
      <x:c r="A175" t="str">
        <x:v>Athletic Plumber Twins</x:v>
      </x:c>
    </x:row>
    <x:row r="176">
      <x:c r="A176" t="str">
        <x:v>Attempt at a Normal Hack</x:v>
      </x:c>
    </x:row>
    <x:row r="177">
      <x:c r="A177" t="str">
        <x:v>Autumn</x:v>
      </x:c>
    </x:row>
    <x:row r="178">
      <x:c r="A178" t="str">
        <x:v>Autumn Hike (Demo)</x:v>
      </x:c>
    </x:row>
    <x:row r="179">
      <x:c r="A179" t="str">
        <x:v>Awesome Mario World</x:v>
      </x:c>
    </x:row>
    <x:row r="180">
      <x:c r="A180" t="str">
        <x:v>Awful Mario World</x:v>
      </x:c>
    </x:row>
    <x:row r="181">
      <x:c r="A181" t="str">
        <x:v>Ayashi Mario</x:v>
      </x:c>
    </x:row>
    <x:row r="182">
      <x:c r="A182" t="str">
        <x:v>Babby Builds Wevels</x:v>
      </x:c>
    </x:row>
    <x:row r="183">
      <x:c r="A183" t="str">
        <x:v>Baby Kaizo World</x:v>
      </x:c>
    </x:row>
    <x:row r="184">
      <x:c r="A184" t="str">
        <x:v>Baby Kaizo World 2</x:v>
      </x:c>
    </x:row>
    <x:row r="185">
      <x:c r="A185" t="str">
        <x:v>Back to the Classics</x:v>
      </x:c>
    </x:row>
    <x:row r="186">
      <x:c r="A186" t="str">
        <x:v>Back to the Green Hill</x:v>
      </x:c>
    </x:row>
    <x:row r="187">
      <x:c r="A187" t="str">
        <x:v>Backwards Mario World</x:v>
      </x:c>
    </x:row>
    <x:row r="188">
      <x:c r="A188" t="str">
        <x:v>Backyard Kaizo</x:v>
      </x:c>
    </x:row>
    <x:row r="189">
      <x:c r="A189" t="str">
        <x:v>Baker's Dozen</x:v>
      </x:c>
    </x:row>
    <x:row r="190">
      <x:c r="A190" t="str">
        <x:v>BALL BUSTER</x:v>
      </x:c>
    </x:row>
    <x:row r="191">
      <x:c r="A191" t="str">
        <x:v>Ball of Revenge</x:v>
      </x:c>
    </x:row>
    <x:row r="192">
      <x:c r="A192" t="str">
        <x:v>Banana Is Missing!</x:v>
      </x:c>
    </x:row>
    <x:row r="193">
      <x:c r="A193" t="str">
        <x:v>Banana's Quest</x:v>
      </x:c>
    </x:row>
    <x:row r="194">
      <x:c r="A194" t="str">
        <x:v>BanShell</x:v>
      </x:c>
    </x:row>
    <x:row r="195">
      <x:c r="A195" t="str">
        <x:v>Banzai Mario World</x:v>
      </x:c>
    </x:row>
    <x:row r="196">
      <x:c r="A196" t="str">
        <x:v>Banzai's Level Sampler</x:v>
      </x:c>
    </x:row>
    <x:row r="197">
      <x:c r="A197" t="str">
        <x:v>Baron of Shell</x:v>
      </x:c>
    </x:row>
    <x:row r="198">
      <x:c r="A198" t="str">
        <x:v>Basic Mario Hack</x:v>
      </x:c>
    </x:row>
    <x:row r="199">
      <x:c r="A199" t="str">
        <x:v>Basic Mario Hack 2 BETA</x:v>
      </x:c>
    </x:row>
    <x:row r="200">
      <x:c r="A200" t="str">
        <x:v>Bavario Bros.</x:v>
      </x:c>
    </x:row>
    <x:row r="201">
      <x:c r="A201" t="str">
        <x:v>Beach Park At Isla Blanca</x:v>
      </x:c>
    </x:row>
    <x:row r="202">
      <x:c r="A202" t="str">
        <x:v>Beachside Blitz</x:v>
      </x:c>
    </x:row>
    <x:row r="203">
      <x:c r="A203" t="str">
        <x:v>Bearded Comedy World</x:v>
      </x:c>
    </x:row>
    <x:row r="204">
      <x:c r="A204" t="str">
        <x:v>Bearded Comedy World 2 Demo</x:v>
      </x:c>
    </x:row>
    <x:row r="205">
      <x:c r="A205" t="str">
        <x:v>Beautiful (Not So) Dangerous</x:v>
      </x:c>
    </x:row>
    <x:row r="206">
      <x:c r="A206" t="str">
        <x:v>Beautiful Dangerous</x:v>
      </x:c>
    </x:row>
    <x:row r="207">
      <x:c r="A207" t="str">
        <x:v>BEES in Space!</x:v>
      </x:c>
    </x:row>
    <x:row r="208">
      <x:c r="A208" t="str">
        <x:v>Before The Shrooms Kick In</x:v>
      </x:c>
    </x:row>
    <x:row r="209">
      <x:c r="A209" t="str">
        <x:v>Beginning of the End</x:v>
      </x:c>
    </x:row>
    <x:row r="210">
      <x:c r="A210" t="str">
        <x:v>BeginningBrew - Super "Real" World</x:v>
      </x:c>
    </x:row>
    <x:row r="211">
      <x:c r="A211" t="str">
        <x:v>Beneath the Bottom of the Screen</x:v>
      </x:c>
    </x:row>
    <x:row r="212">
      <x:c r="A212" t="str">
        <x:v>BETO UNIVERSE</x:v>
      </x:c>
    </x:row>
    <x:row r="213">
      <x:c r="A213" t="str">
        <x:v>Beyond Beco World</x:v>
      </x:c>
    </x:row>
    <x:row r="214">
      <x:c r="A214" t="str">
        <x:v>Big Boo Gang</x:v>
      </x:c>
    </x:row>
    <x:row r="215">
      <x:c r="A215" t="str">
        <x:v>Big Boo's Revenge</x:v>
      </x:c>
    </x:row>
    <x:row r="216">
      <x:c r="A216" t="str">
        <x:v>Binary Perdition</x:v>
      </x:c>
    </x:row>
    <x:row r="217">
      <x:c r="A217" t="str">
        <x:v>Binary World</x:v>
      </x:c>
    </x:row>
    <x:row r="218">
      <x:c r="A218" t="str">
        <x:v>Biob's Challenge</x:v>
      </x:c>
    </x:row>
    <x:row r="219">
      <x:c r="A219" t="str">
        <x:v>Birola World</x:v>
      </x:c>
    </x:row>
    <x:row r="220">
      <x:c r="A220" t="str">
        <x:v>Bits and Pieces</x:v>
      </x:c>
    </x:row>
    <x:row r="221">
      <x:c r="A221" t="str">
        <x:v>Blackout Shells</x:v>
      </x:c>
    </x:row>
    <x:row r="222">
      <x:c r="A222" t="str">
        <x:v>BLACKOUT.exe</x:v>
      </x:c>
    </x:row>
    <x:row r="223">
      <x:c r="A223" t="str">
        <x:v>Blind Devil's Trip Back in Time</x:v>
      </x:c>
    </x:row>
    <x:row r="224">
      <x:c r="A224" t="str">
        <x:v>Blind Race: Lucky Pick</x:v>
      </x:c>
    </x:row>
    <x:row r="225">
      <x:c r="A225" t="str">
        <x:v>Blockreator Hack</x:v>
      </x:c>
    </x:row>
    <x:row r="226">
      <x:c r="A226" t="str">
        <x:v>Blocks and Hammers and Coins and Spikes</x:v>
      </x:c>
    </x:row>
    <x:row r="227">
      <x:c r="A227" t="str">
        <x:v>Blooper Stole My Cake</x:v>
      </x:c>
    </x:row>
    <x:row r="228">
      <x:c r="A228" t="str">
        <x:v>Blue World</x:v>
      </x:c>
    </x:row>
    <x:row r="229">
      <x:c r="A229" t="str">
        <x:v>Blue's Revenge</x:v>
      </x:c>
    </x:row>
    <x:row r="230">
      <x:c r="A230" t="str">
        <x:v>Bluerio's Adventure</x:v>
      </x:c>
    </x:row>
    <x:row r="231">
      <x:c r="A231" t="str">
        <x:v>Bluewater Kingdom</x:v>
      </x:c>
    </x:row>
    <x:row r="232">
      <x:c r="A232" t="str">
        <x:v>Bob's Adventure</x:v>
      </x:c>
    </x:row>
    <x:row r="233">
      <x:c r="A233" t="str">
        <x:v>BokoBoko 2  - no yaba (smw remaster)</x:v>
      </x:c>
    </x:row>
    <x:row r="234">
      <x:c r="A234" t="str">
        <x:v>BoliKa</x:v>
      </x:c>
    </x:row>
    <x:row r="235">
      <x:c r="A235" t="str">
        <x:v>Bomberman X</x:v>
      </x:c>
    </x:row>
    <x:row r="236">
      <x:c r="A236" t="str">
        <x:v>Bonni's Quest</x:v>
      </x:c>
    </x:row>
    <x:row r="237">
      <x:c r="A237" t="str">
        <x:v>Boogie Wonderland</x:v>
      </x:c>
    </x:row>
    <x:row r="238">
      <x:c r="A238" t="str">
        <x:v>Boon's Adventure</x:v>
      </x:c>
    </x:row>
    <x:row r="239">
      <x:c r="A239" t="str">
        <x:v>BooSide</x:v>
      </x:c>
    </x:row>
    <x:row r="240">
      <x:c r="A240" t="str">
        <x:v>BOOT IT UP</x:v>
      </x:c>
    </x:row>
    <x:row r="241">
      <x:c r="A241" t="str">
        <x:v>Borealis Sh'El</x:v>
      </x:c>
    </x:row>
    <x:row r="242">
      <x:c r="A242" t="str">
        <x:v>Boris</x:v>
      </x:c>
    </x:row>
    <x:row r="243">
      <x:c r="A243" t="str">
        <x:v>Bounceland: The Quest for The Holy Springboard</x:v>
      </x:c>
    </x:row>
    <x:row r="244">
      <x:c r="A244" t="str">
        <x:v>Bowser Forest</x:v>
      </x:c>
    </x:row>
    <x:row r="245">
      <x:c r="A245" t="str">
        <x:v>Bowser Jr's Adventure</x:v>
      </x:c>
    </x:row>
    <x:row r="246">
      <x:c r="A246" t="str">
        <x:v>Bowser Jr.'s Pirate Ship</x:v>
      </x:c>
    </x:row>
    <x:row r="247">
      <x:c r="A247" t="str">
        <x:v>Bowser Rampages Again</x:v>
      </x:c>
    </x:row>
    <x:row r="248">
      <x:c r="A248" t="str">
        <x:v>Bowser Rampages Again 2 - Peach Rampages Back!</x:v>
      </x:c>
    </x:row>
    <x:row r="249">
      <x:c r="A249" t="str">
        <x:v>Bowser Runis Marios Vaction</x:v>
      </x:c>
    </x:row>
    <x:row r="250">
      <x:c r="A250" t="str">
        <x:v>Bowser Stadium</x:v>
      </x:c>
    </x:row>
    <x:row r="251">
      <x:c r="A251" t="str">
        <x:v>Bowser Strikes Back</x:v>
      </x:c>
    </x:row>
    <x:row r="252">
      <x:c r="A252" t="str">
        <x:v>Bowser's Armada</x:v>
      </x:c>
    </x:row>
    <x:row r="253">
      <x:c r="A253" t="str">
        <x:v>Bowser's Casino</x:v>
      </x:c>
    </x:row>
    <x:row r="254">
      <x:c r="A254" t="str">
        <x:v>Bowser's Castle</x:v>
      </x:c>
    </x:row>
    <x:row r="255">
      <x:c r="A255" t="str">
        <x:v>Bowser's Castle 2</x:v>
      </x:c>
    </x:row>
    <x:row r="256">
      <x:c r="A256" t="str">
        <x:v>Bowser's Dangerous Castle 2</x:v>
      </x:c>
    </x:row>
    <x:row r="257">
      <x:c r="A257" t="str">
        <x:v>Bowser's Hideout</x:v>
      </x:c>
    </x:row>
    <x:row r="258">
      <x:c r="A258" t="str">
        <x:v>Bowser's Hideout 2</x:v>
      </x:c>
    </x:row>
    <x:row r="259">
      <x:c r="A259" t="str">
        <x:v>Bowser's Hideout Deluxe</x:v>
      </x:c>
    </x:row>
    <x:row r="260">
      <x:c r="A260" t="str">
        <x:v>Bowser's Kingdom</x:v>
      </x:c>
    </x:row>
    <x:row r="261">
      <x:c r="A261" t="str">
        <x:v>Bowser's Plan Part One: Alternate World</x:v>
      </x:c>
    </x:row>
    <x:row r="262">
      <x:c r="A262" t="str">
        <x:v>Bowser's Revenge</x:v>
      </x:c>
    </x:row>
    <x:row r="263">
      <x:c r="A263" t="str">
        <x:v>Bowser's Revenge 2</x:v>
      </x:c>
    </x:row>
    <x:row r="264">
      <x:c r="A264" t="str">
        <x:v>Bowser's Revenge 3</x:v>
      </x:c>
    </x:row>
    <x:row r="265">
      <x:c r="A265" t="str">
        <x:v>Bowser's Revenge 4</x:v>
      </x:c>
    </x:row>
    <x:row r="266">
      <x:c r="A266" t="str">
        <x:v>Bowser's Time Machine</x:v>
      </x:c>
    </x:row>
    <x:row r="267">
      <x:c r="A267" t="str">
        <x:v>Box of Shadows</x:v>
      </x:c>
    </x:row>
    <x:row r="268">
      <x:c r="A268" t="str">
        <x:v>Brave New World</x:v>
      </x:c>
    </x:row>
    <x:row r="269">
      <x:c r="A269" t="str">
        <x:v>Brave New World 2</x:v>
      </x:c>
    </x:row>
    <x:row r="270">
      <x:c r="A270" t="str">
        <x:v>Bread World</x:v>
      </x:c>
    </x:row>
    <x:row r="271">
      <x:c r="A271" t="str">
        <x:v>Breakfast Kaizo 2: Elevensies</x:v>
      </x:c>
    </x:row>
    <x:row r="272">
      <x:c r="A272" t="str">
        <x:v>Breaking SMW</x:v>
      </x:c>
    </x:row>
    <x:row r="273">
      <x:c r="A273" t="str">
        <x:v>Briefly12 World</x:v>
      </x:c>
    </x:row>
    <x:row r="274">
      <x:c r="A274" t="str">
        <x:v>BRMVR</x:v>
      </x:c>
    </x:row>
    <x:row r="275">
      <x:c r="A275" t="str">
        <x:v>Bro's Adventure</x:v>
      </x:c>
    </x:row>
    <x:row r="276">
      <x:c r="A276" t="str">
        <x:v>Broken Shell</x:v>
      </x:c>
    </x:row>
    <x:row r="277">
      <x:c r="A277" t="str">
        <x:v>Brothermen</x:v>
      </x:c>
    </x:row>
    <x:row r="278">
      <x:c r="A278" t="str">
        <x:v>Brutal Bunny</x:v>
      </x:c>
    </x:row>
    <x:row r="279">
      <x:c r="A279" t="str">
        <x:v>Brutal Mario</x:v>
      </x:c>
    </x:row>
    <x:row r="280">
      <x:c r="A280" t="str">
        <x:v>Buddy Shell</x:v>
      </x:c>
    </x:row>
    <x:row r="281">
      <x:c r="A281" t="str">
        <x:v>Buddy Shell 2</x:v>
      </x:c>
    </x:row>
    <x:row r="282">
      <x:c r="A282" t="str">
        <x:v>Buddy Shell 2 REDUX</x:v>
      </x:c>
    </x:row>
    <x:row r="283">
      <x:c r="A283" t="str">
        <x:v>Bullymario's New Super Mario World</x:v>
      </x:c>
    </x:row>
    <x:row r="284">
      <x:c r="A284" t="str">
        <x:v>Bunbun 3</x:v>
      </x:c>
    </x:row>
    <x:row r="285">
      <x:c r="A285" t="str">
        <x:v>Bunbun World</x:v>
      </x:c>
    </x:row>
    <x:row r="286">
      <x:c r="A286" t="str">
        <x:v>Bunbun World 2</x:v>
      </x:c>
    </x:row>
    <x:row r="287">
      <x:c r="A287" t="str">
        <x:v>Burning Star</x:v>
      </x:c>
    </x:row>
    <x:row r="288">
      <x:c r="A288" t="str">
        <x:v>Burning Star 2 Deluxe</x:v>
      </x:c>
    </x:row>
    <x:row r="289">
      <x:c r="A289" t="str">
        <x:v>Burrito Rings</x:v>
      </x:c>
    </x:row>
    <x:row r="290">
      <x:c r="A290" t="str">
        <x:v>BUTT GRAVY</x:v>
      </x:c>
    </x:row>
    <x:row r="291">
      <x:c r="A291" t="str">
        <x:v>Buzzed</x:v>
      </x:c>
    </x:row>
    <x:row r="292">
      <x:c r="A292" t="str">
        <x:v>Buzzy's World Tour</x:v>
      </x:c>
    </x:row>
    <x:row r="293">
      <x:c r="A293" t="str">
        <x:v>By The Harvest Moon</x:v>
      </x:c>
    </x:row>
    <x:row r="294">
      <x:c r="A294" t="str">
        <x:v>Cacaphonic Chrysalis</x:v>
      </x:c>
    </x:row>
    <x:row r="295">
      <x:c r="A295" t="str">
        <x:v>Cadaverous Chains</x:v>
      </x:c>
    </x:row>
    <x:row r="296">
      <x:c r="A296" t="str">
        <x:v>Can't Stop Won't Stop</x:v>
      </x:c>
    </x:row>
    <x:row r="297">
      <x:c r="A297" t="str">
        <x:v>Candy Shop</x:v>
      </x:c>
    </x:row>
    <x:row r="298">
      <x:c r="A298" t="str">
        <x:v>Candy Shop - Light Edition</x:v>
      </x:c>
    </x:row>
    <x:row r="299">
      <x:c r="A299" t="str">
        <x:v>Cangrejo Kaizo Land</x:v>
      </x:c>
    </x:row>
    <x:row r="300">
      <x:c r="A300" t="str">
        <x:v>Cape is Good</x:v>
      </x:c>
    </x:row>
    <x:row r="301">
      <x:c r="A301" t="str">
        <x:v>Capirotada Land</x:v>
      </x:c>
    </x:row>
    <x:row r="302">
      <x:c r="A302" t="str">
        <x:v>Capirotada Land 2: Meta Knight's Intervention</x:v>
      </x:c>
    </x:row>
    <x:row r="303">
      <x:c r="A303" t="str">
        <x:v>Captain Barry's Treasure</x:v>
      </x:c>
    </x:row>
    <x:row r="304">
      <x:c r="A304" t="str">
        <x:v>Captain Toad treasure tracker for snes</x:v>
      </x:c>
    </x:row>
    <x:row r="305">
      <x:c r="A305" t="str">
        <x:v>Captain Toad Treasure Tracker for SNES II</x:v>
      </x:c>
    </x:row>
    <x:row r="306">
      <x:c r="A306" t="str">
        <x:v>Capture That Cake!</x:v>
      </x:c>
    </x:row>
    <x:row r="307">
      <x:c r="A307" t="str">
        <x:v>Carl vs Juz: Carl's Toilet</x:v>
      </x:c>
    </x:row>
    <x:row r="308">
      <x:c r="A308" t="str">
        <x:v>Carl vs Juz: Juzt Desserts</x:v>
      </x:c>
    </x:row>
    <x:row r="309">
      <x:c r="A309" t="str">
        <x:v>Cartuchito World</x:v>
      </x:c>
    </x:row>
    <x:row r="310">
      <x:c r="A310" t="str">
        <x:v>Casio Mario World</x:v>
      </x:c>
    </x:row>
    <x:row r="311">
      <x:c r="A311" t="str">
        <x:v>Castle of Terror 3</x:v>
      </x:c>
    </x:row>
    <x:row r="312">
      <x:c r="A312" t="str">
        <x:v>Castle of Time</x:v>
      </x:c>
    </x:row>
    <x:row r="313">
      <x:c r="A313" t="str">
        <x:v>Castlemania</x:v>
      </x:c>
    </x:row>
    <x:row r="314">
      <x:c r="A314" t="str">
        <x:v>Castlemania - REVAMPED</x:v>
      </x:c>
    </x:row>
    <x:row r="315">
      <x:c r="A315" t="str">
        <x:v>Castlemania II</x:v>
      </x:c>
    </x:row>
    <x:row r="316">
      <x:c r="A316" t="str">
        <x:v>Castlemania II - REVAMPED</x:v>
      </x:c>
    </x:row>
    <x:row r="317">
      <x:c r="A317" t="str">
        <x:v>CATACLYSM</x:v>
      </x:c>
    </x:row>
    <x:row r="318">
      <x:c r="A318" t="str">
        <x:v>Cave Escape</x:v>
      </x:c>
    </x:row>
    <x:row r="319">
      <x:c r="A319" t="str">
        <x:v>Caveat Emptor 2</x:v>
      </x:c>
    </x:row>
    <x:row r="320">
      <x:c r="A320" t="str">
        <x:v>Cazeaje World</x:v>
      </x:c>
    </x:row>
    <x:row r="321">
      <x:c r="A321" t="str">
        <x:v>Celery</x:v>
      </x:c>
    </x:row>
    <x:row r="322">
      <x:c r="A322" t="str">
        <x:v>Celeste.smc</x:v>
      </x:c>
    </x:row>
    <x:row r="323">
      <x:c r="A323" t="str">
        <x:v>Chain Reaction</x:v>
      </x:c>
    </x:row>
    <x:row r="324">
      <x:c r="A324" t="str">
        <x:v>Chain Reaction 2</x:v>
      </x:c>
    </x:row>
    <x:row r="325">
      <x:c r="A325" t="str">
        <x:v>Chaos Chronicles</x:v>
      </x:c>
    </x:row>
    <x:row r="326">
      <x:c r="A326" t="str">
        <x:v>Chaos CompleXX</x:v>
      </x:c>
    </x:row>
    <x:row r="327">
      <x:c r="A327" t="str">
        <x:v>Chaotic Realm</x:v>
      </x:c>
    </x:row>
    <x:row r="328">
      <x:c r="A328" t="str">
        <x:v>Cheap &amp; Nasty</x:v>
      </x:c>
    </x:row>
    <x:row r="329">
      <x:c r="A329" t="str">
        <x:v>Cheep Cheep Challenge</x:v>
      </x:c>
    </x:row>
    <x:row r="330">
      <x:c r="A330" t="str">
        <x:v>Cheese Island</x:v>
      </x:c>
    </x:row>
    <x:row r="331">
      <x:c r="A331" t="str">
        <x:v>CHI</x:v>
      </x:c>
    </x:row>
    <x:row r="332">
      <x:c r="A332" t="str">
        <x:v>Chicanery</x:v>
      </x:c>
    </x:row>
    <x:row r="333">
      <x:c r="A333" t="str">
        <x:v>Chicanery Beginner Edition</x:v>
      </x:c>
    </x:row>
    <x:row r="334">
      <x:c r="A334" t="str">
        <x:v>Chirality</x:v>
      </x:c>
    </x:row>
    <x:row r="335">
      <x:c r="A335" t="str">
        <x:v>Choco COLLAB - MaSeHiHa 2</x:v>
      </x:c>
    </x:row>
    <x:row r="336">
      <x:c r="A336" t="str">
        <x:v>Chocolate Flavour!</x:v>
      </x:c>
    </x:row>
    <x:row r="337">
      <x:c r="A337" t="str">
        <x:v>Chocolate Sunday</x:v>
      </x:c>
    </x:row>
    <x:row r="338">
      <x:c r="A338" t="str">
        <x:v>Choconilla Kaizo Island</x:v>
      </x:c>
    </x:row>
    <x:row r="339">
      <x:c r="A339" t="str">
        <x:v>Chomp's Coin Hunt</x:v>
      </x:c>
    </x:row>
    <x:row r="340">
      <x:c r="A340" t="str">
        <x:v>Chopped N' Screwed</x:v>
      </x:c>
    </x:row>
    <x:row r="341">
      <x:c r="A341" t="str">
        <x:v>Christmas Balls</x:v>
      </x:c>
    </x:row>
    <x:row r="342">
      <x:c r="A342" t="str">
        <x:v>Christmas Hack</x:v>
      </x:c>
    </x:row>
    <x:row r="343">
      <x:c r="A343" t="str">
        <x:v>Christmas Island</x:v>
      </x:c>
    </x:row>
    <x:row r="344">
      <x:c r="A344" t="str">
        <x:v>Christmas Island 2</x:v>
      </x:c>
    </x:row>
    <x:row r="345">
      <x:c r="A345" t="str">
        <x:v>Christmas Puzzle</x:v>
      </x:c>
    </x:row>
    <x:row r="346">
      <x:c r="A346" t="str">
        <x:v>Chronoclasm</x:v>
      </x:c>
    </x:row>
    <x:row r="347">
      <x:c r="A347" t="str">
        <x:v>Chrysalis</x:v>
      </x:c>
    </x:row>
    <x:row r="348">
      <x:c r="A348" t="str">
        <x:v>Chuck Must Die</x:v>
      </x:c>
    </x:row>
    <x:row r="349">
      <x:c r="A349" t="str">
        <x:v>Cinnamon Hills</x:v>
      </x:c>
    </x:row>
    <x:row r="350">
      <x:c r="A350" t="str">
        <x:v>Classic Mario</x:v>
      </x:c>
    </x:row>
    <x:row r="351">
      <x:c r="A351" t="str">
        <x:v>Classic Mario World 2: The Great Alliance</x:v>
      </x:c>
    </x:row>
    <x:row r="352">
      <x:c r="A352" t="str">
        <x:v>Classic Mario World 3: The Finale</x:v>
      </x:c>
    </x:row>
    <x:row r="353">
      <x:c r="A353" t="str">
        <x:v>Classic Mario World: The Magical Crystals</x:v>
      </x:c>
    </x:row>
    <x:row r="354">
      <x:c r="A354" t="str">
        <x:v>Classic's Super Mario Brothers</x:v>
      </x:c>
    </x:row>
    <x:row r="355">
      <x:c r="A355" t="str">
        <x:v>Claustrophobia</x:v>
      </x:c>
    </x:row>
    <x:row r="356">
      <x:c r="A356" t="str">
        <x:v>Climb The Tower</x:v>
      </x:c>
    </x:row>
    <x:row r="357">
      <x:c r="A357" t="str">
        <x:v>Coffee &amp; TV</x:v>
      </x:c>
    </x:row>
    <x:row r="358">
      <x:c r="A358" t="str">
        <x:v>Coldsweat and Tears</x:v>
      </x:c>
    </x:row>
    <x:row r="359">
      <x:c r="A359" t="str">
        <x:v>COLLAB</x:v>
      </x:c>
    </x:row>
    <x:row r="360">
      <x:c r="A360" t="str">
        <x:v>Collection</x:v>
      </x:c>
    </x:row>
    <x:row r="361">
      <x:c r="A361" t="str">
        <x:v>ColonThree</x:v>
      </x:c>
    </x:row>
    <x:row r="362">
      <x:c r="A362" t="str">
        <x:v>COLORS 2</x:v>
      </x:c>
    </x:row>
    <x:row r="363">
      <x:c r="A363" t="str">
        <x:v>Colors [SMWC #28250]</x:v>
      </x:c>
    </x:row>
    <x:row r="364">
      <x:c r="A364" t="str">
        <x:v>COLORS [SMWC #6095]</x:v>
      </x:c>
    </x:row>
    <x:row r="365">
      <x:c r="A365" t="str">
        <x:v>Colossus</x:v>
      </x:c>
    </x:row>
    <x:row r="366">
      <x:c r="A366" t="str">
        <x:v>Combo Breaker</x:v>
      </x:c>
    </x:row>
    <x:row r="367">
      <x:c r="A367" t="str">
        <x:v>Combo Killer: Ultra Alpha Turbo HD Remix, Arcade Edition</x:v>
      </x:c>
    </x:row>
    <x:row r="368">
      <x:c r="A368" t="str">
        <x:v>Comfort Zone</x:v>
      </x:c>
    </x:row>
    <x:row r="369">
      <x:c r="A369" t="str">
        <x:v>Commuter</x:v>
      </x:c>
    </x:row>
    <x:row r="370">
      <x:c r="A370" t="str">
        <x:v>Contest Maniac</x:v>
      </x:c>
    </x:row>
    <x:row r="371">
      <x:c r="A371" t="str">
        <x:v>Cool (Speedrun!)</x:v>
      </x:c>
    </x:row>
    <x:row r="372">
      <x:c r="A372" t="str">
        <x:v>Cool or Cruel Stage 12 - Tubular</x:v>
      </x:c>
    </x:row>
    <x:row r="373">
      <x:c r="A373" t="str">
        <x:v>Cool Zone</x:v>
      </x:c>
    </x:row>
    <x:row r="374">
      <x:c r="A374" t="str">
        <x:v>Copy and Paste</x:v>
      </x:c>
    </x:row>
    <x:row r="375">
      <x:c r="A375" t="str">
        <x:v>Coriolis</x:v>
      </x:c>
    </x:row>
    <x:row r="376">
      <x:c r="A376" t="str">
        <x:v>Cornucopia of Kaizo</x:v>
      </x:c>
    </x:row>
    <x:row r="377">
      <x:c r="A377" t="str">
        <x:v>Cosmic Expedition</x:v>
      </x:c>
    </x:row>
    <x:row r="378">
      <x:c r="A378" t="str">
        <x:v>CowaBunga</x:v>
      </x:c>
    </x:row>
    <x:row r="379">
      <x:c r="A379" t="str">
        <x:v>Crab Shells</x:v>
      </x:c>
    </x:row>
    <x:row r="380">
      <x:c r="A380" t="str">
        <x:v>Crash Bandicoot and the Retro Dimension</x:v>
      </x:c>
    </x:row>
    <x:row r="381">
      <x:c r="A381" t="str">
        <x:v>Crash Bandicoot and the Retro Dimension 2 - The Crystal Hunt</x:v>
      </x:c>
    </x:row>
    <x:row r="382">
      <x:c r="A382" t="str">
        <x:v>Critter Quest</x:v>
      </x:c>
    </x:row>
    <x:row r="383">
      <x:c r="A383" t="str">
        <x:v>Critter Quest Jr</x:v>
      </x:c>
    </x:row>
    <x:row r="384">
      <x:c r="A384" t="str">
        <x:v>CroNos Trigger</x:v>
      </x:c>
    </x:row>
    <x:row r="385">
      <x:c r="A385" t="str">
        <x:v>Crossfire</x:v>
      </x:c>
    </x:row>
    <x:row r="386">
      <x:c r="A386" t="str">
        <x:v>Cruisy</x:v>
      </x:c>
    </x:row>
    <x:row r="387">
      <x:c r="A387" t="str">
        <x:v>Cube´s Kaizo World</x:v>
      </x:c>
    </x:row>
    <x:row r="388">
      <x:c r="A388" t="str">
        <x:v>Cube´s Kaizo World 2</x:v>
      </x:c>
    </x:row>
    <x:row r="389">
      <x:c r="A389" t="str">
        <x:v>Cube´s Kaizo World 3</x:v>
      </x:c>
    </x:row>
    <x:row r="390">
      <x:c r="A390" t="str">
        <x:v>Cube´s Kaizo World 4</x:v>
      </x:c>
    </x:row>
    <x:row r="391">
      <x:c r="A391" t="str">
        <x:v>Cube´s Kaizo World 5</x:v>
      </x:c>
    </x:row>
    <x:row r="392">
      <x:c r="A392" t="str">
        <x:v>Cute as Shell</x:v>
      </x:c>
    </x:row>
    <x:row r="393">
      <x:c r="A393" t="str">
        <x:v>Cute Kaizo World</x:v>
      </x:c>
    </x:row>
    <x:row r="394">
      <x:c r="A394" t="str">
        <x:v>Cuter Kaizo World</x:v>
      </x:c>
    </x:row>
    <x:row r="395">
      <x:c r="A395" t="str">
        <x:v>Cygnus</x:v>
      </x:c>
    </x:row>
    <x:row r="396">
      <x:c r="A396" t="str">
        <x:v>D.O.L.L.S.</x:v>
      </x:c>
    </x:row>
    <x:row r="397">
      <x:c r="A397" t="str">
        <x:v>DADDY</x:v>
      </x:c>
    </x:row>
    <x:row r="398">
      <x:c r="A398" t="str">
        <x:v>Daemon Land</x:v>
      </x:c>
    </x:row>
    <x:row r="399">
      <x:c r="A399" t="str">
        <x:v>Daemon Land 2</x:v>
      </x:c>
    </x:row>
    <x:row r="400">
      <x:c r="A400" t="str">
        <x:v>Daemon Land 3</x:v>
      </x:c>
    </x:row>
    <x:row r="401">
      <x:c r="A401" t="str">
        <x:v>Daisy's Crazy Adventure</x:v>
      </x:c>
    </x:row>
    <x:row r="402">
      <x:c r="A402" t="str">
        <x:v>Dancer to a Discordant System</x:v>
      </x:c>
    </x:row>
    <x:row r="403">
      <x:c r="A403" t="str">
        <x:v>Danmaku Mario World</x:v>
      </x:c>
    </x:row>
    <x:row r="404">
      <x:c r="A404" t="str">
        <x:v>Dark Shelly World</x:v>
      </x:c>
    </x:row>
    <x:row r="405">
      <x:c r="A405" t="str">
        <x:v>Darkside 2</x:v>
      </x:c>
    </x:row>
    <x:row r="406">
      <x:c r="A406" t="str">
        <x:v>Darkstar</x:v>
      </x:c>
    </x:row>
    <x:row r="407">
      <x:c r="A407" t="str">
        <x:v>Day at the races</x:v>
      </x:c>
    </x:row>
    <x:row r="408">
      <x:c r="A408" t="str">
        <x:v>Day At The Turkey Races</x:v>
      </x:c>
    </x:row>
    <x:row r="409">
      <x:c r="A409" t="str">
        <x:v>Day In The Life</x:v>
      </x:c>
    </x:row>
    <x:row r="410">
      <x:c r="A410" t="str">
        <x:v>Day of the Muncher</x:v>
      </x:c>
    </x:row>
    <x:row r="411">
      <x:c r="A411" t="str">
        <x:v>Daymaker: Release From Doomsday</x:v>
      </x:c>
    </x:row>
    <x:row r="412">
      <x:c r="A412" t="str">
        <x:v>Dead Man's Quest - Vagabond to Phantlore Island</x:v>
      </x:c>
    </x:row>
    <x:row r="413">
      <x:c r="A413" t="str">
        <x:v>Dead-Man Mario World</x:v>
      </x:c>
    </x:row>
    <x:row r="414">
      <x:c r="A414" t="str">
        <x:v>Dearly Detested</x:v>
      </x:c>
    </x:row>
    <x:row r="415">
      <x:c r="A415" t="str">
        <x:v>Death of a Plumber</x:v>
      </x:c>
    </x:row>
    <x:row r="416">
      <x:c r="A416" t="str">
        <x:v>Death Zone</x:v>
      </x:c>
    </x:row>
    <x:row r="417">
      <x:c r="A417" t="str">
        <x:v>Deathshredder</x:v>
      </x:c>
    </x:row>
    <x:row r="418">
      <x:c r="A418" t="str">
        <x:v>DeClock Mario World Remastered</x:v>
      </x:c>
    </x:row>
    <x:row r="419">
      <x:c r="A419" t="str">
        <x:v>Deep In The Island</x:v>
      </x:c>
    </x:row>
    <x:row r="420">
      <x:c r="A420" t="str">
        <x:v>DeepDreamWorld</x:v>
      </x:c>
    </x:row>
    <x:row r="421">
      <x:c r="A421" t="str">
        <x:v>DEEZ shells</x:v>
      </x:c>
    </x:row>
    <x:row r="422">
      <x:c r="A422" t="str">
        <x:v>Deja Vu</x:v>
      </x:c>
    </x:row>
    <x:row r="423">
      <x:c r="A423" t="str">
        <x:v>Delirious Mario</x:v>
      </x:c>
    </x:row>
    <x:row r="424">
      <x:c r="A424" t="str">
        <x:v>Delirium</x:v>
      </x:c>
    </x:row>
    <x:row r="425">
      <x:c r="A425" t="str">
        <x:v>Demonsul's Fortress</x:v>
      </x:c>
    </x:row>
    <x:row r="426">
      <x:c r="A426" t="str">
        <x:v>Denali's Tail</x:v>
      </x:c>
    </x:row>
    <x:row r="427">
      <x:c r="A427" t="str">
        <x:v>Desert Traveling</x:v>
      </x:c>
    </x:row>
    <x:row r="428">
      <x:c r="A428" t="str">
        <x:v>Devil's Asylum</x:v>
      </x:c>
    </x:row>
    <x:row r="429">
      <x:c r="A429" t="str">
        <x:v>Diffidence</x:v>
      </x:c>
    </x:row>
    <x:row r="430">
      <x:c r="A430" t="str">
        <x:v>Digital Rage World</x:v>
      </x:c>
    </x:row>
    <x:row r="431">
      <x:c r="A431" t="str">
        <x:v>Dim Spirits: In-Blood - Complete Edition</x:v>
      </x:c>
    </x:row>
    <x:row r="432">
      <x:c r="A432" t="str">
        <x:v>DINGS</x:v>
      </x:c>
    </x:row>
    <x:row r="433">
      <x:c r="A433" t="str">
        <x:v>Dininho World</x:v>
      </x:c>
    </x:row>
    <x:row r="434">
      <x:c r="A434" t="str">
        <x:v>Dinomar: Adventure of a SMWCentral User</x:v>
      </x:c>
    </x:row>
    <x:row r="435">
      <x:c r="A435" t="str">
        <x:v>Disk Defrag</x:v>
      </x:c>
    </x:row>
    <x:row r="436">
      <x:c r="A436" t="str">
        <x:v>Do The Mario</x:v>
      </x:c>
    </x:row>
    <x:row r="437">
      <x:c r="A437" t="str">
        <x:v>domenyX Christmas</x:v>
      </x:c>
    </x:row>
    <x:row r="438">
      <x:c r="A438" t="str">
        <x:v>domenyX Generations</x:v>
      </x:c>
    </x:row>
    <x:row r="439">
      <x:c r="A439" t="str">
        <x:v>domenyX vs Coronavirus</x:v>
      </x:c>
    </x:row>
    <x:row r="440">
      <x:c r="A440" t="str">
        <x:v>domenyX: Trouble in Paradise</x:v>
      </x:c>
    </x:row>
    <x:row r="441">
      <x:c r="A441" t="str">
        <x:v>Don't Dig Down</x:v>
      </x:c>
    </x:row>
    <x:row r="442">
      <x:c r="A442" t="str">
        <x:v>Don't Panic</x:v>
      </x:c>
    </x:row>
    <x:row r="443">
      <x:c r="A443" t="str">
        <x:v>Don't Spare the Horses</x:v>
      </x:c>
    </x:row>
    <x:row r="444">
      <x:c r="A444" t="str">
        <x:v>Dongs! The Hack</x:v>
      </x:c>
    </x:row>
    <x:row r="445">
      <x:c r="A445" t="str">
        <x:v>Donkey Kong 2: The Rise of Jumpman!</x:v>
      </x:c>
    </x:row>
    <x:row r="446">
      <x:c r="A446" t="str">
        <x:v>Donkey Kong 3: Another Rise!</x:v>
      </x:c>
    </x:row>
    <x:row r="447">
      <x:c r="A447" t="str">
        <x:v>Donkey Kong 4: Rise and Repeat</x:v>
      </x:c>
    </x:row>
    <x:row r="448">
      <x:c r="A448" t="str">
        <x:v>Doodlebob's Revenge</x:v>
      </x:c>
    </x:row>
    <x:row r="449">
      <x:c r="A449" t="str">
        <x:v>Doomscroll</x:v>
      </x:c>
    </x:row>
    <x:row r="450">
      <x:c r="A450" t="str">
        <x:v>Dooooors</x:v>
      </x:c>
    </x:row>
    <x:row r="451">
      <x:c r="A451" t="str">
        <x:v>Doopliss Revenge</x:v>
      </x:c>
    </x:row>
    <x:row r="452">
      <x:c r="A452" t="str">
        <x:v>Doro Chill</x:v>
      </x:c>
    </x:row>
    <x:row r="453">
      <x:c r="A453" t="str">
        <x:v>Doro Kaizo</x:v>
      </x:c>
    </x:row>
    <x:row r="454">
      <x:c r="A454" t="str">
        <x:v>Double Jump Man</x:v>
      </x:c>
    </x:row>
    <x:row r="455">
      <x:c r="A455" t="str">
        <x:v>Dr. Mario World Redrawn</x:v>
      </x:c>
    </x:row>
    <x:row r="456">
      <x:c r="A456" t="str">
        <x:v>Dreadshredder</x:v>
      </x:c>
    </x:row>
    <x:row r="457">
      <x:c r="A457" t="str">
        <x:v>Dream Collider</x:v>
      </x:c>
    </x:row>
    <x:row r="458">
      <x:c r="A458" t="str">
        <x:v>Dream Eater</x:v>
      </x:c>
    </x:row>
    <x:row r="459">
      <x:c r="A459" t="str">
        <x:v>Dreams</x:v>
      </x:c>
    </x:row>
    <x:row r="460">
      <x:c r="A460" t="str">
        <x:v>Dreza Demo 1st Public Release</x:v>
      </x:c>
    </x:row>
    <x:row r="461">
      <x:c r="A461" t="str">
        <x:v>Drive the Desert Bus</x:v>
      </x:c>
    </x:row>
    <x:row r="462">
      <x:c r="A462" t="str">
        <x:v>Drkrdnk World</x:v>
      </x:c>
    </x:row>
    <x:row r="463">
      <x:c r="A463" t="str">
        <x:v>Duck Island</x:v>
      </x:c>
    </x:row>
    <x:row r="464">
      <x:c r="A464" t="str">
        <x:v>Duck Season</x:v>
      </x:c>
    </x:row>
    <x:row r="465">
      <x:c r="A465" t="str">
        <x:v>dumb</x:v>
      </x:c>
    </x:row>
    <x:row r="466">
      <x:c r="A466" t="str">
        <x:v>Dusty Shells</x:v>
      </x:c>
    </x:row>
    <x:row r="467">
      <x:c r="A467" t="str">
        <x:v>Dynamic Mario</x:v>
      </x:c>
    </x:row>
    <x:row r="468">
      <x:c r="A468" t="str">
        <x:v>Dynasty's Choconilla Seasons Hack</x:v>
      </x:c>
    </x:row>
    <x:row r="469">
      <x:c r="A469" t="str">
        <x:v>Dysphoria</x:v>
      </x:c>
    </x:row>
    <x:row r="470">
      <x:c r="A470" t="str">
        <x:v>Easy One Screen Puzzle</x:v>
      </x:c>
    </x:row>
    <x:row r="471">
      <x:c r="A471" t="str">
        <x:v>Easy Two Screen Puzzle</x:v>
      </x:c>
    </x:row>
    <x:row r="472">
      <x:c r="A472" t="str">
        <x:v>Easyland</x:v>
      </x:c>
    </x:row>
    <x:row r="473">
      <x:c r="A473" t="str">
        <x:v>Easyland 2</x:v>
      </x:c>
    </x:row>
    <x:row r="474">
      <x:c r="A474" t="str">
        <x:v>Easyland 3</x:v>
      </x:c>
    </x:row>
    <x:row r="475">
      <x:c r="A475" t="str">
        <x:v>echoestopia</x:v>
      </x:c>
    </x:row>
    <x:row r="476">
      <x:c r="A476" t="str">
        <x:v>Eclectic Shell</x:v>
      </x:c>
    </x:row>
    <x:row r="477">
      <x:c r="A477" t="str">
        <x:v>EF Land</x:v>
      </x:c>
    </x:row>
    <x:row r="478">
      <x:c r="A478" t="str">
        <x:v>Effortworld</x:v>
      </x:c>
    </x:row>
    <x:row r="479">
      <x:c r="A479" t="str">
        <x:v>EGO WORLD</x:v>
      </x:c>
    </x:row>
    <x:row r="480">
      <x:c r="A480" t="str">
        <x:v>Eh</x:v>
      </x:c>
    </x:row>
    <x:row r="481">
      <x:c r="A481" t="str">
        <x:v>Eidolon</x:v>
      </x:c>
    </x:row>
    <x:row r="482">
      <x:c r="A482" t="str">
        <x:v>Eikro: The Children of Darloum</x:v>
      </x:c>
    </x:row>
    <x:row r="483">
      <x:c r="A483" t="str">
        <x:v>El Dorado</x:v>
      </x:c>
    </x:row>
    <x:row r="484">
      <x:c r="A484" t="str">
        <x:v>Electra</x:v>
      </x:c>
    </x:row>
    <x:row r="485">
      <x:c r="A485" t="str">
        <x:v>Elephants and Snakes and Crocodiles</x:v>
      </x:c>
    </x:row>
    <x:row r="486">
      <x:c r="A486" t="str">
        <x:v>Elysium Shells</x:v>
      </x:c>
    </x:row>
    <x:row r="487">
      <x:c r="A487" t="str">
        <x:v>Empyrean</x:v>
      </x:c>
    </x:row>
    <x:row r="488">
      <x:c r="A488" t="str">
        <x:v>Endeavor</x:v>
      </x:c>
    </x:row>
    <x:row r="489">
      <x:c r="A489" t="str">
        <x:v>Enter the Gizzverse</x:v>
      </x:c>
    </x:row>
    <x:row r="490">
      <x:c r="A490" t="str">
        <x:v>Enter the Void</x:v>
      </x:c>
    </x:row>
    <x:row r="491">
      <x:c r="A491" t="str">
        <x:v>Entropy</x:v>
      </x:c>
    </x:row>
    <x:row r="492">
      <x:c r="A492" t="str">
        <x:v>EP</x:v>
      </x:c>
    </x:row>
    <x:row r="493">
      <x:c r="A493" t="str">
        <x:v>Epic Gamer World</x:v>
      </x:c>
    </x:row>
    <x:row r="494">
      <x:c r="A494" t="str">
        <x:v>Epiphany</x:v>
      </x:c>
    </x:row>
    <x:row r="495">
      <x:c r="A495" t="str">
        <x:v>Eroi del passato</x:v>
      </x:c>
    </x:row>
    <x:row r="496">
      <x:c r="A496" t="str">
        <x:v>Escape from Kudzu Planet</x:v>
      </x:c>
    </x:row>
    <x:row r="497">
      <x:c r="A497" t="str">
        <x:v>ESCAPE FROM LA PLUME</x:v>
      </x:c>
    </x:row>
    <x:row r="498">
      <x:c r="A498" t="str">
        <x:v>Eternal Mario World</x:v>
      </x:c>
    </x:row>
    <x:row r="499">
      <x:c r="A499" t="str">
        <x:v>Eternal Nightfall</x:v>
      </x:c>
    </x:row>
    <x:row r="500">
      <x:c r="A500" t="str">
        <x:v>Eudaimonia</x:v>
      </x:c>
    </x:row>
    <x:row r="501">
      <x:c r="A501" t="str">
        <x:v>Euphoria Isle</x:v>
      </x:c>
    </x:row>
    <x:row r="502">
      <x:c r="A502" t="str">
        <x:v>EVERY LEVEL IGGY!</x:v>
      </x:c>
    </x:row>
    <x:row r="503">
      <x:c r="A503" t="str">
        <x:v>EVERY LEVEL LEMMY!</x:v>
      </x:c>
    </x:row>
    <x:row r="504">
      <x:c r="A504" t="str">
        <x:v>EVERY LEVEL LUDWIG!</x:v>
      </x:c>
    </x:row>
    <x:row r="505">
      <x:c r="A505" t="str">
        <x:v>EVERY LEVEL MORTON!</x:v>
      </x:c>
    </x:row>
    <x:row r="506">
      <x:c r="A506" t="str">
        <x:v>Everyone's Gone</x:v>
      </x:c>
    </x:row>
    <x:row r="507">
      <x:c r="A507" t="str">
        <x:v>Everything Is Not All Right</x:v>
      </x:c>
    </x:row>
    <x:row r="508">
      <x:c r="A508" t="str">
        <x:v>Evil Conquest</x:v>
      </x:c>
    </x:row>
    <x:row r="509">
      <x:c r="A509" t="str">
        <x:v>Evil Doopu World</x:v>
      </x:c>
    </x:row>
    <x:row r="510">
      <x:c r="A510" t="str">
        <x:v>Evil Doopu World 2</x:v>
      </x:c>
    </x:row>
    <x:row r="511">
      <x:c r="A511" t="str">
        <x:v>Evolve or Die</x:v>
      </x:c>
    </x:row>
    <x:row r="512">
      <x:c r="A512" t="str">
        <x:v>EVW</x:v>
      </x:c>
    </x:row>
    <x:row r="513">
      <x:c r="A513" t="str">
        <x:v>Exodius</x:v>
      </x:c>
    </x:row>
    <x:row r="514">
      <x:c r="A514" t="str">
        <x:v>Exshellsior</x:v>
      </x:c>
    </x:row>
    <x:row r="515">
      <x:c r="A515" t="str">
        <x:v>Extended Interactions</x:v>
      </x:c>
    </x:row>
    <x:row r="516">
      <x:c r="A516" t="str">
        <x:v>Extinction Rebellion</x:v>
      </x:c>
    </x:row>
    <x:row r="517">
      <x:c r="A517" t="str">
        <x:v>Extreme One-Screen Puzzle</x:v>
      </x:c>
    </x:row>
    <x:row r="518">
      <x:c r="A518" t="str">
        <x:v>EY JUICE</x:v>
      </x:c>
    </x:row>
    <x:row r="519">
      <x:c r="A519" t="str">
        <x:v>Eyeless: Director's Cut + Original</x:v>
      </x:c>
    </x:row>
    <x:row r="520">
      <x:c r="A520" t="str">
        <x:v>EZ Kaizo</x:v>
      </x:c>
    </x:row>
    <x:row r="521">
      <x:c r="A521" t="str">
        <x:v>F-Mario: Galaxy Cup</x:v>
      </x:c>
    </x:row>
    <x:row r="522">
      <x:c r="A522" t="str">
        <x:v>Facedesk!</x:v>
      </x:c>
    </x:row>
    <x:row r="523">
      <x:c r="A523" t="str">
        <x:v>Fail World</x:v>
      </x:c>
    </x:row>
    <x:row r="524">
      <x:c r="A524" t="str">
        <x:v>Fall Guys World</x:v>
      </x:c>
    </x:row>
    <x:row r="525">
      <x:c r="A525" t="str">
        <x:v>Fantasia</x:v>
      </x:c>
    </x:row>
    <x:row r="526">
      <x:c r="A526" t="str">
        <x:v>Far a day, near dismay</x:v>
      </x:c>
    </x:row>
    <x:row r="527">
      <x:c r="A527" t="str">
        <x:v>Fast Food Kaizo</x:v>
      </x:c>
    </x:row>
    <x:row r="528">
      <x:c r="A528" t="str">
        <x:v>Father's Gift</x:v>
      </x:c>
    </x:row>
    <x:row r="529">
      <x:c r="A529" t="str">
        <x:v>Fedora</x:v>
      </x:c>
    </x:row>
    <x:row r="530">
      <x:c r="A530" t="str">
        <x:v>Feginner</x:v>
      </x:c>
    </x:row>
    <x:row r="531">
      <x:c r="A531" t="str">
        <x:v>Final Fantasy: Super Moogle World</x:v>
      </x:c>
    </x:row>
    <x:row r="532">
      <x:c r="A532" t="str">
        <x:v>Fire and Ice</x:v>
      </x:c>
    </x:row>
    <x:row r="533">
      <x:c r="A533" t="str">
        <x:v>First Foray</x:v>
      </x:c>
    </x:row>
    <x:row r="534">
      <x:c r="A534" t="str">
        <x:v>First Step Forward</x:v>
      </x:c>
    </x:row>
    <x:row r="535">
      <x:c r="A535" t="str">
        <x:v>Fishing Season 2</x:v>
      </x:c>
    </x:row>
    <x:row r="536">
      <x:c r="A536" t="str">
        <x:v>Flip The Switch</x:v>
      </x:c>
    </x:row>
    <x:row r="537">
      <x:c r="A537" t="str">
        <x:v>FLOATING MUNCHERS SERIES?</x:v>
      </x:c>
    </x:row>
    <x:row r="538">
      <x:c r="A538" t="str">
        <x:v>FloMcNasty World</x:v>
      </x:c>
    </x:row>
    <x:row r="539">
      <x:c r="A539" t="str">
        <x:v>Fly Me To The Stars</x:v>
      </x:c>
    </x:row>
    <x:row r="540">
      <x:c r="A540" t="str">
        <x:v>Flying With Style</x:v>
      </x:c>
    </x:row>
    <x:row r="541">
      <x:c r="A541" t="str">
        <x:v>For Dan</x:v>
      </x:c>
    </x:row>
    <x:row r="542">
      <x:c r="A542" t="str">
        <x:v>Forer - Barnum</x:v>
      </x:c>
    </x:row>
    <x:row r="543">
      <x:c r="A543" t="str">
        <x:v>forest of illusion 4</x:v>
      </x:c>
    </x:row>
    <x:row r="544">
      <x:c r="A544" t="str">
        <x:v>Forever</x:v>
      </x:c>
    </x:row>
    <x:row r="545">
      <x:c r="A545" t="str">
        <x:v>Forgotten Town</x:v>
      </x:c>
    </x:row>
    <x:row r="546">
      <x:c r="A546" t="str">
        <x:v>ForgottenWorld</x:v>
      </x:c>
    </x:row>
    <x:row r="547">
      <x:c r="A547" t="str">
        <x:v>Foxx BGG World - KSD Edition</x:v>
      </x:c>
    </x:row>
    <x:row r="548">
      <x:c r="A548" t="str">
        <x:v>Foxx BGN World</x:v>
      </x:c>
    </x:row>
    <x:row r="549">
      <x:c r="A549" t="str">
        <x:v>Fragaria 🍓</x:v>
      </x:c>
    </x:row>
    <x:row r="550">
      <x:c r="A550" t="str">
        <x:v>Freak City</x:v>
      </x:c>
    </x:row>
    <x:row r="551">
      <x:c r="A551" t="str">
        <x:v>Free Luigi</x:v>
      </x:c>
    </x:row>
    <x:row r="552">
      <x:c r="A552" t="str">
        <x:v>Free Verse For Sara</x:v>
      </x:c>
    </x:row>
    <x:row r="553">
      <x:c r="A553" t="str">
        <x:v>French Fries &amp; French Toast</x:v>
      </x:c>
    </x:row>
    <x:row r="554">
      <x:c r="A554" t="str">
        <x:v>French SMW Hacking Contest 2008</x:v>
      </x:c>
    </x:row>
    <x:row r="555">
      <x:c r="A555" t="str">
        <x:v>Fresh Hops</x:v>
      </x:c>
    </x:row>
    <x:row r="556">
      <x:c r="A556" t="str">
        <x:v>Fresh Hops 2</x:v>
      </x:c>
    </x:row>
    <x:row r="557">
      <x:c r="A557" t="str">
        <x:v>Friday Mario World</x:v>
      </x:c>
    </x:row>
    <x:row r="558">
      <x:c r="A558" t="str">
        <x:v>From Heaven To Hell</x:v>
      </x:c>
    </x:row>
    <x:row r="559">
      <x:c r="A559" t="str">
        <x:v>From World to World</x:v>
      </x:c>
    </x:row>
    <x:row r="560">
      <x:c r="A560" t="str">
        <x:v>Fulfill the Dream</x:v>
      </x:c>
    </x:row>
    <x:row r="561">
      <x:c r="A561" t="str">
        <x:v>Full Bloom</x:v>
      </x:c>
    </x:row>
    <x:row r="562">
      <x:c r="A562" t="str">
        <x:v>Future Elliotto World</x:v>
      </x:c>
    </x:row>
    <x:row r="563">
      <x:c r="A563" t="str">
        <x:v>G-FazO</x:v>
      </x:c>
    </x:row>
    <x:row r="564">
      <x:c r="A564" t="str">
        <x:v>GADZOOKS</x:v>
      </x:c>
    </x:row>
    <x:row r="565">
      <x:c r="A565" t="str">
        <x:v>Gaia</x:v>
      </x:c>
    </x:row>
    <x:row r="566">
      <x:c r="A566" t="str">
        <x:v>Gaijin Mario</x:v>
      </x:c>
    </x:row>
    <x:row r="567">
      <x:c r="A567" t="str">
        <x:v>Gambit</x:v>
      </x:c>
    </x:row>
    <x:row r="568">
      <x:c r="A568" t="str">
        <x:v>Gambol</x:v>
      </x:c>
    </x:row>
    <x:row r="569">
      <x:c r="A569" t="str">
        <x:v>Gambol 2</x:v>
      </x:c>
    </x:row>
    <x:row r="570">
      <x:c r="A570" t="str">
        <x:v>game.bps</x:v>
      </x:c>
    </x:row>
    <x:row r="571">
      <x:c r="A571" t="str">
        <x:v>Gameboy Bros. 3!</x:v>
      </x:c>
    </x:row>
    <x:row r="572">
      <x:c r="A572" t="str">
        <x:v>Ganja World</x:v>
      </x:c>
    </x:row>
    <x:row r="573">
      <x:c r="A573" t="str">
        <x:v>GARLIC</x:v>
      </x:c>
    </x:row>
    <x:row r="574">
      <x:c r="A574" t="str">
        <x:v>Gas Pack</x:v>
      </x:c>
    </x:row>
    <x:row r="575">
      <x:c r="A575" t="str">
        <x:v>Gauntlet</x:v>
      </x:c>
    </x:row>
    <x:row r="576">
      <x:c r="A576" t="str">
        <x:v>Gauntlet 2</x:v>
      </x:c>
    </x:row>
    <x:row r="577">
      <x:c r="A577" t="str">
        <x:v>Gemstones</x:v>
      </x:c>
    </x:row>
    <x:row r="578">
      <x:c r="A578" t="str">
        <x:v>Get Busy Jumping Or Get Busy Dying</x:v>
      </x:c>
    </x:row>
    <x:row r="579">
      <x:c r="A579" t="str">
        <x:v>Get On Up!</x:v>
      </x:c>
    </x:row>
    <x:row r="580">
      <x:c r="A580" t="str">
        <x:v>Get Rich Quick</x:v>
      </x:c>
    </x:row>
    <x:row r="581">
      <x:c r="A581" t="str">
        <x:v>Giggle world</x:v>
      </x:c>
    </x:row>
    <x:row r="582">
      <x:c r="A582" t="str">
        <x:v>Glow</x:v>
      </x:c>
    </x:row>
    <x:row r="583">
      <x:c r="A583" t="str">
        <x:v>God do Shell</x:v>
      </x:c>
    </x:row>
    <x:row r="584">
      <x:c r="A584" t="str">
        <x:v>Goku86</x:v>
      </x:c>
    </x:row>
    <x:row r="585">
      <x:c r="A585" t="str">
        <x:v>GOMBA and stuff</x:v>
      </x:c>
    </x:row>
    <x:row r="586">
      <x:c r="A586" t="str">
        <x:v>good old days</x:v>
      </x:c>
    </x:row>
    <x:row r="587">
      <x:c r="A587" t="str">
        <x:v>good old days 2</x:v>
      </x:c>
    </x:row>
    <x:row r="588">
      <x:c r="A588" t="str">
        <x:v>good old days 3</x:v>
      </x:c>
    </x:row>
    <x:row r="589">
      <x:c r="A589" t="str">
        <x:v>good old days 4</x:v>
      </x:c>
    </x:row>
    <x:row r="590">
      <x:c r="A590" t="str">
        <x:v>good old days: recycle bin</x:v>
      </x:c>
    </x:row>
    <x:row r="591">
      <x:c r="A591" t="str">
        <x:v>Good Question!</x:v>
      </x:c>
    </x:row>
    <x:row r="592">
      <x:c r="A592" t="str">
        <x:v>Goombario's World</x:v>
      </x:c>
    </x:row>
    <x:row r="593">
      <x:c r="A593" t="str">
        <x:v>Goukie's Palace</x:v>
      </x:c>
    </x:row>
    <x:row r="594">
      <x:c r="A594" t="str">
        <x:v>Grand Poo World</x:v>
      </x:c>
    </x:row>
    <x:row r="595">
      <x:c r="A595" t="str">
        <x:v>Grand Poo World 2</x:v>
      </x:c>
    </x:row>
    <x:row r="596">
      <x:c r="A596" t="str">
        <x:v>Grand Troll World 1</x:v>
      </x:c>
    </x:row>
    <x:row r="597">
      <x:c r="A597" t="str">
        <x:v>GrandChaos' Mario World</x:v>
      </x:c>
    </x:row>
    <x:row r="598">
      <x:c r="A598" t="str">
        <x:v>Gratitude</x:v>
      </x:c>
    </x:row>
    <x:row r="599">
      <x:c r="A599" t="str">
        <x:v>Green Cavern</x:v>
      </x:c>
    </x:row>
    <x:row r="600">
      <x:c r="A600" t="str">
        <x:v>Gregor's New Super Mario World</x:v>
      </x:c>
    </x:row>
    <x:row r="601">
      <x:c r="A601" t="str">
        <x:v>Grenudo Planet 3</x:v>
      </x:c>
    </x:row>
    <x:row r="602">
      <x:c r="A602" t="str">
        <x:v>Grey Eminence</x:v>
      </x:c>
    </x:row>
    <x:row r="603">
      <x:c r="A603" t="str">
        <x:v>Greñudo planet2 Lucas´s revenge</x:v>
      </x:c>
    </x:row>
    <x:row r="604">
      <x:c r="A604" t="str">
        <x:v>GREÑUDOS PLANET</x:v>
      </x:c>
    </x:row>
    <x:row r="605">
      <x:c r="A605" t="str">
        <x:v>Griffy World</x:v>
      </x:c>
    </x:row>
    <x:row r="606">
      <x:c r="A606" t="str">
        <x:v>Groovy</x:v>
      </x:c>
    </x:row>
    <x:row r="607">
      <x:c r="A607" t="str">
        <x:v>Gynura</x:v>
      </x:c>
    </x:row>
    <x:row r="608">
      <x:c r="A608" t="str">
        <x:v>H&amp;SB2 - Twilight Gem:  Hunter's Quest</x:v>
      </x:c>
    </x:row>
    <x:row r="609">
      <x:c r="A609" t="str">
        <x:v>H&amp;SB2 - Twilight Gem: Scorpion's Hunt</x:v>
      </x:c>
    </x:row>
    <x:row r="610">
      <x:c r="A610" t="str">
        <x:v>Hack</x:v>
      </x:c>
    </x:row>
    <x:row r="611">
      <x:c r="A611" t="str">
        <x:v>Hack -1</x:v>
      </x:c>
    </x:row>
    <x:row r="612">
      <x:c r="A612" t="str">
        <x:v>Hack -1 2</x:v>
      </x:c>
    </x:row>
    <x:row r="613">
      <x:c r="A613" t="str">
        <x:v>Hack 0</x:v>
      </x:c>
    </x:row>
    <x:row r="614">
      <x:c r="A614" t="str">
        <x:v>Hack 0 2</x:v>
      </x:c>
    </x:row>
    <x:row r="615">
      <x:c r="A615" t="str">
        <x:v>Hack 0 3</x:v>
      </x:c>
    </x:row>
    <x:row r="616">
      <x:c r="A616" t="str">
        <x:v>Hack 1 2</x:v>
      </x:c>
    </x:row>
    <x:row r="617">
      <x:c r="A617" t="str">
        <x:v>Hack 1 2 2</x:v>
      </x:c>
    </x:row>
    <x:row r="618">
      <x:c r="A618" t="str">
        <x:v>Hack 1 2 3</x:v>
      </x:c>
    </x:row>
    <x:row r="619">
      <x:c r="A619" t="str">
        <x:v>Hack 2</x:v>
      </x:c>
    </x:row>
    <x:row r="620">
      <x:c r="A620" t="str">
        <x:v>Hack 25</x:v>
      </x:c>
    </x:row>
    <x:row r="621">
      <x:c r="A621" t="str">
        <x:v>Hack 3</x:v>
      </x:c>
    </x:row>
    <x:row r="622">
      <x:c r="A622" t="str">
        <x:v>Hack 4</x:v>
      </x:c>
    </x:row>
    <x:row r="623">
      <x:c r="A623" t="str">
        <x:v>Hack 5</x:v>
      </x:c>
    </x:row>
    <x:row r="624">
      <x:c r="A624" t="str">
        <x:v>Hack 6</x:v>
      </x:c>
    </x:row>
    <x:row r="625">
      <x:c r="A625" t="str">
        <x:v>Hack 7</x:v>
      </x:c>
    </x:row>
    <x:row r="626">
      <x:c r="A626" t="str">
        <x:v>Hack 8</x:v>
      </x:c>
    </x:row>
    <x:row r="627">
      <x:c r="A627" t="str">
        <x:v>Hack for a dying culture</x:v>
      </x:c>
    </x:row>
    <x:row r="628">
      <x:c r="A628" t="str">
        <x:v>Hack: Greatest Hits</x:v>
      </x:c>
    </x:row>
    <x:row r="629">
      <x:c r="A629" t="str">
        <x:v>Hack: Greatest Hits Xtreme!</x:v>
      </x:c>
    </x:row>
    <x:row r="630">
      <x:c r="A630" t="str">
        <x:v>Hackers Dreams : Going Too Far</x:v>
      </x:c>
    </x:row>
    <x:row r="631">
      <x:c r="A631" t="str">
        <x:v>Hackers Dreams : Pipe Dream</x:v>
      </x:c>
    </x:row>
    <x:row r="632">
      <x:c r="A632" t="str">
        <x:v>Hage World</x:v>
      </x:c>
    </x:row>
    <x:row r="633">
      <x:c r="A633" t="str">
        <x:v>Hage World 2</x:v>
      </x:c>
    </x:row>
    <x:row r="634">
      <x:c r="A634" t="str">
        <x:v>Hakurankai Mario</x:v>
      </x:c>
    </x:row>
    <x:row r="635">
      <x:c r="A635" t="str">
        <x:v>Hallowed Ground</x:v>
      </x:c>
    </x:row>
    <x:row r="636">
      <x:c r="A636" t="str">
        <x:v>Halloween Hack</x:v>
      </x:c>
    </x:row>
    <x:row r="637">
      <x:c r="A637" t="str">
        <x:v>Halloween in the Mushroom Kingdom</x:v>
      </x:c>
    </x:row>
    <x:row r="638">
      <x:c r="A638" t="str">
        <x:v>Halloween Islands</x:v>
      </x:c>
    </x:row>
    <x:row r="639">
      <x:c r="A639" t="str">
        <x:v>Halloween Kaizo World</x:v>
      </x:c>
    </x:row>
    <x:row r="640">
      <x:c r="A640" t="str">
        <x:v>Halo 14 - Definitive Edition</x:v>
      </x:c>
    </x:row>
    <x:row r="641">
      <x:c r="A641" t="str">
        <x:v>Halo 14 - Side A</x:v>
      </x:c>
    </x:row>
    <x:row r="642">
      <x:c r="A642" t="str">
        <x:v>Halo 14 - Side B</x:v>
      </x:c>
    </x:row>
    <x:row r="643">
      <x:c r="A643" t="str">
        <x:v>Hammer Time</x:v>
      </x:c>
    </x:row>
    <x:row r="644">
      <x:c r="A644" t="str">
        <x:v>Hangin With Mr. Koopa</x:v>
      </x:c>
    </x:row>
    <x:row r="645">
      <x:c r="A645" t="str">
        <x:v>Hangin With Mr. Koopa 2: All Vanilla No Filla</x:v>
      </x:c>
    </x:row>
    <x:row r="646">
      <x:c r="A646" t="str">
        <x:v>Hardcore Mario</x:v>
      </x:c>
    </x:row>
    <x:row r="647">
      <x:c r="A647" t="str">
        <x:v>Harmful</x:v>
      </x:c>
    </x:row>
    <x:row r="648">
      <x:c r="A648" t="str">
        <x:v>Hazuka World</x:v>
      </x:c>
    </x:row>
    <x:row r="649">
      <x:c r="A649" t="str">
        <x:v>Heat Wave</x:v>
      </x:c>
    </x:row>
    <x:row r="650">
      <x:c r="A650" t="str">
        <x:v>Heavenly Host</x:v>
      </x:c>
    </x:row>
    <x:row r="651">
      <x:c r="A651" t="str">
        <x:v>Heavenly host 2 : Master class</x:v>
      </x:c>
    </x:row>
    <x:row r="652">
      <x:c r="A652" t="str">
        <x:v>Heavenly host 3 : Forever faithful</x:v>
      </x:c>
    </x:row>
    <x:row r="653">
      <x:c r="A653" t="str">
        <x:v>Heckin' Spoop World</x:v>
      </x:c>
    </x:row>
    <x:row r="654">
      <x:c r="A654" t="str">
        <x:v>Hell Wizardry: functional overworld edition</x:v>
      </x:c>
    </x:row>
    <x:row r="655">
      <x:c r="A655" t="str">
        <x:v>Hertz Donut</x:v>
      </x:c>
    </x:row>
    <x:row r="656">
      <x:c r="A656" t="str">
        <x:v>Hi!</x:v>
      </x:c>
    </x:row>
    <x:row r="657">
      <x:c r="A657" t="str">
        <x:v>Hidden Dream in the Deep Time</x:v>
      </x:c>
    </x:row>
    <x:row r="658">
      <x:c r="A658" t="str">
        <x:v>Home</x:v>
      </x:c>
    </x:row>
    <x:row r="659">
      <x:c r="A659" t="str">
        <x:v>Hope's Wind</x:v>
      </x:c>
    </x:row>
    <x:row r="660">
      <x:c r="A660" t="str">
        <x:v>Hops' Great Adventure</x:v>
      </x:c>
    </x:row>
    <x:row r="661">
      <x:c r="A661" t="str">
        <x:v>Horrifying Mario World</x:v>
      </x:c>
    </x:row>
    <x:row r="662">
      <x:c r="A662" t="str">
        <x:v>HotHead Heights</x:v>
      </x:c>
    </x:row>
    <x:row r="663">
      <x:c r="A663" t="str">
        <x:v>Hourglass Twist</x:v>
      </x:c>
    </x:row>
    <x:row r="664">
      <x:c r="A664" t="str">
        <x:v>House of King Boo</x:v>
      </x:c>
    </x:row>
    <x:row r="665">
      <x:c r="A665" t="str">
        <x:v>How I Learned to Stop Worrying and Love the Bob-omb</x:v>
      </x:c>
    </x:row>
    <x:row r="666">
      <x:c r="A666" t="str">
        <x:v>how long do snails sleep (vanilla)</x:v>
      </x:c>
    </x:row>
    <x:row r="667">
      <x:c r="A667" t="str">
        <x:v>How NOT to Kaizo</x:v>
      </x:c>
    </x:row>
    <x:row r="668">
      <x:c r="A668" t="str">
        <x:v>Hummer Super Mario World</x:v>
      </x:c>
    </x:row>
    <x:row r="669">
      <x:c r="A669" t="str">
        <x:v>Hunter &amp; SCORPION's Bet Saga - SCORPION's Ravage</x:v>
      </x:c>
    </x:row>
    <x:row r="670">
      <x:c r="A670" t="str">
        <x:v>Hunter and Scorpion's Bet ReVised - Hunter's Path</x:v>
      </x:c>
    </x:row>
    <x:row r="671">
      <x:c r="A671" t="str">
        <x:v>Hydro</x:v>
      </x:c>
    </x:row>
    <x:row r="672">
      <x:c r="A672" t="str">
        <x:v>Hyper Hentai Hotties</x:v>
      </x:c>
    </x:row>
    <x:row r="673">
      <x:c r="A673" t="str">
        <x:v>Hyperexcitability</x:v>
      </x:c>
    </x:row>
    <x:row r="674">
      <x:c r="A674" t="str">
        <x:v>HYPERION</x:v>
      </x:c>
    </x:row>
    <x:row r="675">
      <x:c r="A675" t="str">
        <x:v>Hypnagogia</x:v>
      </x:c>
    </x:row>
    <x:row r="676">
      <x:c r="A676" t="str">
        <x:v>HYSTERIA</x:v>
      </x:c>
    </x:row>
    <x:row r="677">
      <x:c r="A677" t="str">
        <x:v>Häschen [hɛʃn̩]</x:v>
      </x:c>
    </x:row>
    <x:row r="678">
      <x:c r="A678" t="str">
        <x:v>I Come In Peace</x:v>
      </x:c>
    </x:row>
    <x:row r="679">
      <x:c r="A679" t="str">
        <x:v>I HATE YOU</x:v>
      </x:c>
    </x:row>
    <x:row r="680">
      <x:c r="A680" t="str">
        <x:v>I Wanna Be The ROM Hack: Prototype</x:v>
      </x:c>
    </x:row>
    <x:row r="681">
      <x:c r="A681" t="str">
        <x:v>Icarus</x:v>
      </x:c>
    </x:row>
    <x:row r="682">
      <x:c r="A682" t="str">
        <x:v>Ides of March</x:v>
      </x:c>
    </x:row>
    <x:row r="683">
      <x:c r="A683" t="str">
        <x:v>Ides of March 2: Dogs of War</x:v>
      </x:c>
    </x:row>
    <x:row r="684">
      <x:c r="A684" t="str">
        <x:v>Ieo</x:v>
      </x:c>
    </x:row>
    <x:row r="685">
      <x:c r="A685" t="str">
        <x:v>Iggy's Island</x:v>
      </x:c>
    </x:row>
    <x:row r="686">
      <x:c r="A686" t="str">
        <x:v>Il Maniero Spettrale (Halloween 2018 Version)</x:v>
      </x:c>
    </x:row>
    <x:row r="687">
      <x:c r="A687" t="str">
        <x:v>Illuminati</x:v>
      </x:c>
    </x:row>
    <x:row r="688">
      <x:c r="A688" t="str">
        <x:v>Ilusiyellow?</x:v>
      </x:c>
    </x:row>
    <x:row r="689">
      <x:c r="A689" t="str">
        <x:v>Immitis</x:v>
      </x:c>
    </x:row>
    <x:row r="690">
      <x:c r="A690" t="str">
        <x:v>In A Random Adventure</x:v>
      </x:c>
    </x:row>
    <x:row r="691">
      <x:c r="A691" t="str">
        <x:v>In Absentia of Knowing</x:v>
      </x:c>
    </x:row>
    <x:row r="692">
      <x:c r="A692" t="str">
        <x:v>In Memoriam Hack Pack</x:v>
      </x:c>
    </x:row>
    <x:row r="693">
      <x:c r="A693" t="str">
        <x:v>In the Pocket</x:v>
      </x:c>
    </x:row>
    <x:row r="694">
      <x:c r="A694" t="str">
        <x:v>In Triplicate</x:v>
      </x:c>
    </x:row>
    <x:row r="695">
      <x:c r="A695" t="str">
        <x:v>Inane Mario World</x:v>
      </x:c>
    </x:row>
    <x:row r="696">
      <x:c r="A696" t="str">
        <x:v>Inappropriate Jetski 19</x:v>
      </x:c>
    </x:row>
    <x:row r="697">
      <x:c r="A697" t="str">
        <x:v>INCEPTION</x:v>
      </x:c>
    </x:row>
    <x:row r="698">
      <x:c r="A698" t="str">
        <x:v>INCEPTION II</x:v>
      </x:c>
    </x:row>
    <x:row r="699">
      <x:c r="A699" t="str">
        <x:v>Incredibous Shells</x:v>
      </x:c>
    </x:row>
    <x:row r="700">
      <x:c r="A700" t="str">
        <x:v>Incredibous Shells 2</x:v>
      </x:c>
    </x:row>
    <x:row r="701">
      <x:c r="A701" t="str">
        <x:v>Inert Aeronaut</x:v>
      </x:c>
    </x:row>
    <x:row r="702">
      <x:c r="A702" t="str">
        <x:v>INFERNVM</x:v>
      </x:c>
    </x:row>
    <x:row r="703">
      <x:c r="A703" t="str">
        <x:v>Infinity Edge</x:v>
      </x:c>
    </x:row>
    <x:row r="704">
      <x:c r="A704" t="str">
        <x:v>Initiation</x:v>
      </x:c>
    </x:row>
    <x:row r="705">
      <x:c r="A705" t="str">
        <x:v>Initiation 2 Da_Queest</x:v>
      </x:c>
    </x:row>
    <x:row r="706">
      <x:c r="A706" t="str">
        <x:v>Insert Coin</x:v>
      </x:c>
    </x:row>
    <x:row r="707">
      <x:c r="A707" t="str">
        <x:v>INSOMNIA</x:v>
      </x:c>
    </x:row>
    <x:row r="708">
      <x:c r="A708" t="str">
        <x:v>Insouciant Mario</x:v>
      </x:c>
    </x:row>
    <x:row r="709">
      <x:c r="A709" t="str">
        <x:v>Interesting Kaizo World</x:v>
      </x:c>
    </x:row>
    <x:row r="710">
      <x:c r="A710" t="str">
        <x:v>Intershellar</x:v>
      </x:c>
    </x:row>
    <x:row r="711">
      <x:c r="A711" t="str">
        <x:v>Intrigue of Kittens</x:v>
      </x:c>
    </x:row>
    <x:row r="712">
      <x:c r="A712" t="str">
        <x:v>Invictus</x:v>
      </x:c>
    </x:row>
    <x:row r="713">
      <x:c r="A713" t="str">
        <x:v>Iridium</x:v>
      </x:c>
    </x:row>
    <x:row r="714">
      <x:c r="A714" t="str">
        <x:v>It's another hack with Mario in it! Yay!</x:v>
      </x:c>
    </x:row>
    <x:row r="715">
      <x:c r="A715" t="str">
        <x:v>Item Abuse</x:v>
      </x:c>
    </x:row>
    <x:row r="716">
      <x:c r="A716" t="str">
        <x:v>Item Abuse 3</x:v>
      </x:c>
    </x:row>
    <x:row r="717">
      <x:c r="A717" t="str">
        <x:v>ITS EEZ WORLD</x:v>
      </x:c>
    </x:row>
    <x:row r="718">
      <x:c r="A718" t="str">
        <x:v>IUDICIUM TRIBUNALIS</x:v>
      </x:c>
    </x:row>
    <x:row r="719">
      <x:c r="A719" t="str">
        <x:v>Ja, tack!</x:v>
      </x:c>
    </x:row>
    <x:row r="720">
      <x:c r="A720" t="str">
        <x:v>Jam</x:v>
      </x:c>
    </x:row>
    <x:row r="721">
      <x:c r="A721" t="str">
        <x:v>JDCGames Collab</x:v>
      </x:c>
    </x:row>
    <x:row r="722">
      <x:c r="A722" t="str">
        <x:v>Jeitor Land: The Lost Lasagna</x:v>
      </x:c>
    </x:row>
    <x:row r="723">
      <x:c r="A723" t="str">
        <x:v>Jerry's Autowalking Adventure to Rescue His Cheese</x:v>
      </x:c>
    </x:row>
    <x:row r="724">
      <x:c r="A724" t="str">
        <x:v>Jerry's Vacation</x:v>
      </x:c>
    </x:row>
    <x:row r="725">
      <x:c r="A725" t="str">
        <x:v>Jigoku Mario World 2</x:v>
      </x:c>
    </x:row>
    <x:row r="726">
      <x:c r="A726" t="str">
        <x:v>Jigoku Mario World 3</x:v>
      </x:c>
    </x:row>
    <x:row r="727">
      <x:c r="A727" t="str">
        <x:v>Jigoku Mario World Remastered</x:v>
      </x:c>
    </x:row>
    <x:row r="728">
      <x:c r="A728" t="str">
        <x:v>Jigsaw's Test</x:v>
      </x:c>
    </x:row>
    <x:row r="729">
      <x:c r="A729" t="str">
        <x:v>Jin'Rokh's Adventure</x:v>
      </x:c>
    </x:row>
    <x:row r="730">
      <x:c r="A730" t="str">
        <x:v>JISH</x:v>
      </x:c>
    </x:row>
    <x:row r="731">
      <x:c r="A731" t="str">
        <x:v>Joe Biden for the PS2: Re-Elected</x:v>
      </x:c>
    </x:row>
    <x:row r="732">
      <x:c r="A732" t="str">
        <x:v>Joeey's Level Collection</x:v>
      </x:c>
    </x:row>
    <x:row r="733">
      <x:c r="A733" t="str">
        <x:v>John's Unfunny World - Phase 1</x:v>
      </x:c>
    </x:row>
    <x:row r="734">
      <x:c r="A734" t="str">
        <x:v>JokerShellOk</x:v>
      </x:c>
    </x:row>
    <x:row r="735">
      <x:c r="A735" t="str">
        <x:v>Jono Hack</x:v>
      </x:c>
    </x:row>
    <x:row r="736">
      <x:c r="A736" t="str">
        <x:v>Jouhou</x:v>
      </x:c>
    </x:row>
    <x:row r="737">
      <x:c r="A737" t="str">
        <x:v>Journey To Peak</x:v>
      </x:c>
    </x:row>
    <x:row r="738">
      <x:c r="A738" t="str">
        <x:v>JTTMK 3 - Mario and Moonlight's Quest</x:v>
      </x:c>
    </x:row>
    <x:row r="739">
      <x:c r="A739" t="str">
        <x:v>JUMP</x:v>
      </x:c>
    </x:row>
    <x:row r="740">
      <x:c r="A740" t="str">
        <x:v>Jumping Over It with Super Mario</x:v>
      </x:c>
    </x:row>
    <x:row r="741">
      <x:c r="A741" t="str">
        <x:v>Jumpman Returns</x:v>
      </x:c>
    </x:row>
    <x:row r="742">
      <x:c r="A742" t="str">
        <x:v>Jumps Rhymes and Life</x:v>
      </x:c>
    </x:row>
    <x:row r="743">
      <x:c r="A743" t="str">
        <x:v>Jumpscare</x:v>
      </x:c>
    </x:row>
    <x:row r="744">
      <x:c r="A744" t="str">
        <x:v>JUMP½</x:v>
      </x:c>
    </x:row>
    <x:row r="745">
      <x:c r="A745" t="str">
        <x:v>Just a Normal Quest</x:v>
      </x:c>
    </x:row>
    <x:row r="746">
      <x:c r="A746" t="str">
        <x:v>Just a Pure Vanilla Super Mario World Hack</x:v>
      </x:c>
    </x:row>
    <x:row r="747">
      <x:c r="A747" t="str">
        <x:v>Just Another Bad Kaizo Hack</x:v>
      </x:c>
    </x:row>
    <x:row r="748">
      <x:c r="A748" t="str">
        <x:v>Just Another Mario Hack</x:v>
      </x:c>
    </x:row>
    <x:row r="749">
      <x:c r="A749" t="str">
        <x:v>Just Another Shell Hack</x:v>
      </x:c>
    </x:row>
    <x:row r="750">
      <x:c r="A750" t="str">
        <x:v>Just Another SMW Hack</x:v>
      </x:c>
    </x:row>
    <x:row r="751">
      <x:c r="A751" t="str">
        <x:v>Just Blob</x:v>
      </x:c>
    </x:row>
    <x:row r="752">
      <x:c r="A752" t="str">
        <x:v>just like amy; exactly like amy</x:v>
      </x:c>
    </x:row>
    <x:row r="753">
      <x:c r="A753" t="str">
        <x:v>Just Thanks</x:v>
      </x:c>
    </x:row>
    <x:row r="754">
      <x:c r="A754" t="str">
        <x:v>Justice for Mario</x:v>
      </x:c>
    </x:row>
    <x:row r="755">
      <x:c r="A755" t="str">
        <x:v>K-16 - Story of Steel</x:v>
      </x:c>
    </x:row>
    <x:row r="756">
      <x:c r="A756" t="str">
        <x:v>Kaeru's Unnamed Hack</x:v>
      </x:c>
    </x:row>
    <x:row r="757">
      <x:c r="A757" t="str">
        <x:v>Kaiden, where's your head at??</x:v>
      </x:c>
    </x:row>
    <x:row r="758">
      <x:c r="A758" t="str">
        <x:v>Kaiketsoy Mario</x:v>
      </x:c>
    </x:row>
    <x:row r="759">
      <x:c r="A759" t="str">
        <x:v>Kain's Quest</x:v>
      </x:c>
    </x:row>
    <x:row r="760">
      <x:c r="A760" t="str">
        <x:v>Kaitenzushi</x:v>
      </x:c>
    </x:row>
    <x:row r="761">
      <x:c r="A761" t="str">
        <x:v>Kaizo</x:v>
      </x:c>
    </x:row>
    <x:row r="762">
      <x:c r="A762" t="str">
        <x:v>Kaizo 2: The Kaizening</x:v>
      </x:c>
    </x:row>
    <x:row r="763">
      <x:c r="A763" t="str">
        <x:v>Kaizo 3 Styled Hack</x:v>
      </x:c>
    </x:row>
    <x:row r="764">
      <x:c r="A764" t="str">
        <x:v>kaizo beats to run quick to - vol. 3</x:v>
      </x:c>
    </x:row>
    <x:row r="765">
      <x:c r="A765" t="str">
        <x:v>Kaizo Breeze</x:v>
      </x:c>
    </x:row>
    <x:row r="766">
      <x:c r="A766" t="str">
        <x:v>Kaizo Consistency</x:v>
      </x:c>
    </x:row>
    <x:row r="767">
      <x:c r="A767" t="str">
        <x:v>Kaizo Crisis</x:v>
      </x:c>
    </x:row>
    <x:row r="768">
      <x:c r="A768" t="str">
        <x:v>Kaizo Crisis 2</x:v>
      </x:c>
    </x:row>
    <x:row r="769">
      <x:c r="A769" t="str">
        <x:v>Kaizo Dreamland</x:v>
      </x:c>
    </x:row>
    <x:row r="770">
      <x:c r="A770" t="str">
        <x:v>Kaizo Island</x:v>
      </x:c>
    </x:row>
    <x:row r="771">
      <x:c r="A771" t="str">
        <x:v>Kaizo Kidz</x:v>
      </x:c>
    </x:row>
    <x:row r="772">
      <x:c r="A772" t="str">
        <x:v>Kaizo Kong Country</x:v>
      </x:c>
    </x:row>
    <x:row r="773">
      <x:c r="A773" t="str">
        <x:v>Kaizo Marathon</x:v>
      </x:c>
    </x:row>
    <x:row r="774">
      <x:c r="A774" t="str">
        <x:v>Kaizo Mario World</x:v>
      </x:c>
    </x:row>
    <x:row r="775">
      <x:c r="A775" t="str">
        <x:v>Kaizo Mario World 2</x:v>
      </x:c>
    </x:row>
    <x:row r="776">
      <x:c r="A776" t="str">
        <x:v>Kaizo Mario World 3</x:v>
      </x:c>
    </x:row>
    <x:row r="777">
      <x:c r="A777" t="str">
        <x:v>Kaizo no Notam</x:v>
      </x:c>
    </x:row>
    <x:row r="778">
      <x:c r="A778" t="str">
        <x:v>Kaizo no Yume</x:v>
      </x:c>
    </x:row>
    <x:row r="779">
      <x:c r="A779" t="str">
        <x:v>Kamek and the Shroobs</x:v>
      </x:c>
    </x:row>
    <x:row r="780">
      <x:c r="A780" t="str">
        <x:v>Kamek's Island</x:v>
      </x:c>
    </x:row>
    <x:row r="781">
      <x:c r="A781" t="str">
        <x:v>Kamek's Revenge</x:v>
      </x:c>
    </x:row>
    <x:row r="782">
      <x:c r="A782" t="str">
        <x:v>Kamikaze</x:v>
      </x:c>
    </x:row>
    <x:row r="783">
      <x:c r="A783" t="str">
        <x:v>Kaos Islands</x:v>
      </x:c>
    </x:row>
    <x:row r="784">
      <x:c r="A784" t="str">
        <x:v>Karma</x:v>
      </x:c>
    </x:row>
    <x:row r="785">
      <x:c r="A785" t="str">
        <x:v>Karoshi Mario</x:v>
      </x:c>
    </x:row>
    <x:row r="786">
      <x:c r="A786" t="str">
        <x:v>KawaMarioWorld</x:v>
      </x:c>
    </x:row>
    <x:row r="787">
      <x:c r="A787" t="str">
        <x:v>Kazue World</x:v>
      </x:c>
    </x:row>
    <x:row r="788">
      <x:c r="A788" t="str">
        <x:v>Kazue World 2</x:v>
      </x:c>
    </x:row>
    <x:row r="789">
      <x:c r="A789" t="str">
        <x:v>Kekcroc DASH!</x:v>
      </x:c>
    </x:row>
    <x:row r="790">
      <x:c r="A790" t="str">
        <x:v>Keratin Valley</x:v>
      </x:c>
    </x:row>
    <x:row r="791">
      <x:c r="A791" t="str">
        <x:v>Ketchup Adventure</x:v>
      </x:c>
    </x:row>
    <x:row r="792">
      <x:c r="A792" t="str">
        <x:v>Kibeth Takes a Walk</x:v>
      </x:c>
    </x:row>
    <x:row r="793">
      <x:c r="A793" t="str">
        <x:v>Kid Adventure</x:v>
      </x:c>
    </x:row>
    <x:row r="794">
      <x:c r="A794" t="str">
        <x:v>Kid Adventure 2: Biza Strikes Back</x:v>
      </x:c>
    </x:row>
    <x:row r="795">
      <x:c r="A795" t="str">
        <x:v>Kid Adventure 3: The Will of Sakito</x:v>
      </x:c>
    </x:row>
    <x:row r="796">
      <x:c r="A796" t="str">
        <x:v>Kid Adventure 4: Kid Xtreme</x:v>
      </x:c>
    </x:row>
    <x:row r="797">
      <x:c r="A797" t="str">
        <x:v>Kid Adventure 5: Amazing Kid</x:v>
      </x:c>
    </x:row>
    <x:row r="798">
      <x:c r="A798" t="str">
        <x:v>Kill Luigi</x:v>
      </x:c>
    </x:row>
    <x:row r="799">
      <x:c r="A799" t="str">
        <x:v>Kings Of Kuso</x:v>
      </x:c>
    </x:row>
    <x:row r="800">
      <x:c r="A800" t="str">
        <x:v>Kink's Awakening</x:v>
      </x:c>
    </x:row>
    <x:row r="801">
      <x:c r="A801" t="str">
        <x:v>Knuckles Saves Christmas</x:v>
      </x:c>
    </x:row>
    <x:row r="802">
      <x:c r="A802" t="str">
        <x:v>Kogarashi Mario World</x:v>
      </x:c>
    </x:row>
    <x:row r="803">
      <x:c r="A803" t="str">
        <x:v>Konk World</x:v>
      </x:c>
    </x:row>
    <x:row r="804">
      <x:c r="A804" t="str">
        <x:v>Koopa Castle: The Escape</x:v>
      </x:c>
    </x:row>
    <x:row r="805">
      <x:c r="A805" t="str">
        <x:v>Koopa Hopper's Delight</x:v>
      </x:c>
    </x:row>
    <x:row r="806">
      <x:c r="A806" t="str">
        <x:v>Korosu Mario World</x:v>
      </x:c>
    </x:row>
    <x:row r="807">
      <x:c r="A807" t="str">
        <x:v>Korosu Mario World 2</x:v>
      </x:c>
    </x:row>
    <x:row r="808">
      <x:c r="A808" t="str">
        <x:v>KR World</x:v>
      </x:c>
    </x:row>
    <x:row r="809">
      <x:c r="A809" t="str">
        <x:v>Krabs Test</x:v>
      </x:c>
    </x:row>
    <x:row r="810">
      <x:c r="A810" t="str">
        <x:v>Krack The Hack</x:v>
      </x:c>
    </x:row>
    <x:row r="811">
      <x:c r="A811" t="str">
        <x:v>Krack's Kafe: Because They Kicked Me Out!</x:v>
      </x:c>
    </x:row>
    <x:row r="812">
      <x:c r="A812" t="str">
        <x:v>Krefeld Kaizo Relay Race 2025</x:v>
      </x:c>
    </x:row>
    <x:row r="813">
      <x:c r="A813" t="str">
        <x:v>Kris' Adventure</x:v>
      </x:c>
    </x:row>
    <x:row r="814">
      <x:c r="A814" t="str">
        <x:v>Kruela Mario</x:v>
      </x:c>
    </x:row>
    <x:row r="815">
      <x:c r="A815" t="str">
        <x:v>Kruela Mario 2</x:v>
      </x:c>
    </x:row>
    <x:row r="816">
      <x:c r="A816" t="str">
        <x:v>Kumikyoku</x:v>
      </x:c>
    </x:row>
    <x:row r="817">
      <x:c r="A817" t="str">
        <x:v>Kuribo_Shoe the Adventure</x:v>
      </x:c>
    </x:row>
    <x:row r="818">
      <x:c r="A818" t="str">
        <x:v>Kurisu Mario World</x:v>
      </x:c>
    </x:row>
    <x:row r="819">
      <x:c r="A819" t="str">
        <x:v>Kuso Ecstasy</x:v>
      </x:c>
    </x:row>
    <x:row r="820">
      <x:c r="A820" t="str">
        <x:v>Kuuwote's Level Pack #1</x:v>
      </x:c>
    </x:row>
    <x:row r="821">
      <x:c r="A821" t="str">
        <x:v>Kuuwote's Level Pack #2</x:v>
      </x:c>
    </x:row>
    <x:row r="822">
      <x:c r="A822" t="str">
        <x:v>Kuzo Heaven</x:v>
      </x:c>
    </x:row>
    <x:row r="823">
      <x:c r="A823" t="str">
        <x:v>L I M B O</x:v>
      </x:c>
    </x:row>
    <x:row r="824">
      <x:c r="A824" t="str">
        <x:v>L4good Island</x:v>
      </x:c>
    </x:row>
    <x:row r="825">
      <x:c r="A825" t="str">
        <x:v>La Connaisseuse de Kaizo</x:v>
      </x:c>
    </x:row>
    <x:row r="826">
      <x:c r="A826" t="str">
        <x:v>La Mansion De Benja</x:v>
      </x:c>
    </x:row>
    <x:row r="827">
      <x:c r="A827" t="str">
        <x:v>Labyrinth Of Shadows</x:v>
      </x:c>
    </x:row>
    <x:row r="828">
      <x:c r="A828" t="str">
        <x:v>Lack Of Control</x:v>
      </x:c>
    </x:row>
    <x:row r="829">
      <x:c r="A829" t="str">
        <x:v>Lakitu's Great Adventure</x:v>
      </x:c>
    </x:row>
    <x:row r="830">
      <x:c r="A830" t="str">
        <x:v>Lakitu's Great Adventure 2</x:v>
      </x:c>
    </x:row>
    <x:row r="831">
      <x:c r="A831" t="str">
        <x:v>Law &amp; Order: Mushroom Kingdom Unit - Pilot Episode - Tragic Fox "Tails" (Director's Cut)</x:v>
      </x:c>
    </x:row>
    <x:row r="832">
      <x:c r="A832" t="str">
        <x:v>Le avventure di Mario 1</x:v>
      </x:c>
    </x:row>
    <x:row r="833">
      <x:c r="A833" t="str">
        <x:v>Le Avventure di Mario 3</x:v>
      </x:c>
    </x:row>
    <x:row r="834">
      <x:c r="A834" t="str">
        <x:v>Le Connaisseur de Kaizo</x:v>
      </x:c>
    </x:row>
    <x:row r="835">
      <x:c r="A835" t="str">
        <x:v>Le Gole World</x:v>
      </x:c>
    </x:row>
    <x:row r="836">
      <x:c r="A836" t="str">
        <x:v>Le plume</x:v>
      </x:c>
    </x:row>
    <x:row r="837">
      <x:c r="A837" t="str">
        <x:v>Learn 2 Kaizo</x:v>
      </x:c>
    </x:row>
    <x:row r="838">
      <x:c r="A838" t="str">
        <x:v>Learn To Shell Jump</x:v>
      </x:c>
    </x:row>
    <x:row r="839">
      <x:c r="A839" t="str">
        <x:v>Learning to Fly</x:v>
      </x:c>
    </x:row>
    <x:row r="840">
      <x:c r="A840" t="str">
        <x:v>Legend of the Rift, Volume 1: Venus</x:v>
      </x:c>
    </x:row>
    <x:row r="841">
      <x:c r="A841" t="str">
        <x:v>Legends of Mario</x:v>
      </x:c>
    </x:row>
    <x:row r="842">
      <x:c r="A842" t="str">
        <x:v>Legends of the Hidden Thwimple</x:v>
      </x:c>
    </x:row>
    <x:row r="843">
      <x:c r="A843" t="str">
        <x:v>Lemmy's Wrath</x:v>
      </x:c>
    </x:row>
    <x:row r="844">
      <x:c r="A844" t="str">
        <x:v>Lesbian Vampire Killer World 5000</x:v>
      </x:c>
    </x:row>
    <x:row r="845">
      <x:c r="A845" t="str">
        <x:v>Lessness World</x:v>
      </x:c>
    </x:row>
    <x:row r="846">
      <x:c r="A846" t="str">
        <x:v>Lessness World 2</x:v>
      </x:c>
    </x:row>
    <x:row r="847">
      <x:c r="A847" t="str">
        <x:v>Let's A Go!</x:v>
      </x:c>
    </x:row>
    <x:row r="848">
      <x:c r="A848" t="str">
        <x:v>Let's Give Up</x:v>
      </x:c>
    </x:row>
    <x:row r="849">
      <x:c r="A849" t="str">
        <x:v>Level - 2023 Remaster</x:v>
      </x:c>
    </x:row>
    <x:row r="850">
      <x:c r="A850" t="str">
        <x:v>Levels</x:v>
      </x:c>
    </x:row>
    <x:row r="851">
      <x:c r="A851" t="str">
        <x:v>Lewd Mario</x:v>
      </x:c>
    </x:row>
    <x:row r="852">
      <x:c r="A852" t="str">
        <x:v>Life Of Glitches</x:v>
      </x:c>
    </x:row>
    <x:row r="853">
      <x:c r="A853" t="str">
        <x:v>Lightning Crashes</x:v>
      </x:c>
    </x:row>
    <x:row r="854">
      <x:c r="A854" t="str">
        <x:v>Lil Mallow World</x:v>
      </x:c>
    </x:row>
    <x:row r="855">
      <x:c r="A855" t="str">
        <x:v>Link's Adventure</x:v>
      </x:c>
    </x:row>
    <x:row r="856">
      <x:c r="A856" t="str">
        <x:v>Linnaea</x:v>
      </x:c>
    </x:row>
    <x:row r="857">
      <x:c r="A857" t="str">
        <x:v>Liquid Metal</x:v>
      </x:c>
    </x:row>
    <x:row r="858">
      <x:c r="A858" t="str">
        <x:v>Literally just a bonus room</x:v>
      </x:c>
    </x:row>
    <x:row r="859">
      <x:c r="A859" t="str">
        <x:v>Little Mario World</x:v>
      </x:c>
    </x:row>
    <x:row r="860">
      <x:c r="A860" t="str">
        <x:v>Long Road to Ruin</x:v>
      </x:c>
    </x:row>
    <x:row r="861">
      <x:c r="A861" t="str">
        <x:v>Lord Pickle World</x:v>
      </x:c>
    </x:row>
    <x:row r="862">
      <x:c r="A862" t="str">
        <x:v>Lost and Found</x:v>
      </x:c>
    </x:row>
    <x:row r="863">
      <x:c r="A863" t="str">
        <x:v>Lost Dimension</x:v>
      </x:c>
    </x:row>
    <x:row r="864">
      <x:c r="A864" t="str">
        <x:v>Lost in Puzzle Land</x:v>
      </x:c>
    </x:row>
    <x:row r="865">
      <x:c r="A865" t="str">
        <x:v>Lost in the Forest</x:v>
      </x:c>
    </x:row>
    <x:row r="866">
      <x:c r="A866" t="str">
        <x:v>Lost In Yoshi Island Remix</x:v>
      </x:c>
    </x:row>
    <x:row r="867">
      <x:c r="A867" t="str">
        <x:v>Lost Mario Bros.</x:v>
      </x:c>
    </x:row>
    <x:row r="868">
      <x:c r="A868" t="str">
        <x:v>Lost On The Islands</x:v>
      </x:c>
    </x:row>
    <x:row r="869">
      <x:c r="A869" t="str">
        <x:v>Lost Paths</x:v>
      </x:c>
    </x:row>
    <x:row r="870">
      <x:c r="A870" t="str">
        <x:v>Lost Places</x:v>
      </x:c>
    </x:row>
    <x:row r="871">
      <x:c r="A871" t="str">
        <x:v>Lost Wayfarers- The Escapade back to Mushroom Kingdom</x:v>
      </x:c>
    </x:row>
    <x:row r="872">
      <x:c r="A872" t="str">
        <x:v>Love Letter</x:v>
      </x:c>
    </x:row>
    <x:row r="873">
      <x:c r="A873" t="str">
        <x:v>Love Yourself</x:v>
      </x:c>
    </x:row>
    <x:row r="874">
      <x:c r="A874" t="str">
        <x:v>Lucky</x:v>
      </x:c>
    </x:row>
    <x:row r="875">
      <x:c r="A875" t="str">
        <x:v>Luigi and the Final Year</x:v>
      </x:c>
    </x:row>
    <x:row r="876">
      <x:c r="A876" t="str">
        <x:v>Luigi and the Happy Hillside</x:v>
      </x:c>
    </x:row>
    <x:row r="877">
      <x:c r="A877" t="str">
        <x:v>Luigi and the Island of Mystery</x:v>
      </x:c>
    </x:row>
    <x:row r="878">
      <x:c r="A878" t="str">
        <x:v>Luigi and the Mysterious Portals</x:v>
      </x:c>
    </x:row>
    <x:row r="879">
      <x:c r="A879" t="str">
        <x:v>Luigi in: The Rescue of Daisy</x:v>
      </x:c>
    </x:row>
    <x:row r="880">
      <x:c r="A880" t="str">
        <x:v>Luigi Kaizo King</x:v>
      </x:c>
    </x:row>
    <x:row r="881">
      <x:c r="A881" t="str">
        <x:v>Luigi lost in Telinc's World</x:v>
      </x:c>
    </x:row>
    <x:row r="882">
      <x:c r="A882" t="str">
        <x:v>Luigi Stardust Adventure</x:v>
      </x:c>
    </x:row>
    <x:row r="883">
      <x:c r="A883" t="str">
        <x:v>Luigi's Adventure 3: Overseas Edition</x:v>
      </x:c>
    </x:row>
    <x:row r="884">
      <x:c r="A884" t="str">
        <x:v>Luigi's Adventure 4: The Revival of Tortoise Empire</x:v>
      </x:c>
    </x:row>
    <x:row r="885">
      <x:c r="A885" t="str">
        <x:v>Luigi's Adventure OSE</x:v>
      </x:c>
    </x:row>
    <x:row r="886">
      <x:c r="A886" t="str">
        <x:v>Luigi's Adventure OSE - The Lost Levels</x:v>
      </x:c>
    </x:row>
    <x:row r="887">
      <x:c r="A887" t="str">
        <x:v>Luigi's Decision</x:v>
      </x:c>
    </x:row>
    <x:row r="888">
      <x:c r="A888" t="str">
        <x:v>Luigi's First Adventure</x:v>
      </x:c>
    </x:row>
    <x:row r="889">
      <x:c r="A889" t="str">
        <x:v>Luigi's Heated Journey</x:v>
      </x:c>
    </x:row>
    <x:row r="890">
      <x:c r="A890" t="str">
        <x:v>Luigi's Lost Levels</x:v>
      </x:c>
    </x:row>
    <x:row r="891">
      <x:c r="A891" t="str">
        <x:v>Luigi's Lost Levels 2 - Back With A Revenge</x:v>
      </x:c>
    </x:row>
    <x:row r="892">
      <x:c r="A892" t="str">
        <x:v>Luigi's Lost Levels 3 - Electrik Boogaloo</x:v>
      </x:c>
    </x:row>
    <x:row r="893">
      <x:c r="A893" t="str">
        <x:v>Luigi's Misadventures - Tsux Namine's factor</x:v>
      </x:c>
    </x:row>
    <x:row r="894">
      <x:c r="A894" t="str">
        <x:v>Luigi's Misadventures 2 - Leviathan's Mania</x:v>
      </x:c>
    </x:row>
    <x:row r="895">
      <x:c r="A895" t="str">
        <x:v>Luigi's Misadventures 3 - Recipe for a disaster</x:v>
      </x:c>
    </x:row>
    <x:row r="896">
      <x:c r="A896" t="str">
        <x:v>Luigi's Misadventures 4 - Galactic Kids Next Door</x:v>
      </x:c>
    </x:row>
    <x:row r="897">
      <x:c r="A897" t="str">
        <x:v>Luigi's Misadventures 5 - Rougenia Merald's challenge</x:v>
      </x:c>
    </x:row>
    <x:row r="898">
      <x:c r="A898" t="str">
        <x:v>Luigi's Misadventures 6 - Bambulua</x:v>
      </x:c>
    </x:row>
    <x:row r="899">
      <x:c r="A899" t="str">
        <x:v>Luigi's New Quest</x:v>
      </x:c>
    </x:row>
    <x:row r="900">
      <x:c r="A900" t="str">
        <x:v>Luigi's Revenge!</x:v>
      </x:c>
    </x:row>
    <x:row r="901">
      <x:c r="A901" t="str">
        <x:v>Luigi's Super Adventure - C3 Demo</x:v>
      </x:c>
    </x:row>
    <x:row r="902">
      <x:c r="A902" t="str">
        <x:v>Luigi's Superstar Search</x:v>
      </x:c>
    </x:row>
    <x:row r="903">
      <x:c r="A903" t="str">
        <x:v>Luigis Story</x:v>
      </x:c>
    </x:row>
    <x:row r="904">
      <x:c r="A904" t="str">
        <x:v>Luminescent</x:v>
      </x:c>
    </x:row>
    <x:row r="905">
      <x:c r="A905" t="str">
        <x:v>Lunar Legends</x:v>
      </x:c>
    </x:row>
    <x:row r="906">
      <x:c r="A906" t="str">
        <x:v>Lunar Legends: The Search</x:v>
      </x:c>
    </x:row>
    <x:row r="907">
      <x:c r="A907" t="str">
        <x:v>Lunar Magic 1.0 Adventures</x:v>
      </x:c>
    </x:row>
    <x:row r="908">
      <x:c r="A908" t="str">
        <x:v>LunchBreak</x:v>
      </x:c>
    </x:row>
    <x:row r="909">
      <x:c r="A909" t="str">
        <x:v>Lurn 2 Shell</x:v>
      </x:c>
    </x:row>
    <x:row r="910">
      <x:c r="A910" t="str">
        <x:v>Lydian Mario World</x:v>
      </x:c>
    </x:row>
    <x:row r="911">
      <x:c r="A911" t="str">
        <x:v>Mad with Kaizo Power</x:v>
      </x:c>
    </x:row>
    <x:row r="912">
      <x:c r="A912" t="str">
        <x:v>Made of Fantasy</x:v>
      </x:c>
    </x:row>
    <x:row r="913">
      <x:c r="A913" t="str">
        <x:v>Magiopolis</x:v>
      </x:c>
    </x:row>
    <x:row r="914">
      <x:c r="A914" t="str">
        <x:v>Mahogen</x:v>
      </x:c>
    </x:row>
    <x:row r="915">
      <x:c r="A915" t="str">
        <x:v>mancorsa</x:v>
      </x:c>
    </x:row>
    <x:row r="916">
      <x:c r="A916" t="str">
        <x:v>Maple Island</x:v>
      </x:c>
    </x:row>
    <x:row r="917">
      <x:c r="A917" t="str">
        <x:v>Mario &amp; Friends in: Volcanic Panic</x:v>
      </x:c>
    </x:row>
    <x:row r="918">
      <x:c r="A918" t="str">
        <x:v>Mario &amp; La Sphère de Toad 2</x:v>
      </x:c>
    </x:row>
    <x:row r="919">
      <x:c r="A919" t="str">
        <x:v>Mario &amp; Luigi - Mecha Koopa Mayhem</x:v>
      </x:c>
    </x:row>
    <x:row r="920">
      <x:c r="A920" t="str">
        <x:v>Mario &amp; Luigi DOS Remake</x:v>
      </x:c>
    </x:row>
    <x:row r="921">
      <x:c r="A921" t="str">
        <x:v>Mario &amp; Luigi: Adventures</x:v>
      </x:c>
    </x:row>
    <x:row r="922">
      <x:c r="A922" t="str">
        <x:v>Mario &amp; Luigi: Kola Kingdom Quest</x:v>
      </x:c>
    </x:row>
    <x:row r="923">
      <x:c r="A923" t="str">
        <x:v>Mario &amp; Luigi: Power Blast</x:v>
      </x:c>
    </x:row>
    <x:row r="924">
      <x:c r="A924" t="str">
        <x:v>Mario &amp; Luigi: Starlight Island Adventure</x:v>
      </x:c>
    </x:row>
    <x:row r="925">
      <x:c r="A925" t="str">
        <x:v>Mario &amp; Waluigi: In Search of Luigi</x:v>
      </x:c>
    </x:row>
    <x:row r="926">
      <x:c r="A926" t="str">
        <x:v>Mario - Crazy Adventures 1: Lost in Subcoony World</x:v>
      </x:c>
    </x:row>
    <x:row r="927">
      <x:c r="A927" t="str">
        <x:v>Mario - The Currently Unnamed Hack</x:v>
      </x:c>
    </x:row>
    <x:row r="928">
      <x:c r="A928" t="str">
        <x:v>Mario - The Mystical Gem</x:v>
      </x:c>
    </x:row>
    <x:row r="929">
      <x:c r="A929" t="str">
        <x:v>MARIO [SMWC #6416]</x:v>
      </x:c>
    </x:row>
    <x:row r="930">
      <x:c r="A930" t="str">
        <x:v>Mario [SMWC #9891]</x:v>
      </x:c>
    </x:row>
    <x:row r="931">
      <x:c r="A931" t="str">
        <x:v>Mario and Friends in: The Ghost's Gallery</x:v>
      </x:c>
    </x:row>
    <x:row r="932">
      <x:c r="A932" t="str">
        <x:v>Mario and Luigi Go to White Castle</x:v>
      </x:c>
    </x:row>
    <x:row r="933">
      <x:c r="A933" t="str">
        <x:v>Mario and Luigi in an Unknown Island [SMWC #23496]</x:v>
      </x:c>
    </x:row>
    <x:row r="934">
      <x:c r="A934" t="str">
        <x:v>Mario and Luigi in an Unknown Island [SMWC #34207]</x:v>
      </x:c>
    </x:row>
    <x:row r="935">
      <x:c r="A935" t="str">
        <x:v>Mario and Luigi in an Unknown Island [SMWC #40092]</x:v>
      </x:c>
    </x:row>
    <x:row r="936">
      <x:c r="A936" t="str">
        <x:v>Mario and luigi MEGA Adventure 1</x:v>
      </x:c>
    </x:row>
    <x:row r="937">
      <x:c r="A937" t="str">
        <x:v>Mario And Luigi: Super Berry World</x:v>
      </x:c>
    </x:row>
    <x:row r="938">
      <x:c r="A938" t="str">
        <x:v>Mario and The 5 Golden Eggs</x:v>
      </x:c>
    </x:row>
    <x:row r="939">
      <x:c r="A939" t="str">
        <x:v>Mario and the Cursed Coins</x:v>
      </x:c>
    </x:row>
    <x:row r="940">
      <x:c r="A940" t="str">
        <x:v>Mario And The Diamond Moon</x:v>
      </x:c>
    </x:row>
    <x:row r="941">
      <x:c r="A941" t="str">
        <x:v>Mario and the Forgotten Flower</x:v>
      </x:c>
    </x:row>
    <x:row r="942">
      <x:c r="A942" t="str">
        <x:v>Mario And The Golden Star</x:v>
      </x:c>
    </x:row>
    <x:row r="943">
      <x:c r="A943" t="str">
        <x:v>Mario and the Haunted Forest 2: Kamek's Return</x:v>
      </x:c>
    </x:row>
    <x:row r="944">
      <x:c r="A944" t="str">
        <x:v>Mario and the Kaizo Trials</x:v>
      </x:c>
    </x:row>
    <x:row r="945">
      <x:c r="A945" t="str">
        <x:v>Mario and the Magic Switches</x:v>
      </x:c>
    </x:row>
    <x:row r="946">
      <x:c r="A946" t="str">
        <x:v>Mario and the Mushroom of Power</x:v>
      </x:c>
    </x:row>
    <x:row r="947">
      <x:c r="A947" t="str">
        <x:v>Mario and the Mysterious Robot</x:v>
      </x:c>
    </x:row>
    <x:row r="948">
      <x:c r="A948" t="str">
        <x:v>Mario and the Parallel World</x:v>
      </x:c>
    </x:row>
    <x:row r="949">
      <x:c r="A949" t="str">
        <x:v>Mario and the Passage of Perils</x:v>
      </x:c>
    </x:row>
    <x:row r="950">
      <x:c r="A950" t="str">
        <x:v>Mario and the Pipe of Challenges</x:v>
      </x:c>
    </x:row>
    <x:row r="951">
      <x:c r="A951" t="str">
        <x:v>Mario and the Sphere of Toad - Reloaded</x:v>
      </x:c>
    </x:row>
    <x:row r="952">
      <x:c r="A952" t="str">
        <x:v>Mario and the Stolen Yoshi-Egg</x:v>
      </x:c>
    </x:row>
    <x:row r="953">
      <x:c r="A953" t="str">
        <x:v>Mario and the Thwomp</x:v>
      </x:c>
    </x:row>
    <x:row r="954">
      <x:c r="A954" t="str">
        <x:v>Mario at the Kasranova Levels</x:v>
      </x:c>
    </x:row>
    <x:row r="955">
      <x:c r="A955" t="str">
        <x:v>Mario at the Kasranova Levels 2: Imgelemden Hallice</x:v>
      </x:c>
    </x:row>
    <x:row r="956">
      <x:c r="A956" t="str">
        <x:v>Mario Bros Adventure Land</x:v>
      </x:c>
    </x:row>
    <x:row r="957">
      <x:c r="A957" t="str">
        <x:v>Mario Brother World</x:v>
      </x:c>
    </x:row>
    <x:row r="958">
      <x:c r="A958" t="str">
        <x:v>Mario Brother World 2</x:v>
      </x:c>
    </x:row>
    <x:row r="959">
      <x:c r="A959" t="str">
        <x:v>Mario Brothers Adventures</x:v>
      </x:c>
    </x:row>
    <x:row r="960">
      <x:c r="A960" t="str">
        <x:v>Mario Curse Hunter</x:v>
      </x:c>
    </x:row>
    <x:row r="961">
      <x:c r="A961" t="str">
        <x:v>Mario Destroys the World</x:v>
      </x:c>
    </x:row>
    <x:row r="962">
      <x:c r="A962" t="str">
        <x:v>MARIO EN BUSCA DE LA MASTER EMERALD (DEMO WORLD 2)</x:v>
      </x:c>
    </x:row>
    <x:row r="963">
      <x:c r="A963" t="str">
        <x:v>Mario Explores the Sewers</x:v>
      </x:c>
    </x:row>
    <x:row r="964">
      <x:c r="A964" t="str">
        <x:v>Mario Frenzy</x:v>
      </x:c>
    </x:row>
    <x:row r="965">
      <x:c r="A965" t="str">
        <x:v>Mario Gives Up</x:v>
      </x:c>
    </x:row>
    <x:row r="966">
      <x:c r="A966" t="str">
        <x:v>Mario Gives Up 2</x:v>
      </x:c>
    </x:row>
    <x:row r="967">
      <x:c r="A967" t="str">
        <x:v>Mario Gives Up 3</x:v>
      </x:c>
    </x:row>
    <x:row r="968">
      <x:c r="A968" t="str">
        <x:v>Mario goes on an adventure for apparently no reason</x:v>
      </x:c>
    </x:row>
    <x:row r="969">
      <x:c r="A969" t="str">
        <x:v>Mario goes to a castle to pay his taxes</x:v>
      </x:c>
    </x:row>
    <x:row r="970">
      <x:c r="A970" t="str">
        <x:v>Mario Goes to Brazil</x:v>
      </x:c>
    </x:row>
    <x:row r="971">
      <x:c r="A971" t="str">
        <x:v>Mario goes to the Adventure Park</x:v>
      </x:c>
    </x:row>
    <x:row r="972">
      <x:c r="A972" t="str">
        <x:v>Mario Goes To The Store</x:v>
      </x:c>
    </x:row>
    <x:row r="973">
      <x:c r="A973" t="str">
        <x:v>Mario goes to Wendy's</x:v>
      </x:c>
    </x:row>
    <x:row r="974">
      <x:c r="A974" t="str">
        <x:v>Mario Got Bored</x:v>
      </x:c>
    </x:row>
    <x:row r="975">
      <x:c r="A975" t="str">
        <x:v>Mario in a Mysterious World</x:v>
      </x:c>
    </x:row>
    <x:row r="976">
      <x:c r="A976" t="str">
        <x:v>Mario in a Strange Adventure</x:v>
      </x:c>
    </x:row>
    <x:row r="977">
      <x:c r="A977" t="str">
        <x:v>Mario in Another Land</x:v>
      </x:c>
    </x:row>
    <x:row r="978">
      <x:c r="A978" t="str">
        <x:v>Mario In Dragon Land</x:v>
      </x:c>
    </x:row>
    <x:row r="979">
      <x:c r="A979" t="str">
        <x:v>Mario in Leprechaun Island</x:v>
      </x:c>
    </x:row>
    <x:row r="980">
      <x:c r="A980" t="str">
        <x:v>Mario In Lucid Dream</x:v>
      </x:c>
    </x:row>
    <x:row r="981">
      <x:c r="A981" t="str">
        <x:v>Mario In Midgard</x:v>
      </x:c>
    </x:row>
    <x:row r="982">
      <x:c r="A982" t="str">
        <x:v>Mario In Mushroom Rix Land</x:v>
      </x:c>
    </x:row>
    <x:row r="983">
      <x:c r="A983" t="str">
        <x:v>Mario In Mushroom Rix Land 2 Gimmicky Island</x:v>
      </x:c>
    </x:row>
    <x:row r="984">
      <x:c r="A984" t="str">
        <x:v>Mario In Mushroom Rix Land 3 Master Thwomps Avenge</x:v>
      </x:c>
    </x:row>
    <x:row r="985">
      <x:c r="A985" t="str">
        <x:v>Mario In Mushroom Rix Land 4 Trip To Nano Island</x:v>
      </x:c>
    </x:row>
    <x:row r="986">
      <x:c r="A986" t="str">
        <x:v>Mario In Mushroom Rix Land 5</x:v>
      </x:c>
    </x:row>
    <x:row r="987">
      <x:c r="A987" t="str">
        <x:v>Mario in Neb's Land</x:v>
      </x:c>
    </x:row>
    <x:row r="988">
      <x:c r="A988" t="str">
        <x:v>Mario in Search of the Rest</x:v>
      </x:c>
    </x:row>
    <x:row r="989">
      <x:c r="A989" t="str">
        <x:v>Mario In The World Of Matik</x:v>
      </x:c>
    </x:row>
    <x:row r="990">
      <x:c r="A990" t="str">
        <x:v>Mario in the Yoshis' Heartland</x:v>
      </x:c>
    </x:row>
    <x:row r="991">
      <x:c r="A991" t="str">
        <x:v>Mario in Whatever Land</x:v>
      </x:c>
    </x:row>
    <x:row r="992">
      <x:c r="A992" t="str">
        <x:v>Mario into Megaman</x:v>
      </x:c>
    </x:row>
    <x:row r="993">
      <x:c r="A993" t="str">
        <x:v>Mario is looking for the Golden Pizzaland</x:v>
      </x:c>
    </x:row>
    <x:row r="994">
      <x:c r="A994" t="str">
        <x:v>Mario Is Missing 3: Mario's Wreck</x:v>
      </x:c>
    </x:row>
    <x:row r="995">
      <x:c r="A995" t="str">
        <x:v>Mario is Missing! Done Right</x:v>
      </x:c>
    </x:row>
    <x:row r="996">
      <x:c r="A996" t="str">
        <x:v>Mario is Missing... again</x:v>
      </x:c>
    </x:row>
    <x:row r="997">
      <x:c r="A997" t="str">
        <x:v>Mario is Screwed</x:v>
      </x:c>
    </x:row>
    <x:row r="998">
      <x:c r="A998" t="str">
        <x:v>Mario is Sick!</x:v>
      </x:c>
    </x:row>
    <x:row r="999">
      <x:c r="A999" t="str">
        <x:v>Mario is Stupid</x:v>
      </x:c>
    </x:row>
    <x:row r="1000">
      <x:c r="A1000" t="str">
        <x:v>Mario is too casual</x:v>
      </x:c>
    </x:row>
    <x:row r="1001">
      <x:c r="A1001" t="str">
        <x:v>Mario Keymanship</x:v>
      </x:c>
    </x:row>
    <x:row r="1002">
      <x:c r="A1002" t="str">
        <x:v>Mario Kick World</x:v>
      </x:c>
    </x:row>
    <x:row r="1003">
      <x:c r="A1003" t="str">
        <x:v>Mario Left the Garage Door Open Again</x:v>
      </x:c>
    </x:row>
    <x:row r="1004">
      <x:c r="A1004" t="str">
        <x:v>Mario Lost in the Fruit Cave</x:v>
      </x:c>
    </x:row>
    <x:row r="1005">
      <x:c r="A1005" t="str">
        <x:v>Mario Mania [SMWC #22072]</x:v>
      </x:c>
    </x:row>
    <x:row r="1006">
      <x:c r="A1006" t="str">
        <x:v>Mario Mania [SMWC #34594]</x:v>
      </x:c>
    </x:row>
    <x:row r="1007">
      <x:c r="A1007" t="str">
        <x:v>Mario Mario Mario</x:v>
      </x:c>
    </x:row>
    <x:row r="1008">
      <x:c r="A1008" t="str">
        <x:v>Mario Mario vs the Crab Army</x:v>
      </x:c>
    </x:row>
    <x:row r="1009">
      <x:c r="A1009" t="str">
        <x:v>Mario Mario's Superior Platforming Physics Challenge</x:v>
      </x:c>
    </x:row>
    <x:row r="1010">
      <x:c r="A1010" t="str">
        <x:v>Mario Memorandum</x:v>
      </x:c>
    </x:row>
    <x:row r="1011">
      <x:c r="A1011" t="str">
        <x:v>Mario Memorandum: New Game Plus</x:v>
      </x:c>
    </x:row>
    <x:row r="1012">
      <x:c r="A1012" t="str">
        <x:v>Mario Mission</x:v>
      </x:c>
    </x:row>
    <x:row r="1013">
      <x:c r="A1013" t="str">
        <x:v>Mario Must Die (SMWC version)</x:v>
      </x:c>
    </x:row>
    <x:row r="1014">
      <x:c r="A1014" t="str">
        <x:v>Mario Must Die 2</x:v>
      </x:c>
    </x:row>
    <x:row r="1015">
      <x:c r="A1015" t="str">
        <x:v>Mario No Kumorizora</x:v>
      </x:c>
    </x:row>
    <x:row r="1016">
      <x:c r="A1016" t="str">
        <x:v>Mario OC</x:v>
      </x:c>
    </x:row>
    <x:row r="1017">
      <x:c r="A1017" t="str">
        <x:v>Mario on Ice</x:v>
      </x:c>
    </x:row>
    <x:row r="1018">
      <x:c r="A1018" t="str">
        <x:v>Mario on the Moon</x:v>
      </x:c>
    </x:row>
    <x:row r="1019">
      <x:c r="A1019" t="str">
        <x:v>Mario Quits</x:v>
      </x:c>
    </x:row>
    <x:row r="1020">
      <x:c r="A1020" t="str">
        <x:v>Mario Quits 2</x:v>
      </x:c>
    </x:row>
    <x:row r="1021">
      <x:c r="A1021" t="str">
        <x:v>Mario Rescues 4th Of July</x:v>
      </x:c>
    </x:row>
    <x:row r="1022">
      <x:c r="A1022" t="str">
        <x:v>Mario Rescues Santa Claus</x:v>
      </x:c>
    </x:row>
    <x:row r="1023">
      <x:c r="A1023" t="str">
        <x:v>Mario Rescues the Golden Mushroom</x:v>
      </x:c>
    </x:row>
    <x:row r="1024">
      <x:c r="A1024" t="str">
        <x:v>Mario Returns To Yoshi's Island</x:v>
      </x:c>
    </x:row>
    <x:row r="1025">
      <x:c r="A1025" t="str">
        <x:v>Mario Saves Christmas</x:v>
      </x:c>
    </x:row>
    <x:row r="1026">
      <x:c r="A1026" t="str">
        <x:v>Mario Saves Christmas 2021</x:v>
      </x:c>
    </x:row>
    <x:row r="1027">
      <x:c r="A1027" t="str">
        <x:v>Mario Saves Easter 2023</x:v>
      </x:c>
    </x:row>
    <x:row r="1028">
      <x:c r="A1028" t="str">
        <x:v>Mario Saves Fermin's Birthday</x:v>
      </x:c>
    </x:row>
    <x:row r="1029">
      <x:c r="A1029" t="str">
        <x:v>Mario Saves Peach Once Again</x:v>
      </x:c>
    </x:row>
    <x:row r="1030">
      <x:c r="A1030" t="str">
        <x:v>Mario Saves Princess Peach</x:v>
      </x:c>
    </x:row>
    <x:row r="1031">
      <x:c r="A1031" t="str">
        <x:v>Mario Saves Princess Toadstool 2</x:v>
      </x:c>
    </x:row>
    <x:row r="1032">
      <x:c r="A1032" t="str">
        <x:v>Mario Saves Spring Break</x:v>
      </x:c>
    </x:row>
    <x:row r="1033">
      <x:c r="A1033" t="str">
        <x:v>Mario Saves Spring Break 2</x:v>
      </x:c>
    </x:row>
    <x:row r="1034">
      <x:c r="A1034" t="str">
        <x:v>Mario Saves Summer Break 2024</x:v>
      </x:c>
    </x:row>
    <x:row r="1035">
      <x:c r="A1035" t="str">
        <x:v>Mario Silver Land Ep I</x:v>
      </x:c>
    </x:row>
    <x:row r="1036">
      <x:c r="A1036" t="str">
        <x:v>Mario story : Return to sweet n' sour land</x:v>
      </x:c>
    </x:row>
    <x:row r="1037">
      <x:c r="A1037" t="str">
        <x:v>Mario Super R</x:v>
      </x:c>
    </x:row>
    <x:row r="1038">
      <x:c r="A1038" t="str">
        <x:v>Mario the Archaeologist</x:v>
      </x:c>
    </x:row>
    <x:row r="1039">
      <x:c r="A1039" t="str">
        <x:v>Mario to the Rescue</x:v>
      </x:c>
    </x:row>
    <x:row r="1040">
      <x:c r="A1040" t="str">
        <x:v>Mario travels around the World</x:v>
      </x:c>
    </x:row>
    <x:row r="1041">
      <x:c r="A1041" t="str">
        <x:v>Mario vs Sonic.exe 2</x:v>
      </x:c>
    </x:row>
    <x:row r="1042">
      <x:c r="A1042" t="str">
        <x:v>Mario VS The Police 2</x:v>
      </x:c>
    </x:row>
    <x:row r="1043">
      <x:c r="A1043" t="str">
        <x:v>Mario Vs. Big Boo</x:v>
      </x:c>
    </x:row>
    <x:row r="1044">
      <x:c r="A1044" t="str">
        <x:v>Mario vs. Bowser and Mighty No. 9</x:v>
      </x:c>
    </x:row>
    <x:row r="1045">
      <x:c r="A1045" t="str">
        <x:v>Mario vs. Shyguy</x:v>
      </x:c>
    </x:row>
    <x:row r="1046">
      <x:c r="A1046" t="str">
        <x:v>Mario vs. SONIC.EXE</x:v>
      </x:c>
    </x:row>
    <x:row r="1047">
      <x:c r="A1047" t="str">
        <x:v>Mario Vs. The Deadly Alliance</x:v>
      </x:c>
    </x:row>
    <x:row r="1048">
      <x:c r="A1048" t="str">
        <x:v>Mario vs. the Magnificent 7</x:v>
      </x:c>
    </x:row>
    <x:row r="1049">
      <x:c r="A1049" t="str">
        <x:v>Mario Wakes Up... Expanded!</x:v>
      </x:c>
    </x:row>
    <x:row r="1050">
      <x:c r="A1050" t="str">
        <x:v>Mario Wants His Lemonade</x:v>
      </x:c>
    </x:row>
    <x:row r="1051">
      <x:c r="A1051" t="str">
        <x:v>Mario World Super Yuri's Hack</x:v>
      </x:c>
    </x:row>
    <x:row r="1052">
      <x:c r="A1052" t="str">
        <x:v>Mario World The Mario Adventure</x:v>
      </x:c>
    </x:row>
    <x:row r="1053">
      <x:c r="A1053" t="str">
        <x:v>Mario! A New Era</x:v>
      </x:c>
    </x:row>
    <x:row r="1054">
      <x:c r="A1054" t="str">
        <x:v>Mario's 100s Challenge</x:v>
      </x:c>
    </x:row>
    <x:row r="1055">
      <x:c r="A1055" t="str">
        <x:v>Mario's 2 Ways 2 Victory</x:v>
      </x:c>
    </x:row>
    <x:row r="1056">
      <x:c r="A1056" t="str">
        <x:v>Mario's Adventure</x:v>
      </x:c>
    </x:row>
    <x:row r="1057">
      <x:c r="A1057" t="str">
        <x:v>Mario's Adventure in Yoshi's Island</x:v>
      </x:c>
    </x:row>
    <x:row r="1058">
      <x:c r="A1058" t="str">
        <x:v>Mario's Adventure on the Southern Continent</x:v>
      </x:c>
    </x:row>
    <x:row r="1059">
      <x:c r="A1059" t="str">
        <x:v>Mario's Amazing Adventure Revitalized</x:v>
      </x:c>
    </x:row>
    <x:row r="1060">
      <x:c r="A1060" t="str">
        <x:v>Mario's Amazing Adventure: Extrem Edition</x:v>
      </x:c>
    </x:row>
    <x:row r="1061">
      <x:c r="A1061" t="str">
        <x:v>Mario's Ascetic Adventure</x:v>
      </x:c>
    </x:row>
    <x:row r="1062">
      <x:c r="A1062" t="str">
        <x:v>Mario's Awesome Journey</x:v>
      </x:c>
    </x:row>
    <x:row r="1063">
      <x:c r="A1063" t="str">
        <x:v>Mario's Bathroom Adventure</x:v>
      </x:c>
    </x:row>
    <x:row r="1064">
      <x:c r="A1064" t="str">
        <x:v>Mario's Bizarre Adventure</x:v>
      </x:c>
    </x:row>
    <x:row r="1065">
      <x:c r="A1065" t="str">
        <x:v>Mario's Bizarre Adventure DLC</x:v>
      </x:c>
    </x:row>
    <x:row r="1066">
      <x:c r="A1066" t="str">
        <x:v>Mario's Cookie Catastrophe</x:v>
      </x:c>
    </x:row>
    <x:row r="1067">
      <x:c r="A1067" t="str">
        <x:v>Mario's Cool Mission</x:v>
      </x:c>
    </x:row>
    <x:row r="1068">
      <x:c r="A1068" t="str">
        <x:v>Mario's Day Off</x:v>
      </x:c>
    </x:row>
    <x:row r="1069">
      <x:c r="A1069" t="str">
        <x:v>Mario's Double Trouble</x:v>
      </x:c>
    </x:row>
    <x:row r="1070">
      <x:c r="A1070" t="str">
        <x:v>Mario's Dying Simulator</x:v>
      </x:c>
    </x:row>
    <x:row r="1071">
      <x:c r="A1071" t="str">
        <x:v>Mario's Endless Adventure 2: Escape From Koopatraz Prison</x:v>
      </x:c>
    </x:row>
    <x:row r="1072">
      <x:c r="A1072" t="str">
        <x:v>Mario's Enigmatic Tales 1: The Betrayal</x:v>
      </x:c>
    </x:row>
    <x:row r="1073">
      <x:c r="A1073" t="str">
        <x:v>Mario's Epic Adventure [SMWC #10132]</x:v>
      </x:c>
    </x:row>
    <x:row r="1074">
      <x:c r="A1074" t="str">
        <x:v>Mario's Epic Adventure [SMWC #36826]</x:v>
      </x:c>
    </x:row>
    <x:row r="1075">
      <x:c r="A1075" t="str">
        <x:v>Mario's Evil Level</x:v>
      </x:c>
    </x:row>
    <x:row r="1076">
      <x:c r="A1076" t="str">
        <x:v>Mario's Exodus To Death</x:v>
      </x:c>
    </x:row>
    <x:row r="1077">
      <x:c r="A1077" t="str">
        <x:v>Mario's Final Quest</x:v>
      </x:c>
    </x:row>
    <x:row r="1078">
      <x:c r="A1078" t="str">
        <x:v>Mario's First Adventure</x:v>
      </x:c>
    </x:row>
    <x:row r="1079">
      <x:c r="A1079" t="str">
        <x:v>Mario's Grand Adventure</x:v>
      </x:c>
    </x:row>
    <x:row r="1080">
      <x:c r="A1080" t="str">
        <x:v>Mario's Grand Adventure 2: Mario's World Tour</x:v>
      </x:c>
    </x:row>
    <x:row r="1081">
      <x:c r="A1081" t="str">
        <x:v>Mario's Grand Adventure: Delta Island</x:v>
      </x:c>
    </x:row>
    <x:row r="1082">
      <x:c r="A1082" t="str">
        <x:v>Mario's Grand Adventure: Omega Jungle</x:v>
      </x:c>
    </x:row>
    <x:row r="1083">
      <x:c r="A1083" t="str">
        <x:v>Mario's Homeland</x:v>
      </x:c>
    </x:row>
    <x:row r="1084">
      <x:c r="A1084" t="str">
        <x:v>Mario's Island Exploration</x:v>
      </x:c>
    </x:row>
    <x:row r="1085">
      <x:c r="A1085" t="str">
        <x:v>Mario's Journey Through Time &amp; Space</x:v>
      </x:c>
    </x:row>
    <x:row r="1086">
      <x:c r="A1086" t="str">
        <x:v>Mario's Keytastrophe</x:v>
      </x:c>
    </x:row>
    <x:row r="1087">
      <x:c r="A1087" t="str">
        <x:v>Mario's Keytastrophe: Rebirth Edition</x:v>
      </x:c>
    </x:row>
    <x:row r="1088">
      <x:c r="A1088" t="str">
        <x:v>Mario's Last Adventure</x:v>
      </x:c>
    </x:row>
    <x:row r="1089">
      <x:c r="A1089" t="str">
        <x:v>Mario's Long Traveling</x:v>
      </x:c>
    </x:row>
    <x:row r="1090">
      <x:c r="A1090" t="str">
        <x:v>Mario's Lost World</x:v>
      </x:c>
    </x:row>
    <x:row r="1091">
      <x:c r="A1091" t="str">
        <x:v>Mario's Low-Budget Adventure</x:v>
      </x:c>
    </x:row>
    <x:row r="1092">
      <x:c r="A1092" t="str">
        <x:v>Mario's Mad Adventure</x:v>
      </x:c>
    </x:row>
    <x:row r="1093">
      <x:c r="A1093" t="str">
        <x:v>Mario's Misadventures 2: The Black Hole Bomb</x:v>
      </x:c>
    </x:row>
    <x:row r="1094">
      <x:c r="A1094" t="str">
        <x:v>Mario's Misadventures: The Secret of The 11 Gems</x:v>
      </x:c>
    </x:row>
    <x:row r="1095">
      <x:c r="A1095" t="str">
        <x:v>Mario's Mission</x:v>
      </x:c>
    </x:row>
    <x:row r="1096">
      <x:c r="A1096" t="str">
        <x:v>Mario's Mistake</x:v>
      </x:c>
    </x:row>
    <x:row r="1097">
      <x:c r="A1097" t="str">
        <x:v>Mario's Mystery Meat</x:v>
      </x:c>
    </x:row>
    <x:row r="1098">
      <x:c r="A1098" t="str">
        <x:v>Mario's Mystical Garden</x:v>
      </x:c>
    </x:row>
    <x:row r="1099">
      <x:c r="A1099" t="str">
        <x:v>Mario's New World</x:v>
      </x:c>
    </x:row>
    <x:row r="1100">
      <x:c r="A1100" t="str">
        <x:v>Mario's New Year Mini Quest</x:v>
      </x:c>
    </x:row>
    <x:row r="1101">
      <x:c r="A1101" t="str">
        <x:v>Mario's Next Adventure</x:v>
      </x:c>
    </x:row>
    <x:row r="1102">
      <x:c r="A1102" t="str">
        <x:v>Mario's Nightmare: Episode 1</x:v>
      </x:c>
    </x:row>
    <x:row r="1103">
      <x:c r="A1103" t="str">
        <x:v>Mario's NOSE</x:v>
      </x:c>
    </x:row>
    <x:row r="1104">
      <x:c r="A1104" t="str">
        <x:v>Mario's on a New Adventure!</x:v>
      </x:c>
    </x:row>
    <x:row r="1105">
      <x:c r="A1105" t="str">
        <x:v>Mario's Peregrination-Kingdom Elementum Phantasia</x:v>
      </x:c>
    </x:row>
    <x:row r="1106">
      <x:c r="A1106" t="str">
        <x:v>Mario's Pride Mini Quest</x:v>
      </x:c>
    </x:row>
    <x:row r="1107">
      <x:c r="A1107" t="str">
        <x:v>Mario's Quest For The Water</x:v>
      </x:c>
    </x:row>
    <x:row r="1108">
      <x:c r="A1108" t="str">
        <x:v>Mario's Quest: The Legend of Darmi</x:v>
      </x:c>
    </x:row>
    <x:row r="1109">
      <x:c r="A1109" t="str">
        <x:v>Mario's Redemption Quest</x:v>
      </x:c>
    </x:row>
    <x:row r="1110">
      <x:c r="A1110" t="str">
        <x:v>Mario's Redrawn Adventure</x:v>
      </x:c>
    </x:row>
    <x:row r="1111">
      <x:c r="A1111" t="str">
        <x:v>Mario's Return</x:v>
      </x:c>
    </x:row>
    <x:row r="1112">
      <x:c r="A1112" t="str">
        <x:v>Mario's Return Again</x:v>
      </x:c>
    </x:row>
    <x:row r="1113">
      <x:c r="A1113" t="str">
        <x:v>Mario's Ruined Seclusion</x:v>
      </x:c>
    </x:row>
    <x:row r="1114">
      <x:c r="A1114" t="str">
        <x:v>Mario's Search for the 8 Jewels</x:v>
      </x:c>
    </x:row>
    <x:row r="1115">
      <x:c r="A1115" t="str">
        <x:v>Mario's Search for the 8 Jewels 2</x:v>
      </x:c>
    </x:row>
    <x:row r="1116">
      <x:c r="A1116" t="str">
        <x:v>Mario's Search for the Shrine of Eternal Ice</x:v>
      </x:c>
    </x:row>
    <x:row r="1117">
      <x:c r="A1117" t="str">
        <x:v>Mario's Search for the Stolen Stars</x:v>
      </x:c>
    </x:row>
    <x:row r="1118">
      <x:c r="A1118" t="str">
        <x:v>Mario's Simple Way</x:v>
      </x:c>
    </x:row>
    <x:row r="1119">
      <x:c r="A1119" t="str">
        <x:v>Mario's Strange Quest</x:v>
      </x:c>
    </x:row>
    <x:row r="1120">
      <x:c r="A1120" t="str">
        <x:v>Mario's Super Galactic Illusion Space Time</x:v>
      </x:c>
    </x:row>
    <x:row r="1121">
      <x:c r="A1121" t="str">
        <x:v>Mario's Supper World</x:v>
      </x:c>
    </x:row>
    <x:row r="1122">
      <x:c r="A1122" t="str">
        <x:v>Mario's Sweet Adventure</x:v>
      </x:c>
    </x:row>
    <x:row r="1123">
      <x:c r="A1123" t="str">
        <x:v>Mario's Sweet Adventure 2</x:v>
      </x:c>
    </x:row>
    <x:row r="1124">
      <x:c r="A1124" t="str">
        <x:v>Mario's Sweet Adventure 3 - A New Quest</x:v>
      </x:c>
    </x:row>
    <x:row r="1125">
      <x:c r="A1125" t="str">
        <x:v>Mario's Time Quest</x:v>
      </x:c>
    </x:row>
    <x:row r="1126">
      <x:c r="A1126" t="str">
        <x:v>Mario's Timely Adventure</x:v>
      </x:c>
    </x:row>
    <x:row r="1127">
      <x:c r="A1127" t="str">
        <x:v>Mario's Training</x:v>
      </x:c>
    </x:row>
    <x:row r="1128">
      <x:c r="A1128" t="str">
        <x:v>Mario's Treasure Hunt</x:v>
      </x:c>
    </x:row>
    <x:row r="1129">
      <x:c r="A1129" t="str">
        <x:v>Mario's Treasure Hunt 2</x:v>
      </x:c>
    </x:row>
    <x:row r="1130">
      <x:c r="A1130" t="str">
        <x:v>Mario's Ultimate Journey</x:v>
      </x:c>
    </x:row>
    <x:row r="1131">
      <x:c r="A1131" t="str">
        <x:v>Mario's Vanilla Journey</x:v>
      </x:c>
    </x:row>
    <x:row r="1132">
      <x:c r="A1132" t="str">
        <x:v>Mario's Walk Home: Extended Collector's Edition</x:v>
      </x:c>
    </x:row>
    <x:row r="1133">
      <x:c r="A1133" t="str">
        <x:v>Mario's Way to be a Legend</x:v>
      </x:c>
    </x:row>
    <x:row r="1134">
      <x:c r="A1134" t="str">
        <x:v>Mario, Luigi and the 7 Eggs of Peace</x:v>
      </x:c>
    </x:row>
    <x:row r="1135">
      <x:c r="A1135" t="str">
        <x:v>Mario41001's Unknown Hack</x:v>
      </x:c>
    </x:row>
    <x:row r="1136">
      <x:c r="A1136" t="str">
        <x:v>Mario: Apocalypse Dawn</x:v>
      </x:c>
    </x:row>
    <x:row r="1137">
      <x:c r="A1137" t="str">
        <x:v>Mario: Collapsing Worlds</x:v>
      </x:c>
    </x:row>
    <x:row r="1138">
      <x:c r="A1138" t="str">
        <x:v>Mario: Dawn to Darkness</x:v>
      </x:c>
    </x:row>
    <x:row r="1139">
      <x:c r="A1139" t="str">
        <x:v>Mario: Other M</x:v>
      </x:c>
    </x:row>
    <x:row r="1140">
      <x:c r="A1140" t="str">
        <x:v>Mario: The Curse of King Boo</x:v>
      </x:c>
    </x:row>
    <x:row r="1141">
      <x:c r="A1141" t="str">
        <x:v>Marios Adventure in the Dream World</x:v>
      </x:c>
    </x:row>
    <x:row r="1142">
      <x:c r="A1142" t="str">
        <x:v>Marios Christmas Adventure</x:v>
      </x:c>
    </x:row>
    <x:row r="1143">
      <x:c r="A1143" t="str">
        <x:v>Marios Christmas Adventure 2</x:v>
      </x:c>
    </x:row>
    <x:row r="1144">
      <x:c r="A1144" t="str">
        <x:v>Marios Pizza Party</x:v>
      </x:c>
    </x:row>
    <x:row r="1145">
      <x:c r="A1145" t="str">
        <x:v>Marios Pizza Party 2</x:v>
      </x:c>
    </x:row>
    <x:row r="1146">
      <x:c r="A1146" t="str">
        <x:v>Marios Pizza Party 3</x:v>
      </x:c>
    </x:row>
    <x:row r="1147">
      <x:c r="A1147" t="str">
        <x:v>Marios story</x:v>
      </x:c>
    </x:row>
    <x:row r="1148">
      <x:c r="A1148" t="str">
        <x:v>MarioX World SER</x:v>
      </x:c>
    </x:row>
    <x:row r="1149">
      <x:c r="A1149" t="str">
        <x:v>Marisa And Reimu VS C3</x:v>
      </x:c>
    </x:row>
    <x:row r="1150">
      <x:c r="A1150" t="str">
        <x:v>Marisa And Reimu's Hack</x:v>
      </x:c>
    </x:row>
    <x:row r="1151">
      <x:c r="A1151" t="str">
        <x:v>Marisa And Reimu's Hack 2</x:v>
      </x:c>
    </x:row>
    <x:row r="1152">
      <x:c r="A1152" t="str">
        <x:v>Marisa And Reimu's Switch Hunt</x:v>
      </x:c>
    </x:row>
    <x:row r="1153">
      <x:c r="A1153" t="str">
        <x:v>Marisa's Dimensional Adventure Demo 2</x:v>
      </x:c>
    </x:row>
    <x:row r="1154">
      <x:c r="A1154" t="str">
        <x:v>MaSeHiHa - Mario's Search For His Hat</x:v>
      </x:c>
    </x:row>
    <x:row r="1155">
      <x:c r="A1155" t="str">
        <x:v>Master of Shell</x:v>
      </x:c>
    </x:row>
    <x:row r="1156">
      <x:c r="A1156" t="str">
        <x:v>Masterpiece</x:v>
      </x:c>
    </x:row>
    <x:row r="1157">
      <x:c r="A1157" t="str">
        <x:v>Mastery Shells</x:v>
      </x:c>
    </x:row>
    <x:row r="1158">
      <x:c r="A1158" t="str">
        <x:v>Mastery Shells 2</x:v>
      </x:c>
    </x:row>
    <x:row r="1159">
      <x:c r="A1159" t="str">
        <x:v>Maxodex's World: The Ancestor's Treasure</x:v>
      </x:c>
    </x:row>
    <x:row r="1160">
      <x:c r="A1160" t="str">
        <x:v>Mecha-Bowser's Revenge</x:v>
      </x:c>
    </x:row>
    <x:row r="1161">
      <x:c r="A1161" t="str">
        <x:v>Med's World - A Stick's Birthday</x:v>
      </x:c>
    </x:row>
    <x:row r="1162">
      <x:c r="A1162" t="str">
        <x:v>Meet The Balkans (Demo)</x:v>
      </x:c>
    </x:row>
    <x:row r="1163">
      <x:c r="A1163" t="str">
        <x:v>Mega Man's Trip to an Unknown World</x:v>
      </x:c>
    </x:row>
    <x:row r="1164">
      <x:c r="A1164" t="str">
        <x:v>Mega Mario Bros. 2</x:v>
      </x:c>
    </x:row>
    <x:row r="1165">
      <x:c r="A1165" t="str">
        <x:v>Mega Mario World 2: Awakened Power</x:v>
      </x:c>
    </x:row>
    <x:row r="1166">
      <x:c r="A1166" t="str">
        <x:v>Mega Mario World: Another Universe</x:v>
      </x:c>
    </x:row>
    <x:row r="1167">
      <x:c r="A1167" t="str">
        <x:v>Mega Rex Adventure [SMWC #9773]</x:v>
      </x:c>
    </x:row>
    <x:row r="1168">
      <x:c r="A1168" t="str">
        <x:v>Mega Rex Adventure [SMWC #9869]</x:v>
      </x:c>
    </x:row>
    <x:row r="1169">
      <x:c r="A1169" t="str">
        <x:v>Mega Rex Island</x:v>
      </x:c>
    </x:row>
    <x:row r="1170">
      <x:c r="A1170" t="str">
        <x:v>Megaman Reborn</x:v>
      </x:c>
    </x:row>
    <x:row r="1171">
      <x:c r="A1171" t="str">
        <x:v>MEME 😂👌💯</x:v>
      </x:c>
    </x:row>
    <x:row r="1172">
      <x:c r="A1172" t="str">
        <x:v>Memento Mori</x:v>
      </x:c>
    </x:row>
    <x:row r="1173">
      <x:c r="A1173" t="str">
        <x:v>Memorabilia</x:v>
      </x:c>
    </x:row>
    <x:row r="1174">
      <x:c r="A1174" t="str">
        <x:v>Memory Lane</x:v>
      </x:c>
    </x:row>
    <x:row r="1175">
      <x:c r="A1175" t="str">
        <x:v>Mercenaries</x:v>
      </x:c>
    </x:row>
    <x:row r="1176">
      <x:c r="A1176" t="str">
        <x:v>MFC</x:v>
      </x:c>
    </x:row>
    <x:row r="1177">
      <x:c r="A1177" t="str">
        <x:v>Midair Mastery</x:v>
      </x:c>
    </x:row>
    <x:row r="1178">
      <x:c r="A1178" t="str">
        <x:v>Midday</x:v>
      </x:c>
    </x:row>
    <x:row r="1179">
      <x:c r="A1179" t="str">
        <x:v>Midnight Lightning</x:v>
      </x:c>
    </x:row>
    <x:row r="1180">
      <x:c r="A1180" t="str">
        <x:v>Miku's Spike Hell</x:v>
      </x:c>
    </x:row>
    <x:row r="1181">
      <x:c r="A1181" t="str">
        <x:v>MINERVA</x:v>
      </x:c>
    </x:row>
    <x:row r="1182">
      <x:c r="A1182" t="str">
        <x:v>Mini Challenge Medley (Wave 1)</x:v>
      </x:c>
    </x:row>
    <x:row r="1183">
      <x:c r="A1183" t="str">
        <x:v>Mini Kaizo</x:v>
      </x:c>
    </x:row>
    <x:row r="1184">
      <x:c r="A1184" t="str">
        <x:v>minidumb</x:v>
      </x:c>
    </x:row>
    <x:row r="1185">
      <x:c r="A1185" t="str">
        <x:v>Mint Chocolate</x:v>
      </x:c>
    </x:row>
    <x:row r="1186">
      <x:c r="A1186" t="str">
        <x:v>MintGreenYoshi's Challenge</x:v>
      </x:c>
    </x:row>
    <x:row r="1187">
      <x:c r="A1187" t="str">
        <x:v>Mirthful Mario-Escapade through Stellatus Shire</x:v>
      </x:c>
    </x:row>
    <x:row r="1188">
      <x:c r="A1188" t="str">
        <x:v>Mischievous Mouser</x:v>
      </x:c>
    </x:row>
    <x:row r="1189">
      <x:c r="A1189" t="str">
        <x:v>Mistakes Were Made</x:v>
      </x:c>
    </x:row>
    <x:row r="1190">
      <x:c r="A1190" t="str">
        <x:v>Misty Out There</x:v>
      </x:c>
    </x:row>
    <x:row r="1191">
      <x:c r="A1191" t="str">
        <x:v>MK Ultra</x:v>
      </x:c>
    </x:row>
    <x:row r="1192">
      <x:c r="A1192" t="str">
        <x:v>mod cape: a precision cape level</x:v>
      </x:c>
    </x:row>
    <x:row r="1193">
      <x:c r="A1193" t="str">
        <x:v>Momoku Mario World</x:v>
      </x:c>
    </x:row>
    <x:row r="1194">
      <x:c r="A1194" t="str">
        <x:v>Monty Mole Island</x:v>
      </x:c>
    </x:row>
    <x:row r="1195">
      <x:c r="A1195" t="str">
        <x:v>Monty Mole Island 2 - Redrawn Island</x:v>
      </x:c>
    </x:row>
    <x:row r="1196">
      <x:c r="A1196" t="str">
        <x:v>Monty Mole Island 3 - Boom Boom's World</x:v>
      </x:c>
    </x:row>
    <x:row r="1197">
      <x:c r="A1197" t="str">
        <x:v>Monty Mole Island 4 - Gamma Archipelago</x:v>
      </x:c>
    </x:row>
    <x:row r="1198">
      <x:c r="A1198" t="str">
        <x:v>MOON</x:v>
      </x:c>
    </x:row>
    <x:row r="1199">
      <x:c r="A1199" t="str">
        <x:v>Moon Finder</x:v>
      </x:c>
    </x:row>
    <x:row r="1200">
      <x:c r="A1200" t="str">
        <x:v>Morton's Empire</x:v>
      </x:c>
    </x:row>
    <x:row r="1201">
      <x:c r="A1201" t="str">
        <x:v>Morton's Tyranny</x:v>
      </x:c>
    </x:row>
    <x:row r="1202">
      <x:c r="A1202" t="str">
        <x:v>Mostly Harmless</x:v>
      </x:c>
    </x:row>
    <x:row r="1203">
      <x:c r="A1203" t="str">
        <x:v>Motor Shells</x:v>
      </x:c>
    </x:row>
    <x:row r="1204">
      <x:c r="A1204" t="str">
        <x:v>MrUg's Mini Level Pack</x:v>
      </x:c>
    </x:row>
    <x:row r="1205">
      <x:c r="A1205" t="str">
        <x:v>Much Ado About Eggs</x:v>
      </x:c>
    </x:row>
    <x:row r="1206">
      <x:c r="A1206" t="str">
        <x:v>Mura World</x:v>
      </x:c>
    </x:row>
    <x:row r="1207">
      <x:c r="A1207" t="str">
        <x:v>Mura World 2</x:v>
      </x:c>
    </x:row>
    <x:row r="1208">
      <x:c r="A1208" t="str">
        <x:v>Mushroom Kingdom - Under Crimson Skies</x:v>
      </x:c>
    </x:row>
    <x:row r="1209">
      <x:c r="A1209" t="str">
        <x:v>Mushroom Kingdom Invasion</x:v>
      </x:c>
    </x:row>
    <x:row r="1210">
      <x:c r="A1210" t="str">
        <x:v>Mushroom Kingdom Meltdown</x:v>
      </x:c>
    </x:row>
    <x:row r="1211">
      <x:c r="A1211" t="str">
        <x:v>Mushroom Kingdom Meltdown 2</x:v>
      </x:c>
    </x:row>
    <x:row r="1212">
      <x:c r="A1212" t="str">
        <x:v>Mushroom Onion Pizza</x:v>
      </x:c>
    </x:row>
    <x:row r="1213">
      <x:c r="A1213" t="str">
        <x:v>Mute's Christmas Quest</x:v>
      </x:c>
    </x:row>
    <x:row r="1214">
      <x:c r="A1214" t="str">
        <x:v>My Contest Entries Collection</x:v>
      </x:c>
    </x:row>
    <x:row r="1215">
      <x:c r="A1215" t="str">
        <x:v>My Favorite Things</x:v>
      </x:c>
    </x:row>
    <x:row r="1216">
      <x:c r="A1216" t="str">
        <x:v>My Hack</x:v>
      </x:c>
    </x:row>
    <x:row r="1217">
      <x:c r="A1217" t="str">
        <x:v>My Level 4 Emero</x:v>
      </x:c>
    </x:row>
    <x:row r="1218">
      <x:c r="A1218" t="str">
        <x:v>My little Puzzles - The Road to Wisdom</x:v>
      </x:c>
    </x:row>
    <x:row r="1219">
      <x:c r="A1219" t="str">
        <x:v>My little Puzzles 2 - The Continents of Knowledge</x:v>
      </x:c>
    </x:row>
    <x:row r="1220">
      <x:c r="A1220" t="str">
        <x:v>My little Puzzles 3 - The Key to Eternity</x:v>
      </x:c>
    </x:row>
    <x:row r="1221">
      <x:c r="A1221" t="str">
        <x:v>My love is all wrong</x:v>
      </x:c>
    </x:row>
    <x:row r="1222">
      <x:c r="A1222" t="str">
        <x:v>My Name is Goal</x:v>
      </x:c>
    </x:row>
    <x:row r="1223">
      <x:c r="A1223" t="str">
        <x:v>My New Favorite Hack</x:v>
      </x:c>
    </x:row>
    <x:row r="1224">
      <x:c r="A1224" t="str">
        <x:v>Mycelium</x:v>
      </x:c>
    </x:row>
    <x:row r="1225">
      <x:c r="A1225" t="str">
        <x:v>Mystery of the Seven Orbs</x:v>
      </x:c>
    </x:row>
    <x:row r="1226">
      <x:c r="A1226" t="str">
        <x:v>Mystical Island</x:v>
      </x:c>
    </x:row>
    <x:row r="1227">
      <x:c r="A1227" t="str">
        <x:v>Myth of Mana</x:v>
      </x:c>
    </x:row>
    <x:row r="1228">
      <x:c r="A1228" t="str">
        <x:v>N'sane Studios hack</x:v>
      </x:c>
    </x:row>
    <x:row r="1229">
      <x:c r="A1229" t="str">
        <x:v>Nabbit Steals Christmas</x:v>
      </x:c>
    </x:row>
    <x:row r="1230">
      <x:c r="A1230" t="str">
        <x:v>Nachos and Fried Oreos</x:v>
      </x:c>
    </x:row>
    <x:row r="1231">
      <x:c r="A1231" t="str">
        <x:v>Nador Quest</x:v>
      </x:c>
    </x:row>
    <x:row r="1232">
      <x:c r="A1232" t="str">
        <x:v>Nakama</x:v>
      </x:c>
    </x:row>
    <x:row r="1233">
      <x:c r="A1233" t="str">
        <x:v>Nameless Kaizo World</x:v>
      </x:c>
    </x:row>
    <x:row r="1234">
      <x:c r="A1234" t="str">
        <x:v>Nameless Kaizo World (Light)</x:v>
      </x:c>
    </x:row>
    <x:row r="1235">
      <x:c r="A1235" t="str">
        <x:v>Nameless Shells</x:v>
      </x:c>
    </x:row>
    <x:row r="1236">
      <x:c r="A1236" t="str">
        <x:v>Natsukashii Mario World</x:v>
      </x:c>
    </x:row>
    <x:row r="1237">
      <x:c r="A1237" t="str">
        <x:v>Naughtyworld</x:v>
      </x:c>
    </x:row>
    <x:row r="1238">
      <x:c r="A1238" t="str">
        <x:v>Nebula</x:v>
      </x:c>
    </x:row>
    <x:row r="1239">
      <x:c r="A1239" t="str">
        <x:v>Neighborhood of Make-Believe</x:v>
      </x:c>
    </x:row>
    <x:row r="1240">
      <x:c r="A1240" t="str">
        <x:v>Neko Nightmare</x:v>
      </x:c>
    </x:row>
    <x:row r="1241">
      <x:c r="A1241" t="str">
        <x:v>Nemesis</x:v>
      </x:c>
    </x:row>
    <x:row r="1242">
      <x:c r="A1242" t="str">
        <x:v>Nerdina's World</x:v>
      </x:c>
    </x:row>
    <x:row r="1243">
      <x:c r="A1243" t="str">
        <x:v>New Easter World</x:v>
      </x:c>
    </x:row>
    <x:row r="1244">
      <x:c r="A1244" t="str">
        <x:v>New Mario's Adventure</x:v>
      </x:c>
    </x:row>
    <x:row r="1245">
      <x:c r="A1245" t="str">
        <x:v>NEW Nightmare cafe</x:v>
      </x:c>
    </x:row>
    <x:row r="1246">
      <x:c r="A1246" t="str">
        <x:v>NEW Nightmare cafe 2</x:v>
      </x:c>
    </x:row>
    <x:row r="1247">
      <x:c r="A1247" t="str">
        <x:v>NEW Nightmare cafe 3</x:v>
      </x:c>
    </x:row>
    <x:row r="1248">
      <x:c r="A1248" t="str">
        <x:v>NEW Nightmare cafe 4</x:v>
      </x:c>
    </x:row>
    <x:row r="1249">
      <x:c r="A1249" t="str">
        <x:v>NEW Nightmare cafe 5</x:v>
      </x:c>
    </x:row>
    <x:row r="1250">
      <x:c r="A1250" t="str">
        <x:v>New Retro Mario Bros.</x:v>
      </x:c>
    </x:row>
    <x:row r="1251">
      <x:c r="A1251" t="str">
        <x:v>New Schlitterbahn Yoshi World 1</x:v>
      </x:c>
    </x:row>
    <x:row r="1252">
      <x:c r="A1252" t="str">
        <x:v>New Sonic Generations</x:v>
      </x:c>
    </x:row>
    <x:row r="1253">
      <x:c r="A1253" t="str">
        <x:v>New Super Kaizo Bros.</x:v>
      </x:c>
    </x:row>
    <x:row r="1254">
      <x:c r="A1254" t="str">
        <x:v>New Super Mario Bros.</x:v>
      </x:c>
    </x:row>
    <x:row r="1255">
      <x:c r="A1255" t="str">
        <x:v>New Super Mario Bros. SNES</x:v>
      </x:c>
    </x:row>
    <x:row r="1256">
      <x:c r="A1256" t="str">
        <x:v>New Super Mario Bros: The Lost Levels</x:v>
      </x:c>
    </x:row>
    <x:row r="1257">
      <x:c r="A1257" t="str">
        <x:v>New Super Mario Illusion</x:v>
      </x:c>
    </x:row>
    <x:row r="1258">
      <x:c r="A1258" t="str">
        <x:v>New Super Mario Land</x:v>
      </x:c>
    </x:row>
    <x:row r="1259">
      <x:c r="A1259" t="str">
        <x:v>New Super Mario Pants World</x:v>
      </x:c>
    </x:row>
    <x:row r="1260">
      <x:c r="A1260" t="str">
        <x:v>New Super Mario World 1: The Twelve Magic Orbs</x:v>
      </x:c>
    </x:row>
    <x:row r="1261">
      <x:c r="A1261" t="str">
        <x:v>New Super Mario World 1: The Twelve Magic Orbs Powered-Up</x:v>
      </x:c>
    </x:row>
    <x:row r="1262">
      <x:c r="A1262" t="str">
        <x:v>New Super Mario World 2: Around The World</x:v>
      </x:c>
    </x:row>
    <x:row r="1263">
      <x:c r="A1263" t="str">
        <x:v>New Super Mario World 2: Luigi's Quest</x:v>
      </x:c>
    </x:row>
    <x:row r="1264">
      <x:c r="A1264" t="str">
        <x:v>New Super Mario World Edition 2023</x:v>
      </x:c>
    </x:row>
    <x:row r="1265">
      <x:c r="A1265" t="str">
        <x:v>New Super Mario World: The Seven Crystals of Peace</x:v>
      </x:c>
    </x:row>
    <x:row r="1266">
      <x:c r="A1266" t="str">
        <x:v>New Territory</x:v>
      </x:c>
    </x:row>
    <x:row r="1267">
      <x:c r="A1267" t="str">
        <x:v>NEW! Super Mario Land returns</x:v>
      </x:c>
    </x:row>
    <x:row r="1268">
      <x:c r="A1268" t="str">
        <x:v>new.sfc</x:v>
      </x:c>
    </x:row>
    <x:row r="1269">
      <x:c r="A1269" t="str">
        <x:v>Newbie Kaizo World</x:v>
      </x:c>
    </x:row>
    <x:row r="1270">
      <x:c r="A1270" t="str">
        <x:v>Nextl - Summer Special Demo</x:v>
      </x:c>
    </x:row>
    <x:row r="1271">
      <x:c r="A1271" t="str">
        <x:v>Nextl: Christmas Chronicles - Demo</x:v>
      </x:c>
    </x:row>
    <x:row r="1272">
      <x:c r="A1272" t="str">
        <x:v>NH World</x:v>
      </x:c>
    </x:row>
    <x:row r="1273">
      <x:c r="A1273" t="str">
        <x:v>NH World 2</x:v>
      </x:c>
    </x:row>
    <x:row r="1274">
      <x:c r="A1274" t="str">
        <x:v>Nightmare cafe</x:v>
      </x:c>
    </x:row>
    <x:row r="1275">
      <x:c r="A1275" t="str">
        <x:v>Nightmare cafe - Ninji's Adventure</x:v>
      </x:c>
    </x:row>
    <x:row r="1276">
      <x:c r="A1276" t="str">
        <x:v>Nightmare cafe II</x:v>
      </x:c>
    </x:row>
    <x:row r="1277">
      <x:c r="A1277" t="str">
        <x:v>Nightmare cafe III</x:v>
      </x:c>
    </x:row>
    <x:row r="1278">
      <x:c r="A1278" t="str">
        <x:v>Nightmare cafe IV</x:v>
      </x:c>
    </x:row>
    <x:row r="1279">
      <x:c r="A1279" t="str">
        <x:v>Nightmare cafe IX</x:v>
      </x:c>
    </x:row>
    <x:row r="1280">
      <x:c r="A1280" t="str">
        <x:v>Nightmare cafe origins</x:v>
      </x:c>
    </x:row>
    <x:row r="1281">
      <x:c r="A1281" t="str">
        <x:v>Nightmare cafe seasons</x:v>
      </x:c>
    </x:row>
    <x:row r="1282">
      <x:c r="A1282" t="str">
        <x:v>Nightmare cafe V</x:v>
      </x:c>
    </x:row>
    <x:row r="1283">
      <x:c r="A1283" t="str">
        <x:v>Nightmare cafe VI</x:v>
      </x:c>
    </x:row>
    <x:row r="1284">
      <x:c r="A1284" t="str">
        <x:v>Nightmare cafe VII</x:v>
      </x:c>
    </x:row>
    <x:row r="1285">
      <x:c r="A1285" t="str">
        <x:v>Nightmare cafe VIII</x:v>
      </x:c>
    </x:row>
    <x:row r="1286">
      <x:c r="A1286" t="str">
        <x:v>Nightmare cafe X</x:v>
      </x:c>
    </x:row>
    <x:row r="1287">
      <x:c r="A1287" t="str">
        <x:v>Nightmares</x:v>
      </x:c>
    </x:row>
    <x:row r="1288">
      <x:c r="A1288" t="str">
        <x:v>Ninja World</x:v>
      </x:c>
    </x:row>
    <x:row r="1289">
      <x:c r="A1289" t="str">
        <x:v>Ninja World 2</x:v>
      </x:c>
    </x:row>
    <x:row r="1290">
      <x:c r="A1290" t="str">
        <x:v>Ninja World 3</x:v>
      </x:c>
    </x:row>
    <x:row r="1291">
      <x:c r="A1291" t="str">
        <x:v>Ninji Burst!</x:v>
      </x:c>
    </x:row>
    <x:row r="1292">
      <x:c r="A1292" t="str">
        <x:v>Ninji Story + Mario mode</x:v>
      </x:c>
    </x:row>
    <x:row r="1293">
      <x:c r="A1293" t="str">
        <x:v>Ninji Story 2</x:v>
      </x:c>
    </x:row>
    <x:row r="1294">
      <x:c r="A1294" t="str">
        <x:v>Ninpp World</x:v>
      </x:c>
    </x:row>
    <x:row r="1295">
      <x:c r="A1295" t="str">
        <x:v>Nintense</x:v>
      </x:c>
    </x:row>
    <x:row r="1296">
      <x:c r="A1296" t="str">
        <x:v>Nissay's beginning</x:v>
      </x:c>
    </x:row>
    <x:row r="1297">
      <x:c r="A1297" t="str">
        <x:v>No Biggie World</x:v>
      </x:c>
    </x:row>
    <x:row r="1298">
      <x:c r="A1298" t="str">
        <x:v>no name</x:v>
      </x:c>
    </x:row>
    <x:row r="1299">
      <x:c r="A1299" t="str">
        <x:v>No Villains</x:v>
      </x:c>
    </x:row>
    <x:row r="1300">
      <x:c r="A1300" t="str">
        <x:v>Nobody Asked For This</x:v>
      </x:c>
    </x:row>
    <x:row r="1301">
      <x:c r="A1301" t="str">
        <x:v>Noise's Fault</x:v>
      </x:c>
    </x:row>
    <x:row r="1302">
      <x:c r="A1302" t="str">
        <x:v>Nonsense</x:v>
      </x:c>
    </x:row>
    <x:row r="1303">
      <x:c r="A1303" t="str">
        <x:v>Not Another Puzzle Hack</x:v>
      </x:c>
    </x:row>
    <x:row r="1304">
      <x:c r="A1304" t="str">
        <x:v>Not Dracula's Castle</x:v>
      </x:c>
    </x:row>
    <x:row r="1305">
      <x:c r="A1305" t="str">
        <x:v>NOT SO SADISTIC MARIO.</x:v>
      </x:c>
    </x:row>
    <x:row r="1306">
      <x:c r="A1306" t="str">
        <x:v>Nothing Crazy</x:v>
      </x:c>
    </x:row>
    <x:row r="1307">
      <x:c r="A1307" t="str">
        <x:v>Nothing Special</x:v>
      </x:c>
    </x:row>
    <x:row r="1308">
      <x:c r="A1308" t="str">
        <x:v>Nothing Special (Remastered)</x:v>
      </x:c>
    </x:row>
    <x:row r="1309">
      <x:c r="A1309" t="str">
        <x:v>Nova Concept - a love letter to SIG</x:v>
      </x:c>
    </x:row>
    <x:row r="1310">
      <x:c r="A1310" t="str">
        <x:v>Nuatepra</x:v>
      </x:c>
    </x:row>
    <x:row r="1311">
      <x:c r="A1311" t="str">
        <x:v>O Ninja Negro</x:v>
      </x:c>
    </x:row>
    <x:row r="1312">
      <x:c r="A1312" t="str">
        <x:v>O'Ghim!</x:v>
      </x:c>
    </x:row>
    <x:row r="1313">
      <x:c r="A1313" t="str">
        <x:v>O'Ghim!: Scholar Of The First Ghim</x:v>
      </x:c>
    </x:row>
    <x:row r="1314">
      <x:c r="A1314" t="str">
        <x:v>Oblivion</x:v>
      </x:c>
    </x:row>
    <x:row r="1315">
      <x:c r="A1315" t="str">
        <x:v>Obscure</x:v>
      </x:c>
    </x:row>
    <x:row r="1316">
      <x:c r="A1316" t="str">
        <x:v>Obstinate</x:v>
      </x:c>
    </x:row>
    <x:row r="1317">
      <x:c r="A1317" t="str">
        <x:v>Octopus</x:v>
      </x:c>
    </x:row>
    <x:row r="1318">
      <x:c r="A1318" t="str">
        <x:v>Odd Master Mario</x:v>
      </x:c>
    </x:row>
    <x:row r="1319">
      <x:c r="A1319" t="str">
        <x:v>Odd Sands</x:v>
      </x:c>
    </x:row>
    <x:row r="1320">
      <x:c r="A1320" t="str">
        <x:v>Ode To The Original Sin</x:v>
      </x:c>
    </x:row>
    <x:row r="1321">
      <x:c r="A1321" t="str">
        <x:v>Of Heavy Riffs and Awesome Basslines</x:v>
      </x:c>
    </x:row>
    <x:row r="1322">
      <x:c r="A1322" t="str">
        <x:v>Of Jumps and Platforms</x:v>
      </x:c>
    </x:row>
    <x:row r="1323">
      <x:c r="A1323" t="str">
        <x:v>Of Precision &amp; Style</x:v>
      </x:c>
    </x:row>
    <x:row r="1324">
      <x:c r="A1324" t="str">
        <x:v>OK Mario</x:v>
      </x:c>
    </x:row>
    <x:row r="1325">
      <x:c r="A1325" t="str">
        <x:v>Olafs Shell Adventure</x:v>
      </x:c>
    </x:row>
    <x:row r="1326">
      <x:c r="A1326" t="str">
        <x:v>Old Marine World</x:v>
      </x:c>
    </x:row>
    <x:row r="1327">
      <x:c r="A1327" t="str">
        <x:v>On The Edge</x:v>
      </x:c>
    </x:row>
    <x:row r="1328">
      <x:c r="A1328" t="str">
        <x:v>Once Again</x:v>
      </x:c>
    </x:row>
    <x:row r="1329">
      <x:c r="A1329" t="str">
        <x:v>ONE</x:v>
      </x:c>
    </x:row>
    <x:row r="1330">
      <x:c r="A1330" t="str">
        <x:v>One Day The Sadness Will End</x:v>
      </x:c>
    </x:row>
    <x:row r="1331">
      <x:c r="A1331" t="str">
        <x:v>One screen puzzle N°1</x:v>
      </x:c>
    </x:row>
    <x:row r="1332">
      <x:c r="A1332" t="str">
        <x:v>Onegai My Melody - Detour Land Conquest</x:v>
      </x:c>
    </x:row>
    <x:row r="1333">
      <x:c r="A1333" t="str">
        <x:v>Onegai My Melody - My Melody Adventure</x:v>
      </x:c>
    </x:row>
    <x:row r="1334">
      <x:c r="A1334" t="str">
        <x:v>ONLY UP</x:v>
      </x:c>
    </x:row>
    <x:row r="1335">
      <x:c r="A1335" t="str">
        <x:v>Oogtar's Quest</x:v>
      </x:c>
    </x:row>
    <x:row r="1336">
      <x:c r="A1336" t="str">
        <x:v>ooooo</x:v>
      </x:c>
    </x:row>
    <x:row r="1337">
      <x:c r="A1337" t="str">
        <x:v>Oops all keys</x:v>
      </x:c>
    </x:row>
    <x:row r="1338">
      <x:c r="A1338" t="str">
        <x:v>Oops! All Fortresses</x:v>
      </x:c>
    </x:row>
    <x:row r="1339">
      <x:c r="A1339" t="str">
        <x:v>Oops, All Grasslands</x:v>
      </x:c>
    </x:row>
    <x:row r="1340">
      <x:c r="A1340" t="str">
        <x:v>Oops,Trials Mario</x:v>
      </x:c>
    </x:row>
    <x:row r="1341">
      <x:c r="A1341" t="str">
        <x:v>Oozitgarn</x:v>
      </x:c>
    </x:row>
    <x:row r="1342">
      <x:c r="A1342" t="str">
        <x:v>Orcus</x:v>
      </x:c>
    </x:row>
    <x:row r="1343">
      <x:c r="A1343" t="str">
        <x:v>Our Wonderful Planet</x:v>
      </x:c>
    </x:row>
    <x:row r="1344">
      <x:c r="A1344" t="str">
        <x:v>Out of Ideas!</x:v>
      </x:c>
    </x:row>
    <x:row r="1345">
      <x:c r="A1345" t="str">
        <x:v>Outrageous Mario World</x:v>
      </x:c>
    </x:row>
    <x:row r="1346">
      <x:c r="A1346" t="str">
        <x:v>OWLVABOX</x:v>
      </x:c>
    </x:row>
    <x:row r="1347">
      <x:c r="A1347" t="str">
        <x:v>Oxworm</x:v>
      </x:c>
    </x:row>
    <x:row r="1348">
      <x:c r="A1348" t="str">
        <x:v>Oxworm 2</x:v>
      </x:c>
    </x:row>
    <x:row r="1349">
      <x:c r="A1349" t="str">
        <x:v>P-switch... The Legendary P-switch Void</x:v>
      </x:c>
    </x:row>
    <x:row r="1350">
      <x:c r="A1350" t="str">
        <x:v>P.A.U.L. (2022 Polished Edition)</x:v>
      </x:c>
    </x:row>
    <x:row r="1351">
      <x:c r="A1351" t="str">
        <x:v>P1JDS World</x:v>
      </x:c>
    </x:row>
    <x:row r="1352">
      <x:c r="A1352" t="str">
        <x:v>Pac's Hac Demo</x:v>
      </x:c>
    </x:row>
    <x:row r="1353">
      <x:c r="A1353" t="str">
        <x:v>Pactos</x:v>
      </x:c>
    </x:row>
    <x:row r="1354">
      <x:c r="A1354" t="str">
        <x:v>Pandarosa</x:v>
      </x:c>
    </x:row>
    <x:row r="1355">
      <x:c r="A1355" t="str">
        <x:v>Pandemonium Fortress</x:v>
      </x:c>
    </x:row>
    <x:row r="1356">
      <x:c r="A1356" t="str">
        <x:v>Pandemonium Fortress 2</x:v>
      </x:c>
    </x:row>
    <x:row r="1357">
      <x:c r="A1357" t="str">
        <x:v>Pandora's Box (Legacy)</x:v>
      </x:c>
    </x:row>
    <x:row r="1358">
      <x:c r="A1358" t="str">
        <x:v>Panga's Kaizo Kindergarten (For Dummies)</x:v>
      </x:c>
    </x:row>
    <x:row r="1359">
      <x:c r="A1359" t="str">
        <x:v>Panic in the Mushroom Kingdom</x:v>
      </x:c>
    </x:row>
    <x:row r="1360">
      <x:c r="A1360" t="str">
        <x:v>Panic in the Mushroom Kingdom 2</x:v>
      </x:c>
    </x:row>
    <x:row r="1361">
      <x:c r="A1361" t="str">
        <x:v>Papaya Mountain</x:v>
      </x:c>
    </x:row>
    <x:row r="1362">
      <x:c r="A1362" t="str">
        <x:v>Paper Mario: The Plasma Star</x:v>
      </x:c>
    </x:row>
    <x:row r="1363">
      <x:c r="A1363" t="str">
        <x:v>Paralysis</x:v>
      </x:c>
    </x:row>
    <x:row r="1364">
      <x:c r="A1364" t="str">
        <x:v>Paranormal Saga</x:v>
      </x:c>
    </x:row>
    <x:row r="1365">
      <x:c r="A1365" t="str">
        <x:v>PATHMAKER</x:v>
      </x:c>
    </x:row>
    <x:row r="1366">
      <x:c r="A1366" t="str">
        <x:v>Paths</x:v>
      </x:c>
    </x:row>
    <x:row r="1367">
      <x:c r="A1367" t="str">
        <x:v>Paul '96</x:v>
      </x:c>
    </x:row>
    <x:row r="1368">
      <x:c r="A1368" t="str">
        <x:v>Peach and Daisy in Luigi's Rescue</x:v>
      </x:c>
    </x:row>
    <x:row r="1369">
      <x:c r="A1369" t="str">
        <x:v>Peach is Missing</x:v>
      </x:c>
    </x:row>
    <x:row r="1370">
      <x:c r="A1370" t="str">
        <x:v>Peach Melba</x:v>
      </x:c>
    </x:row>
    <x:row r="1371">
      <x:c r="A1371" t="str">
        <x:v>Peachy Moat World</x:v>
      </x:c>
    </x:row>
    <x:row r="1372">
      <x:c r="A1372" t="str">
        <x:v>Peachy Moat World 2</x:v>
      </x:c>
    </x:row>
    <x:row r="1373">
      <x:c r="A1373" t="str">
        <x:v>Perchance</x:v>
      </x:c>
    </x:row>
    <x:row r="1374">
      <x:c r="A1374" t="str">
        <x:v>Perfect theorem</x:v>
      </x:c>
    </x:row>
    <x:row r="1375">
      <x:c r="A1375" t="str">
        <x:v>Persona Non Grata</x:v>
      </x:c>
    </x:row>
    <x:row r="1376">
      <x:c r="A1376" t="str">
        <x:v>Persus: A Toad Adventure</x:v>
      </x:c>
    </x:row>
    <x:row r="1377">
      <x:c r="A1377" t="str">
        <x:v>Phenomenal Mario World</x:v>
      </x:c>
    </x:row>
    <x:row r="1378">
      <x:c r="A1378" t="str">
        <x:v>Pin's Grand Adventure ; The Real Deal</x:v>
      </x:c>
    </x:row>
    <x:row r="1379">
      <x:c r="A1379" t="str">
        <x:v>Pineapple Porcupine</x:v>
      </x:c>
    </x:row>
    <x:row r="1380">
      <x:c r="A1380" t="str">
        <x:v>Pineapple Porcupine 2</x:v>
      </x:c>
    </x:row>
    <x:row r="1381">
      <x:c r="A1381" t="str">
        <x:v>Pipe City</x:v>
      </x:c>
    </x:row>
    <x:row r="1382">
      <x:c r="A1382" t="str">
        <x:v>Pipetastic</x:v>
      </x:c>
    </x:row>
    <x:row r="1383">
      <x:c r="A1383" t="str">
        <x:v>Piranhatopia</x:v>
      </x:c>
    </x:row>
    <x:row r="1384">
      <x:c r="A1384" t="str">
        <x:v>Pirate Hack (Demo)</x:v>
      </x:c>
    </x:row>
    <x:row r="1385">
      <x:c r="A1385" t="str">
        <x:v>Pit of Abuse</x:v>
      </x:c>
    </x:row>
    <x:row r="1386">
      <x:c r="A1386" t="str">
        <x:v>Pit of God</x:v>
      </x:c>
    </x:row>
    <x:row r="1387">
      <x:c r="A1387" t="str">
        <x:v>Pit of Gui!! (Reformulated Version)</x:v>
      </x:c>
    </x:row>
    <x:row r="1388">
      <x:c r="A1388" t="str">
        <x:v>Pit of Insaneness</x:v>
      </x:c>
    </x:row>
    <x:row r="1389">
      <x:c r="A1389" t="str">
        <x:v>Pit of Insaneness 2</x:v>
      </x:c>
    </x:row>
    <x:row r="1390">
      <x:c r="A1390" t="str">
        <x:v>Pit Of RTA</x:v>
      </x:c>
    </x:row>
    <x:row r="1391">
      <x:c r="A1391" t="str">
        <x:v>Pizza of challenges</x:v>
      </x:c>
    </x:row>
    <x:row r="1392">
      <x:c r="A1392" t="str">
        <x:v>Plain Cheese Pizza</x:v>
      </x:c>
    </x:row>
    <x:row r="1393">
      <x:c r="A1393" t="str">
        <x:v>planets</x:v>
      </x:c>
    </x:row>
    <x:row r="1394">
      <x:c r="A1394" t="str">
        <x:v>Play To Win</x:v>
      </x:c>
    </x:row>
    <x:row r="1395">
      <x:c r="A1395" t="str">
        <x:v>Playground Kaizo</x:v>
      </x:c>
    </x:row>
    <x:row r="1396">
      <x:c r="A1396" t="str">
        <x:v>Playground Kaizo 2</x:v>
      </x:c>
    </x:row>
    <x:row r="1397">
      <x:c r="A1397" t="str">
        <x:v>PLAYTIME</x:v>
      </x:c>
    </x:row>
    <x:row r="1398">
      <x:c r="A1398" t="str">
        <x:v>Plombier du Fromage</x:v>
      </x:c>
    </x:row>
    <x:row r="1399">
      <x:c r="A1399" t="str">
        <x:v>Po's adventure neko burst</x:v>
      </x:c>
    </x:row>
    <x:row r="1400">
      <x:c r="A1400" t="str">
        <x:v>Pointless</x:v>
      </x:c>
    </x:row>
    <x:row r="1401">
      <x:c r="A1401" t="str">
        <x:v>Poked</x:v>
      </x:c>
    </x:row>
    <x:row r="1402">
      <x:c r="A1402" t="str">
        <x:v>Pokey's Adventure</x:v>
      </x:c>
    </x:row>
    <x:row r="1403">
      <x:c r="A1403" t="str">
        <x:v>Pokémon Darkness</x:v>
      </x:c>
    </x:row>
    <x:row r="1404">
      <x:c r="A1404" t="str">
        <x:v>Polyphony</x:v>
      </x:c>
    </x:row>
    <x:row r="1405">
      <x:c r="A1405" t="str">
        <x:v>poop jump</x:v>
      </x:c>
    </x:row>
    <x:row r="1406">
      <x:c r="A1406" t="str">
        <x:v>poop jump cafe</x:v>
      </x:c>
    </x:row>
    <x:row r="1407">
      <x:c r="A1407" t="str">
        <x:v>popi world</x:v>
      </x:c>
    </x:row>
    <x:row r="1408">
      <x:c r="A1408" t="str">
        <x:v>popi world 2</x:v>
      </x:c>
    </x:row>
    <x:row r="1409">
      <x:c r="A1409" t="str">
        <x:v>Post Traumatic Stress Disorder</x:v>
      </x:c>
    </x:row>
    <x:row r="1410">
      <x:c r="A1410" t="str">
        <x:v>Power Guy World</x:v>
      </x:c>
    </x:row>
    <x:row r="1411">
      <x:c r="A1411" t="str">
        <x:v>Power Journey</x:v>
      </x:c>
    </x:row>
    <x:row r="1412">
      <x:c r="A1412" t="str">
        <x:v>Powerup Party</x:v>
      </x:c>
    </x:row>
    <x:row r="1413">
      <x:c r="A1413" t="str">
        <x:v>Practice Makes Purrfect</x:v>
      </x:c>
    </x:row>
    <x:row r="1414">
      <x:c r="A1414" t="str">
        <x:v>Precise Perfection</x:v>
      </x:c>
    </x:row>
    <x:row r="1415">
      <x:c r="A1415" t="str">
        <x:v>Precision86</x:v>
      </x:c>
    </x:row>
    <x:row r="1416">
      <x:c r="A1416" t="str">
        <x:v>Precision86 Part II : The Forgotten Kingdom (DEMO)</x:v>
      </x:c>
    </x:row>
    <x:row r="1417">
      <x:c r="A1417" t="str">
        <x:v>Prickly Goo to the Rescue</x:v>
      </x:c>
    </x:row>
    <x:row r="1418">
      <x:c r="A1418" t="str">
        <x:v>Primal Mario World</x:v>
      </x:c>
    </x:row>
    <x:row r="1419">
      <x:c r="A1419" t="str">
        <x:v>Primal Shells</x:v>
      </x:c>
    </x:row>
    <x:row r="1420">
      <x:c r="A1420" t="str">
        <x:v>Princess Kaizo Land</x:v>
      </x:c>
    </x:row>
    <x:row r="1421">
      <x:c r="A1421" t="str">
        <x:v>Project Brutality</x:v>
      </x:c>
    </x:row>
    <x:row r="1422">
      <x:c r="A1422" t="str">
        <x:v>Project Frick 2019</x:v>
      </x:c>
    </x:row>
    <x:row r="1423">
      <x:c r="A1423" t="str">
        <x:v>Project Jonny Hacks 2 - Yoshi´s Journey of Justice</x:v>
      </x:c>
    </x:row>
    <x:row r="1424">
      <x:c r="A1424" t="str">
        <x:v>Project Jonny Hacks 3 - My Last Mission</x:v>
      </x:c>
    </x:row>
    <x:row r="1425">
      <x:c r="A1425" t="str">
        <x:v>Project L 1.0B</x:v>
      </x:c>
    </x:row>
    <x:row r="1426">
      <x:c r="A1426" t="str">
        <x:v>Project Underscore</x:v>
      </x:c>
    </x:row>
    <x:row r="1427">
      <x:c r="A1427" t="str">
        <x:v>Project_Bonestorm.tar.gz (A Mega Man/X-Styled SMW ROM Hack)</x:v>
      </x:c>
    </x:row>
    <x:row r="1428">
      <x:c r="A1428" t="str">
        <x:v>PropL\R Block</x:v>
      </x:c>
    </x:row>
    <x:row r="1429">
      <x:c r="A1429" t="str">
        <x:v>Pumpkins and Slaughter</x:v>
      </x:c>
    </x:row>
    <x:row r="1430">
      <x:c r="A1430" t="str">
        <x:v>Punishing Pothole 2</x:v>
      </x:c>
    </x:row>
    <x:row r="1431">
      <x:c r="A1431" t="str">
        <x:v>Punishing Pothole 3</x:v>
      </x:c>
    </x:row>
    <x:row r="1432">
      <x:c r="A1432" t="str">
        <x:v>Purgatory</x:v>
      </x:c>
    </x:row>
    <x:row r="1433">
      <x:c r="A1433" t="str">
        <x:v>Quest for Corgi Butts</x:v>
      </x:c>
    </x:row>
    <x:row r="1434">
      <x:c r="A1434" t="str">
        <x:v>Quest for milk</x:v>
      </x:c>
    </x:row>
    <x:row r="1435">
      <x:c r="A1435" t="str">
        <x:v>Quest for the Dragon Coins</x:v>
      </x:c>
    </x:row>
    <x:row r="1436">
      <x:c r="A1436" t="str">
        <x:v>Quest in the Mushroom Kingdom</x:v>
      </x:c>
    </x:row>
    <x:row r="1437">
      <x:c r="A1437" t="str">
        <x:v>Quest on Full Moon Island</x:v>
      </x:c>
    </x:row>
    <x:row r="1438">
      <x:c r="A1438" t="str">
        <x:v>Quest on Full Moon Island v1.3 ita</x:v>
      </x:c>
    </x:row>
    <x:row r="1439">
      <x:c r="A1439" t="str">
        <x:v>Quick Delivery</x:v>
      </x:c>
    </x:row>
    <x:row r="1440">
      <x:c r="A1440" t="str">
        <x:v>Quickie World</x:v>
      </x:c>
    </x:row>
    <x:row r="1441">
      <x:c r="A1441" t="str">
        <x:v>Quickie World 2</x:v>
      </x:c>
    </x:row>
    <x:row r="1442">
      <x:c r="A1442" t="str">
        <x:v>Quickie World: With a Vengeance</x:v>
      </x:c>
    </x:row>
    <x:row r="1443">
      <x:c r="A1443" t="str">
        <x:v>Qzeq Pls Download Game</x:v>
      </x:c>
    </x:row>
    <x:row r="1444">
      <x:c r="A1444" t="str">
        <x:v>R-ACK</x:v>
      </x:c>
    </x:row>
    <x:row r="1445">
      <x:c r="A1445" t="str">
        <x:v>Race to the finish</x:v>
      </x:c>
    </x:row>
    <x:row r="1446">
      <x:c r="A1446" t="str">
        <x:v>Rachell's Melin Rescue!</x:v>
      </x:c>
    </x:row>
    <x:row r="1447">
      <x:c r="A1447" t="str">
        <x:v>Rakugaki Mario</x:v>
      </x:c>
    </x:row>
    <x:row r="1448">
      <x:c r="A1448" t="str">
        <x:v>RamzaNeko</x:v>
      </x:c>
    </x:row>
    <x:row r="1449">
      <x:c r="A1449" t="str">
        <x:v>Random Access Memoby</x:v>
      </x:c>
    </x:row>
    <x:row r="1450">
      <x:c r="A1450" t="str">
        <x:v>Random BS Go</x:v>
      </x:c>
    </x:row>
    <x:row r="1451">
      <x:c r="A1451" t="str">
        <x:v>Raphael's Revenge</x:v>
      </x:c>
    </x:row>
    <x:row r="1452">
      <x:c r="A1452" t="str">
        <x:v>Really Neat Gimmicks</x:v>
      </x:c>
    </x:row>
    <x:row r="1453">
      <x:c r="A1453" t="str">
        <x:v>Red City</x:v>
      </x:c>
    </x:row>
    <x:row r="1454">
      <x:c r="A1454" t="str">
        <x:v>Red Hero Endgame</x:v>
      </x:c>
    </x:row>
    <x:row r="1455">
      <x:c r="A1455" t="str">
        <x:v>Red Hero's Journey</x:v>
      </x:c>
    </x:row>
    <x:row r="1456">
      <x:c r="A1456" t="str">
        <x:v>Red Hero's Legacy</x:v>
      </x:c>
    </x:row>
    <x:row r="1457">
      <x:c r="A1457" t="str">
        <x:v>Red Wario</x:v>
      </x:c>
    </x:row>
    <x:row r="1458">
      <x:c r="A1458" t="str">
        <x:v>Red's Christmas Party!</x:v>
      </x:c>
    </x:row>
    <x:row r="1459">
      <x:c r="A1459" t="str">
        <x:v>Redeeming Peach</x:v>
      </x:c>
    </x:row>
    <x:row r="1460">
      <x:c r="A1460" t="str">
        <x:v>Remember ALF!?</x:v>
      </x:c>
    </x:row>
    <x:row r="1461">
      <x:c r="A1461" t="str">
        <x:v>REMIX</x:v>
      </x:c>
    </x:row>
    <x:row r="1462">
      <x:c r="A1462" t="str">
        <x:v>Repeat Offender</x:v>
      </x:c>
    </x:row>
    <x:row r="1463">
      <x:c r="A1463" t="str">
        <x:v>Replica</x:v>
      </x:c>
    </x:row>
    <x:row r="1464">
      <x:c r="A1464" t="str">
        <x:v>Rescue of Rochie</x:v>
      </x:c>
    </x:row>
    <x:row r="1465">
      <x:c r="A1465" t="str">
        <x:v>ReSMW</x:v>
      </x:c>
    </x:row>
    <x:row r="1466">
      <x:c r="A1466" t="str">
        <x:v>Retro Mario World - Super Mario Bros.</x:v>
      </x:c>
    </x:row>
    <x:row r="1467">
      <x:c r="A1467" t="str">
        <x:v>Retro Marioland</x:v>
      </x:c>
    </x:row>
    <x:row r="1468">
      <x:c r="A1468" t="str">
        <x:v>Retrograde Nine</x:v>
      </x:c>
    </x:row>
    <x:row r="1469">
      <x:c r="A1469" t="str">
        <x:v>Return Mario World Luner Editon</x:v>
      </x:c>
    </x:row>
    <x:row r="1470">
      <x:c r="A1470" t="str">
        <x:v>Return Of Shadower</x:v>
      </x:c>
    </x:row>
    <x:row r="1471">
      <x:c r="A1471" t="str">
        <x:v>Return Trip</x:v>
      </x:c>
    </x:row>
    <x:row r="1472">
      <x:c r="A1472" t="str">
        <x:v>Revenge of Bowser - Legend of the Seven Eggs</x:v>
      </x:c>
    </x:row>
    <x:row r="1473">
      <x:c r="A1473" t="str">
        <x:v>REVENGE OF SWITCHES PRESSED</x:v>
      </x:c>
    </x:row>
    <x:row r="1474">
      <x:c r="A1474" t="str">
        <x:v>Reverie</x:v>
      </x:c>
    </x:row>
    <x:row r="1475">
      <x:c r="A1475" t="str">
        <x:v>Riff World 2</x:v>
      </x:c>
    </x:row>
    <x:row r="1476">
      <x:c r="A1476" t="str">
        <x:v>Rikaizo Shells</x:v>
      </x:c>
    </x:row>
    <x:row r="1477">
      <x:c r="A1477" t="str">
        <x:v>Rise of Horst: Baby Park</x:v>
      </x:c>
    </x:row>
    <x:row r="1478">
      <x:c r="A1478" t="str">
        <x:v>Rise to the Challenge</x:v>
      </x:c>
    </x:row>
    <x:row r="1479">
      <x:c r="A1479" t="str">
        <x:v>River Song</x:v>
      </x:c>
    </x:row>
    <x:row r="1480">
      <x:c r="A1480" t="str">
        <x:v>Road to New Haven</x:v>
      </x:c>
    </x:row>
    <x:row r="1481">
      <x:c r="A1481" t="str">
        <x:v>Rob-omb's Quest: Easy</x:v>
      </x:c>
    </x:row>
    <x:row r="1482">
      <x:c r="A1482" t="str">
        <x:v>Rob-omb's Quest: Hard</x:v>
      </x:c>
    </x:row>
    <x:row r="1483">
      <x:c r="A1483" t="str">
        <x:v>Robfather World</x:v>
      </x:c>
    </x:row>
    <x:row r="1484">
      <x:c r="A1484" t="str">
        <x:v>Roger Gang Vol 1</x:v>
      </x:c>
    </x:row>
    <x:row r="1485">
      <x:c r="A1485" t="str">
        <x:v>ROKE HELL</x:v>
      </x:c>
    </x:row>
    <x:row r="1486">
      <x:c r="A1486" t="str">
        <x:v>Roke Shell</x:v>
      </x:c>
    </x:row>
    <x:row r="1487">
      <x:c r="A1487" t="str">
        <x:v>rokeshell 2</x:v>
      </x:c>
    </x:row>
    <x:row r="1488">
      <x:c r="A1488" t="str">
        <x:v>Romhack Races - Season 1 Compilation</x:v>
      </x:c>
    </x:row>
    <x:row r="1489">
      <x:c r="A1489" t="str">
        <x:v>Romhack Races - Season 2 Compilation</x:v>
      </x:c>
    </x:row>
    <x:row r="1490">
      <x:c r="A1490" t="str">
        <x:v>Romhack Races - Season 3 Compilation</x:v>
      </x:c>
    </x:row>
    <x:row r="1491">
      <x:c r="A1491" t="str">
        <x:v>Romhack Races - Season 4 Compilation</x:v>
      </x:c>
    </x:row>
    <x:row r="1492">
      <x:c r="A1492" t="str">
        <x:v>Romp of Otters</x:v>
      </x:c>
    </x:row>
    <x:row r="1493">
      <x:c r="A1493" t="str">
        <x:v>Rooms for Kids</x:v>
      </x:c>
    </x:row>
    <x:row r="1494">
      <x:c r="A1494" t="str">
        <x:v>Rooms of Despair</x:v>
      </x:c>
    </x:row>
    <x:row r="1495">
      <x:c r="A1495" t="str">
        <x:v>Rosalina's Gold Saga</x:v>
      </x:c>
    </x:row>
    <x:row r="1496">
      <x:c r="A1496" t="str">
        <x:v>Rose Tinted Glasses</x:v>
      </x:c>
    </x:row>
    <x:row r="1497">
      <x:c r="A1497" t="str">
        <x:v>Roy's Armada</x:v>
      </x:c>
    </x:row>
    <x:row r="1498">
      <x:c r="A1498" t="str">
        <x:v>Rozen Maiden: The Lapislazuri Travel</x:v>
      </x:c>
    </x:row>
    <x:row r="1499">
      <x:c r="A1499" t="str">
        <x:v>RTA Abuse</x:v>
      </x:c>
    </x:row>
    <x:row r="1500">
      <x:c r="A1500" t="str">
        <x:v>RTA Abuse 2</x:v>
      </x:c>
    </x:row>
    <x:row r="1501">
      <x:c r="A1501" t="str">
        <x:v>RTA Abuse 3</x:v>
      </x:c>
    </x:row>
    <x:row r="1502">
      <x:c r="A1502" t="str">
        <x:v>Run Away from Mario's Past</x:v>
      </x:c>
    </x:row>
    <x:row r="1503">
      <x:c r="A1503" t="str">
        <x:v>Run the Gauntlet</x:v>
      </x:c>
    </x:row>
    <x:row r="1504">
      <x:c r="A1504" t="str">
        <x:v>Run!</x:v>
      </x:c>
    </x:row>
    <x:row r="1505">
      <x:c r="A1505" t="str">
        <x:v>Run! 2 - Don't Stop Running</x:v>
      </x:c>
    </x:row>
    <x:row r="1506">
      <x:c r="A1506" t="str">
        <x:v>S.O.B mario world</x:v>
      </x:c>
    </x:row>
    <x:row r="1507">
      <x:c r="A1507" t="str">
        <x:v>SA-1: Special Adventure - 1</x:v>
      </x:c>
    </x:row>
    <x:row r="1508">
      <x:c r="A1508" t="str">
        <x:v>Safespace Challenge</x:v>
      </x:c>
    </x:row>
    <x:row r="1509">
      <x:c r="A1509" t="str">
        <x:v>Sakaya Sanctuary</x:v>
      </x:c>
    </x:row>
    <x:row r="1510">
      <x:c r="A1510" t="str">
        <x:v>Salty Sagan World</x:v>
      </x:c>
    </x:row>
    <x:row r="1511">
      <x:c r="A1511" t="str">
        <x:v>Same Sprites, Different Levels</x:v>
      </x:c>
    </x:row>
    <x:row r="1512">
      <x:c r="A1512" t="str">
        <x:v>Samsara Mario World</x:v>
      </x:c>
    </x:row>
    <x:row r="1513">
      <x:c r="A1513" t="str">
        <x:v>Saphros Blind Races #1</x:v>
      </x:c>
    </x:row>
    <x:row r="1514">
      <x:c r="A1514" t="str">
        <x:v>Saphros Blindrace #2</x:v>
      </x:c>
    </x:row>
    <x:row r="1515">
      <x:c r="A1515" t="str">
        <x:v>Sauna Mario World</x:v>
      </x:c>
    </x:row>
    <x:row r="1516">
      <x:c r="A1516" t="str">
        <x:v>Sauna Mario World 2</x:v>
      </x:c>
    </x:row>
    <x:row r="1517">
      <x:c r="A1517" t="str">
        <x:v>Save Luigi</x:v>
      </x:c>
    </x:row>
    <x:row r="1518">
      <x:c r="A1518" t="str">
        <x:v>Saving Libertys Kaizo Adventure</x:v>
      </x:c>
    </x:row>
    <x:row r="1519">
      <x:c r="A1519" t="str">
        <x:v>Sayonara Mario World</x:v>
      </x:c>
    </x:row>
    <x:row r="1520">
      <x:c r="A1520" t="str">
        <x:v>Sayonara Mario World 2</x:v>
      </x:c>
    </x:row>
    <x:row r="1521">
      <x:c r="A1521" t="str">
        <x:v>Scary Bosses and Nice Sprites</x:v>
      </x:c>
    </x:row>
    <x:row r="1522">
      <x:c r="A1522" t="str">
        <x:v>Scyther Our Savior</x:v>
      </x:c>
    </x:row>
    <x:row r="1523">
      <x:c r="A1523" t="str">
        <x:v>Season of Ice</x:v>
      </x:c>
    </x:row>
    <x:row r="1524">
      <x:c r="A1524" t="str">
        <x:v>Second Nature</x:v>
      </x:c>
    </x:row>
    <x:row r="1525">
      <x:c r="A1525" t="str">
        <x:v>Secret of Mario</x:v>
      </x:c>
    </x:row>
    <x:row r="1526">
      <x:c r="A1526" t="str">
        <x:v>Seek the Discrepancy</x:v>
      </x:c>
    </x:row>
    <x:row r="1527">
      <x:c r="A1527" t="str">
        <x:v>Send Your Regrets to the Czar</x:v>
      </x:c>
    </x:row>
    <x:row r="1528">
      <x:c r="A1528" t="str">
        <x:v>Sendy's World</x:v>
      </x:c>
    </x:row>
    <x:row r="1529">
      <x:c r="A1529" t="str">
        <x:v>Separate Ways Remastered</x:v>
      </x:c>
    </x:row>
    <x:row r="1530">
      <x:c r="A1530" t="str">
        <x:v>Seven Cursed Eggs</x:v>
      </x:c>
    </x:row>
    <x:row r="1531">
      <x:c r="A1531" t="str">
        <x:v>Seven Vanilla Levels</x:v>
      </x:c>
    </x:row>
    <x:row r="1532">
      <x:c r="A1532" t="str">
        <x:v>Shadow of the Mountain</x:v>
      </x:c>
    </x:row>
    <x:row r="1533">
      <x:c r="A1533" t="str">
        <x:v>Shallow and Pedantic</x:v>
      </x:c>
    </x:row>
    <x:row r="1534">
      <x:c r="A1534" t="str">
        <x:v>Shallow Pits</x:v>
      </x:c>
    </x:row>
    <x:row r="1535">
      <x:c r="A1535" t="str">
        <x:v>Shallow Pits 2</x:v>
      </x:c>
    </x:row>
    <x:row r="1536">
      <x:c r="A1536" t="str">
        <x:v>Shattered Land</x:v>
      </x:c>
    </x:row>
    <x:row r="1537">
      <x:c r="A1537" t="str">
        <x:v>SHATTERED PLAINS</x:v>
      </x:c>
    </x:row>
    <x:row r="1538">
      <x:c r="A1538" t="str">
        <x:v>Sheffy 99</x:v>
      </x:c>
    </x:row>
    <x:row r="1539">
      <x:c r="A1539" t="str">
        <x:v>Shell is Cool</x:v>
      </x:c>
    </x:row>
    <x:row r="1540">
      <x:c r="A1540" t="str">
        <x:v>Shell Motel</x:v>
      </x:c>
    </x:row>
    <x:row r="1541">
      <x:c r="A1541" t="str">
        <x:v>Shell Or Die</x:v>
      </x:c>
    </x:row>
    <x:row r="1542">
      <x:c r="A1542" t="str">
        <x:v>Shell Out</x:v>
      </x:c>
    </x:row>
    <x:row r="1543">
      <x:c r="A1543" t="str">
        <x:v>Shell Reaper</x:v>
      </x:c>
    </x:row>
    <x:row r="1544">
      <x:c r="A1544" t="str">
        <x:v>Shell'S 4 KidUlt'S</x:v>
      </x:c>
    </x:row>
    <x:row r="1545">
      <x:c r="A1545" t="str">
        <x:v>Shell's Redeemer</x:v>
      </x:c>
    </x:row>
    <x:row r="1546">
      <x:c r="A1546" t="str">
        <x:v>Shell's Retriever</x:v>
      </x:c>
    </x:row>
    <x:row r="1547">
      <x:c r="A1547" t="str">
        <x:v>Shella Sick (A Hella Sick Shell Hack)</x:v>
      </x:c>
    </x:row>
    <x:row r="1548">
      <x:c r="A1548" t="str">
        <x:v>Shellab</x:v>
      </x:c>
    </x:row>
    <x:row r="1549">
      <x:c r="A1549" t="str">
        <x:v>Shellax</x:v>
      </x:c>
    </x:row>
    <x:row r="1550">
      <x:c r="A1550" t="str">
        <x:v>Shellenge</x:v>
      </x:c>
    </x:row>
    <x:row r="1551">
      <x:c r="A1551" t="str">
        <x:v>Shello</x:v>
      </x:c>
    </x:row>
    <x:row r="1552">
      <x:c r="A1552" t="str">
        <x:v>Shelloween</x:v>
      </x:c>
    </x:row>
    <x:row r="1553">
      <x:c r="A1553" t="str">
        <x:v>Shells 3 &amp; Knuckles</x:v>
      </x:c>
    </x:row>
    <x:row r="1554">
      <x:c r="A1554" t="str">
        <x:v>Shells Delivery Deluxe</x:v>
      </x:c>
    </x:row>
    <x:row r="1555">
      <x:c r="A1555" t="str">
        <x:v>Shells Kitchen: Leos Journey</x:v>
      </x:c>
    </x:row>
    <x:row r="1556">
      <x:c r="A1556" t="str">
        <x:v>Shells Kitchen: Nicos Journey</x:v>
      </x:c>
    </x:row>
    <x:row r="1557">
      <x:c r="A1557" t="str">
        <x:v>Shellshock</x:v>
      </x:c>
    </x:row>
    <x:row r="1558">
      <x:c r="A1558" t="str">
        <x:v>Shelltopia</x:v>
      </x:c>
    </x:row>
    <x:row r="1559">
      <x:c r="A1559" t="str">
        <x:v>Shellventure</x:v>
      </x:c>
    </x:row>
    <x:row r="1560">
      <x:c r="A1560" t="str">
        <x:v>Shellz</x:v>
      </x:c>
    </x:row>
    <x:row r="1561">
      <x:c r="A1561" t="str">
        <x:v>SHINE</x:v>
      </x:c>
    </x:row>
    <x:row r="1562">
      <x:c r="A1562" t="str">
        <x:v>Shipwrecked</x:v>
      </x:c>
    </x:row>
    <x:row r="1563">
      <x:c r="A1563" t="str">
        <x:v>Shooey</x:v>
      </x:c>
    </x:row>
    <x:row r="1564">
      <x:c r="A1564" t="str">
        <x:v>Short 'n Sweet</x:v>
      </x:c>
    </x:row>
    <x:row r="1565">
      <x:c r="A1565" t="str">
        <x:v>Short and Hard: A midair Shellhack</x:v>
      </x:c>
    </x:row>
    <x:row r="1566">
      <x:c r="A1566" t="str">
        <x:v>Short and Sweet</x:v>
      </x:c>
    </x:row>
    <x:row r="1567">
      <x:c r="A1567" t="str">
        <x:v>Short but Savage</x:v>
      </x:c>
    </x:row>
    <x:row r="1568">
      <x:c r="A1568" t="str">
        <x:v>short mario adventure</x:v>
      </x:c>
    </x:row>
    <x:row r="1569">
      <x:c r="A1569" t="str">
        <x:v>Showtime</x:v>
      </x:c>
    </x:row>
    <x:row r="1570">
      <x:c r="A1570" t="str">
        <x:v>Shy Guy's Adventure</x:v>
      </x:c>
    </x:row>
    <x:row r="1571">
      <x:c r="A1571" t="str">
        <x:v>Shy-Guy Quest</x:v>
      </x:c>
    </x:row>
    <x:row r="1572">
      <x:c r="A1572" t="str">
        <x:v>ShyGuy Kaizo Dream</x:v>
      </x:c>
    </x:row>
    <x:row r="1573">
      <x:c r="A1573" t="str">
        <x:v>ShyGuy Kaizo Dream 2 - Shy Guy's Awakening</x:v>
      </x:c>
    </x:row>
    <x:row r="1574">
      <x:c r="A1574" t="str">
        <x:v>Sicari</x:v>
      </x:c>
    </x:row>
    <x:row r="1575">
      <x:c r="A1575" t="str">
        <x:v>Sicari 2 - The Brink of Time</x:v>
      </x:c>
    </x:row>
    <x:row r="1576">
      <x:c r="A1576" t="str">
        <x:v>Sicari Remastered</x:v>
      </x:c>
    </x:row>
    <x:row r="1577">
      <x:c r="A1577" t="str">
        <x:v>Sif World</x:v>
      </x:c>
    </x:row>
    <x:row r="1578">
      <x:c r="A1578" t="str">
        <x:v>Signals</x:v>
      </x:c>
    </x:row>
    <x:row r="1579">
      <x:c r="A1579" t="str">
        <x:v>Silencio</x:v>
      </x:c>
    </x:row>
    <x:row r="1580">
      <x:c r="A1580" t="str">
        <x:v>Silver level pack</x:v>
      </x:c>
    </x:row>
    <x:row r="1581">
      <x:c r="A1581" t="str">
        <x:v>Simpatico</x:v>
      </x:c>
    </x:row>
    <x:row r="1582">
      <x:c r="A1582" t="str">
        <x:v>Simple Symphony</x:v>
      </x:c>
    </x:row>
    <x:row r="1583">
      <x:c r="A1583" t="str">
        <x:v>Simply Delicious</x:v>
      </x:c>
    </x:row>
    <x:row r="1584">
      <x:c r="A1584" t="str">
        <x:v>Simply Kaizo</x:v>
      </x:c>
    </x:row>
    <x:row r="1585">
      <x:c r="A1585" t="str">
        <x:v>Simply Mario Shells 'n Bells</x:v>
      </x:c>
    </x:row>
    <x:row r="1586">
      <x:c r="A1586" t="str">
        <x:v>Single Level Collaboration</x:v>
      </x:c>
    </x:row>
    <x:row r="1587">
      <x:c r="A1587" t="str">
        <x:v>Sio's Dino Mayhem</x:v>
      </x:c>
    </x:row>
    <x:row r="1588">
      <x:c r="A1588" t="str">
        <x:v>SIW Cruel or Cruel Edition</x:v>
      </x:c>
    </x:row>
    <x:row r="1589">
      <x:c r="A1589" t="str">
        <x:v>Six Pack: VLDC Compilation</x:v>
      </x:c>
    </x:row>
    <x:row r="1590">
      <x:c r="A1590" t="str">
        <x:v>Sixth Grade Kaizo</x:v>
      </x:c>
    </x:row>
    <x:row r="1591">
      <x:c r="A1591" t="str">
        <x:v>Sleepy World</x:v>
      </x:c>
    </x:row>
    <x:row r="1592">
      <x:c r="A1592" t="str">
        <x:v>Slow and Slower</x:v>
      </x:c>
    </x:row>
    <x:row r="1593">
      <x:c r="A1593" t="str">
        <x:v>slurdgery</x:v>
      </x:c>
    </x:row>
    <x:row r="1594">
      <x:c r="A1594" t="str">
        <x:v>Smithereens</x:v>
      </x:c>
    </x:row>
    <x:row r="1595">
      <x:c r="A1595" t="str">
        <x:v>Smoked Fish and Cabbage</x:v>
      </x:c>
    </x:row>
    <x:row r="1596">
      <x:c r="A1596" t="str">
        <x:v>Smoked Fish and Cabbage 2</x:v>
      </x:c>
    </x:row>
    <x:row r="1597">
      <x:c r="A1597" t="str">
        <x:v>Smoked Fish and Cabbage 3</x:v>
      </x:c>
    </x:row>
    <x:row r="1598">
      <x:c r="A1598" t="str">
        <x:v>smol</x:v>
      </x:c>
    </x:row>
    <x:row r="1599">
      <x:c r="A1599" t="str">
        <x:v>SMW 2012: Master Hand's Doomsday</x:v>
      </x:c>
    </x:row>
    <x:row r="1600">
      <x:c r="A1600" t="str">
        <x:v>SMW Christmas special</x:v>
      </x:c>
    </x:row>
    <x:row r="1601">
      <x:c r="A1601" t="str">
        <x:v>SMW Coin Chaos</x:v>
      </x:c>
    </x:row>
    <x:row r="1602">
      <x:c r="A1602" t="str">
        <x:v>SMW For Your Kids Only</x:v>
      </x:c>
    </x:row>
    <x:row r="1603">
      <x:c r="A1603" t="str">
        <x:v>SMW Friends and Rivalry</x:v>
      </x:c>
    </x:row>
    <x:row r="1604">
      <x:c r="A1604" t="str">
        <x:v>SMW L'autre bout de Yoshi island</x:v>
      </x:c>
    </x:row>
    <x:row r="1605">
      <x:c r="A1605" t="str">
        <x:v>SMW La Nouvelle Vague</x:v>
      </x:c>
    </x:row>
    <x:row r="1606">
      <x:c r="A1606" t="str">
        <x:v>SMW Legends. The Stars Road</x:v>
      </x:c>
    </x:row>
    <x:row r="1607">
      <x:c r="A1607" t="str">
        <x:v>SMW O Sumiço de Íris</x:v>
      </x:c>
    </x:row>
    <x:row r="1608">
      <x:c r="A1608" t="str">
        <x:v>SMW Piranha Island</x:v>
      </x:c>
    </x:row>
    <x:row r="1609">
      <x:c r="A1609" t="str">
        <x:v>SMW Quest for Gaming</x:v>
      </x:c>
    </x:row>
    <x:row r="1610">
      <x:c r="A1610" t="str">
        <x:v>SMW Remade from Memory</x:v>
      </x:c>
    </x:row>
    <x:row r="1611">
      <x:c r="A1611" t="str">
        <x:v>SMW Returns</x:v>
      </x:c>
    </x:row>
    <x:row r="1612">
      <x:c r="A1612" t="str">
        <x:v>SMW Returns 2</x:v>
      </x:c>
    </x:row>
    <x:row r="1613">
      <x:c r="A1613" t="str">
        <x:v>SMW Returns EX</x:v>
      </x:c>
    </x:row>
    <x:row r="1614">
      <x:c r="A1614" t="str">
        <x:v>SMW Skill Challenge</x:v>
      </x:c>
    </x:row>
    <x:row r="1615">
      <x:c r="A1615" t="str">
        <x:v>SMW Skill Challenge 2</x:v>
      </x:c>
    </x:row>
    <x:row r="1616">
      <x:c r="A1616" t="str">
        <x:v>SMW Stardust Dragon 2011</x:v>
      </x:c>
    </x:row>
    <x:row r="1617">
      <x:c r="A1617" t="str">
        <x:v>SMW The Crown Tale</x:v>
      </x:c>
    </x:row>
    <x:row r="1618">
      <x:c r="A1618" t="str">
        <x:v>SMW The Lost Levels</x:v>
      </x:c>
    </x:row>
    <x:row r="1619">
      <x:c r="A1619" t="str">
        <x:v>SMW The Princess Rescue</x:v>
      </x:c>
    </x:row>
    <x:row r="1620">
      <x:c r="A1620" t="str">
        <x:v>SMW The Princess Rescue 2 - Luigi's Journey!</x:v>
      </x:c>
    </x:row>
    <x:row r="1621">
      <x:c r="A1621" t="str">
        <x:v>SMW The Princess Rescue 3 - The Turnabout</x:v>
      </x:c>
    </x:row>
    <x:row r="1622">
      <x:c r="A1622" t="str">
        <x:v>SMW The Untold Story</x:v>
      </x:c>
    </x:row>
    <x:row r="1623">
      <x:c r="A1623" t="str">
        <x:v>SMW Translations</x:v>
      </x:c>
    </x:row>
    <x:row r="1624">
      <x:c r="A1624" t="str">
        <x:v>Smw Uma Aventura Chaotica (Chaotic Adventure)</x:v>
      </x:c>
    </x:row>
    <x:row r="1625">
      <x:c r="A1625" t="str">
        <x:v>SMW with Levels from NSMB</x:v>
      </x:c>
    </x:row>
    <x:row r="1626">
      <x:c r="A1626" t="str">
        <x:v>SMW with Levels from SMB 3</x:v>
      </x:c>
    </x:row>
    <x:row r="1627">
      <x:c r="A1627" t="str">
        <x:v>SMW with Levels from Super Boy 3</x:v>
      </x:c>
    </x:row>
    <x:row r="1628">
      <x:c r="A1628" t="str">
        <x:v>SMW-R</x:v>
      </x:c>
    </x:row>
    <x:row r="1629">
      <x:c r="A1629" t="str">
        <x:v>Smw2 the unknown threats F.I.X.E.D</x:v>
      </x:c>
    </x:row>
    <x:row r="1630">
      <x:c r="A1630" t="str">
        <x:v>SMW2+3: The Essence Star</x:v>
      </x:c>
    </x:row>
    <x:row r="1631">
      <x:c r="A1631" t="str">
        <x:v>SMW: Gaiden</x:v>
      </x:c>
    </x:row>
    <x:row r="1632">
      <x:c r="A1632" t="str">
        <x:v>SMW: Luigi's Mystic Saga</x:v>
      </x:c>
    </x:row>
    <x:row r="1633">
      <x:c r="A1633" t="str">
        <x:v>SMW: Remix</x:v>
      </x:c>
    </x:row>
    <x:row r="1634">
      <x:c r="A1634" t="str">
        <x:v>SMW: The Creator</x:v>
      </x:c>
    </x:row>
    <x:row r="1635">
      <x:c r="A1635" t="str">
        <x:v>SMW: Yoshi's Super Adventure</x:v>
      </x:c>
    </x:row>
    <x:row r="1636">
      <x:c r="A1636" t="str">
        <x:v>SMWHacking.de Collab</x:v>
      </x:c>
    </x:row>
    <x:row r="1637">
      <x:c r="A1637" t="str">
        <x:v>SMWHacking.de Collab ½</x:v>
      </x:c>
    </x:row>
    <x:row r="1638">
      <x:c r="A1638" t="str">
        <x:v>SMWLV</x:v>
      </x:c>
    </x:row>
    <x:row r="1639">
      <x:c r="A1639" t="str">
        <x:v>Sniggerbobble's Nightmare: Randor's Inside Story</x:v>
      </x:c>
    </x:row>
    <x:row r="1640">
      <x:c r="A1640" t="str">
        <x:v>Snoman's Land</x:v>
      </x:c>
    </x:row>
    <x:row r="1641">
      <x:c r="A1641" t="str">
        <x:v>Solar Eclipse World</x:v>
      </x:c>
    </x:row>
    <x:row r="1642">
      <x:c r="A1642" t="str">
        <x:v>Some Assembly Required</x:v>
      </x:c>
    </x:row>
    <x:row r="1643">
      <x:c r="A1643" t="str">
        <x:v>Something</x:v>
      </x:c>
    </x:row>
    <x:row r="1644">
      <x:c r="A1644" t="str">
        <x:v>Something Else</x:v>
      </x:c>
    </x:row>
    <x:row r="1645">
      <x:c r="A1645" t="str">
        <x:v>Song's to Die to</x:v>
      </x:c>
    </x:row>
    <x:row r="1646">
      <x:c r="A1646" t="str">
        <x:v>Sonic Epic World</x:v>
      </x:c>
    </x:row>
    <x:row r="1647">
      <x:c r="A1647" t="str">
        <x:v>Sonic Kaizo World</x:v>
      </x:c>
    </x:row>
    <x:row r="1648">
      <x:c r="A1648" t="str">
        <x:v>Sonic the Hedgehog 2 Kaizo Version</x:v>
      </x:c>
    </x:row>
    <x:row r="1649">
      <x:c r="A1649" t="str">
        <x:v>Sonic the Hedgehog Kaizo Version</x:v>
      </x:c>
    </x:row>
    <x:row r="1650">
      <x:c r="A1650" t="str">
        <x:v>Sonic's Adventure in Mushroom Kingdom</x:v>
      </x:c>
    </x:row>
    <x:row r="1651">
      <x:c r="A1651" t="str">
        <x:v>Sophies Crown</x:v>
      </x:c>
    </x:row>
    <x:row r="1652">
      <x:c r="A1652" t="str">
        <x:v>Sorrow &amp; Misery</x:v>
      </x:c>
    </x:row>
    <x:row r="1653">
      <x:c r="A1653" t="str">
        <x:v>Sortes Biblicae</x:v>
      </x:c>
    </x:row>
    <x:row r="1654">
      <x:c r="A1654" t="str">
        <x:v>Soup or Solstng World</x:v>
      </x:c>
    </x:row>
    <x:row r="1655">
      <x:c r="A1655" t="str">
        <x:v>South Point Hotel</x:v>
      </x:c>
    </x:row>
    <x:row r="1656">
      <x:c r="A1656" t="str">
        <x:v>SpaceDeluxe</x:v>
      </x:c>
    </x:row>
    <x:row r="1657">
      <x:c r="A1657" t="str">
        <x:v>Spatial Whirl</x:v>
      </x:c>
    </x:row>
    <x:row r="1658">
      <x:c r="A1658" t="str">
        <x:v>Special Moves</x:v>
      </x:c>
    </x:row>
    <x:row r="1659">
      <x:c r="A1659" t="str">
        <x:v>Special World Escape</x:v>
      </x:c>
    </x:row>
    <x:row r="1660">
      <x:c r="A1660" t="str">
        <x:v>Special World Overtakes</x:v>
      </x:c>
    </x:row>
    <x:row r="1661">
      <x:c r="A1661" t="str">
        <x:v>Special World?</x:v>
      </x:c>
    </x:row>
    <x:row r="1662">
      <x:c r="A1662" t="str">
        <x:v>Speed Shell</x:v>
      </x:c>
    </x:row>
    <x:row r="1663">
      <x:c r="A1663" t="str">
        <x:v>Spesh Planet</x:v>
      </x:c>
    </x:row>
    <x:row r="1664">
      <x:c r="A1664" t="str">
        <x:v>Spesh Planet 2</x:v>
      </x:c>
    </x:row>
    <x:row r="1665">
      <x:c r="A1665" t="str">
        <x:v>Spiral Quiral</x:v>
      </x:c>
    </x:row>
    <x:row r="1666">
      <x:c r="A1666" t="str">
        <x:v>Spiral Quiral Downgrade</x:v>
      </x:c>
    </x:row>
    <x:row r="1667">
      <x:c r="A1667" t="str">
        <x:v>Spiteful Mario</x:v>
      </x:c>
    </x:row>
    <x:row r="1668">
      <x:c r="A1668" t="str">
        <x:v>Sponge World</x:v>
      </x:c>
    </x:row>
    <x:row r="1669">
      <x:c r="A1669" t="str">
        <x:v>SPOT</x:v>
      </x:c>
    </x:row>
    <x:row r="1670">
      <x:c r="A1670" t="str">
        <x:v>Sprites Are 1derful</x:v>
      </x:c>
    </x:row>
    <x:row r="1671">
      <x:c r="A1671" t="str">
        <x:v>Square</x:v>
      </x:c>
    </x:row>
    <x:row r="1672">
      <x:c r="A1672" t="str">
        <x:v>SRE X - Kaizo Race</x:v>
      </x:c>
    </x:row>
    <x:row r="1673">
      <x:c r="A1673" t="str">
        <x:v>Staccato</x:v>
      </x:c>
    </x:row>
    <x:row r="1674">
      <x:c r="A1674" t="str">
        <x:v>Stacks cafe</x:v>
      </x:c>
    </x:row>
    <x:row r="1675">
      <x:c r="A1675" t="str">
        <x:v>Stackup (Demo #0)</x:v>
      </x:c>
    </x:row>
    <x:row r="1676">
      <x:c r="A1676" t="str">
        <x:v>Stand Tall and Shake the Heavens</x:v>
      </x:c>
    </x:row>
    <x:row r="1677">
      <x:c r="A1677" t="str">
        <x:v>Standard SMW ROM Hack</x:v>
      </x:c>
    </x:row>
    <x:row r="1678">
      <x:c r="A1678" t="str">
        <x:v>Stardust</x:v>
      </x:c>
    </x:row>
    <x:row r="1679">
      <x:c r="A1679" t="str">
        <x:v>Starting with Kaizo</x:v>
      </x:c>
    </x:row>
    <x:row r="1680">
      <x:c r="A1680" t="str">
        <x:v>Starting with Kaizo 2</x:v>
      </x:c>
    </x:row>
    <x:row r="1681">
      <x:c r="A1681" t="str">
        <x:v>Staycation</x:v>
      </x:c>
    </x:row>
    <x:row r="1682">
      <x:c r="A1682" t="str">
        <x:v>Steamboat Mario</x:v>
      </x:c>
    </x:row>
    <x:row r="1683">
      <x:c r="A1683" t="str">
        <x:v>Steid's Hack</x:v>
      </x:c>
    </x:row>
    <x:row r="1684">
      <x:c r="A1684" t="str">
        <x:v>Steven's Strangest Day</x:v>
      </x:c>
    </x:row>
    <x:row r="1685">
      <x:c r="A1685" t="str">
        <x:v>stick mice in my head and then beat my head in with a hammer and let them back out</x:v>
      </x:c>
    </x:row>
    <x:row r="1686">
      <x:c r="A1686" t="str">
        <x:v>Stick This Up Your Pipe!</x:v>
      </x:c>
    </x:row>
    <x:row r="1687">
      <x:c r="A1687" t="str">
        <x:v>Storks and Apes and Crocodiles</x:v>
      </x:c>
    </x:row>
    <x:row r="1688">
      <x:c r="A1688" t="str">
        <x:v>Story of Peiton</x:v>
      </x:c>
    </x:row>
    <x:row r="1689">
      <x:c r="A1689" t="str">
        <x:v>Straight Shellin'</x:v>
      </x:c>
    </x:row>
    <x:row r="1690">
      <x:c r="A1690" t="str">
        <x:v>Stranded</x:v>
      </x:c>
    </x:row>
    <x:row r="1691">
      <x:c r="A1691" t="str">
        <x:v>Strange Mario World</x:v>
      </x:c>
    </x:row>
    <x:row r="1692">
      <x:c r="A1692" t="str">
        <x:v>Stratfinder</x:v>
      </x:c>
    </x:row>
    <x:row r="1693">
      <x:c r="A1693" t="str">
        <x:v>Streak of Tigers</x:v>
      </x:c>
    </x:row>
    <x:row r="1694">
      <x:c r="A1694" t="str">
        <x:v>Streak of Tigers 2</x:v>
      </x:c>
    </x:row>
    <x:row r="1695">
      <x:c r="A1695" t="str">
        <x:v>Studies of a broken engine</x:v>
      </x:c>
    </x:row>
    <x:row r="1696">
      <x:c r="A1696" t="str">
        <x:v>Subpar Mario World</x:v>
      </x:c>
    </x:row>
    <x:row r="1697">
      <x:c r="A1697" t="str">
        <x:v>Summer</x:v>
      </x:c>
    </x:row>
    <x:row r="1698">
      <x:c r="A1698" t="str">
        <x:v>Summer Season</x:v>
      </x:c>
    </x:row>
    <x:row r="1699">
      <x:c r="A1699" t="str">
        <x:v>Sunny Side World</x:v>
      </x:c>
    </x:row>
    <x:row r="1700">
      <x:c r="A1700" t="str">
        <x:v>Super "Mario" World</x:v>
      </x:c>
    </x:row>
    <x:row r="1701">
      <x:c r="A1701" t="str">
        <x:v>Super "Mario" World 2</x:v>
      </x:c>
    </x:row>
    <x:row r="1702">
      <x:c r="A1702" t="str">
        <x:v>Super "Sonic Saves the World" World</x:v>
      </x:c>
    </x:row>
    <x:row r="1703">
      <x:c r="A1703" t="str">
        <x:v>Super Adam World</x:v>
      </x:c>
    </x:row>
    <x:row r="1704">
      <x:c r="A1704" t="str">
        <x:v>Super Alabama Beach Mouse</x:v>
      </x:c>
    </x:row>
    <x:row r="1705">
      <x:c r="A1705" t="str">
        <x:v>Super Alex Demo</x:v>
      </x:c>
    </x:row>
    <x:row r="1706">
      <x:c r="A1706" t="str">
        <x:v>Super Alicorn Sisters: Return of the Tantabus (A My Little Pony hack)</x:v>
      </x:c>
    </x:row>
    <x:row r="1707">
      <x:c r="A1707" t="str">
        <x:v>Super Amazing World</x:v>
      </x:c>
    </x:row>
    <x:row r="1708">
      <x:c r="A1708" t="str">
        <x:v>Super Amethyst Rocks</x:v>
      </x:c>
    </x:row>
    <x:row r="1709">
      <x:c r="A1709" t="str">
        <x:v>Super Ario World</x:v>
      </x:c>
    </x:row>
    <x:row r="1710">
      <x:c r="A1710" t="str">
        <x:v>Super BanzaiChuck World</x:v>
      </x:c>
    </x:row>
    <x:row r="1711">
      <x:c r="A1711" t="str">
        <x:v>Super Beast World</x:v>
      </x:c>
    </x:row>
    <x:row r="1712">
      <x:c r="A1712" t="str">
        <x:v>Super Beco World</x:v>
      </x:c>
    </x:row>
    <x:row r="1713">
      <x:c r="A1713" t="str">
        <x:v>Super Beco World 2</x:v>
      </x:c>
    </x:row>
    <x:row r="1714">
      <x:c r="A1714" t="str">
        <x:v>Super Beco World 3</x:v>
      </x:c>
    </x:row>
    <x:row r="1715">
      <x:c r="A1715" t="str">
        <x:v>Super Big Super Shy World</x:v>
      </x:c>
    </x:row>
    <x:row r="1716">
      <x:c r="A1716" t="str">
        <x:v>Super Blooper</x:v>
      </x:c>
    </x:row>
    <x:row r="1717">
      <x:c r="A1717" t="str">
        <x:v>Super Boonie World</x:v>
      </x:c>
    </x:row>
    <x:row r="1718">
      <x:c r="A1718" t="str">
        <x:v>Super Breh World</x:v>
      </x:c>
    </x:row>
    <x:row r="1719">
      <x:c r="A1719" t="str">
        <x:v>Super Broke World</x:v>
      </x:c>
    </x:row>
    <x:row r="1720">
      <x:c r="A1720" t="str">
        <x:v>Super Bulti World</x:v>
      </x:c>
    </x:row>
    <x:row r="1721">
      <x:c r="A1721" t="str">
        <x:v>Super Butt World 2</x:v>
      </x:c>
    </x:row>
    <x:row r="1722">
      <x:c r="A1722" t="str">
        <x:v>Super Challenge World</x:v>
      </x:c>
    </x:row>
    <x:row r="1723">
      <x:c r="A1723" t="str">
        <x:v>Super Chambo World</x:v>
      </x:c>
    </x:row>
    <x:row r="1724">
      <x:c r="A1724" t="str">
        <x:v>Super Cheer World</x:v>
      </x:c>
    </x:row>
    <x:row r="1725">
      <x:c r="A1725" t="str">
        <x:v>Super Chill World</x:v>
      </x:c>
    </x:row>
    <x:row r="1726">
      <x:c r="A1726" t="str">
        <x:v>Super Chocolate: The Insane Islands</x:v>
      </x:c>
    </x:row>
    <x:row r="1727">
      <x:c r="A1727" t="str">
        <x:v>Super Cindy World</x:v>
      </x:c>
    </x:row>
    <x:row r="1728">
      <x:c r="A1728" t="str">
        <x:v>Super Cindy World 2</x:v>
      </x:c>
    </x:row>
    <x:row r="1729">
      <x:c r="A1729" t="str">
        <x:v>Super Cindy World 3</x:v>
      </x:c>
    </x:row>
    <x:row r="1730">
      <x:c r="A1730" t="str">
        <x:v>Super Compact World</x:v>
      </x:c>
    </x:row>
    <x:row r="1731">
      <x:c r="A1731" t="str">
        <x:v>Super Conan Land</x:v>
      </x:c>
    </x:row>
    <x:row r="1732">
      <x:c r="A1732" t="str">
        <x:v>Super Conan World</x:v>
      </x:c>
    </x:row>
    <x:row r="1733">
      <x:c r="A1733" t="str">
        <x:v>Super Cool World</x:v>
      </x:c>
    </x:row>
    <x:row r="1734">
      <x:c r="A1734" t="str">
        <x:v>Super Corn World</x:v>
      </x:c>
    </x:row>
    <x:row r="1735">
      <x:c r="A1735" t="str">
        <x:v>Super Corn World II</x:v>
      </x:c>
    </x:row>
    <x:row r="1736">
      <x:c r="A1736" t="str">
        <x:v>Super Corn World III</x:v>
      </x:c>
    </x:row>
    <x:row r="1737">
      <x:c r="A1737" t="str">
        <x:v>Super Corruptendo World: The Mini HAX</x:v>
      </x:c>
    </x:row>
    <x:row r="1738">
      <x:c r="A1738" t="str">
        <x:v>Super cRazy world</x:v>
      </x:c>
    </x:row>
    <x:row r="1739">
      <x:c r="A1739" t="str">
        <x:v>Super Creme World</x:v>
      </x:c>
    </x:row>
    <x:row r="1740">
      <x:c r="A1740" t="str">
        <x:v>Super Curious World</x:v>
      </x:c>
    </x:row>
    <x:row r="1741">
      <x:c r="A1741" t="str">
        <x:v>Super Daisy World</x:v>
      </x:c>
    </x:row>
    <x:row r="1742">
      <x:c r="A1742" t="str">
        <x:v>Super Dank World</x:v>
      </x:c>
    </x:row>
    <x:row r="1743">
      <x:c r="A1743" t="str">
        <x:v>Super Dazran World</x:v>
      </x:c>
    </x:row>
    <x:row r="1744">
      <x:c r="A1744" t="str">
        <x:v>Super DB World</x:v>
      </x:c>
    </x:row>
    <x:row r="1745">
      <x:c r="A1745" t="str">
        <x:v>Super Deboche World</x:v>
      </x:c>
    </x:row>
    <x:row r="1746">
      <x:c r="A1746" t="str">
        <x:v>Super Demo World</x:v>
      </x:c>
    </x:row>
    <x:row r="1747">
      <x:c r="A1747" t="str">
        <x:v>Super Demo World 3</x:v>
      </x:c>
    </x:row>
    <x:row r="1748">
      <x:c r="A1748" t="str">
        <x:v>Super Demo World: The Legend Continues</x:v>
      </x:c>
    </x:row>
    <x:row r="1749">
      <x:c r="A1749" t="str">
        <x:v>Super Denis World</x:v>
      </x:c>
    </x:row>
    <x:row r="1750">
      <x:c r="A1750" t="str">
        <x:v>Super Destructive World</x:v>
      </x:c>
    </x:row>
    <x:row r="1751">
      <x:c r="A1751" t="str">
        <x:v>Super DGR World</x:v>
      </x:c>
    </x:row>
    <x:row r="1752">
      <x:c r="A1752" t="str">
        <x:v>Super Dram World</x:v>
      </x:c>
    </x:row>
    <x:row r="1753">
      <x:c r="A1753" t="str">
        <x:v>Super Dram World 2</x:v>
      </x:c>
    </x:row>
    <x:row r="1754">
      <x:c r="A1754" t="str">
        <x:v>Super Dram World 3</x:v>
      </x:c>
    </x:row>
    <x:row r="1755">
      <x:c r="A1755" t="str">
        <x:v>Super Dream World</x:v>
      </x:c>
    </x:row>
    <x:row r="1756">
      <x:c r="A1756" t="str">
        <x:v>Super Duper Mario World W1 DEMO</x:v>
      </x:c>
    </x:row>
    <x:row r="1757">
      <x:c r="A1757" t="str">
        <x:v>Super Duper World</x:v>
      </x:c>
    </x:row>
    <x:row r="1758">
      <x:c r="A1758" t="str">
        <x:v>Super Empty Land</x:v>
      </x:c>
    </x:row>
    <x:row r="1759">
      <x:c r="A1759" t="str">
        <x:v>Super Enan World</x:v>
      </x:c>
    </x:row>
    <x:row r="1760">
      <x:c r="A1760" t="str">
        <x:v>Super Endoplasm World</x:v>
      </x:c>
    </x:row>
    <x:row r="1761">
      <x:c r="A1761" t="str">
        <x:v>Super Enemy World</x:v>
      </x:c>
    </x:row>
    <x:row r="1762">
      <x:c r="A1762" t="str">
        <x:v>Super Fail World</x:v>
      </x:c>
    </x:row>
    <x:row r="1763">
      <x:c r="A1763" t="str">
        <x:v>Super Fart World</x:v>
      </x:c>
    </x:row>
    <x:row r="1764">
      <x:c r="A1764" t="str">
        <x:v>Super Fast World</x:v>
      </x:c>
    </x:row>
    <x:row r="1765">
      <x:c r="A1765" t="str">
        <x:v>Super Fedora World</x:v>
      </x:c>
    </x:row>
    <x:row r="1766">
      <x:c r="A1766" t="str">
        <x:v>Super Fish World</x:v>
      </x:c>
    </x:row>
    <x:row r="1767">
      <x:c r="A1767" t="str">
        <x:v>Super Flash World</x:v>
      </x:c>
    </x:row>
    <x:row r="1768">
      <x:c r="A1768" t="str">
        <x:v>Super Flash World 2</x:v>
      </x:c>
    </x:row>
    <x:row r="1769">
      <x:c r="A1769" t="str">
        <x:v>Super Focused World</x:v>
      </x:c>
    </x:row>
    <x:row r="1770">
      <x:c r="A1770" t="str">
        <x:v>Super Foo World</x:v>
      </x:c>
    </x:row>
    <x:row r="1771">
      <x:c r="A1771" t="str">
        <x:v>Super Foo World -1</x:v>
      </x:c>
    </x:row>
    <x:row r="1772">
      <x:c r="A1772" t="str">
        <x:v>Super Foo World 0</x:v>
      </x:c>
    </x:row>
    <x:row r="1773">
      <x:c r="A1773" t="str">
        <x:v>Super Foo World 2</x:v>
      </x:c>
    </x:row>
    <x:row r="1774">
      <x:c r="A1774" t="str">
        <x:v>Super Foo World 3</x:v>
      </x:c>
    </x:row>
    <x:row r="1775">
      <x:c r="A1775" t="str">
        <x:v>Super Foo World Lite</x:v>
      </x:c>
    </x:row>
    <x:row r="1776">
      <x:c r="A1776" t="str">
        <x:v>Super Foss World</x:v>
      </x:c>
    </x:row>
    <x:row r="1777">
      <x:c r="A1777" t="str">
        <x:v>Super Fruits 'n Veggies World</x:v>
      </x:c>
    </x:row>
    <x:row r="1778">
      <x:c r="A1778" t="str">
        <x:v>Super Galega World</x:v>
      </x:c>
    </x:row>
    <x:row r="1779">
      <x:c r="A1779" t="str">
        <x:v>Super germdove World</x:v>
      </x:c>
    </x:row>
    <x:row r="1780">
      <x:c r="A1780" t="str">
        <x:v>Super Ghetto World</x:v>
      </x:c>
    </x:row>
    <x:row r="1781">
      <x:c r="A1781" t="str">
        <x:v>Super Glitchcat World</x:v>
      </x:c>
    </x:row>
    <x:row r="1782">
      <x:c r="A1782" t="str">
        <x:v>SUPER Glumper WORLD</x:v>
      </x:c>
    </x:row>
    <x:row r="1783">
      <x:c r="A1783" t="str">
        <x:v>Super Godly Worl 69</x:v>
      </x:c>
    </x:row>
    <x:row r="1784">
      <x:c r="A1784" t="str">
        <x:v>Super Goober World</x:v>
      </x:c>
    </x:row>
    <x:row r="1785">
      <x:c r="A1785" t="str">
        <x:v>Super Gracie World</x:v>
      </x:c>
    </x:row>
    <x:row r="1786">
      <x:c r="A1786" t="str">
        <x:v>Super Hacked World</x:v>
      </x:c>
    </x:row>
    <x:row r="1787">
      <x:c r="A1787" t="str">
        <x:v>Super Hark Bros</x:v>
      </x:c>
    </x:row>
    <x:row r="1788">
      <x:c r="A1788" t="str">
        <x:v>Super Hark Bros 2</x:v>
      </x:c>
    </x:row>
    <x:row r="1789">
      <x:c r="A1789" t="str">
        <x:v>Super Herbihalt World</x:v>
      </x:c>
    </x:row>
    <x:row r="1790">
      <x:c r="A1790" t="str">
        <x:v>Super Herbihalt World 2</x:v>
      </x:c>
    </x:row>
    <x:row r="1791">
      <x:c r="A1791" t="str">
        <x:v>Super Herbihalt World 3</x:v>
      </x:c>
    </x:row>
    <x:row r="1792">
      <x:c r="A1792" t="str">
        <x:v>Super Huh World</x:v>
      </x:c>
    </x:row>
    <x:row r="1793">
      <x:c r="A1793" t="str">
        <x:v>Super Husky World</x:v>
      </x:c>
    </x:row>
    <x:row r="1794">
      <x:c r="A1794" t="str">
        <x:v>Super Husky World 2</x:v>
      </x:c>
    </x:row>
    <x:row r="1795">
      <x:c r="A1795" t="str">
        <x:v>Super I Will Make One Level a Day Until Doopu Publishes SHINE World</x:v>
      </x:c>
    </x:row>
    <x:row r="1796">
      <x:c r="A1796" t="str">
        <x:v>Super Impressive World</x:v>
      </x:c>
    </x:row>
    <x:row r="1797">
      <x:c r="A1797" t="str">
        <x:v>Super Insecure World</x:v>
      </x:c>
    </x:row>
    <x:row r="1798">
      <x:c r="A1798" t="str">
        <x:v>Super interdimensional crossroad world</x:v>
      </x:c>
    </x:row>
    <x:row r="1799">
      <x:c r="A1799" t="str">
        <x:v>Super Irresponsible World</x:v>
      </x:c>
    </x:row>
    <x:row r="1800">
      <x:c r="A1800" t="str">
        <x:v>Super IsCamden World</x:v>
      </x:c>
    </x:row>
    <x:row r="1801">
      <x:c r="A1801" t="str">
        <x:v>Super Isikoro Mario World</x:v>
      </x:c>
    </x:row>
    <x:row r="1802">
      <x:c r="A1802" t="str">
        <x:v>Super IzToat World</x:v>
      </x:c>
    </x:row>
    <x:row r="1803">
      <x:c r="A1803" t="str">
        <x:v>Super Jars World</x:v>
      </x:c>
    </x:row>
    <x:row r="1804">
      <x:c r="A1804" t="str">
        <x:v>Super Joe Bros 3</x:v>
      </x:c>
    </x:row>
    <x:row r="1805">
      <x:c r="A1805" t="str">
        <x:v>Super Joe Bros.</x:v>
      </x:c>
    </x:row>
    <x:row r="1806">
      <x:c r="A1806" t="str">
        <x:v>Super Joe Bros. 2</x:v>
      </x:c>
    </x:row>
    <x:row r="1807">
      <x:c r="A1807" t="str">
        <x:v>Super Kaizo Nightmare</x:v>
      </x:c>
    </x:row>
    <x:row r="1808">
      <x:c r="A1808" t="str">
        <x:v>Super Kamek World</x:v>
      </x:c>
    </x:row>
    <x:row r="1809">
      <x:c r="A1809" t="str">
        <x:v>Super Kekcroc World 2 - A Croc Throughout Time</x:v>
      </x:c>
    </x:row>
    <x:row r="1810">
      <x:c r="A1810" t="str">
        <x:v>Super Kekcroc World 3</x:v>
      </x:c>
    </x:row>
    <x:row r="1811">
      <x:c r="A1811" t="str">
        <x:v>Super Kekcroc World: Kekcroc in Space</x:v>
      </x:c>
    </x:row>
    <x:row r="1812">
      <x:c r="A1812" t="str">
        <x:v>Super Kentucky Bros</x:v>
      </x:c>
    </x:row>
    <x:row r="1813">
      <x:c r="A1813" t="str">
        <x:v>Super Kilik World</x:v>
      </x:c>
    </x:row>
    <x:row r="1814">
      <x:c r="A1814" t="str">
        <x:v>Super Killer World</x:v>
      </x:c>
    </x:row>
    <x:row r="1815">
      <x:c r="A1815" t="str">
        <x:v>Super King Jay World</x:v>
      </x:c>
    </x:row>
    <x:row r="1816">
      <x:c r="A1816" t="str">
        <x:v>Super Kroeti Kaizo World</x:v>
      </x:c>
    </x:row>
    <x:row r="1817">
      <x:c r="A1817" t="str">
        <x:v>Super Kuso World</x:v>
      </x:c>
    </x:row>
    <x:row r="1818">
      <x:c r="A1818" t="str">
        <x:v>Super LAME World</x:v>
      </x:c>
    </x:row>
    <x:row r="1819">
      <x:c r="A1819" t="str">
        <x:v>Super Lani World (Remastered)</x:v>
      </x:c>
    </x:row>
    <x:row r="1820">
      <x:c r="A1820" t="str">
        <x:v>Super Lani World 2 (Remastered)</x:v>
      </x:c>
    </x:row>
    <x:row r="1821">
      <x:c r="A1821" t="str">
        <x:v>Super Lani World 3</x:v>
      </x:c>
    </x:row>
    <x:row r="1822">
      <x:c r="A1822" t="str">
        <x:v>Super Linkdead World</x:v>
      </x:c>
    </x:row>
    <x:row r="1823">
      <x:c r="A1823" t="str">
        <x:v>Super Linkdeadx Dream</x:v>
      </x:c>
    </x:row>
    <x:row r="1824">
      <x:c r="A1824" t="str">
        <x:v>Super Little Miss A.D.D. World</x:v>
      </x:c>
    </x:row>
    <x:row r="1825">
      <x:c r="A1825" t="str">
        <x:v>Super Little Miss ADD World DEMO</x:v>
      </x:c>
    </x:row>
    <x:row r="1826">
      <x:c r="A1826" t="str">
        <x:v>Super Logic World 1</x:v>
      </x:c>
    </x:row>
    <x:row r="1827">
      <x:c r="A1827" t="str">
        <x:v>Super LouisDoucet World</x:v>
      </x:c>
    </x:row>
    <x:row r="1828">
      <x:c r="A1828" t="str">
        <x:v>Super LouisDoucet World 2</x:v>
      </x:c>
    </x:row>
    <x:row r="1829">
      <x:c r="A1829" t="str">
        <x:v>Super LSG World</x:v>
      </x:c>
    </x:row>
    <x:row r="1830">
      <x:c r="A1830" t="str">
        <x:v>Super LSG World (B-Side)</x:v>
      </x:c>
    </x:row>
    <x:row r="1831">
      <x:c r="A1831" t="str">
        <x:v>Super Luigi Arcade</x:v>
      </x:c>
    </x:row>
    <x:row r="1832">
      <x:c r="A1832" t="str">
        <x:v>Super Luigi Bros: Mystery Of the 7 Jewels</x:v>
      </x:c>
    </x:row>
    <x:row r="1833">
      <x:c r="A1833" t="str">
        <x:v>Super Luigi Land</x:v>
      </x:c>
    </x:row>
    <x:row r="1834">
      <x:c r="A1834" t="str">
        <x:v>Super Luigi Land 2</x:v>
      </x:c>
    </x:row>
    <x:row r="1835">
      <x:c r="A1835" t="str">
        <x:v>Super Luigi RPG World</x:v>
      </x:c>
    </x:row>
    <x:row r="1836">
      <x:c r="A1836" t="str">
        <x:v>Super Luigi World 0.5</x:v>
      </x:c>
    </x:row>
    <x:row r="1837">
      <x:c r="A1837" t="str">
        <x:v>Super Luigi World DELUXE</x:v>
      </x:c>
    </x:row>
    <x:row r="1838">
      <x:c r="A1838" t="str">
        <x:v>Super Luigi World: Luigi's Fantastic Dream</x:v>
      </x:c>
    </x:row>
    <x:row r="1839">
      <x:c r="A1839" t="str">
        <x:v>Super Luigi World: Luigi's Quest!</x:v>
      </x:c>
    </x:row>
    <x:row r="1840">
      <x:c r="A1840" t="str">
        <x:v>Super Luigi: King Koopa and the PU</x:v>
      </x:c>
    </x:row>
    <x:row r="1841">
      <x:c r="A1841" t="str">
        <x:v>Super Luigi: The Regular Quest</x:v>
      </x:c>
    </x:row>
    <x:row r="1842">
      <x:c r="A1842" t="str">
        <x:v>Super Machok World</x:v>
      </x:c>
    </x:row>
    <x:row r="1843">
      <x:c r="A1843" t="str">
        <x:v>Super Macron World</x:v>
      </x:c>
    </x:row>
    <x:row r="1844">
      <x:c r="A1844" t="str">
        <x:v>Super Macron World: Ultra Lite</x:v>
      </x:c>
    </x:row>
    <x:row r="1845">
      <x:c r="A1845" t="str">
        <x:v>Super MADE World</x:v>
      </x:c>
    </x:row>
    <x:row r="1846">
      <x:c r="A1846" t="str">
        <x:v>Super Mallow World</x:v>
      </x:c>
    </x:row>
    <x:row r="1847">
      <x:c r="A1847" t="str">
        <x:v>Super Mallow World - Master Quest</x:v>
      </x:c>
    </x:row>
    <x:row r="1848">
      <x:c r="A1848" t="str">
        <x:v>Super Maple World</x:v>
      </x:c>
    </x:row>
    <x:row r="1849">
      <x:c r="A1849" t="str">
        <x:v>Super Marina World</x:v>
      </x:c>
    </x:row>
    <x:row r="1850">
      <x:c r="A1850" t="str">
        <x:v>Super Mario (Tentative Title)</x:v>
      </x:c>
    </x:row>
    <x:row r="1851">
      <x:c r="A1851" t="str">
        <x:v>Super Mario - Bowser's Secret Weapon</x:v>
      </x:c>
    </x:row>
    <x:row r="1852">
      <x:c r="A1852" t="str">
        <x:v>Super Mario - Modo Competitivo (Competitive Mode)</x:v>
      </x:c>
    </x:row>
    <x:row r="1853">
      <x:c r="A1853" t="str">
        <x:v>Super Mario - The Ultimate Challenge</x:v>
      </x:c>
    </x:row>
    <x:row r="1854">
      <x:c r="A1854" t="str">
        <x:v>Super Mario 16: The Fall of Yoshi</x:v>
      </x:c>
    </x:row>
    <x:row r="1855">
      <x:c r="A1855" t="str">
        <x:v>Super Mario 2D Land</x:v>
      </x:c>
    </x:row>
    <x:row r="1856">
      <x:c r="A1856" t="str">
        <x:v>Super Mario 32 Levels</x:v>
      </x:c>
    </x:row>
    <x:row r="1857">
      <x:c r="A1857" t="str">
        <x:v>Super Mario 32 Levels (R4.0)</x:v>
      </x:c>
    </x:row>
    <x:row r="1858">
      <x:c r="A1858" t="str">
        <x:v>Super Mario 64/4</x:v>
      </x:c>
    </x:row>
    <x:row r="1859">
      <x:c r="A1859" t="str">
        <x:v>Super Mario 96: Adventures in Parallel Land</x:v>
      </x:c>
    </x:row>
    <x:row r="1860">
      <x:c r="A1860" t="str">
        <x:v>Super Mario Adventure [SMWC #10103]</x:v>
      </x:c>
    </x:row>
    <x:row r="1861">
      <x:c r="A1861" t="str">
        <x:v>Super Mario Adventure [SMWC #5248]</x:v>
      </x:c>
    </x:row>
    <x:row r="1862">
      <x:c r="A1862" t="str">
        <x:v>Super Mario Adventures</x:v>
      </x:c>
    </x:row>
    <x:row r="1863">
      <x:c r="A1863" t="str">
        <x:v>Super Mario and Luigi World: Brotherhood</x:v>
      </x:c>
    </x:row>
    <x:row r="1864">
      <x:c r="A1864" t="str">
        <x:v>Super Mario And Super Alli World</x:v>
      </x:c>
    </x:row>
    <x:row r="1865">
      <x:c r="A1865" t="str">
        <x:v>Super Mario and the Cretaceous Castle</x:v>
      </x:c>
    </x:row>
    <x:row r="1866">
      <x:c r="A1866" t="str">
        <x:v>Super Mario and the Missing Mushroom Coins</x:v>
      </x:c>
    </x:row>
    <x:row r="1867">
      <x:c r="A1867" t="str">
        <x:v>Super Mario and the Undersea Lab</x:v>
      </x:c>
    </x:row>
    <x:row r="1868">
      <x:c r="A1868" t="str">
        <x:v>Super Mario Another Retro</x:v>
      </x:c>
    </x:row>
    <x:row r="1869">
      <x:c r="A1869" t="str">
        <x:v>Super Mario Another Retro 2 (Demo)</x:v>
      </x:c>
    </x:row>
    <x:row r="1870">
      <x:c r="A1870" t="str">
        <x:v>Super Mario Arbitrium - Demo 2</x:v>
      </x:c>
    </x:row>
    <x:row r="1871">
      <x:c r="A1871" t="str">
        <x:v>Super Mario Arcade</x:v>
      </x:c>
    </x:row>
    <x:row r="1872">
      <x:c r="A1872" t="str">
        <x:v>Super Mario Archipelago</x:v>
      </x:c>
    </x:row>
    <x:row r="1873">
      <x:c r="A1873" t="str">
        <x:v>Super Mario Aways - Redrawn</x:v>
      </x:c>
    </x:row>
    <x:row r="1874">
      <x:c r="A1874" t="str">
        <x:v>Super Mario Balloon World</x:v>
      </x:c>
    </x:row>
    <x:row r="1875">
      <x:c r="A1875" t="str">
        <x:v>Super Mario Blooper World</x:v>
      </x:c>
    </x:row>
    <x:row r="1876">
      <x:c r="A1876" t="str">
        <x:v>Super Mario Brain Dead</x:v>
      </x:c>
    </x:row>
    <x:row r="1877">
      <x:c r="A1877" t="str">
        <x:v>Super Mario Broken Anomaly: Prototype version</x:v>
      </x:c>
    </x:row>
    <x:row r="1878">
      <x:c r="A1878" t="str">
        <x:v>Super Mario Bros - Merry Mountain Christmas Adventure</x:v>
      </x:c>
    </x:row>
    <x:row r="1879">
      <x:c r="A1879" t="str">
        <x:v>Super Mario Bros 2 Dream Courses</x:v>
      </x:c>
    </x:row>
    <x:row r="1880">
      <x:c r="A1880" t="str">
        <x:v>Super Mario Bros 2: Mega Mario X</x:v>
      </x:c>
    </x:row>
    <x:row r="1881">
      <x:c r="A1881" t="str">
        <x:v>Super Mario Bros 3 as Dinosaur Land</x:v>
      </x:c>
    </x:row>
    <x:row r="1882">
      <x:c r="A1882" t="str">
        <x:v>Super Mario Bros. - The Castle</x:v>
      </x:c>
    </x:row>
    <x:row r="1883">
      <x:c r="A1883" t="str">
        <x:v>Super Mario Bros. - The Key Of Nightmares</x:v>
      </x:c>
    </x:row>
    <x:row r="1884">
      <x:c r="A1884" t="str">
        <x:v>Super Mario Bros. - The Lost Mario Quest</x:v>
      </x:c>
    </x:row>
    <x:row r="1885">
      <x:c r="A1885" t="str">
        <x:v>Super Mario Bros. - The Seven Wands</x:v>
      </x:c>
    </x:row>
    <x:row r="1886">
      <x:c r="A1886" t="str">
        <x:v>Super Mario Bros. 1X</x:v>
      </x:c>
    </x:row>
    <x:row r="1887">
      <x:c r="A1887" t="str">
        <x:v>Super Mario Bros. 2 DX</x:v>
      </x:c>
    </x:row>
    <x:row r="1888">
      <x:c r="A1888" t="str">
        <x:v>Super Mario Bros. 3 Redrawn</x:v>
      </x:c>
    </x:row>
    <x:row r="1889">
      <x:c r="A1889" t="str">
        <x:v>Super Mario Bros. 3 X</x:v>
      </x:c>
    </x:row>
    <x:row r="1890">
      <x:c r="A1890" t="str">
        <x:v>Super Mario Bros. 3: Golden</x:v>
      </x:c>
    </x:row>
    <x:row r="1891">
      <x:c r="A1891" t="str">
        <x:v>Super Mario Bros. 3: The Secret Place</x:v>
      </x:c>
    </x:row>
    <x:row r="1892">
      <x:c r="A1892" t="str">
        <x:v>Super Mario Bros. 4 - The Mystery Of The Five Stones</x:v>
      </x:c>
    </x:row>
    <x:row r="1893">
      <x:c r="A1893" t="str">
        <x:v>Super Mario Bros. 4: Super Mario World | Mario and Luigi's Return to The Plains</x:v>
      </x:c>
    </x:row>
    <x:row r="1894">
      <x:c r="A1894" t="str">
        <x:v>Super Mario Bros. 5 Reborn</x:v>
      </x:c>
    </x:row>
    <x:row r="1895">
      <x:c r="A1895" t="str">
        <x:v>Super Mario Bros. Advance 2 : Super Mario Bros. 3</x:v>
      </x:c>
    </x:row>
    <x:row r="1896">
      <x:c r="A1896" t="str">
        <x:v>Super Mario Bros. Chaos</x:v>
      </x:c>
    </x:row>
    <x:row r="1897">
      <x:c r="A1897" t="str">
        <x:v>Super Mario Bros. Easter Adventure</x:v>
      </x:c>
    </x:row>
    <x:row r="1898">
      <x:c r="A1898" t="str">
        <x:v>Super Mario Bros. Enhanced</x:v>
      </x:c>
    </x:row>
    <x:row r="1899">
      <x:c r="A1899" t="str">
        <x:v>Super Mario Bros. For Lost Players</x:v>
      </x:c>
    </x:row>
    <x:row r="1900">
      <x:c r="A1900" t="str">
        <x:v>Super Mario Bros. Peach's Adventure</x:v>
      </x:c>
    </x:row>
    <x:row r="1901">
      <x:c r="A1901" t="str">
        <x:v>Super Mario Bros. Remix</x:v>
      </x:c>
    </x:row>
    <x:row r="1902">
      <x:c r="A1902" t="str">
        <x:v>Super Mario Bros. The Hunt For The Magical Key</x:v>
      </x:c>
    </x:row>
    <x:row r="1903">
      <x:c r="A1903" t="str">
        <x:v>Super Mario Bros. The Invaders of Mushroom Kingdom</x:v>
      </x:c>
    </x:row>
    <x:row r="1904">
      <x:c r="A1904" t="str">
        <x:v>Super Mario Bros. The Search for Bowser</x:v>
      </x:c>
    </x:row>
    <x:row r="1905">
      <x:c r="A1905" t="str">
        <x:v>Super Mario Bros.: Peach's Challenge</x:v>
      </x:c>
    </x:row>
    <x:row r="1906">
      <x:c r="A1906" t="str">
        <x:v>Super Mario Bros.: The Last Showdown</x:v>
      </x:c>
    </x:row>
    <x:row r="1907">
      <x:c r="A1907" t="str">
        <x:v>Super Mario Bros.: The Lost Levels 2</x:v>
      </x:c>
    </x:row>
    <x:row r="1908">
      <x:c r="A1908" t="str">
        <x:v>Super Mario Bros.: The Minus World</x:v>
      </x:c>
    </x:row>
    <x:row r="1909">
      <x:c r="A1909" t="str">
        <x:v>Super Mario Bros: Bowser Chaos</x:v>
      </x:c>
    </x:row>
    <x:row r="1910">
      <x:c r="A1910" t="str">
        <x:v>Super Mario Bros: The Castle 2</x:v>
      </x:c>
    </x:row>
    <x:row r="1911">
      <x:c r="A1911" t="str">
        <x:v>Super Mario Bros: The Early Years</x:v>
      </x:c>
    </x:row>
    <x:row r="1912">
      <x:c r="A1912" t="str">
        <x:v>Super Mario Bros: The Search for Oreo Cakesters</x:v>
      </x:c>
    </x:row>
    <x:row r="1913">
      <x:c r="A1913" t="str">
        <x:v>Super Mario Bros: Vanilla Islands</x:v>
      </x:c>
    </x:row>
    <x:row r="1914">
      <x:c r="A1914" t="str">
        <x:v>Super Mario Brothers and the Giant Omelette</x:v>
      </x:c>
    </x:row>
    <x:row r="1915">
      <x:c r="A1915" t="str">
        <x:v>Super Mario Challenge</x:v>
      </x:c>
    </x:row>
    <x:row r="1916">
      <x:c r="A1916" t="str">
        <x:v>Super Mario Classic'd</x:v>
      </x:c>
    </x:row>
    <x:row r="1917">
      <x:c r="A1917" t="str">
        <x:v>Super Mario Cosmos</x:v>
      </x:c>
    </x:row>
    <x:row r="1918">
      <x:c r="A1918" t="str">
        <x:v>Super Mario Del Lago</x:v>
      </x:c>
    </x:row>
    <x:row r="1919">
      <x:c r="A1919" t="str">
        <x:v>Super Mario Denied World</x:v>
      </x:c>
    </x:row>
    <x:row r="1920">
      <x:c r="A1920" t="str">
        <x:v>Super Mario Dream World</x:v>
      </x:c>
    </x:row>
    <x:row r="1921">
      <x:c r="A1921" t="str">
        <x:v>Super Mario DX</x:v>
      </x:c>
    </x:row>
    <x:row r="1922">
      <x:c r="A1922" t="str">
        <x:v>Super Mario Element Worlds</x:v>
      </x:c>
    </x:row>
    <x:row r="1923">
      <x:c r="A1923" t="str">
        <x:v>Super Mario Emulator (PTB)</x:v>
      </x:c>
    </x:row>
    <x:row r="1924">
      <x:c r="A1924" t="str">
        <x:v>Super Mario Endless World</x:v>
      </x:c>
    </x:row>
    <x:row r="1925">
      <x:c r="A1925" t="str">
        <x:v>Super Mario Escapades</x:v>
      </x:c>
    </x:row>
    <x:row r="1926">
      <x:c r="A1926" t="str">
        <x:v>Super Mario Expedition</x:v>
      </x:c>
    </x:row>
    <x:row r="1927">
      <x:c r="A1927" t="str">
        <x:v>Super Mario Fiwerland</x:v>
      </x:c>
    </x:row>
    <x:row r="1928">
      <x:c r="A1928" t="str">
        <x:v>Super Mario Flash 2: SMW Remake</x:v>
      </x:c>
    </x:row>
    <x:row r="1929">
      <x:c r="A1929" t="str">
        <x:v>Super Mario Flash: Super Mario World Remake</x:v>
      </x:c>
    </x:row>
    <x:row r="1930">
      <x:c r="A1930" t="str">
        <x:v>Super Mario Fooland</x:v>
      </x:c>
    </x:row>
    <x:row r="1931">
      <x:c r="A1931" t="str">
        <x:v>Super Mario Gaia</x:v>
      </x:c>
    </x:row>
    <x:row r="1932">
      <x:c r="A1932" t="str">
        <x:v>Super Mario Hack</x:v>
      </x:c>
    </x:row>
    <x:row r="1933">
      <x:c r="A1933" t="str">
        <x:v>Super Mario Hack - Uma Nova Aventura - A New Adventure (Lite Version)</x:v>
      </x:c>
    </x:row>
    <x:row r="1934">
      <x:c r="A1934" t="str">
        <x:v>Super Mario Heroes</x:v>
      </x:c>
    </x:row>
    <x:row r="1935">
      <x:c r="A1935" t="str">
        <x:v>Super Mario Horizons 1.0b</x:v>
      </x:c>
    </x:row>
    <x:row r="1936">
      <x:c r="A1936" t="str">
        <x:v>Super Mario Iggy's Revenge</x:v>
      </x:c>
    </x:row>
    <x:row r="1937">
      <x:c r="A1937" t="str">
        <x:v>Super Mario In Element World</x:v>
      </x:c>
    </x:row>
    <x:row r="1938">
      <x:c r="A1938" t="str">
        <x:v>Super Mario In Element World 2: The Master Hand Revenge</x:v>
      </x:c>
    </x:row>
    <x:row r="1939">
      <x:c r="A1939" t="str">
        <x:v>Super Mario in Miscland 2: GrisBoo's Switches!</x:v>
      </x:c>
    </x:row>
    <x:row r="1940">
      <x:c r="A1940" t="str">
        <x:v>Super Mario in the Health Advocacy Project</x:v>
      </x:c>
    </x:row>
    <x:row r="1941">
      <x:c r="A1941" t="str">
        <x:v>Super Mario in the Vanilla Forest</x:v>
      </x:c>
    </x:row>
    <x:row r="1942">
      <x:c r="A1942" t="str">
        <x:v>Super Mario in Yoshi Heaven</x:v>
      </x:c>
    </x:row>
    <x:row r="1943">
      <x:c r="A1943" t="str">
        <x:v>Super Mario in: Yoshi's Revenge</x:v>
      </x:c>
    </x:row>
    <x:row r="1944">
      <x:c r="A1944" t="str">
        <x:v>Super Mario Infinity 2: The Cursed Gem</x:v>
      </x:c>
    </x:row>
    <x:row r="1945">
      <x:c r="A1945" t="str">
        <x:v>Super Mario Infinity: Mystery of the Magic Wand</x:v>
      </x:c>
    </x:row>
    <x:row r="1946">
      <x:c r="A1946" t="str">
        <x:v>Super Mario Islands</x:v>
      </x:c>
    </x:row>
    <x:row r="1947">
      <x:c r="A1947" t="str">
        <x:v>Super Mario Justice</x:v>
      </x:c>
    </x:row>
    <x:row r="1948">
      <x:c r="A1948" t="str">
        <x:v>Super Mario Land 2.5</x:v>
      </x:c>
    </x:row>
    <x:row r="1949">
      <x:c r="A1949" t="str">
        <x:v>Super Mario Land 3: Tatanga's Return</x:v>
      </x:c>
    </x:row>
    <x:row r="1950">
      <x:c r="A1950" t="str">
        <x:v>Super Mario Land 4</x:v>
      </x:c>
    </x:row>
    <x:row r="1951">
      <x:c r="A1951" t="str">
        <x:v>Super Mario Land Arcade!</x:v>
      </x:c>
    </x:row>
    <x:row r="1952">
      <x:c r="A1952" t="str">
        <x:v>Super Mario Land World</x:v>
      </x:c>
    </x:row>
    <x:row r="1953">
      <x:c r="A1953" t="str">
        <x:v>Super Mario Legacy</x:v>
      </x:c>
    </x:row>
    <x:row r="1954">
      <x:c r="A1954" t="str">
        <x:v>Super Mario Logic</x:v>
      </x:c>
    </x:row>
    <x:row r="1955">
      <x:c r="A1955" t="str">
        <x:v>Super Mario Lost in Monochrome</x:v>
      </x:c>
    </x:row>
    <x:row r="1956">
      <x:c r="A1956" t="str">
        <x:v>Super Mario Lost World</x:v>
      </x:c>
    </x:row>
    <x:row r="1957">
      <x:c r="A1957" t="str">
        <x:v>Super Mario Makers' Holiday Extravaganza</x:v>
      </x:c>
    </x:row>
    <x:row r="1958">
      <x:c r="A1958" t="str">
        <x:v>Super Mario Mania</x:v>
      </x:c>
    </x:row>
    <x:row r="1959">
      <x:c r="A1959" t="str">
        <x:v>Super Mario New Life!</x:v>
      </x:c>
    </x:row>
    <x:row r="1960">
      <x:c r="A1960" t="str">
        <x:v>Super Mario Ocean</x:v>
      </x:c>
    </x:row>
    <x:row r="1961">
      <x:c r="A1961" t="str">
        <x:v>Super Mario Odyssey</x:v>
      </x:c>
    </x:row>
    <x:row r="1962">
      <x:c r="A1962" t="str">
        <x:v>Super Mario Omega</x:v>
      </x:c>
    </x:row>
    <x:row r="1963">
      <x:c r="A1963" t="str">
        <x:v>Super Mario Outbreak</x:v>
      </x:c>
    </x:row>
    <x:row r="1964">
      <x:c r="A1964" t="str">
        <x:v>Super Mario OWMS</x:v>
      </x:c>
    </x:row>
    <x:row r="1965">
      <x:c r="A1965" t="str">
        <x:v>Super Mario Pants World</x:v>
      </x:c>
    </x:row>
    <x:row r="1966">
      <x:c r="A1966" t="str">
        <x:v>Super Mario Place</x:v>
      </x:c>
    </x:row>
    <x:row r="1967">
      <x:c r="A1967" t="str">
        <x:v>Super Mario Planet</x:v>
      </x:c>
    </x:row>
    <x:row r="1968">
      <x:c r="A1968" t="str">
        <x:v>Super Mario Quest</x:v>
      </x:c>
    </x:row>
    <x:row r="1969">
      <x:c r="A1969" t="str">
        <x:v>Super Mario Radish Kingdom Adventure</x:v>
      </x:c>
    </x:row>
    <x:row r="1970">
      <x:c r="A1970" t="str">
        <x:v>Super Mario Redux</x:v>
      </x:c>
    </x:row>
    <x:row r="1971">
      <x:c r="A1971" t="str">
        <x:v>Super Mario Revelations</x:v>
      </x:c>
    </x:row>
    <x:row r="1972">
      <x:c r="A1972" t="str">
        <x:v>Super Mario Robotical Trouble</x:v>
      </x:c>
    </x:row>
    <x:row r="1973">
      <x:c r="A1973" t="str">
        <x:v>Super Mario SS2 - Bowser is Back</x:v>
      </x:c>
    </x:row>
    <x:row r="1974">
      <x:c r="A1974" t="str">
        <x:v>Super Mario SS3 - PU</x:v>
      </x:c>
    </x:row>
    <x:row r="1975">
      <x:c r="A1975" t="str">
        <x:v>Super Mario Starlight</x:v>
      </x:c>
    </x:row>
    <x:row r="1976">
      <x:c r="A1976" t="str">
        <x:v>Super Mario Starlight Remix</x:v>
      </x:c>
    </x:row>
    <x:row r="1977">
      <x:c r="A1977" t="str">
        <x:v>Super Mario Stole the Souls of the Innocent and Now Must Climb a Tower to Reclaim his Humanity World</x:v>
      </x:c>
    </x:row>
    <x:row r="1978">
      <x:c r="A1978" t="str">
        <x:v>Super Mario Super Quest (demo)</x:v>
      </x:c>
    </x:row>
    <x:row r="1979">
      <x:c r="A1979" t="str">
        <x:v>Super Mario SuperStar</x:v>
      </x:c>
    </x:row>
    <x:row r="1980">
      <x:c r="A1980" t="str">
        <x:v>Super Mario Tales!</x:v>
      </x:c>
    </x:row>
    <x:row r="1981">
      <x:c r="A1981" t="str">
        <x:v>Super Mario The Trip</x:v>
      </x:c>
    </x:row>
    <x:row r="1982">
      <x:c r="A1982" t="str">
        <x:v>Super Mario Thousand Islands</x:v>
      </x:c>
    </x:row>
    <x:row r="1983">
      <x:c r="A1983" t="str">
        <x:v>Super Mario TKO</x:v>
      </x:c>
    </x:row>
    <x:row r="1984">
      <x:c r="A1984" t="str">
        <x:v>Super Mario Ubs</x:v>
      </x:c>
    </x:row>
    <x:row r="1985">
      <x:c r="A1985" t="str">
        <x:v>Super Mario Ultima</x:v>
      </x:c>
    </x:row>
    <x:row r="1986">
      <x:c r="A1986" t="str">
        <x:v>Super Mario Ultra World</x:v>
      </x:c>
    </x:row>
    <x:row r="1987">
      <x:c r="A1987" t="str">
        <x:v>Super Mario Underworld</x:v>
      </x:c>
    </x:row>
    <x:row r="1988">
      <x:c r="A1988" t="str">
        <x:v>Super Mario Universe 2: The Adventure Resumes</x:v>
      </x:c>
    </x:row>
    <x:row r="1989">
      <x:c r="A1989" t="str">
        <x:v>Super Mario Universe [SMWC #25489]</x:v>
      </x:c>
    </x:row>
    <x:row r="1990">
      <x:c r="A1990" t="str">
        <x:v>Super Mario Universe [SMWC #9855]</x:v>
      </x:c>
    </x:row>
    <x:row r="1991">
      <x:c r="A1991" t="str">
        <x:v>Super Mario Universe Deluxe</x:v>
      </x:c>
    </x:row>
    <x:row r="1992">
      <x:c r="A1992" t="str">
        <x:v>Super Mario Versus Bowser's New Army</x:v>
      </x:c>
    </x:row>
    <x:row r="1993">
      <x:c r="A1993" t="str">
        <x:v>Super Mario World (Super Mario Bros. 4) : A Trip Full Of Fun!</x:v>
      </x:c>
    </x:row>
    <x:row r="1994">
      <x:c r="A1994" t="str">
        <x:v>Super Mario World + Land</x:v>
      </x:c>
    </x:row>
    <x:row r="1995">
      <x:c r="A1995" t="str">
        <x:v>Super Mario World - Bowser's Last Revenge</x:v>
      </x:c>
    </x:row>
    <x:row r="1996">
      <x:c r="A1996" t="str">
        <x:v>Super Mario World - Bowser's Return</x:v>
      </x:c>
    </x:row>
    <x:row r="1997">
      <x:c r="A1997" t="str">
        <x:v>Super Mario World - Bowser's Return Redux</x:v>
      </x:c>
    </x:row>
    <x:row r="1998">
      <x:c r="A1998" t="str">
        <x:v>Super Mario World - Bulgarian Translation</x:v>
      </x:c>
    </x:row>
    <x:row r="1999">
      <x:c r="A1999" t="str">
        <x:v>Super Mario World - Final Mysterious Quest</x:v>
      </x:c>
    </x:row>
    <x:row r="2000">
      <x:c r="A2000" t="str">
        <x:v>Super Mario World - Gamergull's Version</x:v>
      </x:c>
    </x:row>
    <x:row r="2001">
      <x:c r="A2001" t="str">
        <x:v>Super Mario World - Hack Project</x:v>
      </x:c>
    </x:row>
    <x:row r="2002">
      <x:c r="A2002" t="str">
        <x:v>Super Mario World - Koopa Revenge</x:v>
      </x:c>
    </x:row>
    <x:row r="2003">
      <x:c r="A2003" t="str">
        <x:v>Super Mario World - Leaving Dinosaur Island</x:v>
      </x:c>
    </x:row>
    <x:row r="2004">
      <x:c r="A2004" t="str">
        <x:v>Super Mario World - Luigi's World Edition</x:v>
      </x:c>
    </x:row>
    <x:row r="2005">
      <x:c r="A2005" t="str">
        <x:v>Super Mario World - Mario's Expedition</x:v>
      </x:c>
    </x:row>
    <x:row r="2006">
      <x:c r="A2006" t="str">
        <x:v>Super Mario World - Mushroom Revolution</x:v>
      </x:c>
    </x:row>
    <x:row r="2007">
      <x:c r="A2007" t="str">
        <x:v>Super Mario World - Neeberz's Hack</x:v>
      </x:c>
    </x:row>
    <x:row r="2008">
      <x:c r="A2008" t="str">
        <x:v>Super Mario World - Parodian Art Edition</x:v>
      </x:c>
    </x:row>
    <x:row r="2009">
      <x:c r="A2009" t="str">
        <x:v>Super Mario World - Some Random Adventure</x:v>
      </x:c>
    </x:row>
    <x:row r="2010">
      <x:c r="A2010" t="str">
        <x:v>Super Mario World - The 4 Elemental Jewels</x:v>
      </x:c>
    </x:row>
    <x:row r="2011">
      <x:c r="A2011" t="str">
        <x:v>Super Mario World - The search of Luigi</x:v>
      </x:c>
    </x:row>
    <x:row r="2012">
      <x:c r="A2012" t="str">
        <x:v>Super Mario World - The Secret Levels</x:v>
      </x:c>
    </x:row>
    <x:row r="2013">
      <x:c r="A2013" t="str">
        <x:v>Super Mario World 1.5</x:v>
      </x:c>
    </x:row>
    <x:row r="2014">
      <x:c r="A2014" t="str">
        <x:v>Super Mario World 2</x:v>
      </x:c>
    </x:row>
    <x:row r="2015">
      <x:c r="A2015" t="str">
        <x:v>Super Mario World 2021 (PT-BR) + (USA)</x:v>
      </x:c>
    </x:row>
    <x:row r="2016">
      <x:c r="A2016" t="str">
        <x:v>Super Mario World 2025</x:v>
      </x:c>
    </x:row>
    <x:row r="2017">
      <x:c r="A2017" t="str">
        <x:v>Super Mario World 3 - A whole new world</x:v>
      </x:c>
    </x:row>
    <x:row r="2018">
      <x:c r="A2018" t="str">
        <x:v>Super Mario World 3 - Bowser's Revenge</x:v>
      </x:c>
    </x:row>
    <x:row r="2019">
      <x:c r="A2019" t="str">
        <x:v>Super Mario World 3: The Koopas Strike Back</x:v>
      </x:c>
    </x:row>
    <x:row r="2020">
      <x:c r="A2020" t="str">
        <x:v>Super Mario World 3: The Universe's Star!</x:v>
      </x:c>
    </x:row>
    <x:row r="2021">
      <x:c r="A2021" t="str">
        <x:v>Super Mario World 4: The Shining Super Star</x:v>
      </x:c>
    </x:row>
    <x:row r="2022">
      <x:c r="A2022" t="str">
        <x:v>Super Mario World 64</x:v>
      </x:c>
    </x:row>
    <x:row r="2023">
      <x:c r="A2023" t="str">
        <x:v>Super Mario World Adventure</x:v>
      </x:c>
    </x:row>
    <x:row r="2024">
      <x:c r="A2024" t="str">
        <x:v>Super Mario World ALPHA 2</x:v>
      </x:c>
    </x:row>
    <x:row r="2025">
      <x:c r="A2025" t="str">
        <x:v>Super Mario World and Beyond</x:v>
      </x:c>
    </x:row>
    <x:row r="2026">
      <x:c r="A2026" t="str">
        <x:v>Super Mario World And the 8 jars</x:v>
      </x:c>
    </x:row>
    <x:row r="2027">
      <x:c r="A2027" t="str">
        <x:v>Super Mario World and the Bois!</x:v>
      </x:c>
    </x:row>
    <x:row r="2028">
      <x:c r="A2028" t="str">
        <x:v>Super Mario World Arrangement</x:v>
      </x:c>
    </x:row>
    <x:row r="2029">
      <x:c r="A2029" t="str">
        <x:v>Super Mario World Beta</x:v>
      </x:c>
    </x:row>
    <x:row r="2030">
      <x:c r="A2030" t="str">
        <x:v>Super Mario World Bowser's Vacation (JPN)</x:v>
      </x:c>
    </x:row>
    <x:row r="2031">
      <x:c r="A2031" t="str">
        <x:v>Super Mario World Central Production 2</x:v>
      </x:c>
    </x:row>
    <x:row r="2032">
      <x:c r="A2032" t="str">
        <x:v>Super Mario World Challenges</x:v>
      </x:c>
    </x:row>
    <x:row r="2033">
      <x:c r="A2033" t="str">
        <x:v>Super Mario World Challenges 2</x:v>
      </x:c>
    </x:row>
    <x:row r="2034">
      <x:c r="A2034" t="str">
        <x:v>Super Mario World Classic Comebacks</x:v>
      </x:c>
    </x:row>
    <x:row r="2035">
      <x:c r="A2035" t="str">
        <x:v>Super Mario World Competition Cartridge</x:v>
      </x:c>
    </x:row>
    <x:row r="2036">
      <x:c r="A2036" t="str">
        <x:v>Super Mario World feat. Marisa Kirisame</x:v>
      </x:c>
    </x:row>
    <x:row r="2037">
      <x:c r="A2037" t="str">
        <x:v>Super Mario World Future The Shadow Queen Returns 2021</x:v>
      </x:c>
    </x:row>
    <x:row r="2038">
      <x:c r="A2038" t="str">
        <x:v>Super Mario World Hacks 101</x:v>
      </x:c>
    </x:row>
    <x:row r="2039">
      <x:c r="A2039" t="str">
        <x:v>Super Mario World II</x:v>
      </x:c>
    </x:row>
    <x:row r="2040">
      <x:c r="A2040" t="str">
        <x:v>Super Mario World Master Quest 1</x:v>
      </x:c>
    </x:row>
    <x:row r="2041">
      <x:c r="A2041" t="str">
        <x:v>Super Mario World Master Quest 2</x:v>
      </x:c>
    </x:row>
    <x:row r="2042">
      <x:c r="A2042" t="str">
        <x:v>Super Mario World Master Quest 3: The Adventure Of Mario</x:v>
      </x:c>
    </x:row>
    <x:row r="2043">
      <x:c r="A2043" t="str">
        <x:v>Super Mario World Master Quest 4: Redrawn</x:v>
      </x:c>
    </x:row>
    <x:row r="2044">
      <x:c r="A2044" t="str">
        <x:v>Super Mario World Master Quest 8: The Final Quest</x:v>
      </x:c>
    </x:row>
    <x:row r="2045">
      <x:c r="A2045" t="str">
        <x:v>Super Mario World Master Quest Reborn</x:v>
      </x:c>
    </x:row>
    <x:row r="2046">
      <x:c r="A2046" t="str">
        <x:v>Super Mario World Mix</x:v>
      </x:c>
    </x:row>
    <x:row r="2047">
      <x:c r="A2047" t="str">
        <x:v>Super Mario World Random Revolution X</x:v>
      </x:c>
    </x:row>
    <x:row r="2048">
      <x:c r="A2048" t="str">
        <x:v>Super Mario World Reloaded</x:v>
      </x:c>
    </x:row>
    <x:row r="2049">
      <x:c r="A2049" t="str">
        <x:v>Super Mario World Remix</x:v>
      </x:c>
    </x:row>
    <x:row r="2050">
      <x:c r="A2050" t="str">
        <x:v>Super Mario World Revamped</x:v>
      </x:c>
    </x:row>
    <x:row r="2051">
      <x:c r="A2051" t="str">
        <x:v>Super Mario World Ridley X Hack</x:v>
      </x:c>
    </x:row>
    <x:row r="2052">
      <x:c r="A2052" t="str">
        <x:v>Super Mario World The Forest  Adventure</x:v>
      </x:c>
    </x:row>
    <x:row r="2053">
      <x:c r="A2053" t="str">
        <x:v>Super Mario World The Garden</x:v>
      </x:c>
    </x:row>
    <x:row r="2054">
      <x:c r="A2054" t="str">
        <x:v>Super Mario World The Pit Version</x:v>
      </x:c>
    </x:row>
    <x:row r="2055">
      <x:c r="A2055" t="str">
        <x:v>Super Mario World the Reture</x:v>
      </x:c>
    </x:row>
    <x:row r="2056">
      <x:c r="A2056" t="str">
        <x:v>Super Mario World Ultra</x:v>
      </x:c>
    </x:row>
    <x:row r="2057">
      <x:c r="A2057" t="str">
        <x:v>Super Mario World-2</x:v>
      </x:c>
    </x:row>
    <x:row r="2058">
      <x:c r="A2058" t="str">
        <x:v>Super Mario World-3</x:v>
      </x:c>
    </x:row>
    <x:row r="2059">
      <x:c r="A2059" t="str">
        <x:v>Super Mario World: "Not Over Yet"</x:v>
      </x:c>
    </x:row>
    <x:row r="2060">
      <x:c r="A2060" t="str">
        <x:v>Super Mario World: A New Adventure 2</x:v>
      </x:c>
    </x:row>
    <x:row r="2061">
      <x:c r="A2061" t="str">
        <x:v>Super Mario World: A Pineapple Kingdom</x:v>
      </x:c>
    </x:row>
    <x:row r="2062">
      <x:c r="A2062" t="str">
        <x:v>Super Mario World: A Super Mario Adventure</x:v>
      </x:c>
    </x:row>
    <x:row r="2063">
      <x:c r="A2063" t="str">
        <x:v>Super Mario World: A Super Mario Adventure 2 (V2.0)</x:v>
      </x:c>
    </x:row>
    <x:row r="2064">
      <x:c r="A2064" t="str">
        <x:v>Super Mario World: A Super Mario Adventure 3</x:v>
      </x:c>
    </x:row>
    <x:row r="2065">
      <x:c r="A2065" t="str">
        <x:v>Super Mario World: Adventure in Forest Land</x:v>
      </x:c>
    </x:row>
    <x:row r="2066">
      <x:c r="A2066" t="str">
        <x:v>Super Mario World: Adventures On Petite Island</x:v>
      </x:c>
    </x:row>
    <x:row r="2067">
      <x:c r="A2067" t="str">
        <x:v>Super Mario World: Again in Dinosaur Land</x:v>
      </x:c>
    </x:row>
    <x:row r="2068">
      <x:c r="A2068" t="str">
        <x:v>Super Mario World: Another Pointless Adventure</x:v>
      </x:c>
    </x:row>
    <x:row r="2069">
      <x:c r="A2069" t="str">
        <x:v>Super Mario World: Blue Flamingo</x:v>
      </x:c>
    </x:row>
    <x:row r="2070">
      <x:c r="A2070" t="str">
        <x:v>Super Mario World: Bowser's Cataclysmic Trap</x:v>
      </x:c>
    </x:row>
    <x:row r="2071">
      <x:c r="A2071" t="str">
        <x:v>Super Mario World: Bowser's Kaizo Conspiracy</x:v>
      </x:c>
    </x:row>
    <x:row r="2072">
      <x:c r="A2072" t="str">
        <x:v>Super Mario World: Bowser's Trial</x:v>
      </x:c>
    </x:row>
    <x:row r="2073">
      <x:c r="A2073" t="str">
        <x:v>Super Mario World: Challenge Worlds</x:v>
      </x:c>
    </x:row>
    <x:row r="2074">
      <x:c r="A2074" t="str">
        <x:v>Super Mario World: Christmas Edition</x:v>
      </x:c>
    </x:row>
    <x:row r="2075">
      <x:c r="A2075" t="str">
        <x:v>Super Mario World: Dark Sniggerbobblian Mythos #2: Sniggerbobble's Redemption: The Crystal of Disaster</x:v>
      </x:c>
    </x:row>
    <x:row r="2076">
      <x:c r="A2076" t="str">
        <x:v>Super Mario World: Dungeon Conquest - C3 Demo</x:v>
      </x:c>
    </x:row>
    <x:row r="2077">
      <x:c r="A2077" t="str">
        <x:v>Super Mario World: Emberside Island</x:v>
      </x:c>
    </x:row>
    <x:row r="2078">
      <x:c r="A2078" t="str">
        <x:v>Super Mario World: Glitch Land</x:v>
      </x:c>
    </x:row>
    <x:row r="2079">
      <x:c r="A2079" t="str">
        <x:v>Super Mario World: Hehey!</x:v>
      </x:c>
    </x:row>
    <x:row r="2080">
      <x:c r="A2080" t="str">
        <x:v>Super Mario World: Hunt for the Dragon Coins</x:v>
      </x:c>
    </x:row>
    <x:row r="2081">
      <x:c r="A2081" t="str">
        <x:v>Super Mario World: Iggy's Island</x:v>
      </x:c>
    </x:row>
    <x:row r="2082">
      <x:c r="A2082" t="str">
        <x:v>Super Mario World: Journey To Plover Hill</x:v>
      </x:c>
    </x:row>
    <x:row r="2083">
      <x:c r="A2083" t="str">
        <x:v>Super Mario World: Jurassic Path</x:v>
      </x:c>
    </x:row>
    <x:row r="2084">
      <x:c r="A2084" t="str">
        <x:v>Super Mario World: La Nouvelle Vague</x:v>
      </x:c>
    </x:row>
    <x:row r="2085">
      <x:c r="A2085" t="str">
        <x:v>Super Mario World: Legend of the Four Keys</x:v>
      </x:c>
    </x:row>
    <x:row r="2086">
      <x:c r="A2086" t="str">
        <x:v>Super Mario World: Moving Day</x:v>
      </x:c>
    </x:row>
    <x:row r="2087">
      <x:c r="A2087" t="str">
        <x:v>Super Mario World: Panic In Eglet Islands</x:v>
      </x:c>
    </x:row>
    <x:row r="2088">
      <x:c r="A2088" t="str">
        <x:v>Super Mario World: Quest up Mount Morlock.</x:v>
      </x:c>
    </x:row>
    <x:row r="2089">
      <x:c r="A2089" t="str">
        <x:v>Super Mario World: Return To Dinosaur Land</x:v>
      </x:c>
    </x:row>
    <x:row r="2090">
      <x:c r="A2090" t="str">
        <x:v>Super Mario World: Season 2</x:v>
      </x:c>
    </x:row>
    <x:row r="2091">
      <x:c r="A2091" t="str">
        <x:v>Super Mario World: Season 3</x:v>
      </x:c>
    </x:row>
    <x:row r="2092">
      <x:c r="A2092" t="str">
        <x:v>Super Mario World: Seasonal Chaos!</x:v>
      </x:c>
    </x:row>
    <x:row r="2093">
      <x:c r="A2093" t="str">
        <x:v>Super Mario World: Serbow's Assault</x:v>
      </x:c>
    </x:row>
    <x:row r="2094">
      <x:c r="A2094" t="str">
        <x:v>Super Mario World: Shy-Shy Island</x:v>
      </x:c>
    </x:row>
    <x:row r="2095">
      <x:c r="A2095" t="str">
        <x:v>Super Mario World: The 4 Magic Wands</x:v>
      </x:c>
    </x:row>
    <x:row r="2096">
      <x:c r="A2096" t="str">
        <x:v>Super Mario World: The 7 Elemental Yoshies</x:v>
      </x:c>
    </x:row>
    <x:row r="2097">
      <x:c r="A2097" t="str">
        <x:v>Super Mario World: The 7 Koopalings Return</x:v>
      </x:c>
    </x:row>
    <x:row r="2098">
      <x:c r="A2098" t="str">
        <x:v>Super Mario World: The After Years (Ultra)</x:v>
      </x:c>
    </x:row>
    <x:row r="2099">
      <x:c r="A2099" t="str">
        <x:v>Super Mario World: The Crazy Quest</x:v>
      </x:c>
    </x:row>
    <x:row r="2100">
      <x:c r="A2100" t="str">
        <x:v>Super Mario World: The Final Showdown!</x:v>
      </x:c>
    </x:row>
    <x:row r="2101">
      <x:c r="A2101" t="str">
        <x:v>Super Mario World: The Huge Adventure</x:v>
      </x:c>
    </x:row>
    <x:row r="2102">
      <x:c r="A2102" t="str">
        <x:v>Super Mario World: The Lost Adventure - Episode I REMASTERED</x:v>
      </x:c>
    </x:row>
    <x:row r="2103">
      <x:c r="A2103" t="str">
        <x:v>Super Mario World: The Lost Levels</x:v>
      </x:c>
    </x:row>
    <x:row r="2104">
      <x:c r="A2104" t="str">
        <x:v>Super Mario World: The Magical Golden Mushroom</x:v>
      </x:c>
    </x:row>
    <x:row r="2105">
      <x:c r="A2105" t="str">
        <x:v>Super Mario World: The Magical Wand</x:v>
      </x:c>
    </x:row>
    <x:row r="2106">
      <x:c r="A2106" t="str">
        <x:v>Super Mario World: The Megaman 29th anniversary adventure</x:v>
      </x:c>
    </x:row>
    <x:row r="2107">
      <x:c r="A2107" t="str">
        <x:v>Super Mario World: The Meteor...</x:v>
      </x:c>
    </x:row>
    <x:row r="2108">
      <x:c r="A2108" t="str">
        <x:v>Super Mario World: The Mysterious Armada</x:v>
      </x:c>
    </x:row>
    <x:row r="2109">
      <x:c r="A2109" t="str">
        <x:v>Super Mario World: The New World</x:v>
      </x:c>
    </x:row>
    <x:row r="2110">
      <x:c r="A2110" t="str">
        <x:v>Super Mario World: The Return of Bowser</x:v>
      </x:c>
    </x:row>
    <x:row r="2111">
      <x:c r="A2111" t="str">
        <x:v>Super Mario World: The Secret of 4 Colour Switch</x:v>
      </x:c>
    </x:row>
    <x:row r="2112">
      <x:c r="A2112" t="str">
        <x:v>Super Mario World: The Secret of the 7 Golden Statues</x:v>
      </x:c>
    </x:row>
    <x:row r="2113">
      <x:c r="A2113" t="str">
        <x:v>Super Mario World: The Secret of the Lands!</x:v>
      </x:c>
    </x:row>
    <x:row r="2114">
      <x:c r="A2114" t="str">
        <x:v>Super Mario World: The Star Field</x:v>
      </x:c>
    </x:row>
    <x:row r="2115">
      <x:c r="A2115" t="str">
        <x:v>Super Mario World: Twentieth Anniversary Edition</x:v>
      </x:c>
    </x:row>
    <x:row r="2116">
      <x:c r="A2116" t="str">
        <x:v>Super Mario World: Uber Edition</x:v>
      </x:c>
    </x:row>
    <x:row r="2117">
      <x:c r="A2117" t="str">
        <x:v>Super Mario World: Winter's Delight</x:v>
      </x:c>
    </x:row>
    <x:row r="2118">
      <x:c r="A2118" t="str">
        <x:v>Super Mario Worldwide</x:v>
      </x:c>
    </x:row>
    <x:row r="2119">
      <x:c r="A2119" t="str">
        <x:v>Super Mario Worldwide 2</x:v>
      </x:c>
    </x:row>
    <x:row r="2120">
      <x:c r="A2120" t="str">
        <x:v>Super Mario World²</x:v>
      </x:c>
    </x:row>
    <x:row r="2121">
      <x:c r="A2121" t="str">
        <x:v>Super Mario Wornilla</x:v>
      </x:c>
    </x:row>
    <x:row r="2122">
      <x:c r="A2122" t="str">
        <x:v>Super Mario Wornilla - Lost Levels</x:v>
      </x:c>
    </x:row>
    <x:row r="2123">
      <x:c r="A2123" t="str">
        <x:v>Super Mario X</x:v>
      </x:c>
    </x:row>
    <x:row r="2124">
      <x:c r="A2124" t="str">
        <x:v>Super Mario Yggdrasil</x:v>
      </x:c>
    </x:row>
    <x:row r="2125">
      <x:c r="A2125" t="str">
        <x:v>Super Mario's Adventure To Waste Time</x:v>
      </x:c>
    </x:row>
    <x:row r="2126">
      <x:c r="A2126" t="str">
        <x:v>Super Mario's Island Hopping Adventure</x:v>
      </x:c>
    </x:row>
    <x:row r="2127">
      <x:c r="A2127" t="str">
        <x:v>Super Mario's Legend Quest!</x:v>
      </x:c>
    </x:row>
    <x:row r="2128">
      <x:c r="A2128" t="str">
        <x:v>Super Mario's Legend: Vacations at the Tropics</x:v>
      </x:c>
    </x:row>
    <x:row r="2129">
      <x:c r="A2129" t="str">
        <x:v>Super Mario's New Adventure 2: The Villain's Revenge</x:v>
      </x:c>
    </x:row>
    <x:row r="2130">
      <x:c r="A2130" t="str">
        <x:v>Super Mario's New Adventure: The Plumber's Fury</x:v>
      </x:c>
    </x:row>
    <x:row r="2131">
      <x:c r="A2131" t="str">
        <x:v>Super Mario's Wacky Worlds SD</x:v>
      </x:c>
    </x:row>
    <x:row r="2132">
      <x:c r="A2132" t="str">
        <x:v>Super Mario: A Familiar Land</x:v>
      </x:c>
    </x:row>
    <x:row r="2133">
      <x:c r="A2133" t="str">
        <x:v>Super Mario: A New Beginning</x:v>
      </x:c>
    </x:row>
    <x:row r="2134">
      <x:c r="A2134" t="str">
        <x:v>Super Mario: Bowser's Last Stand</x:v>
      </x:c>
    </x:row>
    <x:row r="2135">
      <x:c r="A2135" t="str">
        <x:v>Super Mario: Bowser's Shinedown</x:v>
      </x:c>
    </x:row>
    <x:row r="2136">
      <x:c r="A2136" t="str">
        <x:v>Super Mario: Buried Treasure</x:v>
      </x:c>
    </x:row>
    <x:row r="2137">
      <x:c r="A2137" t="str">
        <x:v>Super Mario: Christmas Season</x:v>
      </x:c>
    </x:row>
    <x:row r="2138">
      <x:c r="A2138" t="str">
        <x:v>Super Mario: Daisy's Kidnapping</x:v>
      </x:c>
    </x:row>
    <x:row r="2139">
      <x:c r="A2139" t="str">
        <x:v>Super Mario: Grand Journey</x:v>
      </x:c>
    </x:row>
    <x:row r="2140">
      <x:c r="A2140" t="str">
        <x:v>Super Mario: Hunter's Revenge 2</x:v>
      </x:c>
    </x:row>
    <x:row r="2141">
      <x:c r="A2141" t="str">
        <x:v>Super Mario: Hunter's Revenge 3</x:v>
      </x:c>
    </x:row>
    <x:row r="2142">
      <x:c r="A2142" t="str">
        <x:v>Super Mario: Mushroom Legacy</x:v>
      </x:c>
    </x:row>
    <x:row r="2143">
      <x:c r="A2143" t="str">
        <x:v>Super Mario: Nozom Quest (Level Sampler)</x:v>
      </x:c>
    </x:row>
    <x:row r="2144">
      <x:c r="A2144" t="str">
        <x:v>Super Mario: Oiram's Invasion</x:v>
      </x:c>
    </x:row>
    <x:row r="2145">
      <x:c r="A2145" t="str">
        <x:v>Super Mario: Other World</x:v>
      </x:c>
    </x:row>
    <x:row r="2146">
      <x:c r="A2146" t="str">
        <x:v>Super Mario: RamzaProject</x:v>
      </x:c>
    </x:row>
    <x:row r="2147">
      <x:c r="A2147" t="str">
        <x:v>Super Mario: Star Seeker</x:v>
      </x:c>
    </x:row>
    <x:row r="2148">
      <x:c r="A2148" t="str">
        <x:v>Super Mario: Summer Gone Wrong</x:v>
      </x:c>
    </x:row>
    <x:row r="2149">
      <x:c r="A2149" t="str">
        <x:v>Super Mario: The Cookie Crisis</x:v>
      </x:c>
    </x:row>
    <x:row r="2150">
      <x:c r="A2150" t="str">
        <x:v>Super Mario: The Egg Rescue</x:v>
      </x:c>
    </x:row>
    <x:row r="2151">
      <x:c r="A2151" t="str">
        <x:v>Super Mario: The Evil Coalition</x:v>
      </x:c>
    </x:row>
    <x:row r="2152">
      <x:c r="A2152" t="str">
        <x:v>Super Mario: The Five Castles Challenge</x:v>
      </x:c>
    </x:row>
    <x:row r="2153">
      <x:c r="A2153" t="str">
        <x:v>Super Mario: The Friends' Rescue</x:v>
      </x:c>
    </x:row>
    <x:row r="2154">
      <x:c r="A2154" t="str">
        <x:v>Super Mario: The Infection</x:v>
      </x:c>
    </x:row>
    <x:row r="2155">
      <x:c r="A2155" t="str">
        <x:v>Super Mario: The Quest for Breakfast</x:v>
      </x:c>
    </x:row>
    <x:row r="2156">
      <x:c r="A2156" t="str">
        <x:v>Super Mario: Toadworth's Disappearance</x:v>
      </x:c>
    </x:row>
    <x:row r="2157">
      <x:c r="A2157" t="str">
        <x:v>Super Mario: Ucronia</x:v>
      </x:c>
    </x:row>
    <x:row r="2158">
      <x:c r="A2158" t="str">
        <x:v>Super Mario: Universos Paralelos</x:v>
      </x:c>
    </x:row>
    <x:row r="2159">
      <x:c r="A2159" t="str">
        <x:v>Super Marisa Adventure World</x:v>
      </x:c>
    </x:row>
    <x:row r="2160">
      <x:c r="A2160" t="str">
        <x:v>Super Marisa Adventure World 2 - Mari Mari Back Forward Around</x:v>
      </x:c>
    </x:row>
    <x:row r="2161">
      <x:c r="A2161" t="str">
        <x:v>Super Mawaru World</x:v>
      </x:c>
    </x:row>
    <x:row r="2162">
      <x:c r="A2162" t="str">
        <x:v>Super Melas World</x:v>
      </x:c>
    </x:row>
    <x:row r="2163">
      <x:c r="A2163" t="str">
        <x:v>Super Mez World</x:v>
      </x:c>
    </x:row>
    <x:row r="2164">
      <x:c r="A2164" t="str">
        <x:v>Super Mio World</x:v>
      </x:c>
    </x:row>
    <x:row r="2165">
      <x:c r="A2165" t="str">
        <x:v>Super Mirror Dimension</x:v>
      </x:c>
    </x:row>
    <x:row r="2166">
      <x:c r="A2166" t="str">
        <x:v>Super Mish World</x:v>
      </x:c>
    </x:row>
    <x:row r="2167">
      <x:c r="A2167" t="str">
        <x:v>Super Mona World</x:v>
      </x:c>
    </x:row>
    <x:row r="2168">
      <x:c r="A2168" t="str">
        <x:v>Super Monty World</x:v>
      </x:c>
    </x:row>
    <x:row r="2169">
      <x:c r="A2169" t="str">
        <x:v>Super Moo World</x:v>
      </x:c>
    </x:row>
    <x:row r="2170">
      <x:c r="A2170" t="str">
        <x:v>Super Muncher Slopes</x:v>
      </x:c>
    </x:row>
    <x:row r="2171">
      <x:c r="A2171" t="str">
        <x:v>Super Mushroom Planet</x:v>
      </x:c>
    </x:row>
    <x:row r="2172">
      <x:c r="A2172" t="str">
        <x:v>Super N3TS Kaizo World 1</x:v>
      </x:c>
    </x:row>
    <x:row r="2173">
      <x:c r="A2173" t="str">
        <x:v>Super N3TS Kaizo World 2</x:v>
      </x:c>
    </x:row>
    <x:row r="2174">
      <x:c r="A2174" t="str">
        <x:v>Super N3TS Kaizo World 3 ( Revenge Of The Lost Shells )</x:v>
      </x:c>
    </x:row>
    <x:row r="2175">
      <x:c r="A2175" t="str">
        <x:v>Super N450 World</x:v>
      </x:c>
    </x:row>
    <x:row r="2176">
      <x:c r="A2176" t="str">
        <x:v>Super Nambona World</x:v>
      </x:c>
    </x:row>
    <x:row r="2177">
      <x:c r="A2177" t="str">
        <x:v>Super Nana World</x:v>
      </x:c>
    </x:row>
    <x:row r="2178">
      <x:c r="A2178" t="str">
        <x:v>Super Nantucket World</x:v>
      </x:c>
    </x:row>
    <x:row r="2179">
      <x:c r="A2179" t="str">
        <x:v>Super Napu World</x:v>
      </x:c>
    </x:row>
    <x:row r="2180">
      <x:c r="A2180" t="str">
        <x:v>Super Nario World</x:v>
      </x:c>
    </x:row>
    <x:row r="2181">
      <x:c r="A2181" t="str">
        <x:v>Super NemMeViu World</x:v>
      </x:c>
    </x:row>
    <x:row r="2182">
      <x:c r="A2182" t="str">
        <x:v>Super NemMeViu World 2</x:v>
      </x:c>
    </x:row>
    <x:row r="2183">
      <x:c r="A2183" t="str">
        <x:v>Super Nessy World</x:v>
      </x:c>
    </x:row>
    <x:row r="2184">
      <x:c r="A2184" t="str">
        <x:v>Super Nessy World 2</x:v>
      </x:c>
    </x:row>
    <x:row r="2185">
      <x:c r="A2185" t="str">
        <x:v>Super Ninji Land</x:v>
      </x:c>
    </x:row>
    <x:row r="2186">
      <x:c r="A2186" t="str">
        <x:v>Super Ninji Land 2: A Ninji's Journey</x:v>
      </x:c>
    </x:row>
    <x:row r="2187">
      <x:c r="A2187" t="str">
        <x:v>Super Ninji Land Reawakened</x:v>
      </x:c>
    </x:row>
    <x:row r="2188">
      <x:c r="A2188" t="str">
        <x:v>Super Normal World</x:v>
      </x:c>
    </x:row>
    <x:row r="2189">
      <x:c r="A2189" t="str">
        <x:v>Super Nostalgia World</x:v>
      </x:c>
    </x:row>
    <x:row r="2190">
      <x:c r="A2190" t="str">
        <x:v>Super Nothing World</x:v>
      </x:c>
    </x:row>
    <x:row r="2191">
      <x:c r="A2191" t="str">
        <x:v>Super Nova</x:v>
      </x:c>
    </x:row>
    <x:row r="2192">
      <x:c r="A2192" t="str">
        <x:v>Super Nova Deluxe</x:v>
      </x:c>
    </x:row>
    <x:row r="2193">
      <x:c r="A2193" t="str">
        <x:v>Super Nova World</x:v>
      </x:c>
    </x:row>
    <x:row r="2194">
      <x:c r="A2194" t="str">
        <x:v>Super Odd World</x:v>
      </x:c>
    </x:row>
    <x:row r="2195">
      <x:c r="A2195" t="str">
        <x:v>Super Odd World 2</x:v>
      </x:c>
    </x:row>
    <x:row r="2196">
      <x:c r="A2196" t="str">
        <x:v>Super Omelette World</x:v>
      </x:c>
    </x:row>
    <x:row r="2197">
      <x:c r="A2197" t="str">
        <x:v>Super One Point Oh</x:v>
      </x:c>
    </x:row>
    <x:row r="2198">
      <x:c r="A2198" t="str">
        <x:v>Super Only Up with Fennet Boddy's Jump Prince</x:v>
      </x:c>
    </x:row>
    <x:row r="2199">
      <x:c r="A2199" t="str">
        <x:v>Super Ordinary World</x:v>
      </x:c>
    </x:row>
    <x:row r="2200">
      <x:c r="A2200" t="str">
        <x:v>Super Oreetv World</x:v>
      </x:c>
    </x:row>
    <x:row r="2201">
      <x:c r="A2201" t="str">
        <x:v>Super Panga World</x:v>
      </x:c>
    </x:row>
    <x:row r="2202">
      <x:c r="A2202" t="str">
        <x:v>Super Paper Luigi</x:v>
      </x:c>
    </x:row>
    <x:row r="2203">
      <x:c r="A2203" t="str">
        <x:v>Super pcclub88 World</x:v>
      </x:c>
    </x:row>
    <x:row r="2204">
      <x:c r="A2204" t="str">
        <x:v>Super pcclub88 World II: The Return of the Fog</x:v>
      </x:c>
    </x:row>
    <x:row r="2205">
      <x:c r="A2205" t="str">
        <x:v>Super Peach World</x:v>
      </x:c>
    </x:row>
    <x:row r="2206">
      <x:c r="A2206" t="str">
        <x:v>Super Peggy World</x:v>
      </x:c>
    </x:row>
    <x:row r="2207">
      <x:c r="A2207" t="str">
        <x:v>Super Penny World</x:v>
      </x:c>
    </x:row>
    <x:row r="2208">
      <x:c r="A2208" t="str">
        <x:v>Super Pika Land Ultra: Chocolate Version</x:v>
      </x:c>
    </x:row>
    <x:row r="2209">
      <x:c r="A2209" t="str">
        <x:v>Super Pika Land Ultra: Vanilla Version</x:v>
      </x:c>
    </x:row>
    <x:row r="2210">
      <x:c r="A2210" t="str">
        <x:v>Super PKlepek World</x:v>
      </x:c>
    </x:row>
    <x:row r="2211">
      <x:c r="A2211" t="str">
        <x:v>super place land!</x:v>
      </x:c>
    </x:row>
    <x:row r="2212">
      <x:c r="A2212" t="str">
        <x:v>Super Plinko World</x:v>
      </x:c>
    </x:row>
    <x:row r="2213">
      <x:c r="A2213" t="str">
        <x:v>Super Plumber Mario World</x:v>
      </x:c>
    </x:row>
    <x:row r="2214">
      <x:c r="A2214" t="str">
        <x:v>Super Practice World</x:v>
      </x:c>
    </x:row>
    <x:row r="2215">
      <x:c r="A2215" t="str">
        <x:v>Super Puzzle Land 2 - Remastered</x:v>
      </x:c>
    </x:row>
    <x:row r="2216">
      <x:c r="A2216" t="str">
        <x:v>Super Race World</x:v>
      </x:c>
    </x:row>
    <x:row r="2217">
      <x:c r="A2217" t="str">
        <x:v>Super RDK</x:v>
      </x:c>
    </x:row>
    <x:row r="2218">
      <x:c r="A2218" t="str">
        <x:v>Super Reasonable World</x:v>
      </x:c>
    </x:row>
    <x:row r="2219">
      <x:c r="A2219" t="str">
        <x:v>Super Refund World</x:v>
      </x:c>
    </x:row>
    <x:row r="2220">
      <x:c r="A2220" t="str">
        <x:v>Super Regiane-se</x:v>
      </x:c>
    </x:row>
    <x:row r="2221">
      <x:c r="A2221" t="str">
        <x:v>Super Reimu World Return To Hack</x:v>
      </x:c>
    </x:row>
    <x:row r="2222">
      <x:c r="A2222" t="str">
        <x:v>Super Responsible World</x:v>
      </x:c>
    </x:row>
    <x:row r="2223">
      <x:c r="A2223" t="str">
        <x:v>Super Riff World</x:v>
      </x:c>
    </x:row>
    <x:row r="2224">
      <x:c r="A2224" t="str">
        <x:v>Super Rtyuio World: Part 1</x:v>
      </x:c>
    </x:row>
    <x:row r="2225">
      <x:c r="A2225" t="str">
        <x:v>Super Run World</x:v>
      </x:c>
    </x:row>
    <x:row r="2226">
      <x:c r="A2226" t="str">
        <x:v>Super Russian World</x:v>
      </x:c>
    </x:row>
    <x:row r="2227">
      <x:c r="A2227" t="str">
        <x:v>Super Russian World Prequel</x:v>
      </x:c>
    </x:row>
    <x:row r="2228">
      <x:c r="A2228" t="str">
        <x:v>Super Ryu World</x:v>
      </x:c>
    </x:row>
    <x:row r="2229">
      <x:c r="A2229" t="str">
        <x:v>Super Ryu World 2</x:v>
      </x:c>
    </x:row>
    <x:row r="2230">
      <x:c r="A2230" t="str">
        <x:v>Super Sabor World Deluxe</x:v>
      </x:c>
    </x:row>
    <x:row r="2231">
      <x:c r="A2231" t="str">
        <x:v>Super Salary World</x:v>
      </x:c>
    </x:row>
    <x:row r="2232">
      <x:c r="A2232" t="str">
        <x:v>Super Samuroy Adventures</x:v>
      </x:c>
    </x:row>
    <x:row r="2233">
      <x:c r="A2233" t="str">
        <x:v>Super Sauce Search</x:v>
      </x:c>
    </x:row>
    <x:row r="2234">
      <x:c r="A2234" t="str">
        <x:v>Super Schrausch World</x:v>
      </x:c>
    </x:row>
    <x:row r="2235">
      <x:c r="A2235" t="str">
        <x:v>Super Schrausch World 2</x:v>
      </x:c>
    </x:row>
    <x:row r="2236">
      <x:c r="A2236" t="str">
        <x:v>Super Sekai World</x:v>
      </x:c>
    </x:row>
    <x:row r="2237">
      <x:c r="A2237" t="str">
        <x:v>Super SGES Races season 1+2</x:v>
      </x:c>
    </x:row>
    <x:row r="2238">
      <x:c r="A2238" t="str">
        <x:v>Super Sheffy World 2: The Quest for 5 Shells</x:v>
      </x:c>
    </x:row>
    <x:row r="2239">
      <x:c r="A2239" t="str">
        <x:v>Super Sheffy World Deluxe</x:v>
      </x:c>
    </x:row>
    <x:row r="2240">
      <x:c r="A2240" t="str">
        <x:v>Super shell world</x:v>
      </x:c>
    </x:row>
    <x:row r="2241">
      <x:c r="A2241" t="str">
        <x:v>Super ShyGuy's Epic Journey</x:v>
      </x:c>
    </x:row>
    <x:row r="2242">
      <x:c r="A2242" t="str">
        <x:v>Super Sickos World</x:v>
      </x:c>
    </x:row>
    <x:row r="2243">
      <x:c r="A2243" t="str">
        <x:v>Super Sigma World</x:v>
      </x:c>
    </x:row>
    <x:row r="2244">
      <x:c r="A2244" t="str">
        <x:v>Super Skyler World</x:v>
      </x:c>
    </x:row>
    <x:row r="2245">
      <x:c r="A2245" t="str">
        <x:v>Super Slider World</x:v>
      </x:c>
    </x:row>
    <x:row r="2246">
      <x:c r="A2246" t="str">
        <x:v>Super Slim World</x:v>
      </x:c>
    </x:row>
    <x:row r="2247">
      <x:c r="A2247" t="str">
        <x:v>Super Smile Face World</x:v>
      </x:c>
    </x:row>
    <x:row r="2248">
      <x:c r="A2248" t="str">
        <x:v>Super Special World</x:v>
      </x:c>
    </x:row>
    <x:row r="2249">
      <x:c r="A2249" t="str">
        <x:v>Super Speed World</x:v>
      </x:c>
    </x:row>
    <x:row r="2250">
      <x:c r="A2250" t="str">
        <x:v>Super Spice World</x:v>
      </x:c>
    </x:row>
    <x:row r="2251">
      <x:c r="A2251" t="str">
        <x:v>Super Sponge World</x:v>
      </x:c>
    </x:row>
    <x:row r="2252">
      <x:c r="A2252" t="str">
        <x:v>Super Stacey World</x:v>
      </x:c>
    </x:row>
    <x:row r="2253">
      <x:c r="A2253" t="str">
        <x:v>Super Struggler World</x:v>
      </x:c>
    </x:row>
    <x:row r="2254">
      <x:c r="A2254" t="str">
        <x:v>super super com</x:v>
      </x:c>
    </x:row>
    <x:row r="2255">
      <x:c r="A2255" t="str">
        <x:v>Super Super Duper World</x:v>
      </x:c>
    </x:row>
    <x:row r="2256">
      <x:c r="A2256" t="str">
        <x:v>Super Sweg World</x:v>
      </x:c>
    </x:row>
    <x:row r="2257">
      <x:c r="A2257" t="str">
        <x:v>Super Swordi World</x:v>
      </x:c>
    </x:row>
    <x:row r="2258">
      <x:c r="A2258" t="str">
        <x:v>Super Swordi World 2</x:v>
      </x:c>
    </x:row>
    <x:row r="2259">
      <x:c r="A2259" t="str">
        <x:v>Super Swunsh World</x:v>
      </x:c>
    </x:row>
    <x:row r="2260">
      <x:c r="A2260" t="str">
        <x:v>Super Swunsh World 2</x:v>
      </x:c>
    </x:row>
    <x:row r="2261">
      <x:c r="A2261" t="str">
        <x:v>Super Tanoshii World</x:v>
      </x:c>
    </x:row>
    <x:row r="2262">
      <x:c r="A2262" t="str">
        <x:v>Super Tapes World</x:v>
      </x:c>
    </x:row>
    <x:row r="2263">
      <x:c r="A2263" t="str">
        <x:v>Super Tesla World</x:v>
      </x:c>
    </x:row>
    <x:row r="2264">
      <x:c r="A2264" t="str">
        <x:v>Super Thesis World</x:v>
      </x:c>
    </x:row>
    <x:row r="2265">
      <x:c r="A2265" t="str">
        <x:v>Super This Hack Is Registered As Leathal Weapon World</x:v>
      </x:c>
    </x:row>
    <x:row r="2266">
      <x:c r="A2266" t="str">
        <x:v>Super Toest World</x:v>
      </x:c>
    </x:row>
    <x:row r="2267">
      <x:c r="A2267" t="str">
        <x:v>Super Toshio World</x:v>
      </x:c>
    </x:row>
    <x:row r="2268">
      <x:c r="A2268" t="str">
        <x:v>Super Tr-lol World</x:v>
      </x:c>
    </x:row>
    <x:row r="2269">
      <x:c r="A2269" t="str">
        <x:v>Super UltiMario World</x:v>
      </x:c>
    </x:row>
    <x:row r="2270">
      <x:c r="A2270" t="str">
        <x:v>Super Unethical Stuff I Built for GlitchCat7 Because He Told Me To World</x:v>
      </x:c>
    </x:row>
    <x:row r="2271">
      <x:c r="A2271" t="str">
        <x:v>Super Unethical Stuff I Built for Thabeast721 Because He Told Me To World</x:v>
      </x:c>
    </x:row>
    <x:row r="2272">
      <x:c r="A2272" t="str">
        <x:v>Super Vanilla World</x:v>
      </x:c>
    </x:row>
    <x:row r="2273">
      <x:c r="A2273" t="str">
        <x:v>Super Video World</x:v>
      </x:c>
    </x:row>
    <x:row r="2274">
      <x:c r="A2274" t="str">
        <x:v>Super Video World 2</x:v>
      </x:c>
    </x:row>
    <x:row r="2275">
      <x:c r="A2275" t="str">
        <x:v>Super Wahnthac World</x:v>
      </x:c>
    </x:row>
    <x:row r="2276">
      <x:c r="A2276" t="str">
        <x:v>Super Wahnthac World 2</x:v>
      </x:c>
    </x:row>
    <x:row r="2277">
      <x:c r="A2277" t="str">
        <x:v>Super Wakana Land</x:v>
      </x:c>
    </x:row>
    <x:row r="2278">
      <x:c r="A2278" t="str">
        <x:v>Super Waluigi World Thwompz Fortress</x:v>
      </x:c>
    </x:row>
    <x:row r="2279">
      <x:c r="A2279" t="str">
        <x:v>Super Waluigi: Rescue Wario</x:v>
      </x:c>
    </x:row>
    <x:row r="2280">
      <x:c r="A2280" t="str">
        <x:v>Super Wario World</x:v>
      </x:c>
    </x:row>
    <x:row r="2281">
      <x:c r="A2281" t="str">
        <x:v>Super Wario World 2: The Four Castles</x:v>
      </x:c>
    </x:row>
    <x:row r="2282">
      <x:c r="A2282" t="str">
        <x:v>Super Wario World Mini Quest Update 2 + Bonus Pack</x:v>
      </x:c>
    </x:row>
    <x:row r="2283">
      <x:c r="A2283" t="str">
        <x:v>Super Weekend World</x:v>
      </x:c>
    </x:row>
    <x:row r="2284">
      <x:c r="A2284" t="str">
        <x:v>Super What World</x:v>
      </x:c>
    </x:row>
    <x:row r="2285">
      <x:c r="A2285" t="str">
        <x:v>Super Whatever Quest!!!</x:v>
      </x:c>
    </x:row>
    <x:row r="2286">
      <x:c r="A2286" t="str">
        <x:v>Super Wisdom Quest</x:v>
      </x:c>
    </x:row>
    <x:row r="2287">
      <x:c r="A2287" t="str">
        <x:v>Super World</x:v>
      </x:c>
    </x:row>
    <x:row r="2288">
      <x:c r="A2288" t="str">
        <x:v>Super Wow</x:v>
      </x:c>
    </x:row>
    <x:row r="2289">
      <x:c r="A2289" t="str">
        <x:v>Super Xtreme World</x:v>
      </x:c>
    </x:row>
    <x:row r="2290">
      <x:c r="A2290" t="str">
        <x:v>Super Yeet World</x:v>
      </x:c>
    </x:row>
    <x:row r="2291">
      <x:c r="A2291" t="str">
        <x:v>Super Yoshi's Land 1 – An Adventure to Rescue Mario!</x:v>
      </x:c>
    </x:row>
    <x:row r="2292">
      <x:c r="A2292" t="str">
        <x:v>super you are the best</x:v>
      </x:c>
    </x:row>
    <x:row r="2293">
      <x:c r="A2293" t="str">
        <x:v>Super Zoulzi World</x:v>
      </x:c>
    </x:row>
    <x:row r="2294">
      <x:c r="A2294" t="str">
        <x:v>Super “Dark” World</x:v>
      </x:c>
    </x:row>
    <x:row r="2295">
      <x:c r="A2295" t="str">
        <x:v>Supercontinent World</x:v>
      </x:c>
    </x:row>
    <x:row r="2296">
      <x:c r="A2296" t="str">
        <x:v>SuperKazuWorld</x:v>
      </x:c>
    </x:row>
    <x:row r="2297">
      <x:c r="A2297" t="str">
        <x:v>supernaydropzsmm2</x:v>
      </x:c>
    </x:row>
    <x:row r="2298">
      <x:c r="A2298" t="str">
        <x:v>Superstar Mario World</x:v>
      </x:c>
    </x:row>
    <x:row r="2299">
      <x:c r="A2299" t="str">
        <x:v>Survivor</x:v>
      </x:c>
    </x:row>
    <x:row r="2300">
      <x:c r="A2300" t="str">
        <x:v>Suupaa Mario-sama Seken</x:v>
      </x:c>
    </x:row>
    <x:row r="2301">
      <x:c r="A2301" t="str">
        <x:v>SV Bounce World</x:v>
      </x:c>
    </x:row>
    <x:row r="2302">
      <x:c r="A2302" t="str">
        <x:v>SV Bounce World 2</x:v>
      </x:c>
    </x:row>
    <x:row r="2303">
      <x:c r="A2303" t="str">
        <x:v>SV Practice World</x:v>
      </x:c>
    </x:row>
    <x:row r="2304">
      <x:c r="A2304" t="str">
        <x:v>SV State World</x:v>
      </x:c>
    </x:row>
    <x:row r="2305">
      <x:c r="A2305" t="str">
        <x:v>Sweet Dream Agnes</x:v>
      </x:c>
    </x:row>
    <x:row r="2306">
      <x:c r="A2306" t="str">
        <x:v>Sweet n' Sour</x:v>
      </x:c>
    </x:row>
    <x:row r="2307">
      <x:c r="A2307" t="str">
        <x:v>Sweet Shell</x:v>
      </x:c>
    </x:row>
    <x:row r="2308">
      <x:c r="A2308" t="str">
        <x:v>Sweet World</x:v>
      </x:c>
    </x:row>
    <x:row r="2309">
      <x:c r="A2309" t="str">
        <x:v>Swiftly 17</x:v>
      </x:c>
    </x:row>
    <x:row r="2310">
      <x:c r="A2310" t="str">
        <x:v>T3rminus: Journey´s End</x:v>
      </x:c>
    </x:row>
    <x:row r="2311">
      <x:c r="A2311" t="str">
        <x:v>Tajna and the Mana Seeds</x:v>
      </x:c>
    </x:row>
    <x:row r="2312">
      <x:c r="A2312" t="str">
        <x:v>Take It Easy World</x:v>
      </x:c>
    </x:row>
    <x:row r="2313">
      <x:c r="A2313" t="str">
        <x:v>Takemoto Inspired</x:v>
      </x:c>
    </x:row>
    <x:row r="2314">
      <x:c r="A2314" t="str">
        <x:v>Takeshi Yumping Simulator</x:v>
      </x:c>
    </x:row>
    <x:row r="2315">
      <x:c r="A2315" t="str">
        <x:v>Tales of Nean</x:v>
      </x:c>
    </x:row>
    <x:row r="2316">
      <x:c r="A2316" t="str">
        <x:v>TaleSpin</x:v>
      </x:c>
    </x:row>
    <x:row r="2317">
      <x:c r="A2317" t="str">
        <x:v>Talikuu Quest</x:v>
      </x:c>
    </x:row>
    <x:row r="2318">
      <x:c r="A2318" t="str">
        <x:v>Tangle's Trip</x:v>
      </x:c>
    </x:row>
    <x:row r="2319">
      <x:c r="A2319" t="str">
        <x:v>Tartastrophe: a very sticky hack</x:v>
      </x:c>
    </x:row>
    <x:row r="2320">
      <x:c r="A2320" t="str">
        <x:v>Tatsujin Mario part 1</x:v>
      </x:c>
    </x:row>
    <x:row r="2321">
      <x:c r="A2321" t="str">
        <x:v>Tatsujin Mario part 2</x:v>
      </x:c>
    </x:row>
    <x:row r="2322">
      <x:c r="A2322" t="str">
        <x:v>TDC Shells Edition</x:v>
      </x:c>
    </x:row>
    <x:row r="2323">
      <x:c r="A2323" t="str">
        <x:v>te's Exo</x:v>
      </x:c>
    </x:row>
    <x:row r="2324">
      <x:c r="A2324" t="str">
        <x:v>Teamwork Mario</x:v>
      </x:c>
    </x:row>
    <x:row r="2325">
      <x:c r="A2325" t="str">
        <x:v>Tears Joy and Happiness v1.1</x:v>
      </x:c>
    </x:row>
    <x:row r="2326">
      <x:c r="A2326" t="str">
        <x:v>Tebeo</x:v>
      </x:c>
    </x:row>
    <x:row r="2327">
      <x:c r="A2327" t="str">
        <x:v>Tebeo 2</x:v>
      </x:c>
    </x:row>
    <x:row r="2328">
      <x:c r="A2328" t="str">
        <x:v>Technicolor Mario World</x:v>
      </x:c>
    </x:row>
    <x:row r="2329">
      <x:c r="A2329" t="str">
        <x:v>Teh Hack</x:v>
      </x:c>
    </x:row>
    <x:row r="2330">
      <x:c r="A2330" t="str">
        <x:v>Teh Hack 2</x:v>
      </x:c>
    </x:row>
    <x:row r="2331">
      <x:c r="A2331" t="str">
        <x:v>Ten</x:v>
      </x:c>
    </x:row>
    <x:row r="2332">
      <x:c r="A2332" t="str">
        <x:v>TEN A-Side</x:v>
      </x:c>
    </x:row>
    <x:row r="2333">
      <x:c r="A2333" t="str">
        <x:v>TEN B-Side</x:v>
      </x:c>
    </x:row>
    <x:row r="2334">
      <x:c r="A2334" t="str">
        <x:v>Terminus</x:v>
      </x:c>
    </x:row>
    <x:row r="2335">
      <x:c r="A2335" t="str">
        <x:v>Terminus 2</x:v>
      </x:c>
    </x:row>
    <x:row r="2336">
      <x:c r="A2336" t="str">
        <x:v>Terra</x:v>
      </x:c>
    </x:row>
    <x:row r="2337">
      <x:c r="A2337" t="str">
        <x:v>Terraria</x:v>
      </x:c>
    </x:row>
    <x:row r="2338">
      <x:c r="A2338" t="str">
        <x:v>TERRIBLE</x:v>
      </x:c>
    </x:row>
    <x:row r="2339">
      <x:c r="A2339" t="str">
        <x:v>test.smc | The old and new Mario World</x:v>
      </x:c>
    </x:row>
    <x:row r="2340">
      <x:c r="A2340" t="str">
        <x:v>Thanks, I hate it</x:v>
      </x:c>
    </x:row>
    <x:row r="2341">
      <x:c r="A2341" t="str">
        <x:v>Thanksgiving Hack</x:v>
      </x:c>
    </x:row>
    <x:row r="2342">
      <x:c r="A2342" t="str">
        <x:v>The 11th Annual Vanilla Level Design Contest: Compilation Hack</x:v>
      </x:c>
    </x:row>
    <x:row r="2343">
      <x:c r="A2343" t="str">
        <x:v>The 12th Annual Vanilla Level Design Contest: Compilation Hack</x:v>
      </x:c>
    </x:row>
    <x:row r="2344">
      <x:c r="A2344" t="str">
        <x:v>The 1st Annual Vanilla Level Design Contest: Compilation Hack</x:v>
      </x:c>
    </x:row>
    <x:row r="2345">
      <x:c r="A2345" t="str">
        <x:v>The 1st Old-School Level Design Contest: Compilation Hack</x:v>
      </x:c>
    </x:row>
    <x:row r="2346">
      <x:c r="A2346" t="str">
        <x:v>The 2nd Old-School Level Design Contest: Compilation Hack</x:v>
      </x:c>
    </x:row>
    <x:row r="2347">
      <x:c r="A2347" t="str">
        <x:v>The 3 Little Princesses</x:v>
      </x:c>
    </x:row>
    <x:row r="2348">
      <x:c r="A2348" t="str">
        <x:v>The 4 Heroes Of The Great Land</x:v>
      </x:c>
    </x:row>
    <x:row r="2349">
      <x:c r="A2349" t="str">
        <x:v>The 4 Keys of Safety</x:v>
      </x:c>
    </x:row>
    <x:row r="2350">
      <x:c r="A2350" t="str">
        <x:v>The 5 Dragon Gems</x:v>
      </x:c>
    </x:row>
    <x:row r="2351">
      <x:c r="A2351" t="str">
        <x:v>The 5 Keys</x:v>
      </x:c>
    </x:row>
    <x:row r="2352">
      <x:c r="A2352" t="str">
        <x:v>The 6th Annual Vanilla Level Design Contest: Compilation Hack</x:v>
      </x:c>
    </x:row>
    <x:row r="2353">
      <x:c r="A2353" t="str">
        <x:v>The 7th Annual Vanilla Level Design Contest: Compilation Hack</x:v>
      </x:c>
    </x:row>
    <x:row r="2354">
      <x:c r="A2354" t="str">
        <x:v>The 8th Annual Vanilla Level Design Contest: Compilation Hack</x:v>
      </x:c>
    </x:row>
    <x:row r="2355">
      <x:c r="A2355" t="str">
        <x:v>The 9th Annual Vanilla Level Design Contest: Compilation Hack</x:v>
      </x:c>
    </x:row>
    <x:row r="2356">
      <x:c r="A2356" t="str">
        <x:v>The Adventures of Bucken Berry and Ala-Gold</x:v>
      </x:c>
    </x:row>
    <x:row r="2357">
      <x:c r="A2357" t="str">
        <x:v>The Adventures Of Super Mario</x:v>
      </x:c>
    </x:row>
    <x:row r="2358">
      <x:c r="A2358" t="str">
        <x:v>The Amazing Autowalk Adventure</x:v>
      </x:c>
    </x:row>
    <x:row r="2359">
      <x:c r="A2359" t="str">
        <x:v>The Art of Shells</x:v>
      </x:c>
    </x:row>
    <x:row r="2360">
      <x:c r="A2360" t="str">
        <x:v>The artifacts of marvelous birds</x:v>
      </x:c>
    </x:row>
    <x:row r="2361">
      <x:c r="A2361" t="str">
        <x:v>The Baby Rescue - Starring Yoshi &amp; Friends!</x:v>
      </x:c>
    </x:row>
    <x:row r="2362">
      <x:c r="A2362" t="str">
        <x:v>The Big Boo's Legion</x:v>
      </x:c>
    </x:row>
    <x:row r="2363">
      <x:c r="A2363" t="str">
        <x:v>The Big Boo's Legion 2: The Curse of the Magic Wand</x:v>
      </x:c>
    </x:row>
    <x:row r="2364">
      <x:c r="A2364" t="str">
        <x:v>The Big Fish Chrisis</x:v>
      </x:c>
    </x:row>
    <x:row r="2365">
      <x:c r="A2365" t="str">
        <x:v>The Big Five</x:v>
      </x:c>
    </x:row>
    <x:row r="2366">
      <x:c r="A2366" t="str">
        <x:v>The Bonus Rooms</x:v>
      </x:c>
    </x:row>
    <x:row r="2367">
      <x:c r="A2367" t="str">
        <x:v>The Cave of Loathing</x:v>
      </x:c>
    </x:row>
    <x:row r="2368">
      <x:c r="A2368" t="str">
        <x:v>The Cave of Loathing 2</x:v>
      </x:c>
    </x:row>
    <x:row r="2369">
      <x:c r="A2369" t="str">
        <x:v>The Chamber of 32 Doors</x:v>
      </x:c>
    </x:row>
    <x:row r="2370">
      <x:c r="A2370" t="str">
        <x:v>The Clockwork Chronicles</x:v>
      </x:c>
    </x:row>
    <x:row r="2371">
      <x:c r="A2371" t="str">
        <x:v>The Coin Hunt</x:v>
      </x:c>
    </x:row>
    <x:row r="2372">
      <x:c r="A2372" t="str">
        <x:v>The Coin Hunt 2</x:v>
      </x:c>
    </x:row>
    <x:row r="2373">
      <x:c r="A2373" t="str">
        <x:v>The Conventional Isle</x:v>
      </x:c>
    </x:row>
    <x:row r="2374">
      <x:c r="A2374" t="str">
        <x:v>The Crimson Castle</x:v>
      </x:c>
    </x:row>
    <x:row r="2375">
      <x:c r="A2375" t="str">
        <x:v>The Darkside REMASTERED</x:v>
      </x:c>
    </x:row>
    <x:row r="2376">
      <x:c r="A2376" t="str">
        <x:v>The Devious Four Chronicles 3: The Crater</x:v>
      </x:c>
    </x:row>
    <x:row r="2377">
      <x:c r="A2377" t="str">
        <x:v>The Devious Four Chronicles 4: Hunter's Revenge ReVised</x:v>
      </x:c>
    </x:row>
    <x:row r="2378">
      <x:c r="A2378" t="str">
        <x:v>The Devious Four Chronicles 6 : The Fourth Sector</x:v>
      </x:c>
    </x:row>
    <x:row r="2379">
      <x:c r="A2379" t="str">
        <x:v>The Devious Four Chronicles 8 : Goddess Robes</x:v>
      </x:c>
    </x:row>
    <x:row r="2380">
      <x:c r="A2380" t="str">
        <x:v>The Dimensional Castle Starring Aeron</x:v>
      </x:c>
    </x:row>
    <x:row r="2381">
      <x:c r="A2381" t="str">
        <x:v>The Duality of Mario</x:v>
      </x:c>
    </x:row>
    <x:row r="2382">
      <x:c r="A2382" t="str">
        <x:v>The Eggs Of Saear</x:v>
      </x:c>
    </x:row>
    <x:row r="2383">
      <x:c r="A2383" t="str">
        <x:v>The Epic Quest Of Birdo The Pink Dinosaur</x:v>
      </x:c>
    </x:row>
    <x:row r="2384">
      <x:c r="A2384" t="str">
        <x:v>The Epic Quest Of Birdo The Pink Dinosaur Dark Behaviours</x:v>
      </x:c>
    </x:row>
    <x:row r="2385">
      <x:c r="A2385" t="str">
        <x:v>The Epic Quest Of Birdo The Vampire Subcon Journey</x:v>
      </x:c>
    </x:row>
    <x:row r="2386">
      <x:c r="A2386" t="str">
        <x:v>The Evil Maze</x:v>
      </x:c>
    </x:row>
    <x:row r="2387">
      <x:c r="A2387" t="str">
        <x:v>The Expansion of the Combat Zone</x:v>
      </x:c>
    </x:row>
    <x:row r="2388">
      <x:c r="A2388" t="str">
        <x:v>The Fallen Star</x:v>
      </x:c>
    </x:row>
    <x:row r="2389">
      <x:c r="A2389" t="str">
        <x:v>The Fellership</x:v>
      </x:c>
    </x:row>
    <x:row r="2390">
      <x:c r="A2390" t="str">
        <x:v>The First Round</x:v>
      </x:c>
    </x:row>
    <x:row r="2391">
      <x:c r="A2391" t="str">
        <x:v>the first smw hack that will ever be so lucky as to gain the luxury of leaving my pc</x:v>
      </x:c>
    </x:row>
    <x:row r="2392">
      <x:c r="A2392" t="str">
        <x:v>The Five "Five Room" Room Castle</x:v>
      </x:c>
    </x:row>
    <x:row r="2393">
      <x:c r="A2393" t="str">
        <x:v>The Forest of Rovaki</x:v>
      </x:c>
    </x:row>
    <x:row r="2394">
      <x:c r="A2394" t="str">
        <x:v>The Forever Mystery, Part One: Rescue!</x:v>
      </x:c>
    </x:row>
    <x:row r="2395">
      <x:c r="A2395" t="str">
        <x:v>The Forever Mystery, Part Zero: Prologue</x:v>
      </x:c>
    </x:row>
    <x:row r="2396">
      <x:c r="A2396" t="str">
        <x:v>The Forgotten Island</x:v>
      </x:c>
    </x:row>
    <x:row r="2397">
      <x:c r="A2397" t="str">
        <x:v>The Fort</x:v>
      </x:c>
    </x:row>
    <x:row r="2398">
      <x:c r="A2398" t="str">
        <x:v>The Found Levels featuring Aeron</x:v>
      </x:c>
    </x:row>
    <x:row r="2399">
      <x:c r="A2399" t="str">
        <x:v>The Four Boos of the Apocalypse</x:v>
      </x:c>
    </x:row>
    <x:row r="2400">
      <x:c r="A2400" t="str">
        <x:v>The Fragmented Realm</x:v>
      </x:c>
    </x:row>
    <x:row r="2401">
      <x:c r="A2401" t="str">
        <x:v>The Friends We Made</x:v>
      </x:c>
    </x:row>
    <x:row r="2402">
      <x:c r="A2402" t="str">
        <x:v>The Fugue</x:v>
      </x:c>
    </x:row>
    <x:row r="2403">
      <x:c r="A2403" t="str">
        <x:v>The Gatekeeper Strikes Again!!!</x:v>
      </x:c>
    </x:row>
    <x:row r="2404">
      <x:c r="A2404" t="str">
        <x:v>The Getaway</x:v>
      </x:c>
    </x:row>
    <x:row r="2405">
      <x:c r="A2405" t="str">
        <x:v>The Grassy Plains</x:v>
      </x:c>
    </x:row>
    <x:row r="2406">
      <x:c r="A2406" t="str">
        <x:v>The Great Giana Sisters</x:v>
      </x:c>
    </x:row>
    <x:row r="2407">
      <x:c r="A2407" t="str">
        <x:v>The Great Giana Sisters 2: Another Generical Hack</x:v>
      </x:c>
    </x:row>
    <x:row r="2408">
      <x:c r="A2408" t="str">
        <x:v>The Great Giana Sisters 3: The Forgotten Dream</x:v>
      </x:c>
    </x:row>
    <x:row r="2409">
      <x:c r="A2409" t="str">
        <x:v>The Great Search</x:v>
      </x:c>
    </x:row>
    <x:row r="2410">
      <x:c r="A2410" t="str">
        <x:v>The Green Plumber's Adventure: A Future Prequel</x:v>
      </x:c>
    </x:row>
    <x:row r="2411">
      <x:c r="A2411" t="str">
        <x:v>The grey chapter</x:v>
      </x:c>
    </x:row>
    <x:row r="2412">
      <x:c r="A2412" t="str">
        <x:v>The Hackening</x:v>
      </x:c>
    </x:row>
    <x:row r="2413">
      <x:c r="A2413" t="str">
        <x:v>The Hackrooms</x:v>
      </x:c>
    </x:row>
    <x:row r="2414">
      <x:c r="A2414" t="str">
        <x:v>The Halloween Island</x:v>
      </x:c>
    </x:row>
    <x:row r="2415">
      <x:c r="A2415" t="str">
        <x:v>The Hand Of Chaos</x:v>
      </x:c>
    </x:row>
    <x:row r="2416">
      <x:c r="A2416" t="str">
        <x:v>The Hangover</x:v>
      </x:c>
    </x:row>
    <x:row r="2417">
      <x:c r="A2417" t="str">
        <x:v>The Hard</x:v>
      </x:c>
    </x:row>
    <x:row r="2418">
      <x:c r="A2418" t="str">
        <x:v>The Haunt</x:v>
      </x:c>
    </x:row>
    <x:row r="2419">
      <x:c r="A2419" t="str">
        <x:v>The Haunted Desert: OLD EDITION</x:v>
      </x:c>
    </x:row>
    <x:row r="2420">
      <x:c r="A2420" t="str">
        <x:v>The Haunted Desert: REMASTERED</x:v>
      </x:c>
    </x:row>
    <x:row r="2421">
      <x:c r="A2421" t="str">
        <x:v>The Hodgepodge: A Collection of Would Be Scrapped Levels</x:v>
      </x:c>
    </x:row>
    <x:row r="2422">
      <x:c r="A2422" t="str">
        <x:v>The Hooray! - Fishing Season</x:v>
      </x:c>
    </x:row>
    <x:row r="2423">
      <x:c r="A2423" t="str">
        <x:v>The House of Many Trolls</x:v>
      </x:c>
    </x:row>
    <x:row r="2424">
      <x:c r="A2424" t="str">
        <x:v>The Hungrymumbles Project</x:v>
      </x:c>
    </x:row>
    <x:row r="2425">
      <x:c r="A2425" t="str">
        <x:v>The Hunt for the Chocolate Egg</x:v>
      </x:c>
    </x:row>
    <x:row r="2426">
      <x:c r="A2426" t="str">
        <x:v>The Joy of Kaizo</x:v>
      </x:c>
    </x:row>
    <x:row r="2427">
      <x:c r="A2427" t="str">
        <x:v>The Junkbox</x:v>
      </x:c>
    </x:row>
    <x:row r="2428">
      <x:c r="A2428" t="str">
        <x:v>The Last Journey</x:v>
      </x:c>
    </x:row>
    <x:row r="2429">
      <x:c r="A2429" t="str">
        <x:v>The Last Straw</x:v>
      </x:c>
    </x:row>
    <x:row r="2430">
      <x:c r="A2430" t="str">
        <x:v>The Left Hand of Rosalina</x:v>
      </x:c>
    </x:row>
    <x:row r="2431">
      <x:c r="A2431" t="str">
        <x:v>The Legend of Randorland 1 - The Rise of Randor - Resurrected</x:v>
      </x:c>
    </x:row>
    <x:row r="2432">
      <x:c r="A2432" t="str">
        <x:v>The Legend of Randorland 3 - Randor's Eternal Empire</x:v>
      </x:c>
    </x:row>
    <x:row r="2433">
      <x:c r="A2433" t="str">
        <x:v>The Legend Of Red Plumber</x:v>
      </x:c>
    </x:row>
    <x:row r="2434">
      <x:c r="A2434" t="str">
        <x:v>The Legend of Zelda - The Mini Quest</x:v>
      </x:c>
    </x:row>
    <x:row r="2435">
      <x:c r="A2435" t="str">
        <x:v>The Legendary Bros.</x:v>
      </x:c>
    </x:row>
    <x:row r="2436">
      <x:c r="A2436" t="str">
        <x:v>The Level</x:v>
      </x:c>
    </x:row>
    <x:row r="2437">
      <x:c r="A2437" t="str">
        <x:v>The long way home</x:v>
      </x:c>
    </x:row>
    <x:row r="2438">
      <x:c r="A2438" t="str">
        <x:v>The long way home 2</x:v>
      </x:c>
    </x:row>
    <x:row r="2439">
      <x:c r="A2439" t="str">
        <x:v>The Lost Chapters - Chapter 1: Reminiscence</x:v>
      </x:c>
    </x:row>
    <x:row r="2440">
      <x:c r="A2440" t="str">
        <x:v>The Lost Land</x:v>
      </x:c>
    </x:row>
    <x:row r="2441">
      <x:c r="A2441" t="str">
        <x:v>The Lost Land 2: The 4 Switches</x:v>
      </x:c>
    </x:row>
    <x:row r="2442">
      <x:c r="A2442" t="str">
        <x:v>The Lost Land 3</x:v>
      </x:c>
    </x:row>
    <x:row r="2443">
      <x:c r="A2443" t="str">
        <x:v>The Lost Levels Enhanced</x:v>
      </x:c>
    </x:row>
    <x:row r="2444">
      <x:c r="A2444" t="str">
        <x:v>The Lost Woods</x:v>
      </x:c>
    </x:row>
    <x:row r="2445">
      <x:c r="A2445" t="str">
        <x:v>The Lost World Journey</x:v>
      </x:c>
    </x:row>
    <x:row r="2446">
      <x:c r="A2446" t="str">
        <x:v>The Magic Cooking Pot</x:v>
      </x:c>
    </x:row>
    <x:row r="2447">
      <x:c r="A2447" t="str">
        <x:v>The Mario World</x:v>
      </x:c>
    </x:row>
    <x:row r="2448">
      <x:c r="A2448" t="str">
        <x:v>The Mario's Greatest Adventure</x:v>
      </x:c>
    </x:row>
    <x:row r="2449">
      <x:c r="A2449" t="str">
        <x:v>The Mirror Border</x:v>
      </x:c>
    </x:row>
    <x:row r="2450">
      <x:c r="A2450" t="str">
        <x:v>The Misfortunes of Little Denise</x:v>
      </x:c>
    </x:row>
    <x:row r="2451">
      <x:c r="A2451" t="str">
        <x:v>The Missing Eggs</x:v>
      </x:c>
    </x:row>
    <x:row r="2452">
      <x:c r="A2452" t="str">
        <x:v>The Missing Plot</x:v>
      </x:c>
    </x:row>
    <x:row r="2453">
      <x:c r="A2453" t="str">
        <x:v>The Most Pointless Hack Ever</x:v>
      </x:c>
    </x:row>
    <x:row r="2454">
      <x:c r="A2454" t="str">
        <x:v>The Mountain Adventure</x:v>
      </x:c>
    </x:row>
    <x:row r="2455">
      <x:c r="A2455" t="str">
        <x:v>The Muncher Run</x:v>
      </x:c>
    </x:row>
    <x:row r="2456">
      <x:c r="A2456" t="str">
        <x:v>The Muncher Run 2</x:v>
      </x:c>
    </x:row>
    <x:row r="2457">
      <x:c r="A2457" t="str">
        <x:v>The Mushroom Factor</x:v>
      </x:c>
    </x:row>
    <x:row r="2458">
      <x:c r="A2458" t="str">
        <x:v>The Mushroom Manifold</x:v>
      </x:c>
    </x:row>
    <x:row r="2459">
      <x:c r="A2459" t="str">
        <x:v>The New Comfort Zone</x:v>
      </x:c>
    </x:row>
    <x:row r="2460">
      <x:c r="A2460" t="str">
        <x:v>The New Mario World</x:v>
      </x:c>
    </x:row>
    <x:row r="2461">
      <x:c r="A2461" t="str">
        <x:v>The Ninji Saga</x:v>
      </x:c>
    </x:row>
    <x:row r="2462">
      <x:c r="A2462" t="str">
        <x:v>The Old Mansion</x:v>
      </x:c>
    </x:row>
    <x:row r="2463">
      <x:c r="A2463" t="str">
        <x:v>The Path from Prisminia</x:v>
      </x:c>
    </x:row>
    <x:row r="2464">
      <x:c r="A2464" t="str">
        <x:v>The Pit Level 2</x:v>
      </x:c>
    </x:row>
    <x:row r="2465">
      <x:c r="A2465" t="str">
        <x:v>The Pit Level 2 REMASTERED</x:v>
      </x:c>
    </x:row>
    <x:row r="2466">
      <x:c r="A2466" t="str">
        <x:v>The Plumber Saga</x:v>
      </x:c>
    </x:row>
    <x:row r="2467">
      <x:c r="A2467" t="str">
        <x:v>The Possibility Of An Island</x:v>
      </x:c>
    </x:row>
    <x:row r="2468">
      <x:c r="A2468" t="str">
        <x:v>The Power Beneath</x:v>
      </x:c>
    </x:row>
    <x:row r="2469">
      <x:c r="A2469" t="str">
        <x:v>The Precise Is Right</x:v>
      </x:c>
    </x:row>
    <x:row r="2470">
      <x:c r="A2470" t="str">
        <x:v>The Princess Was Kidnapped Again DEMO</x:v>
      </x:c>
    </x:row>
    <x:row r="2471">
      <x:c r="A2471" t="str">
        <x:v>The Prodigy's Last Stand</x:v>
      </x:c>
    </x:row>
    <x:row r="2472">
      <x:c r="A2472" t="str">
        <x:v>The Quest for the Candies</x:v>
      </x:c>
    </x:row>
    <x:row r="2473">
      <x:c r="A2473" t="str">
        <x:v>The Quiet Island Quest Starring Mario</x:v>
      </x:c>
    </x:row>
    <x:row r="2474">
      <x:c r="A2474" t="str">
        <x:v>The Reapers Shells</x:v>
      </x:c>
    </x:row>
    <x:row r="2475">
      <x:c r="A2475" t="str">
        <x:v>The Reapers Shells 2</x:v>
      </x:c>
    </x:row>
    <x:row r="2476">
      <x:c r="A2476" t="str">
        <x:v>The Rebuilding of the Star Palace</x:v>
      </x:c>
    </x:row>
    <x:row r="2477">
      <x:c r="A2477" t="str">
        <x:v>The Reconciliation of Ascension</x:v>
      </x:c>
    </x:row>
    <x:row r="2478">
      <x:c r="A2478" t="str">
        <x:v>The Repetitive Adventure of a Distended Plumber</x:v>
      </x:c>
    </x:row>
    <x:row r="2479">
      <x:c r="A2479" t="str">
        <x:v>The Return to Super Mario World</x:v>
      </x:c>
    </x:row>
    <x:row r="2480">
      <x:c r="A2480" t="str">
        <x:v>The Rituals Of Resurrection</x:v>
      </x:c>
    </x:row>
    <x:row r="2481">
      <x:c r="A2481" t="str">
        <x:v>The Rock 'n' Roll Mario Show: Set 1</x:v>
      </x:c>
    </x:row>
    <x:row r="2482">
      <x:c r="A2482" t="str">
        <x:v>The Rock 'n' Roll Mario Show: Set Two</x:v>
      </x:c>
    </x:row>
    <x:row r="2483">
      <x:c r="A2483" t="str">
        <x:v>The Ruin</x:v>
      </x:c>
    </x:row>
    <x:row r="2484">
      <x:c r="A2484" t="str">
        <x:v>The Saga - Kame</x:v>
      </x:c>
    </x:row>
    <x:row r="2485">
      <x:c r="A2485" t="str">
        <x:v>The Sapphire</x:v>
      </x:c>
    </x:row>
    <x:row r="2486">
      <x:c r="A2486" t="str">
        <x:v>The Search for Salmon</x:v>
      </x:c>
    </x:row>
    <x:row r="2487">
      <x:c r="A2487" t="str">
        <x:v>The Second Reality Project</x:v>
      </x:c>
    </x:row>
    <x:row r="2488">
      <x:c r="A2488" t="str">
        <x:v>The Second Reality Project 2 Reloaded: Zycloboo's Challenge</x:v>
      </x:c>
    </x:row>
    <x:row r="2489">
      <x:c r="A2489" t="str">
        <x:v>The Second Reality Project 2: Zycloboo's Challenge</x:v>
      </x:c>
    </x:row>
    <x:row r="2490">
      <x:c r="A2490" t="str">
        <x:v>The Second Reality Project Reloaded</x:v>
      </x:c>
    </x:row>
    <x:row r="2491">
      <x:c r="A2491" t="str">
        <x:v>The Secret Islands</x:v>
      </x:c>
    </x:row>
    <x:row r="2492">
      <x:c r="A2492" t="str">
        <x:v>The Secret of the Switches</x:v>
      </x:c>
    </x:row>
    <x:row r="2493">
      <x:c r="A2493" t="str">
        <x:v>The Senate</x:v>
      </x:c>
    </x:row>
    <x:row r="2494">
      <x:c r="A2494" t="str">
        <x:v>The Seven Hurdles</x:v>
      </x:c>
    </x:row>
    <x:row r="2495">
      <x:c r="A2495" t="str">
        <x:v>The Seven Hurdles 2</x:v>
      </x:c>
    </x:row>
    <x:row r="2496">
      <x:c r="A2496" t="str">
        <x:v>The Seven Star Pieces</x:v>
      </x:c>
    </x:row>
    <x:row r="2497">
      <x:c r="A2497" t="str">
        <x:v>The Sixty-four Trials</x:v>
      </x:c>
    </x:row>
    <x:row r="2498">
      <x:c r="A2498" t="str">
        <x:v>The Stinky Black Banana Peel</x:v>
      </x:c>
    </x:row>
    <x:row r="2499">
      <x:c r="A2499" t="str">
        <x:v>The Stolen Yoshi Coins</x:v>
      </x:c>
    </x:row>
    <x:row r="2500">
      <x:c r="A2500" t="str">
        <x:v>The Sweet Sweet Love</x:v>
      </x:c>
    </x:row>
    <x:row r="2501">
      <x:c r="A2501" t="str">
        <x:v>The Sweet Sweet Love Forever</x:v>
      </x:c>
    </x:row>
    <x:row r="2502">
      <x:c r="A2502" t="str">
        <x:v>The Sweet Sweet Love Returns</x:v>
      </x:c>
    </x:row>
    <x:row r="2503">
      <x:c r="A2503" t="str">
        <x:v>The Swift Skooter Parallelogram</x:v>
      </x:c>
    </x:row>
    <x:row r="2504">
      <x:c r="A2504" t="str">
        <x:v>The Tale of Elementia</x:v>
      </x:c>
    </x:row>
    <x:row r="2505">
      <x:c r="A2505" t="str">
        <x:v>The Team Shell Hack</x:v>
      </x:c>
    </x:row>
    <x:row r="2506">
      <x:c r="A2506" t="str">
        <x:v>The Temple of Dinosaurs</x:v>
      </x:c>
    </x:row>
    <x:row r="2507">
      <x:c r="A2507" t="str">
        <x:v>The Thousand Year Castle: A Sholmes Adventure</x:v>
      </x:c>
    </x:row>
    <x:row r="2508">
      <x:c r="A2508" t="str">
        <x:v>The Title is Irrelevant</x:v>
      </x:c>
    </x:row>
    <x:row r="2509">
      <x:c r="A2509" t="str">
        <x:v>The Tower Tyrant</x:v>
      </x:c>
    </x:row>
    <x:row r="2510">
      <x:c r="A2510" t="str">
        <x:v>The Treasure Hunt</x:v>
      </x:c>
    </x:row>
    <x:row r="2511">
      <x:c r="A2511" t="str">
        <x:v>The unbearable lightness of being</x:v>
      </x:c>
    </x:row>
    <x:row r="2512">
      <x:c r="A2512" t="str">
        <x:v>The Underground</x:v>
      </x:c>
    </x:row>
    <x:row r="2513">
      <x:c r="A2513" t="str">
        <x:v>The United States of Mario</x:v>
      </x:c>
    </x:row>
    <x:row r="2514">
      <x:c r="A2514" t="str">
        <x:v>The Unknown</x:v>
      </x:c>
    </x:row>
    <x:row r="2515">
      <x:c r="A2515" t="str">
        <x:v>The Unworld</x:v>
      </x:c>
    </x:row>
    <x:row r="2516">
      <x:c r="A2516" t="str">
        <x:v>The Unworld: Recharged</x:v>
      </x:c>
    </x:row>
    <x:row r="2517">
      <x:c r="A2517" t="str">
        <x:v>The Vanilla</x:v>
      </x:c>
    </x:row>
    <x:row r="2518">
      <x:c r="A2518" t="str">
        <x:v>The Wahn Stew Race</x:v>
      </x:c>
    </x:row>
    <x:row r="2519">
      <x:c r="A2519" t="str">
        <x:v>The Way</x:v>
      </x:c>
    </x:row>
    <x:row r="2520">
      <x:c r="A2520" t="str">
        <x:v>The Way of The M</x:v>
      </x:c>
    </x:row>
    <x:row r="2521">
      <x:c r="A2521" t="str">
        <x:v>The Winter Island</x:v>
      </x:c>
    </x:row>
    <x:row r="2522">
      <x:c r="A2522" t="str">
        <x:v>The Worlds Longest Shelljump</x:v>
      </x:c>
    </x:row>
    <x:row r="2523">
      <x:c r="A2523" t="str">
        <x:v>The Yoshi Egg: A Mission in Miniature</x:v>
      </x:c>
    </x:row>
    <x:row r="2524">
      <x:c r="A2524" t="str">
        <x:v>The Yoshi Trilogy: Part 1 - Dawn of the Darkness</x:v>
      </x:c>
    </x:row>
    <x:row r="2525">
      <x:c r="A2525" t="str">
        <x:v>TheIslands</x:v>
      </x:c>
    </x:row>
    <x:row r="2526">
      <x:c r="A2526" t="str">
        <x:v>theplumber'sodyssey</x:v>
      </x:c>
    </x:row>
    <x:row r="2527">
      <x:c r="A2527" t="str">
        <x:v>therapy!</x:v>
      </x:c>
    </x:row>
    <x:row r="2528">
      <x:c r="A2528" t="str">
        <x:v>Things.smc</x:v>
      </x:c>
    </x:row>
    <x:row r="2529">
      <x:c r="A2529" t="str">
        <x:v>Think Fast</x:v>
      </x:c>
    </x:row>
    <x:row r="2530">
      <x:c r="A2530" t="str">
        <x:v>Third Whistle</x:v>
      </x:c>
    </x:row>
    <x:row r="2531">
      <x:c r="A2531" t="str">
        <x:v>This Hack Contains EVERY Switch Palace Switch</x:v>
      </x:c>
    </x:row>
    <x:row r="2532">
      <x:c r="A2532" t="str">
        <x:v>This Hack Needs a Name</x:v>
      </x:c>
    </x:row>
    <x:row r="2533">
      <x:c r="A2533" t="str">
        <x:v>This Hack Was Made in 2 Hours</x:v>
      </x:c>
    </x:row>
    <x:row r="2534">
      <x:c r="A2534" t="str">
        <x:v>This is a Good Hack to Play if You Just Started Playing Kaizo... World</x:v>
      </x:c>
    </x:row>
    <x:row r="2535">
      <x:c r="A2535" t="str">
        <x:v>This Is Why We Kaizo</x:v>
      </x:c>
    </x:row>
    <x:row r="2536">
      <x:c r="A2536" t="str">
        <x:v>Those Darn Plumbers</x:v>
      </x:c>
    </x:row>
    <x:row r="2537">
      <x:c r="A2537" t="str">
        <x:v>Thread the Needle</x:v>
      </x:c>
    </x:row>
    <x:row r="2538">
      <x:c r="A2538" t="str">
        <x:v>THROWING HANDS</x:v>
      </x:c>
    </x:row>
    <x:row r="2539">
      <x:c r="A2539" t="str">
        <x:v>Thunderstruck Mario</x:v>
      </x:c>
    </x:row>
    <x:row r="2540">
      <x:c r="A2540" t="str">
        <x:v>TILIA</x:v>
      </x:c>
    </x:row>
    <x:row r="2541">
      <x:c r="A2541" t="str">
        <x:v>Time Out!</x:v>
      </x:c>
    </x:row>
    <x:row r="2542">
      <x:c r="A2542" t="str">
        <x:v>TIME UP!</x:v>
      </x:c>
    </x:row>
    <x:row r="2543">
      <x:c r="A2543" t="str">
        <x:v>Timeline Death Challenge</x:v>
      </x:c>
    </x:row>
    <x:row r="2544">
      <x:c r="A2544" t="str">
        <x:v>Timeline World</x:v>
      </x:c>
    </x:row>
    <x:row r="2545">
      <x:c r="A2545" t="str">
        <x:v>Tiny Variety World</x:v>
      </x:c>
    </x:row>
    <x:row r="2546">
      <x:c r="A2546" t="str">
        <x:v>Tired Mario World</x:v>
      </x:c>
    </x:row>
    <x:row r="2547">
      <x:c r="A2547" t="str">
        <x:v>Titan Mario</x:v>
      </x:c>
    </x:row>
    <x:row r="2548">
      <x:c r="A2548" t="str">
        <x:v>Titan Mario 2</x:v>
      </x:c>
    </x:row>
    <x:row r="2549">
      <x:c r="A2549" t="str">
        <x:v>Tithered Mario</x:v>
      </x:c>
    </x:row>
    <x:row r="2550">
      <x:c r="A2550" t="str">
        <x:v>Title</x:v>
      </x:c>
    </x:row>
    <x:row r="2551">
      <x:c r="A2551" t="str">
        <x:v>TmD</x:v>
      </x:c>
    </x:row>
    <x:row r="2552">
      <x:c r="A2552" t="str">
        <x:v>TMFC3EYHEP&amp;K - Q2BDB</x:v>
      </x:c>
    </x:row>
    <x:row r="2553">
      <x:c r="A2553" t="str">
        <x:v>To Shell And Back!</x:v>
      </x:c>
    </x:row>
    <x:row r="2554">
      <x:c r="A2554" t="str">
        <x:v>Toad Kaizo World</x:v>
      </x:c>
    </x:row>
    <x:row r="2555">
      <x:c r="A2555" t="str">
        <x:v>Toad Kaizo World 2</x:v>
      </x:c>
    </x:row>
    <x:row r="2556">
      <x:c r="A2556" t="str">
        <x:v>Toad's cherry tracker</x:v>
      </x:c>
    </x:row>
    <x:row r="2557">
      <x:c r="A2557" t="str">
        <x:v>Toad's World</x:v>
      </x:c>
    </x:row>
    <x:row r="2558">
      <x:c r="A2558" t="str">
        <x:v>Toad's World 2</x:v>
      </x:c>
    </x:row>
    <x:row r="2559">
      <x:c r="A2559" t="str">
        <x:v>Toadette's Adventure</x:v>
      </x:c>
    </x:row>
    <x:row r="2560">
      <x:c r="A2560" t="str">
        <x:v>Toadette's Kaizo Tuesday</x:v>
      </x:c>
    </x:row>
    <x:row r="2561">
      <x:c r="A2561" t="str">
        <x:v>Toadventure</x:v>
      </x:c>
    </x:row>
    <x:row r="2562">
      <x:c r="A2562" t="str">
        <x:v>Tomorrow, Together</x:v>
      </x:c>
    </x:row>
    <x:row r="2563">
      <x:c r="A2563" t="str">
        <x:v>Toothpaste World</x:v>
      </x:c>
    </x:row>
    <x:row r="2564">
      <x:c r="A2564" t="str">
        <x:v>Torkiyello</x:v>
      </x:c>
    </x:row>
    <x:row r="2565">
      <x:c r="A2565" t="str">
        <x:v>torkiyello extra pack</x:v>
      </x:c>
    </x:row>
    <x:row r="2566">
      <x:c r="A2566" t="str">
        <x:v>torkiyello iki</x:v>
      </x:c>
    </x:row>
    <x:row r="2567">
      <x:c r="A2567" t="str">
        <x:v>Tortured Souls</x:v>
      </x:c>
    </x:row>
    <x:row r="2568">
      <x:c r="A2568" t="str">
        <x:v>Tortured Souls 3 DEMO</x:v>
      </x:c>
    </x:row>
    <x:row r="2569">
      <x:c r="A2569" t="str">
        <x:v>Tortured Souls II: Rapture</x:v>
      </x:c>
    </x:row>
    <x:row r="2570">
      <x:c r="A2570" t="str">
        <x:v>Total Jotary World</x:v>
      </x:c>
    </x:row>
    <x:row r="2571">
      <x:c r="A2571" t="str">
        <x:v>Total Mario World</x:v>
      </x:c>
    </x:row>
    <x:row r="2572">
      <x:c r="A2572" t="str">
        <x:v>Totally Vanilla</x:v>
      </x:c>
    </x:row>
    <x:row r="2573">
      <x:c r="A2573" t="str">
        <x:v>Totemo Tanoshii World</x:v>
      </x:c>
    </x:row>
    <x:row r="2574">
      <x:c r="A2574" t="str">
        <x:v>Touhou Mario: Imperishable Night</x:v>
      </x:c>
    </x:row>
    <x:row r="2575">
      <x:c r="A2575" t="str">
        <x:v>Tower of Facades</x:v>
      </x:c>
    </x:row>
    <x:row r="2576">
      <x:c r="A2576" t="str">
        <x:v>Tower Of Glory</x:v>
      </x:c>
    </x:row>
    <x:row r="2577">
      <x:c r="A2577" t="str">
        <x:v>Tower Of Glory 2</x:v>
      </x:c>
    </x:row>
    <x:row r="2578">
      <x:c r="A2578" t="str">
        <x:v>Tower Of Keys</x:v>
      </x:c>
    </x:row>
    <x:row r="2579">
      <x:c r="A2579" t="str">
        <x:v>Tower Of Nopecr</x:v>
      </x:c>
    </x:row>
    <x:row r="2580">
      <x:c r="A2580" t="str">
        <x:v>Tower of Shells 2: True Insanity</x:v>
      </x:c>
    </x:row>
    <x:row r="2581">
      <x:c r="A2581" t="str">
        <x:v>Tower of Shells DELUXE</x:v>
      </x:c>
    </x:row>
    <x:row r="2582">
      <x:c r="A2582" t="str">
        <x:v>Trans Liberation Forever</x:v>
      </x:c>
    </x:row>
    <x:row r="2583">
      <x:c r="A2583" t="str">
        <x:v>Transatlantic Flights</x:v>
      </x:c>
    </x:row>
    <x:row r="2584">
      <x:c r="A2584" t="str">
        <x:v>Transmission Chain Experiment</x:v>
      </x:c>
    </x:row>
    <x:row r="2585">
      <x:c r="A2585" t="str">
        <x:v>Transylvania Fable- Legacy of Archaic Arcanum</x:v>
      </x:c>
    </x:row>
    <x:row r="2586">
      <x:c r="A2586" t="str">
        <x:v>trashdumb</x:v>
      </x:c>
    </x:row>
    <x:row r="2587">
      <x:c r="A2587" t="str">
        <x:v>TRAWASBNONASYACTNISGAS</x:v>
      </x:c>
    </x:row>
    <x:row r="2588">
      <x:c r="A2588" t="str">
        <x:v>Tribute</x:v>
      </x:c>
    </x:row>
    <x:row r="2589">
      <x:c r="A2589" t="str">
        <x:v>Tricky Mario</x:v>
      </x:c>
    </x:row>
    <x:row r="2590">
      <x:c r="A2590" t="str">
        <x:v>Tricky Mario 2</x:v>
      </x:c>
    </x:row>
    <x:row r="2591">
      <x:c r="A2591" t="str">
        <x:v>Trinity Shells</x:v>
      </x:c>
    </x:row>
    <x:row r="2592">
      <x:c r="A2592" t="str">
        <x:v>Trouble at Snow Land</x:v>
      </x:c>
    </x:row>
    <x:row r="2593">
      <x:c r="A2593" t="str">
        <x:v>Trouble in Truffle Islands</x:v>
      </x:c>
    </x:row>
    <x:row r="2594">
      <x:c r="A2594" t="str">
        <x:v>Truc Bidule</x:v>
      </x:c>
    </x:row>
    <x:row r="2595">
      <x:c r="A2595" t="str">
        <x:v>TSG's Obligatory Ice Level</x:v>
      </x:c>
    </x:row>
    <x:row r="2596">
      <x:c r="A2596" t="str">
        <x:v>Tsunami Island</x:v>
      </x:c>
    </x:row>
    <x:row r="2597">
      <x:c r="A2597" t="str">
        <x:v>Twisted Plains</x:v>
      </x:c>
    </x:row>
    <x:row r="2598">
      <x:c r="A2598" t="str">
        <x:v>U N O R I G I N A L (C3 2020 Demo)</x:v>
      </x:c>
    </x:row>
    <x:row r="2599">
      <x:c r="A2599" t="str">
        <x:v>Ukraine, Detroit</x:v>
      </x:c>
    </x:row>
    <x:row r="2600">
      <x:c r="A2600" t="str">
        <x:v>Ultima Kiwi Winter Demo</x:v>
      </x:c>
    </x:row>
    <x:row r="2601">
      <x:c r="A2601" t="str">
        <x:v>Ultimate Carl Heaven</x:v>
      </x:c>
    </x:row>
    <x:row r="2602">
      <x:c r="A2602" t="str">
        <x:v>Ultimate Kaizo Tutorial Hack</x:v>
      </x:c>
    </x:row>
    <x:row r="2603">
      <x:c r="A2603" t="str">
        <x:v>Ultimate Mario World</x:v>
      </x:c>
    </x:row>
    <x:row r="2604">
      <x:c r="A2604" t="str">
        <x:v>Ultra Kaizo World</x:v>
      </x:c>
    </x:row>
    <x:row r="2605">
      <x:c r="A2605" t="str">
        <x:v>Ultra Kaizo World 2</x:v>
      </x:c>
    </x:row>
    <x:row r="2606">
      <x:c r="A2606" t="str">
        <x:v>Ultra Luigi World: Luigi in... Destiny</x:v>
      </x:c>
    </x:row>
    <x:row r="2607">
      <x:c r="A2607" t="str">
        <x:v>Ultraviolet</x:v>
      </x:c>
    </x:row>
    <x:row r="2608">
      <x:c r="A2608" t="str">
        <x:v>Uma Aventura Xalabaias</x:v>
      </x:c>
    </x:row>
    <x:row r="2609">
      <x:c r="A2609" t="str">
        <x:v>Uncharted World</x:v>
      </x:c>
    </x:row>
    <x:row r="2610">
      <x:c r="A2610" t="str">
        <x:v>Under Control</x:v>
      </x:c>
    </x:row>
    <x:row r="2611">
      <x:c r="A2611" t="str">
        <x:v>Under the Rose</x:v>
      </x:c>
    </x:row>
    <x:row r="2612">
      <x:c r="A2612" t="str">
        <x:v>Underworld</x:v>
      </x:c>
    </x:row>
    <x:row r="2613">
      <x:c r="A2613" t="str">
        <x:v>Unforgiving Tower</x:v>
      </x:c>
    </x:row>
    <x:row r="2614">
      <x:c r="A2614" t="str">
        <x:v>Unforgiving Tower 2</x:v>
      </x:c>
    </x:row>
    <x:row r="2615">
      <x:c r="A2615" t="str">
        <x:v>Unforgiving Tower 3</x:v>
      </x:c>
    </x:row>
    <x:row r="2616">
      <x:c r="A2616" t="str">
        <x:v>Unforgiving Tower 4</x:v>
      </x:c>
    </x:row>
    <x:row r="2617">
      <x:c r="A2617" t="str">
        <x:v>Unfriendly Afterlives Demo</x:v>
      </x:c>
    </x:row>
    <x:row r="2618">
      <x:c r="A2618" t="str">
        <x:v>Unintended Behavior</x:v>
      </x:c>
    </x:row>
    <x:row r="2619">
      <x:c r="A2619" t="str">
        <x:v>Unintended Behavior 2</x:v>
      </x:c>
    </x:row>
    <x:row r="2620">
      <x:c r="A2620" t="str">
        <x:v>Unintended Behavior 3</x:v>
      </x:c>
    </x:row>
    <x:row r="2621">
      <x:c r="A2621" t="str">
        <x:v>Unknown Islandz</x:v>
      </x:c>
    </x:row>
    <x:row r="2622">
      <x:c r="A2622" t="str">
        <x:v>Unlit Candles</x:v>
      </x:c>
    </x:row>
    <x:row r="2623">
      <x:c r="A2623" t="str">
        <x:v>Unnamed 2D Mario Game</x:v>
      </x:c>
    </x:row>
    <x:row r="2624">
      <x:c r="A2624" t="str">
        <x:v>Unnamed Pit</x:v>
      </x:c>
    </x:row>
    <x:row r="2625">
      <x:c r="A2625" t="str">
        <x:v>Unnamed Precision</x:v>
      </x:c>
    </x:row>
    <x:row r="2626">
      <x:c r="A2626" t="str">
        <x:v>Unnormal</x:v>
      </x:c>
    </x:row>
    <x:row r="2627">
      <x:c r="A2627" t="str">
        <x:v>Untamed</x:v>
      </x:c>
    </x:row>
    <x:row r="2628">
      <x:c r="A2628" t="str">
        <x:v>UNTITLED DOOM</x:v>
      </x:c>
    </x:row>
    <x:row r="2629">
      <x:c r="A2629" t="str">
        <x:v>Untitled Hack</x:v>
      </x:c>
    </x:row>
    <x:row r="2630">
      <x:c r="A2630" t="str">
        <x:v>Untitled ROM Hack</x:v>
      </x:c>
    </x:row>
    <x:row r="2631">
      <x:c r="A2631" t="str">
        <x:v>UP ᵀʰᵉ ᴿᵒᵐʰᵃᶜᵏ</x:v>
      </x:c>
    </x:row>
    <x:row r="2632">
      <x:c r="A2632" t="str">
        <x:v>Vah Knee Yah</x:v>
      </x:c>
    </x:row>
    <x:row r="2633">
      <x:c r="A2633" t="str">
        <x:v>Valuable and Beautiful</x:v>
      </x:c>
    </x:row>
    <x:row r="2634">
      <x:c r="A2634" t="str">
        <x:v>Vampire Hunter Savior Of The Kingdom</x:v>
      </x:c>
    </x:row>
    <x:row r="2635">
      <x:c r="A2635" t="str">
        <x:v>Vanilla Failure: Blind Devil's Final Stand</x:v>
      </x:c>
    </x:row>
    <x:row r="2636">
      <x:c r="A2636" t="str">
        <x:v>Vanilla Flavour</x:v>
      </x:c>
    </x:row>
    <x:row r="2637">
      <x:c r="A2637" t="str">
        <x:v>Vanilla Hour - a collection of one-hour levels</x:v>
      </x:c>
    </x:row>
    <x:row r="2638">
      <x:c r="A2638" t="str">
        <x:v>Vanilla Kaizo World</x:v>
      </x:c>
    </x:row>
    <x:row r="2639">
      <x:c r="A2639" t="str">
        <x:v>Vanilla Mario World</x:v>
      </x:c>
    </x:row>
    <x:row r="2640">
      <x:c r="A2640" t="str">
        <x:v>Vanilla Shakedown</x:v>
      </x:c>
    </x:row>
    <x:row r="2641">
      <x:c r="A2641" t="str">
        <x:v>Vanilla Twist!</x:v>
      </x:c>
    </x:row>
    <x:row r="2642">
      <x:c r="A2642" t="str">
        <x:v>Vanilla: Made to Order</x:v>
      </x:c>
    </x:row>
    <x:row r="2643">
      <x:c r="A2643" t="str">
        <x:v>VanillaCraft</x:v>
      </x:c>
    </x:row>
    <x:row r="2644">
      <x:c r="A2644" t="str">
        <x:v>Varndts Castle</x:v>
      </x:c>
    </x:row>
    <x:row r="2645">
      <x:c r="A2645" t="str">
        <x:v>Vast Minutiae</x:v>
      </x:c>
    </x:row>
    <x:row r="2646">
      <x:c r="A2646" t="str">
        <x:v>Vengeful Mario</x:v>
      </x:c>
    </x:row>
    <x:row r="2647">
      <x:c r="A2647" t="str">
        <x:v>Venture</x:v>
      </x:c>
    </x:row>
    <x:row r="2648">
      <x:c r="A2648" t="str">
        <x:v>Very Fun World</x:v>
      </x:c>
    </x:row>
    <x:row r="2649">
      <x:c r="A2649" t="str">
        <x:v>Very Hard Mario</x:v>
      </x:c>
    </x:row>
    <x:row r="2650">
      <x:c r="A2650" t="str">
        <x:v>Vincere</x:v>
      </x:c>
    </x:row>
    <x:row r="2651">
      <x:c r="A2651" t="str">
        <x:v>VIP and Wall Mix 1</x:v>
      </x:c>
    </x:row>
    <x:row r="2652">
      <x:c r="A2652" t="str">
        <x:v>VIP and Wall Mix 1: Mario Edition</x:v>
      </x:c>
    </x:row>
    <x:row r="2653">
      <x:c r="A2653" t="str">
        <x:v>VIP and Wall Mix 2</x:v>
      </x:c>
    </x:row>
    <x:row r="2654">
      <x:c r="A2654" t="str">
        <x:v>VIP and Wall Mix 2: Mario Edition</x:v>
      </x:c>
    </x:row>
    <x:row r="2655">
      <x:c r="A2655" t="str">
        <x:v>VIP and Wall Mix 3</x:v>
      </x:c>
    </x:row>
    <x:row r="2656">
      <x:c r="A2656" t="str">
        <x:v>VIP and Wall Mix 3: Mario Edition</x:v>
      </x:c>
    </x:row>
    <x:row r="2657">
      <x:c r="A2657" t="str">
        <x:v>VIP and Wall Mix 4</x:v>
      </x:c>
    </x:row>
    <x:row r="2658">
      <x:c r="A2658" t="str">
        <x:v>VIP and Wall Mix 4: Mario Edition</x:v>
      </x:c>
    </x:row>
    <x:row r="2659">
      <x:c r="A2659" t="str">
        <x:v>VOQBON.smc</x:v>
      </x:c>
    </x:row>
    <x:row r="2660">
      <x:c r="A2660" t="str">
        <x:v>Voyager</x:v>
      </x:c>
    </x:row>
    <x:row r="2661">
      <x:c r="A2661" t="str">
        <x:v>VP</x:v>
      </x:c>
    </x:row>
    <x:row r="2662">
      <x:c r="A2662" t="str">
        <x:v>Vuit Grups</x:v>
      </x:c>
    </x:row>
    <x:row r="2663">
      <x:c r="A2663" t="str">
        <x:v>Wake Up Call</x:v>
      </x:c>
    </x:row>
    <x:row r="2664">
      <x:c r="A2664" t="str">
        <x:v>Wake Up Call Re-Mix</x:v>
      </x:c>
    </x:row>
    <x:row r="2665">
      <x:c r="A2665" t="str">
        <x:v>Walkabout</x:v>
      </x:c>
    </x:row>
    <x:row r="2666">
      <x:c r="A2666" t="str">
        <x:v>Wall Mario 1</x:v>
      </x:c>
    </x:row>
    <x:row r="2667">
      <x:c r="A2667" t="str">
        <x:v>Waluigi's Quest to Become Known</x:v>
      </x:c>
    </x:row>
    <x:row r="2668">
      <x:c r="A2668" t="str">
        <x:v>Waluigi's Road to Glory 2 - Azathomura</x:v>
      </x:c>
    </x:row>
    <x:row r="2669">
      <x:c r="A2669" t="str">
        <x:v>Waluigi's road to glory: Horlogic will go on</x:v>
      </x:c>
    </x:row>
    <x:row r="2670">
      <x:c r="A2670" t="str">
        <x:v>Waluigi's Wadventure</x:v>
      </x:c>
    </x:row>
    <x:row r="2671">
      <x:c r="A2671" t="str">
        <x:v>Wario Land 5</x:v>
      </x:c>
    </x:row>
    <x:row r="2672">
      <x:c r="A2672" t="str">
        <x:v>Wario Land 6</x:v>
      </x:c>
    </x:row>
    <x:row r="2673">
      <x:c r="A2673" t="str">
        <x:v>Wario World: Between The Dimensions</x:v>
      </x:c>
    </x:row>
    <x:row r="2674">
      <x:c r="A2674" t="str">
        <x:v>Wario's Adventure</x:v>
      </x:c>
    </x:row>
    <x:row r="2675">
      <x:c r="A2675" t="str">
        <x:v>Wario's Return</x:v>
      </x:c>
    </x:row>
    <x:row r="2676">
      <x:c r="A2676" t="str">
        <x:v>Warios Wonderful Walk</x:v>
      </x:c>
    </x:row>
    <x:row r="2677">
      <x:c r="A2677" t="str">
        <x:v>Watch Mario</x:v>
      </x:c>
    </x:row>
    <x:row r="2678">
      <x:c r="A2678" t="str">
        <x:v>Watermelon World</x:v>
      </x:c>
    </x:row>
    <x:row r="2679">
      <x:c r="A2679" t="str">
        <x:v>Waterworld</x:v>
      </x:c>
    </x:row>
    <x:row r="2680">
      <x:c r="A2680" t="str">
        <x:v>Way of the Tempest</x:v>
      </x:c>
    </x:row>
    <x:row r="2681">
      <x:c r="A2681" t="str">
        <x:v>We all end up here</x:v>
      </x:c>
    </x:row>
    <x:row r="2682">
      <x:c r="A2682" t="str">
        <x:v>We Like It Here</x:v>
      </x:c>
    </x:row>
    <x:row r="2683">
      <x:c r="A2683" t="str">
        <x:v>We Must Go Steeper</x:v>
      </x:c>
    </x:row>
    <x:row r="2684">
      <x:c r="A2684" t="str">
        <x:v>Weather Report</x:v>
      </x:c>
    </x:row>
    <x:row r="2685">
      <x:c r="A2685" t="str">
        <x:v>Weekend</x:v>
      </x:c>
    </x:row>
    <x:row r="2686">
      <x:c r="A2686" t="str">
        <x:v>Weekend at Luigi's</x:v>
      </x:c>
    </x:row>
    <x:row r="2687">
      <x:c r="A2687" t="str">
        <x:v>Wendy's Ten Fights</x:v>
      </x:c>
    </x:row>
    <x:row r="2688">
      <x:c r="A2688" t="str">
        <x:v>What did Mario do?</x:v>
      </x:c>
    </x:row>
    <x:row r="2689">
      <x:c r="A2689" t="str">
        <x:v>What The Heck 2</x:v>
      </x:c>
    </x:row>
    <x:row r="2690">
      <x:c r="A2690" t="str">
        <x:v>What The Shell!</x:v>
      </x:c>
    </x:row>
    <x:row r="2691">
      <x:c r="A2691" t="str">
        <x:v>What the... Hack?</x:v>
      </x:c>
    </x:row>
    <x:row r="2692">
      <x:c r="A2692" t="str">
        <x:v>What's Thanksgiving Without Turkey?</x:v>
      </x:c>
    </x:row>
    <x:row r="2693">
      <x:c r="A2693" t="str">
        <x:v>What's The Name of This Hack?</x:v>
      </x:c>
    </x:row>
    <x:row r="2694">
      <x:c r="A2694" t="str">
        <x:v>Where the universe breaks</x:v>
      </x:c>
    </x:row>
    <x:row r="2695">
      <x:c r="A2695" t="str">
        <x:v>White Men Can´t Toss</x:v>
      </x:c>
    </x:row>
    <x:row r="2696">
      <x:c r="A2696" t="str">
        <x:v>Why Do Coins Float?</x:v>
      </x:c>
    </x:row>
    <x:row r="2697">
      <x:c r="A2697" t="str">
        <x:v>Windows Mario World</x:v>
      </x:c>
    </x:row>
    <x:row r="2698">
      <x:c r="A2698" t="str">
        <x:v>Winter Season</x:v>
      </x:c>
    </x:row>
    <x:row r="2699">
      <x:c r="A2699" t="str">
        <x:v>Winter Season 2</x:v>
      </x:c>
    </x:row>
    <x:row r="2700">
      <x:c r="A2700" t="str">
        <x:v>Woji World</x:v>
      </x:c>
    </x:row>
    <x:row r="2701">
      <x:c r="A2701" t="str">
        <x:v>Wonders of Kaizo!</x:v>
      </x:c>
    </x:row>
    <x:row r="2702">
      <x:c r="A2702" t="str">
        <x:v>Worl's World</x:v>
      </x:c>
    </x:row>
    <x:row r="2703">
      <x:c r="A2703" t="str">
        <x:v>Worl's World 2: The Rebellion</x:v>
      </x:c>
    </x:row>
    <x:row r="2704">
      <x:c r="A2704" t="str">
        <x:v>World Of Illusion</x:v>
      </x:c>
    </x:row>
    <x:row r="2705">
      <x:c r="A2705" t="str">
        <x:v>World of Jumps</x:v>
      </x:c>
    </x:row>
    <x:row r="2706">
      <x:c r="A2706" t="str">
        <x:v>World of Shells</x:v>
      </x:c>
    </x:row>
    <x:row r="2707">
      <x:c r="A2707" t="str">
        <x:v>World's Hardest Hack</x:v>
      </x:c>
    </x:row>
    <x:row r="2708">
      <x:c r="A2708" t="str">
        <x:v>worm</x:v>
      </x:c>
    </x:row>
    <x:row r="2709">
      <x:c r="A2709" t="str">
        <x:v>Wrath of Bowser</x:v>
      </x:c>
    </x:row>
    <x:row r="2710">
      <x:c r="A2710" t="str">
        <x:v>Wrecking Crew '98</x:v>
      </x:c>
    </x:row>
    <x:row r="2711">
      <x:c r="A2711" t="str">
        <x:v>X-Drive</x:v>
      </x:c>
    </x:row>
    <x:row r="2712">
      <x:c r="A2712" t="str">
        <x:v>Xka Shack</x:v>
      </x:c>
    </x:row>
    <x:row r="2713">
      <x:c r="A2713" t="str">
        <x:v>Xulaph Kaizo World</x:v>
      </x:c>
    </x:row>
    <x:row r="2714">
      <x:c r="A2714" t="str">
        <x:v>Yahoo!!</x:v>
      </x:c>
    </x:row>
    <x:row r="2715">
      <x:c r="A2715" t="str">
        <x:v>Yank 2</x:v>
      </x:c>
    </x:row>
    <x:row r="2716">
      <x:c r="A2716" t="str">
        <x:v>Yet Another SMW Hack</x:v>
      </x:c>
    </x:row>
    <x:row r="2717">
      <x:c r="A2717" t="str">
        <x:v>Yet Another Super Mario Adventure</x:v>
      </x:c>
    </x:row>
    <x:row r="2718">
      <x:c r="A2718" t="str">
        <x:v>YF10CBTTHNTDWTL</x:v>
      </x:c>
    </x:row>
    <x:row r="2719">
      <x:c r="A2719" t="str">
        <x:v>Yikes Kaizo World</x:v>
      </x:c>
    </x:row>
    <x:row r="2720">
      <x:c r="A2720" t="str">
        <x:v>YNT MARIO</x:v>
      </x:c>
    </x:row>
    <x:row r="2721">
      <x:c r="A2721" t="str">
        <x:v>Yo mama is fat</x:v>
      </x:c>
    </x:row>
    <x:row r="2722">
      <x:c r="A2722" t="str">
        <x:v>YoHo</x:v>
      </x:c>
    </x:row>
    <x:row r="2723">
      <x:c r="A2723" t="str">
        <x:v>YoHo Adventure</x:v>
      </x:c>
    </x:row>
    <x:row r="2724">
      <x:c r="A2724" t="str">
        <x:v>Yoshi Is Missing!</x:v>
      </x:c>
    </x:row>
    <x:row r="2725">
      <x:c r="A2725" t="str">
        <x:v>Yoshi Saves Summer Vacation</x:v>
      </x:c>
    </x:row>
    <x:row r="2726">
      <x:c r="A2726" t="str">
        <x:v>Yoshi Surfer 5000</x:v>
      </x:c>
    </x:row>
    <x:row r="2727">
      <x:c r="A2727" t="str">
        <x:v>Yoshi's Crack House</x:v>
      </x:c>
    </x:row>
    <x:row r="2728">
      <x:c r="A2728" t="str">
        <x:v>Yoshi's Emergency</x:v>
      </x:c>
    </x:row>
    <x:row r="2729">
      <x:c r="A2729" t="str">
        <x:v>Yoshi's rescue run</x:v>
      </x:c>
    </x:row>
    <x:row r="2730">
      <x:c r="A2730" t="str">
        <x:v>Yoshi's Revenge</x:v>
      </x:c>
    </x:row>
    <x:row r="2731">
      <x:c r="A2731" t="str">
        <x:v>Yoshi's Strange Quest</x:v>
      </x:c>
    </x:row>
    <x:row r="2732">
      <x:c r="A2732" t="str">
        <x:v>Yoshi: Super Dinosaur</x:v>
      </x:c>
    </x:row>
    <x:row r="2733">
      <x:c r="A2733" t="str">
        <x:v>Yoshiro</x:v>
      </x:c>
    </x:row>
    <x:row r="2734">
      <x:c r="A2734" t="str">
        <x:v>You Are Just A Blue Switch</x:v>
      </x:c>
    </x:row>
    <x:row r="2735">
      <x:c r="A2735" t="str">
        <x:v>You Have No Life</x:v>
      </x:c>
    </x:row>
    <x:row r="2736">
      <x:c r="A2736" t="str">
        <x:v>You Shell Not Pass</x:v>
      </x:c>
    </x:row>
    <x:row r="2737">
      <x:c r="A2737" t="str">
        <x:v>Yuki Mario</x:v>
      </x:c>
    </x:row>
    <x:row r="2738">
      <x:c r="A2738" t="str">
        <x:v>YUMP</x:v>
      </x:c>
    </x:row>
    <x:row r="2739">
      <x:c r="A2739" t="str">
        <x:v>YUMP 2</x:v>
      </x:c>
    </x:row>
    <x:row r="2740">
      <x:c r="A2740" t="str">
        <x:v>Zap &amp; Lena Adventures</x:v>
      </x:c>
    </x:row>
    <x:row r="2741">
      <x:c r="A2741" t="str">
        <x:v>Zap Lena World</x:v>
      </x:c>
    </x:row>
    <x:row r="2742">
      <x:c r="A2742" t="str">
        <x:v>Zeldara's Glitch City v147</x:v>
      </x:c>
    </x:row>
    <x:row r="2743">
      <x:c r="A2743" t="str">
        <x:v>~ Sure Shot ~ featuring Sonic the Hedgehog DELUXE EDITION</x:v>
      </x:c>
    </x:row>
    <x:row r="2744">
      <x:c r="A2744" t="str">
        <x:v>~omh~</x:v>
      </x:c>
    </x:row>
    <x:row r="2745">
      <x:c r="A2745" t="str">
        <x:v>⏱︎ Slow Motion Mario</x:v>
      </x:c>
    </x:row>
    <x:row r="2746">
      <x:c r="A2746" t="str">
        <x:v>🐭 So 2 Mice Walk Into a Bar... 🐭</x:v>
      </x:c>
    </x:row>
    <x:row r="2747">
      <x:c r="A2747" t="str">
        <x:v>🐸🥣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0" hidden="0" customWidth="1"/>
  </x:cols>
  <x:sheetData>
    <x:row r="1">
      <x:c r="A1" s="34" t="str">
        <x:v>Setting</x:v>
      </x:c>
      <x:c r="B1" s="35" t="str">
        <x:v>Value</x:v>
      </x:c>
    </x:row>
    <x:row r="2">
      <x:c r="A2" s="36" t="str">
        <x:v>Catalog CSV URL</x:v>
      </x:c>
      <x:c r="B2" s="37" t="str">
        <x:v>https://raw.githubusercontent.com/freddogg23/smwc_tracker/main/data/SMWCentral_All_Moderated_Hacks.csv</x:v>
      </x:c>
    </x:row>
    <x:row r="3">
      <x:c r="A3" s="36" t="str">
        <x:v>Version JSON URL</x:v>
      </x:c>
      <x:c r="B3" s="37" t="str">
        <x:v>https://raw.githubusercontent.com/freddogg23/smwc_tracker/main/data/version.json</x:v>
      </x:c>
    </x:row>
    <x:row r="4">
      <x:c r="A4" s="36" t="str">
        <x:v>Workbook Version</x:v>
      </x:c>
      <x:c r="B4" s="37" t="str">
        <x:v>1.0.0</x:v>
      </x:c>
    </x:row>
    <x:row r="5">
      <x:c r="A5" s="36" t="str">
        <x:v>Official Hack Count</x:v>
      </x:c>
      <x:c r="B5" s="37" t="n">
        <x:v>2746</x:v>
      </x:c>
    </x:row>
    <x:row r="6">
      <x:c r="A6" s="36" t="str">
        <x:v>Catalog Version</x:v>
      </x:c>
      <x:c r="B6" s="37" t="str">
        <x:v>2026.07.26</x:v>
      </x:c>
    </x:row>
    <x:row r="7">
      <x:c r="A7" s="36" t="str">
        <x:v>Last Refresh</x:v>
      </x:c>
      <x:c r="B7" s="37" t="str">
        <x:v>Initial embedded catalog</x:v>
      </x:c>
    </x:row>
    <x:row r="8">
      <x:c r="A8" s="36" t="str">
        <x:v>Repository URL</x:v>
      </x:c>
      <x:c r="B8" s="37" t="str">
        <x:v>https://github.com/freddogg23/smwc_tracker</x:v>
      </x:c>
    </x:row>
    <x:row r="9">
      <x:c r="A9" s="38" t="str">
        <x:v>Protection Password</x:v>
      </x:c>
      <x:c r="B9" s="39" t="str">
        <x:v>SMWCommunity2026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>
      <x:c r="A1" s="1255" t="str">
        <x:v>SMW ROM Hack Tracker — Community Edition</x:v>
      </x:c>
      <x:c r="B1" s="1255"/>
      <x:c r="C1" s="1255"/>
      <x:c r="D1" s="1255"/>
      <x:c r="E1" s="1255"/>
      <x:c r="F1" s="1255"/>
    </x:row>
    <x:row r="2">
      <x:c r="A2" s="1255"/>
      <x:c r="B2" s="1255"/>
      <x:c r="C2" s="1255"/>
      <x:c r="D2" s="1255"/>
      <x:c r="E2" s="1255"/>
      <x:c r="F2" s="1255"/>
    </x:row>
    <x:row r="4">
      <x:c r="A4" s="13" t="str">
        <x:v>Step</x:v>
      </x:c>
      <x:c r="B4" s="14" t="str">
        <x:v>Instructions</x:v>
      </x:c>
      <x:c r="C4" s="14" t="str"/>
      <x:c r="D4" s="14" t="str"/>
      <x:c r="E4" s="14" t="str"/>
      <x:c r="F4" s="15" t="str"/>
    </x:row>
    <x:row r="5">
      <x:c r="A5" s="1266" t="str">
        <x:v>1</x:v>
      </x:c>
      <x:c r="B5" s="1298" t="str">
        <x:v>Choose a hack from the dropdown on the Tracker sheet.</x:v>
      </x:c>
      <x:c r="C5" s="1299" t="str"/>
      <x:c r="D5" s="1299" t="str"/>
      <x:c r="E5" s="1299" t="str"/>
      <x:c r="F5" s="1300" t="str"/>
    </x:row>
    <x:row r="6">
      <x:c r="A6" s="1267" t="str">
        <x:v>2</x:v>
      </x:c>
      <x:c r="B6" s="1301" t="str">
        <x:v>The title, creator, exits, difficulty, type, and official links fill automatically.</x:v>
      </x:c>
      <x:c r="C6" s="1302" t="str"/>
      <x:c r="D6" s="1302" t="str"/>
      <x:c r="E6" s="1302" t="str"/>
      <x:c r="F6" s="1303" t="str"/>
    </x:row>
    <x:row r="7">
      <x:c r="A7" s="1267" t="str">
        <x:v>3</x:v>
      </x:c>
      <x:c r="B7" s="1301" t="str">
        <x:v>Enter your dates, completion status, rating, playtime, and notes.</x:v>
      </x:c>
      <x:c r="C7" s="1302" t="str"/>
      <x:c r="D7" s="1302" t="str"/>
      <x:c r="E7" s="1302" t="str"/>
      <x:c r="F7" s="1303" t="str"/>
    </x:row>
    <x:row r="8">
      <x:c r="A8" s="1267" t="str">
        <x:v>4</x:v>
      </x:c>
      <x:c r="B8" s="1301" t="str">
        <x:v>Click Refresh Hacks on the Dashboard whenever you want the newest official catalog.</x:v>
      </x:c>
      <x:c r="C8" s="1302" t="str"/>
      <x:c r="D8" s="1302" t="str"/>
      <x:c r="E8" s="1302" t="str"/>
      <x:c r="F8" s="1303" t="str"/>
    </x:row>
    <x:row r="9">
      <x:c r="A9" s="1267" t="str">
        <x:v>5</x:v>
      </x:c>
      <x:c r="B9" s="1301" t="str">
        <x:v>Use Add Custom Hack for hacks that are not in the official SMWCentral catalog.</x:v>
      </x:c>
      <x:c r="C9" s="1302" t="str"/>
      <x:c r="D9" s="1302" t="str"/>
      <x:c r="E9" s="1302" t="str"/>
      <x:c r="F9" s="1303" t="str"/>
    </x:row>
    <x:row r="10">
      <x:c r="A10" s="1268" t="str">
        <x:v>6</x:v>
      </x:c>
      <x:c r="B10" s="1304" t="str">
        <x:v>Refreshes never overwrite Tracker entries or custom hacks.</x:v>
      </x:c>
      <x:c r="C10" s="1305" t="str"/>
      <x:c r="D10" s="1305" t="str"/>
      <x:c r="E10" s="1305" t="str"/>
      <x:c r="F10" s="1306" t="str"/>
    </x:row>
  </x:sheetData>
  <x:mergeCells>
    <x:mergeCell ref="A1:F2"/>
    <x:mergeCell ref="B4:F4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